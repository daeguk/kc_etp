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플랫폼_2018\시뮬레이터\"/>
    </mc:Choice>
  </mc:AlternateContent>
  <bookViews>
    <workbookView xWindow="0" yWindow="0" windowWidth="28800" windowHeight="12390"/>
  </bookViews>
  <sheets>
    <sheet name="지수산출플로우" sheetId="24" r:id="rId1"/>
    <sheet name="CASE2_1_조건설정" sheetId="13" r:id="rId2"/>
    <sheet name="CASE2_1_BACKTEST" sheetId="25" r:id="rId3"/>
    <sheet name="CASE2_2_조건설정" sheetId="28" r:id="rId4"/>
    <sheet name="CASE2_2_BACKTEST" sheetId="29" r:id="rId5"/>
    <sheet name="CASE2_3_조건설정" sheetId="30" r:id="rId6"/>
    <sheet name="CASE2_3_BACKTEST" sheetId="31" r:id="rId7"/>
    <sheet name="CASE2_3_검증" sheetId="32" r:id="rId8"/>
    <sheet name="삼성전자" sheetId="5" r:id="rId9"/>
    <sheet name="셀트리온" sheetId="2" r:id="rId10"/>
    <sheet name="헬릭스미스" sheetId="4" r:id="rId11"/>
    <sheet name="TIGER" sheetId="3" r:id="rId12"/>
    <sheet name="엘앤씨바이오" sheetId="11" r:id="rId13"/>
  </sheets>
  <definedNames>
    <definedName name="_xlnm._FilterDatabase" localSheetId="8" hidden="1">삼성전자!$A$1:$J$1137</definedName>
    <definedName name="_xlnm._FilterDatabase" localSheetId="9" hidden="1">셀트리온!$A$1:$I$1137</definedName>
    <definedName name="_xlnm._FilterDatabase" localSheetId="10" hidden="1">헬릭스미스!$A$1:$I$1137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5" i="25" l="1"/>
  <c r="R371" i="32"/>
  <c r="S371" i="32"/>
  <c r="R372" i="32"/>
  <c r="S372" i="32"/>
  <c r="R373" i="32"/>
  <c r="S373" i="32"/>
  <c r="C373" i="32" s="1"/>
  <c r="R374" i="32"/>
  <c r="S374" i="32"/>
  <c r="R375" i="32"/>
  <c r="S375" i="32"/>
  <c r="R376" i="32"/>
  <c r="S376" i="32"/>
  <c r="R377" i="32"/>
  <c r="S377" i="32"/>
  <c r="C377" i="32" s="1"/>
  <c r="R378" i="32"/>
  <c r="S378" i="32"/>
  <c r="R379" i="32"/>
  <c r="S379" i="32"/>
  <c r="R380" i="32"/>
  <c r="S380" i="32"/>
  <c r="R381" i="32"/>
  <c r="S381" i="32"/>
  <c r="O371" i="32"/>
  <c r="P371" i="32"/>
  <c r="O372" i="32"/>
  <c r="P372" i="32"/>
  <c r="O373" i="32"/>
  <c r="P373" i="32"/>
  <c r="O374" i="32"/>
  <c r="P374" i="32"/>
  <c r="O375" i="32"/>
  <c r="P375" i="32"/>
  <c r="O376" i="32"/>
  <c r="P376" i="32"/>
  <c r="O377" i="32"/>
  <c r="P377" i="32"/>
  <c r="O378" i="32"/>
  <c r="P378" i="32"/>
  <c r="O379" i="32"/>
  <c r="P379" i="32"/>
  <c r="O380" i="32"/>
  <c r="P380" i="32"/>
  <c r="O381" i="32"/>
  <c r="P381" i="32"/>
  <c r="L371" i="32"/>
  <c r="M371" i="32"/>
  <c r="L372" i="32"/>
  <c r="M372" i="32"/>
  <c r="L373" i="32"/>
  <c r="M373" i="32"/>
  <c r="L374" i="32"/>
  <c r="M374" i="32"/>
  <c r="L375" i="32"/>
  <c r="M375" i="32"/>
  <c r="L376" i="32"/>
  <c r="M376" i="32"/>
  <c r="L377" i="32"/>
  <c r="M377" i="32"/>
  <c r="L378" i="32"/>
  <c r="M378" i="32"/>
  <c r="L379" i="32"/>
  <c r="M379" i="32"/>
  <c r="L380" i="32"/>
  <c r="M380" i="32"/>
  <c r="L381" i="32"/>
  <c r="M381" i="32"/>
  <c r="I371" i="32"/>
  <c r="J371" i="32"/>
  <c r="I372" i="32"/>
  <c r="J372" i="32"/>
  <c r="I373" i="32"/>
  <c r="J373" i="32"/>
  <c r="I374" i="32"/>
  <c r="J374" i="32"/>
  <c r="I375" i="32"/>
  <c r="J375" i="32"/>
  <c r="I376" i="32"/>
  <c r="J376" i="32"/>
  <c r="I377" i="32"/>
  <c r="J377" i="32"/>
  <c r="I378" i="32"/>
  <c r="J378" i="32"/>
  <c r="I379" i="32"/>
  <c r="J379" i="32"/>
  <c r="I380" i="32"/>
  <c r="J380" i="32"/>
  <c r="I381" i="32"/>
  <c r="J381" i="32"/>
  <c r="S370" i="32"/>
  <c r="R370" i="32"/>
  <c r="P370" i="32"/>
  <c r="O370" i="32"/>
  <c r="M370" i="32"/>
  <c r="L370" i="32"/>
  <c r="J370" i="32"/>
  <c r="I370" i="32"/>
  <c r="F371" i="32"/>
  <c r="G371" i="32"/>
  <c r="F372" i="32"/>
  <c r="G372" i="32"/>
  <c r="F373" i="32"/>
  <c r="G373" i="32"/>
  <c r="F374" i="32"/>
  <c r="G374" i="32"/>
  <c r="F375" i="32"/>
  <c r="G375" i="32"/>
  <c r="F376" i="32"/>
  <c r="G376" i="32"/>
  <c r="F377" i="32"/>
  <c r="G377" i="32"/>
  <c r="F378" i="32"/>
  <c r="G378" i="32"/>
  <c r="F379" i="32"/>
  <c r="G379" i="32"/>
  <c r="F380" i="32"/>
  <c r="G380" i="32"/>
  <c r="F381" i="32"/>
  <c r="G381" i="32"/>
  <c r="G370" i="32"/>
  <c r="F370" i="32"/>
  <c r="S369" i="32"/>
  <c r="P369" i="32"/>
  <c r="M369" i="32"/>
  <c r="J369" i="32"/>
  <c r="G369" i="32"/>
  <c r="R250" i="32"/>
  <c r="S250" i="32"/>
  <c r="R251" i="32"/>
  <c r="S251" i="32"/>
  <c r="R252" i="32"/>
  <c r="S252" i="32"/>
  <c r="R253" i="32"/>
  <c r="S253" i="32"/>
  <c r="R254" i="32"/>
  <c r="S254" i="32"/>
  <c r="R255" i="32"/>
  <c r="S255" i="32"/>
  <c r="R256" i="32"/>
  <c r="S256" i="32"/>
  <c r="R257" i="32"/>
  <c r="S257" i="32"/>
  <c r="R258" i="32"/>
  <c r="S258" i="32"/>
  <c r="R259" i="32"/>
  <c r="S259" i="32"/>
  <c r="R260" i="32"/>
  <c r="S260" i="32"/>
  <c r="R261" i="32"/>
  <c r="S261" i="32"/>
  <c r="R262" i="32"/>
  <c r="S262" i="32"/>
  <c r="R263" i="32"/>
  <c r="S263" i="32"/>
  <c r="R264" i="32"/>
  <c r="S264" i="32"/>
  <c r="R265" i="32"/>
  <c r="S265" i="32"/>
  <c r="R266" i="32"/>
  <c r="S266" i="32"/>
  <c r="R267" i="32"/>
  <c r="S267" i="32"/>
  <c r="R268" i="32"/>
  <c r="S268" i="32"/>
  <c r="R269" i="32"/>
  <c r="S269" i="32"/>
  <c r="R270" i="32"/>
  <c r="S270" i="32"/>
  <c r="R271" i="32"/>
  <c r="S271" i="32"/>
  <c r="R272" i="32"/>
  <c r="S272" i="32"/>
  <c r="R273" i="32"/>
  <c r="S273" i="32"/>
  <c r="R274" i="32"/>
  <c r="S274" i="32"/>
  <c r="R275" i="32"/>
  <c r="S275" i="32"/>
  <c r="R276" i="32"/>
  <c r="S276" i="32"/>
  <c r="R277" i="32"/>
  <c r="S277" i="32"/>
  <c r="R278" i="32"/>
  <c r="S278" i="32"/>
  <c r="R279" i="32"/>
  <c r="S279" i="32"/>
  <c r="R280" i="32"/>
  <c r="S280" i="32"/>
  <c r="R281" i="32"/>
  <c r="S281" i="32"/>
  <c r="R282" i="32"/>
  <c r="S282" i="32"/>
  <c r="R283" i="32"/>
  <c r="S283" i="32"/>
  <c r="R284" i="32"/>
  <c r="S284" i="32"/>
  <c r="R285" i="32"/>
  <c r="S285" i="32"/>
  <c r="R286" i="32"/>
  <c r="S286" i="32"/>
  <c r="R287" i="32"/>
  <c r="S287" i="32"/>
  <c r="R288" i="32"/>
  <c r="S288" i="32"/>
  <c r="R289" i="32"/>
  <c r="S289" i="32"/>
  <c r="R290" i="32"/>
  <c r="S290" i="32"/>
  <c r="R291" i="32"/>
  <c r="S291" i="32"/>
  <c r="R292" i="32"/>
  <c r="S292" i="32"/>
  <c r="R293" i="32"/>
  <c r="S293" i="32"/>
  <c r="R294" i="32"/>
  <c r="S294" i="32"/>
  <c r="R295" i="32"/>
  <c r="S295" i="32"/>
  <c r="R296" i="32"/>
  <c r="S296" i="32"/>
  <c r="R297" i="32"/>
  <c r="S297" i="32"/>
  <c r="R298" i="32"/>
  <c r="S298" i="32"/>
  <c r="R299" i="32"/>
  <c r="S299" i="32"/>
  <c r="R300" i="32"/>
  <c r="S300" i="32"/>
  <c r="R301" i="32"/>
  <c r="S301" i="32"/>
  <c r="R302" i="32"/>
  <c r="S302" i="32"/>
  <c r="R303" i="32"/>
  <c r="S303" i="32"/>
  <c r="R304" i="32"/>
  <c r="S304" i="32"/>
  <c r="R305" i="32"/>
  <c r="S305" i="32"/>
  <c r="R306" i="32"/>
  <c r="S306" i="32"/>
  <c r="R307" i="32"/>
  <c r="S307" i="32"/>
  <c r="R308" i="32"/>
  <c r="S308" i="32"/>
  <c r="R309" i="32"/>
  <c r="S309" i="32"/>
  <c r="R310" i="32"/>
  <c r="S310" i="32"/>
  <c r="R311" i="32"/>
  <c r="S311" i="32"/>
  <c r="R312" i="32"/>
  <c r="S312" i="32"/>
  <c r="R313" i="32"/>
  <c r="S313" i="32"/>
  <c r="R314" i="32"/>
  <c r="S314" i="32"/>
  <c r="R315" i="32"/>
  <c r="S315" i="32"/>
  <c r="R316" i="32"/>
  <c r="S316" i="32"/>
  <c r="R317" i="32"/>
  <c r="S317" i="32"/>
  <c r="R318" i="32"/>
  <c r="S318" i="32"/>
  <c r="R319" i="32"/>
  <c r="S319" i="32"/>
  <c r="R320" i="32"/>
  <c r="S320" i="32"/>
  <c r="R321" i="32"/>
  <c r="S321" i="32"/>
  <c r="R322" i="32"/>
  <c r="S322" i="32"/>
  <c r="R323" i="32"/>
  <c r="S323" i="32"/>
  <c r="R324" i="32"/>
  <c r="S324" i="32"/>
  <c r="R325" i="32"/>
  <c r="S325" i="32"/>
  <c r="R326" i="32"/>
  <c r="S326" i="32"/>
  <c r="R327" i="32"/>
  <c r="S327" i="32"/>
  <c r="R328" i="32"/>
  <c r="S328" i="32"/>
  <c r="R329" i="32"/>
  <c r="S329" i="32"/>
  <c r="R330" i="32"/>
  <c r="S330" i="32"/>
  <c r="R331" i="32"/>
  <c r="S331" i="32"/>
  <c r="R332" i="32"/>
  <c r="S332" i="32"/>
  <c r="R333" i="32"/>
  <c r="S333" i="32"/>
  <c r="R334" i="32"/>
  <c r="S334" i="32"/>
  <c r="R335" i="32"/>
  <c r="S335" i="32"/>
  <c r="R336" i="32"/>
  <c r="S336" i="32"/>
  <c r="R337" i="32"/>
  <c r="S337" i="32"/>
  <c r="R338" i="32"/>
  <c r="S338" i="32"/>
  <c r="R339" i="32"/>
  <c r="S339" i="32"/>
  <c r="R340" i="32"/>
  <c r="S340" i="32"/>
  <c r="R341" i="32"/>
  <c r="S341" i="32"/>
  <c r="R342" i="32"/>
  <c r="S342" i="32"/>
  <c r="R343" i="32"/>
  <c r="S343" i="32"/>
  <c r="R344" i="32"/>
  <c r="S344" i="32"/>
  <c r="R345" i="32"/>
  <c r="S345" i="32"/>
  <c r="R346" i="32"/>
  <c r="S346" i="32"/>
  <c r="R347" i="32"/>
  <c r="S347" i="32"/>
  <c r="R348" i="32"/>
  <c r="S348" i="32"/>
  <c r="R349" i="32"/>
  <c r="S349" i="32"/>
  <c r="R350" i="32"/>
  <c r="S350" i="32"/>
  <c r="R351" i="32"/>
  <c r="S351" i="32"/>
  <c r="R352" i="32"/>
  <c r="S352" i="32"/>
  <c r="R353" i="32"/>
  <c r="S353" i="32"/>
  <c r="R354" i="32"/>
  <c r="S354" i="32"/>
  <c r="R355" i="32"/>
  <c r="S355" i="32"/>
  <c r="R356" i="32"/>
  <c r="S356" i="32"/>
  <c r="R357" i="32"/>
  <c r="S357" i="32"/>
  <c r="R358" i="32"/>
  <c r="S358" i="32"/>
  <c r="R359" i="32"/>
  <c r="S359" i="32"/>
  <c r="R360" i="32"/>
  <c r="S360" i="32"/>
  <c r="R361" i="32"/>
  <c r="S361" i="32"/>
  <c r="R362" i="32"/>
  <c r="S362" i="32"/>
  <c r="R363" i="32"/>
  <c r="S363" i="32"/>
  <c r="R364" i="32"/>
  <c r="S364" i="32"/>
  <c r="R365" i="32"/>
  <c r="S365" i="32"/>
  <c r="R366" i="32"/>
  <c r="S366" i="32"/>
  <c r="R367" i="32"/>
  <c r="S367" i="32"/>
  <c r="R368" i="32"/>
  <c r="S368" i="32"/>
  <c r="S249" i="32"/>
  <c r="R249" i="32"/>
  <c r="O250" i="32"/>
  <c r="P250" i="32"/>
  <c r="P251" i="32" s="1"/>
  <c r="O251" i="32"/>
  <c r="O252" i="32"/>
  <c r="O253" i="32"/>
  <c r="O254" i="32"/>
  <c r="O255" i="32"/>
  <c r="O256" i="32"/>
  <c r="O257" i="32"/>
  <c r="O258" i="32"/>
  <c r="O259" i="32"/>
  <c r="O260" i="32"/>
  <c r="O261" i="32"/>
  <c r="O262" i="32"/>
  <c r="O263" i="32"/>
  <c r="O264" i="32"/>
  <c r="O265" i="32"/>
  <c r="O266" i="32"/>
  <c r="O267" i="32"/>
  <c r="O268" i="32"/>
  <c r="O269" i="32"/>
  <c r="O270" i="32"/>
  <c r="O271" i="32"/>
  <c r="O272" i="32"/>
  <c r="O273" i="32"/>
  <c r="O274" i="32"/>
  <c r="O275" i="32"/>
  <c r="O276" i="32"/>
  <c r="O277" i="32"/>
  <c r="O278" i="32"/>
  <c r="O279" i="32"/>
  <c r="O280" i="32"/>
  <c r="O281" i="32"/>
  <c r="O282" i="32"/>
  <c r="O283" i="32"/>
  <c r="O284" i="32"/>
  <c r="O285" i="32"/>
  <c r="O286" i="32"/>
  <c r="O287" i="32"/>
  <c r="O288" i="32"/>
  <c r="O289" i="32"/>
  <c r="O290" i="32"/>
  <c r="O291" i="32"/>
  <c r="O292" i="32"/>
  <c r="O293" i="32"/>
  <c r="O294" i="32"/>
  <c r="O295" i="32"/>
  <c r="O296" i="32"/>
  <c r="O297" i="32"/>
  <c r="O298" i="32"/>
  <c r="O299" i="32"/>
  <c r="O300" i="32"/>
  <c r="O301" i="32"/>
  <c r="O302" i="32"/>
  <c r="O303" i="32"/>
  <c r="O304" i="32"/>
  <c r="O305" i="32"/>
  <c r="O306" i="32"/>
  <c r="O307" i="32"/>
  <c r="O308" i="32"/>
  <c r="O309" i="32"/>
  <c r="O310" i="32"/>
  <c r="O311" i="32"/>
  <c r="O312" i="32"/>
  <c r="O313" i="32"/>
  <c r="O314" i="32"/>
  <c r="O315" i="32"/>
  <c r="O316" i="32"/>
  <c r="O317" i="32"/>
  <c r="O318" i="32"/>
  <c r="O319" i="32"/>
  <c r="O320" i="32"/>
  <c r="O321" i="32"/>
  <c r="O322" i="32"/>
  <c r="O323" i="32"/>
  <c r="O324" i="32"/>
  <c r="O325" i="32"/>
  <c r="O326" i="32"/>
  <c r="O327" i="32"/>
  <c r="O328" i="32"/>
  <c r="O329" i="32"/>
  <c r="O330" i="32"/>
  <c r="O331" i="32"/>
  <c r="O332" i="32"/>
  <c r="O333" i="32"/>
  <c r="O334" i="32"/>
  <c r="O335" i="32"/>
  <c r="O336" i="32"/>
  <c r="O337" i="32"/>
  <c r="O338" i="32"/>
  <c r="O339" i="32"/>
  <c r="O340" i="32"/>
  <c r="O341" i="32"/>
  <c r="O342" i="32"/>
  <c r="O343" i="32"/>
  <c r="O344" i="32"/>
  <c r="O345" i="32"/>
  <c r="O346" i="32"/>
  <c r="O347" i="32"/>
  <c r="O348" i="32"/>
  <c r="O349" i="32"/>
  <c r="O350" i="32"/>
  <c r="O351" i="32"/>
  <c r="O352" i="32"/>
  <c r="O353" i="32"/>
  <c r="O354" i="32"/>
  <c r="O355" i="32"/>
  <c r="O356" i="32"/>
  <c r="O357" i="32"/>
  <c r="O358" i="32"/>
  <c r="O359" i="32"/>
  <c r="O360" i="32"/>
  <c r="O361" i="32"/>
  <c r="O362" i="32"/>
  <c r="O363" i="32"/>
  <c r="O364" i="32"/>
  <c r="O365" i="32"/>
  <c r="O366" i="32"/>
  <c r="O367" i="32"/>
  <c r="O368" i="32"/>
  <c r="P249" i="32"/>
  <c r="O249" i="32"/>
  <c r="L250" i="32"/>
  <c r="M250" i="32"/>
  <c r="L251" i="32"/>
  <c r="M251" i="32"/>
  <c r="L252" i="32"/>
  <c r="M252" i="32"/>
  <c r="L253" i="32"/>
  <c r="M253" i="32"/>
  <c r="L254" i="32"/>
  <c r="M254" i="32"/>
  <c r="L255" i="32"/>
  <c r="M255" i="32"/>
  <c r="L256" i="32"/>
  <c r="M256" i="32"/>
  <c r="L257" i="32"/>
  <c r="M257" i="32"/>
  <c r="L258" i="32"/>
  <c r="M258" i="32"/>
  <c r="L259" i="32"/>
  <c r="M259" i="32"/>
  <c r="L260" i="32"/>
  <c r="M260" i="32"/>
  <c r="L261" i="32"/>
  <c r="M261" i="32"/>
  <c r="L262" i="32"/>
  <c r="M262" i="32"/>
  <c r="L263" i="32"/>
  <c r="M263" i="32"/>
  <c r="L264" i="32"/>
  <c r="M264" i="32"/>
  <c r="L265" i="32"/>
  <c r="M265" i="32"/>
  <c r="L266" i="32"/>
  <c r="M266" i="32"/>
  <c r="L267" i="32"/>
  <c r="M267" i="32"/>
  <c r="L268" i="32"/>
  <c r="M268" i="32"/>
  <c r="L269" i="32"/>
  <c r="M269" i="32"/>
  <c r="L270" i="32"/>
  <c r="M270" i="32"/>
  <c r="L271" i="32"/>
  <c r="M271" i="32"/>
  <c r="L272" i="32"/>
  <c r="M272" i="32"/>
  <c r="L273" i="32"/>
  <c r="M273" i="32"/>
  <c r="L274" i="32"/>
  <c r="M274" i="32"/>
  <c r="L275" i="32"/>
  <c r="M275" i="32"/>
  <c r="L276" i="32"/>
  <c r="M276" i="32"/>
  <c r="L277" i="32"/>
  <c r="M277" i="32"/>
  <c r="L278" i="32"/>
  <c r="M278" i="32"/>
  <c r="L279" i="32"/>
  <c r="M279" i="32"/>
  <c r="L280" i="32"/>
  <c r="M280" i="32"/>
  <c r="L281" i="32"/>
  <c r="M281" i="32"/>
  <c r="L282" i="32"/>
  <c r="M282" i="32"/>
  <c r="L283" i="32"/>
  <c r="M283" i="32"/>
  <c r="L284" i="32"/>
  <c r="M284" i="32"/>
  <c r="L285" i="32"/>
  <c r="M285" i="32"/>
  <c r="L286" i="32"/>
  <c r="M286" i="32"/>
  <c r="L287" i="32"/>
  <c r="M287" i="32"/>
  <c r="L288" i="32"/>
  <c r="M288" i="32"/>
  <c r="L289" i="32"/>
  <c r="M289" i="32"/>
  <c r="L290" i="32"/>
  <c r="M290" i="32"/>
  <c r="L291" i="32"/>
  <c r="M291" i="32"/>
  <c r="L292" i="32"/>
  <c r="M292" i="32"/>
  <c r="L293" i="32"/>
  <c r="M293" i="32"/>
  <c r="L294" i="32"/>
  <c r="M294" i="32"/>
  <c r="L295" i="32"/>
  <c r="M295" i="32"/>
  <c r="L296" i="32"/>
  <c r="M296" i="32"/>
  <c r="L297" i="32"/>
  <c r="M297" i="32"/>
  <c r="L298" i="32"/>
  <c r="M298" i="32"/>
  <c r="L299" i="32"/>
  <c r="M299" i="32"/>
  <c r="L300" i="32"/>
  <c r="M300" i="32"/>
  <c r="L301" i="32"/>
  <c r="M301" i="32"/>
  <c r="L302" i="32"/>
  <c r="M302" i="32"/>
  <c r="L303" i="32"/>
  <c r="M303" i="32"/>
  <c r="L304" i="32"/>
  <c r="M304" i="32"/>
  <c r="L305" i="32"/>
  <c r="M305" i="32"/>
  <c r="L306" i="32"/>
  <c r="M306" i="32"/>
  <c r="L307" i="32"/>
  <c r="M307" i="32"/>
  <c r="L308" i="32"/>
  <c r="M308" i="32"/>
  <c r="L309" i="32"/>
  <c r="M309" i="32"/>
  <c r="L310" i="32"/>
  <c r="M310" i="32"/>
  <c r="L311" i="32"/>
  <c r="M311" i="32"/>
  <c r="L312" i="32"/>
  <c r="M312" i="32"/>
  <c r="L313" i="32"/>
  <c r="M313" i="32"/>
  <c r="L314" i="32"/>
  <c r="M314" i="32"/>
  <c r="L315" i="32"/>
  <c r="M315" i="32"/>
  <c r="L316" i="32"/>
  <c r="M316" i="32"/>
  <c r="L317" i="32"/>
  <c r="M317" i="32"/>
  <c r="L318" i="32"/>
  <c r="M318" i="32"/>
  <c r="L319" i="32"/>
  <c r="M319" i="32"/>
  <c r="L320" i="32"/>
  <c r="M320" i="32"/>
  <c r="L321" i="32"/>
  <c r="M321" i="32"/>
  <c r="L322" i="32"/>
  <c r="M322" i="32"/>
  <c r="L323" i="32"/>
  <c r="M323" i="32"/>
  <c r="L324" i="32"/>
  <c r="M324" i="32"/>
  <c r="L325" i="32"/>
  <c r="M325" i="32"/>
  <c r="L326" i="32"/>
  <c r="M326" i="32"/>
  <c r="L327" i="32"/>
  <c r="M327" i="32"/>
  <c r="L328" i="32"/>
  <c r="M328" i="32"/>
  <c r="L329" i="32"/>
  <c r="M329" i="32"/>
  <c r="L330" i="32"/>
  <c r="M330" i="32"/>
  <c r="L331" i="32"/>
  <c r="M331" i="32"/>
  <c r="L332" i="32"/>
  <c r="M332" i="32"/>
  <c r="L333" i="32"/>
  <c r="M333" i="32"/>
  <c r="L334" i="32"/>
  <c r="M334" i="32"/>
  <c r="L335" i="32"/>
  <c r="M335" i="32"/>
  <c r="L336" i="32"/>
  <c r="M336" i="32"/>
  <c r="L337" i="32"/>
  <c r="M337" i="32"/>
  <c r="L338" i="32"/>
  <c r="M338" i="32"/>
  <c r="L339" i="32"/>
  <c r="M339" i="32"/>
  <c r="L340" i="32"/>
  <c r="M340" i="32"/>
  <c r="L341" i="32"/>
  <c r="M341" i="32"/>
  <c r="L342" i="32"/>
  <c r="M342" i="32"/>
  <c r="L343" i="32"/>
  <c r="M343" i="32"/>
  <c r="L344" i="32"/>
  <c r="M344" i="32"/>
  <c r="L345" i="32"/>
  <c r="M345" i="32"/>
  <c r="L346" i="32"/>
  <c r="M346" i="32"/>
  <c r="L347" i="32"/>
  <c r="M347" i="32"/>
  <c r="L348" i="32"/>
  <c r="M348" i="32"/>
  <c r="L349" i="32"/>
  <c r="M349" i="32"/>
  <c r="L350" i="32"/>
  <c r="M350" i="32"/>
  <c r="L351" i="32"/>
  <c r="M351" i="32"/>
  <c r="L352" i="32"/>
  <c r="M352" i="32"/>
  <c r="L353" i="32"/>
  <c r="M353" i="32"/>
  <c r="L354" i="32"/>
  <c r="M354" i="32"/>
  <c r="L355" i="32"/>
  <c r="M355" i="32"/>
  <c r="L356" i="32"/>
  <c r="M356" i="32"/>
  <c r="L357" i="32"/>
  <c r="M357" i="32"/>
  <c r="L358" i="32"/>
  <c r="M358" i="32"/>
  <c r="L359" i="32"/>
  <c r="M359" i="32"/>
  <c r="L360" i="32"/>
  <c r="M360" i="32"/>
  <c r="L361" i="32"/>
  <c r="M361" i="32"/>
  <c r="L362" i="32"/>
  <c r="M362" i="32"/>
  <c r="L363" i="32"/>
  <c r="M363" i="32"/>
  <c r="L364" i="32"/>
  <c r="M364" i="32"/>
  <c r="L365" i="32"/>
  <c r="M365" i="32"/>
  <c r="L366" i="32"/>
  <c r="M366" i="32"/>
  <c r="L367" i="32"/>
  <c r="M367" i="32"/>
  <c r="L368" i="32"/>
  <c r="M368" i="32"/>
  <c r="M249" i="32"/>
  <c r="L249" i="32"/>
  <c r="I250" i="32"/>
  <c r="J250" i="32"/>
  <c r="I251" i="32"/>
  <c r="J251" i="32"/>
  <c r="I252" i="32"/>
  <c r="J252" i="32"/>
  <c r="I253" i="32"/>
  <c r="J253" i="32"/>
  <c r="I254" i="32"/>
  <c r="J254" i="32"/>
  <c r="I255" i="32"/>
  <c r="J255" i="32"/>
  <c r="I256" i="32"/>
  <c r="J256" i="32"/>
  <c r="I257" i="32"/>
  <c r="J257" i="32"/>
  <c r="I258" i="32"/>
  <c r="J258" i="32"/>
  <c r="I259" i="32"/>
  <c r="J259" i="32"/>
  <c r="I260" i="32"/>
  <c r="J260" i="32"/>
  <c r="I261" i="32"/>
  <c r="J261" i="32"/>
  <c r="I262" i="32"/>
  <c r="J262" i="32"/>
  <c r="I263" i="32"/>
  <c r="J263" i="32"/>
  <c r="I264" i="32"/>
  <c r="J264" i="32"/>
  <c r="I265" i="32"/>
  <c r="J265" i="32"/>
  <c r="I266" i="32"/>
  <c r="J266" i="32"/>
  <c r="I267" i="32"/>
  <c r="J267" i="32"/>
  <c r="I268" i="32"/>
  <c r="J268" i="32"/>
  <c r="I269" i="32"/>
  <c r="J269" i="32"/>
  <c r="I270" i="32"/>
  <c r="J270" i="32"/>
  <c r="I271" i="32"/>
  <c r="J271" i="32"/>
  <c r="I272" i="32"/>
  <c r="J272" i="32"/>
  <c r="I273" i="32"/>
  <c r="J273" i="32"/>
  <c r="I274" i="32"/>
  <c r="J274" i="32"/>
  <c r="I275" i="32"/>
  <c r="J275" i="32"/>
  <c r="I276" i="32"/>
  <c r="J276" i="32"/>
  <c r="I277" i="32"/>
  <c r="J277" i="32"/>
  <c r="I278" i="32"/>
  <c r="J278" i="32"/>
  <c r="I279" i="32"/>
  <c r="J279" i="32"/>
  <c r="I280" i="32"/>
  <c r="J280" i="32"/>
  <c r="I281" i="32"/>
  <c r="J281" i="32"/>
  <c r="I282" i="32"/>
  <c r="J282" i="32"/>
  <c r="I283" i="32"/>
  <c r="J283" i="32"/>
  <c r="I284" i="32"/>
  <c r="J284" i="32"/>
  <c r="I285" i="32"/>
  <c r="J285" i="32"/>
  <c r="I286" i="32"/>
  <c r="J286" i="32"/>
  <c r="I287" i="32"/>
  <c r="J287" i="32"/>
  <c r="I288" i="32"/>
  <c r="J288" i="32"/>
  <c r="I289" i="32"/>
  <c r="J289" i="32"/>
  <c r="I290" i="32"/>
  <c r="J290" i="32"/>
  <c r="I291" i="32"/>
  <c r="J291" i="32"/>
  <c r="I292" i="32"/>
  <c r="J292" i="32"/>
  <c r="I293" i="32"/>
  <c r="J293" i="32"/>
  <c r="I294" i="32"/>
  <c r="J294" i="32"/>
  <c r="I295" i="32"/>
  <c r="J295" i="32"/>
  <c r="I296" i="32"/>
  <c r="J296" i="32"/>
  <c r="I297" i="32"/>
  <c r="J297" i="32"/>
  <c r="I298" i="32"/>
  <c r="J298" i="32"/>
  <c r="I299" i="32"/>
  <c r="J299" i="32"/>
  <c r="I300" i="32"/>
  <c r="J300" i="32"/>
  <c r="I301" i="32"/>
  <c r="J301" i="32"/>
  <c r="I302" i="32"/>
  <c r="J302" i="32"/>
  <c r="I303" i="32"/>
  <c r="J303" i="32"/>
  <c r="I304" i="32"/>
  <c r="J304" i="32"/>
  <c r="I305" i="32"/>
  <c r="J305" i="32"/>
  <c r="I306" i="32"/>
  <c r="J306" i="32"/>
  <c r="I307" i="32"/>
  <c r="J307" i="32"/>
  <c r="I308" i="32"/>
  <c r="J308" i="32"/>
  <c r="I309" i="32"/>
  <c r="J309" i="32"/>
  <c r="I310" i="32"/>
  <c r="J310" i="32"/>
  <c r="I311" i="32"/>
  <c r="J311" i="32"/>
  <c r="I312" i="32"/>
  <c r="J312" i="32"/>
  <c r="I313" i="32"/>
  <c r="J313" i="32"/>
  <c r="I314" i="32"/>
  <c r="J314" i="32"/>
  <c r="I315" i="32"/>
  <c r="J315" i="32"/>
  <c r="I316" i="32"/>
  <c r="J316" i="32"/>
  <c r="I317" i="32"/>
  <c r="J317" i="32"/>
  <c r="I318" i="32"/>
  <c r="J318" i="32"/>
  <c r="I319" i="32"/>
  <c r="J319" i="32"/>
  <c r="I320" i="32"/>
  <c r="J320" i="32"/>
  <c r="I321" i="32"/>
  <c r="J321" i="32"/>
  <c r="I322" i="32"/>
  <c r="J322" i="32"/>
  <c r="I323" i="32"/>
  <c r="J323" i="32"/>
  <c r="I324" i="32"/>
  <c r="J324" i="32"/>
  <c r="I325" i="32"/>
  <c r="J325" i="32"/>
  <c r="I326" i="32"/>
  <c r="J326" i="32"/>
  <c r="I327" i="32"/>
  <c r="J327" i="32"/>
  <c r="I328" i="32"/>
  <c r="J328" i="32"/>
  <c r="I329" i="32"/>
  <c r="J329" i="32"/>
  <c r="I330" i="32"/>
  <c r="J330" i="32"/>
  <c r="I331" i="32"/>
  <c r="J331" i="32"/>
  <c r="I332" i="32"/>
  <c r="J332" i="32"/>
  <c r="I333" i="32"/>
  <c r="J333" i="32"/>
  <c r="I334" i="32"/>
  <c r="J334" i="32"/>
  <c r="I335" i="32"/>
  <c r="J335" i="32"/>
  <c r="I336" i="32"/>
  <c r="J336" i="32"/>
  <c r="I337" i="32"/>
  <c r="J337" i="32"/>
  <c r="I338" i="32"/>
  <c r="J338" i="32"/>
  <c r="I339" i="32"/>
  <c r="J339" i="32"/>
  <c r="I340" i="32"/>
  <c r="J340" i="32"/>
  <c r="I341" i="32"/>
  <c r="J341" i="32"/>
  <c r="I342" i="32"/>
  <c r="J342" i="32"/>
  <c r="I343" i="32"/>
  <c r="J343" i="32"/>
  <c r="I344" i="32"/>
  <c r="J344" i="32"/>
  <c r="I345" i="32"/>
  <c r="J345" i="32"/>
  <c r="I346" i="32"/>
  <c r="J346" i="32"/>
  <c r="I347" i="32"/>
  <c r="J347" i="32"/>
  <c r="I348" i="32"/>
  <c r="J348" i="32"/>
  <c r="I349" i="32"/>
  <c r="J349" i="32"/>
  <c r="I350" i="32"/>
  <c r="J350" i="32"/>
  <c r="I351" i="32"/>
  <c r="J351" i="32"/>
  <c r="I352" i="32"/>
  <c r="J352" i="32"/>
  <c r="I353" i="32"/>
  <c r="J353" i="32"/>
  <c r="I354" i="32"/>
  <c r="J354" i="32"/>
  <c r="I355" i="32"/>
  <c r="J355" i="32"/>
  <c r="I356" i="32"/>
  <c r="J356" i="32"/>
  <c r="I357" i="32"/>
  <c r="J357" i="32"/>
  <c r="I358" i="32"/>
  <c r="J358" i="32"/>
  <c r="I359" i="32"/>
  <c r="J359" i="32"/>
  <c r="I360" i="32"/>
  <c r="J360" i="32"/>
  <c r="I361" i="32"/>
  <c r="J361" i="32"/>
  <c r="I362" i="32"/>
  <c r="J362" i="32"/>
  <c r="I363" i="32"/>
  <c r="J363" i="32"/>
  <c r="I364" i="32"/>
  <c r="J364" i="32"/>
  <c r="I365" i="32"/>
  <c r="J365" i="32"/>
  <c r="I366" i="32"/>
  <c r="J366" i="32"/>
  <c r="I367" i="32"/>
  <c r="J367" i="32"/>
  <c r="I368" i="32"/>
  <c r="J368" i="32"/>
  <c r="J249" i="32"/>
  <c r="I249" i="32"/>
  <c r="F250" i="32"/>
  <c r="G250" i="32"/>
  <c r="F251" i="32"/>
  <c r="G251" i="32"/>
  <c r="F252" i="32"/>
  <c r="G252" i="32"/>
  <c r="F253" i="32"/>
  <c r="G253" i="32"/>
  <c r="F254" i="32"/>
  <c r="G254" i="32"/>
  <c r="F255" i="32"/>
  <c r="G255" i="32"/>
  <c r="F256" i="32"/>
  <c r="G256" i="32"/>
  <c r="F257" i="32"/>
  <c r="G257" i="32"/>
  <c r="F258" i="32"/>
  <c r="G258" i="32"/>
  <c r="F259" i="32"/>
  <c r="G259" i="32"/>
  <c r="F260" i="32"/>
  <c r="G260" i="32"/>
  <c r="F261" i="32"/>
  <c r="G261" i="32"/>
  <c r="F262" i="32"/>
  <c r="G262" i="32"/>
  <c r="F263" i="32"/>
  <c r="G263" i="32"/>
  <c r="F264" i="32"/>
  <c r="G264" i="32"/>
  <c r="F265" i="32"/>
  <c r="G265" i="32"/>
  <c r="F266" i="32"/>
  <c r="G266" i="32"/>
  <c r="F267" i="32"/>
  <c r="G267" i="32"/>
  <c r="F268" i="32"/>
  <c r="G268" i="32"/>
  <c r="F269" i="32"/>
  <c r="G269" i="32"/>
  <c r="F270" i="32"/>
  <c r="G270" i="32"/>
  <c r="F271" i="32"/>
  <c r="G271" i="32"/>
  <c r="F272" i="32"/>
  <c r="G272" i="32"/>
  <c r="F273" i="32"/>
  <c r="G273" i="32"/>
  <c r="F274" i="32"/>
  <c r="G274" i="32"/>
  <c r="F275" i="32"/>
  <c r="G275" i="32"/>
  <c r="F276" i="32"/>
  <c r="G276" i="32"/>
  <c r="F277" i="32"/>
  <c r="G277" i="32"/>
  <c r="F278" i="32"/>
  <c r="G278" i="32"/>
  <c r="F279" i="32"/>
  <c r="G279" i="32"/>
  <c r="F280" i="32"/>
  <c r="G280" i="32"/>
  <c r="F281" i="32"/>
  <c r="G281" i="32"/>
  <c r="F282" i="32"/>
  <c r="G282" i="32"/>
  <c r="F283" i="32"/>
  <c r="G283" i="32"/>
  <c r="F284" i="32"/>
  <c r="G284" i="32"/>
  <c r="F285" i="32"/>
  <c r="G285" i="32"/>
  <c r="F286" i="32"/>
  <c r="G286" i="32"/>
  <c r="F287" i="32"/>
  <c r="G287" i="32"/>
  <c r="F288" i="32"/>
  <c r="G288" i="32"/>
  <c r="F289" i="32"/>
  <c r="G289" i="32"/>
  <c r="F290" i="32"/>
  <c r="G290" i="32"/>
  <c r="F291" i="32"/>
  <c r="G291" i="32"/>
  <c r="F292" i="32"/>
  <c r="G292" i="32"/>
  <c r="F293" i="32"/>
  <c r="G293" i="32"/>
  <c r="F294" i="32"/>
  <c r="G294" i="32"/>
  <c r="F295" i="32"/>
  <c r="G295" i="32"/>
  <c r="F296" i="32"/>
  <c r="G296" i="32"/>
  <c r="F297" i="32"/>
  <c r="G297" i="32"/>
  <c r="F298" i="32"/>
  <c r="G298" i="32"/>
  <c r="F299" i="32"/>
  <c r="G299" i="32"/>
  <c r="F300" i="32"/>
  <c r="G300" i="32"/>
  <c r="F301" i="32"/>
  <c r="G301" i="32"/>
  <c r="F302" i="32"/>
  <c r="G302" i="32"/>
  <c r="F303" i="32"/>
  <c r="G303" i="32"/>
  <c r="F304" i="32"/>
  <c r="G304" i="32"/>
  <c r="F305" i="32"/>
  <c r="G305" i="32"/>
  <c r="F306" i="32"/>
  <c r="G306" i="32"/>
  <c r="F307" i="32"/>
  <c r="G307" i="32"/>
  <c r="F308" i="32"/>
  <c r="G308" i="32"/>
  <c r="F309" i="32"/>
  <c r="G309" i="32"/>
  <c r="F310" i="32"/>
  <c r="G310" i="32"/>
  <c r="F311" i="32"/>
  <c r="G311" i="32"/>
  <c r="F312" i="32"/>
  <c r="G312" i="32"/>
  <c r="F313" i="32"/>
  <c r="G313" i="32"/>
  <c r="F314" i="32"/>
  <c r="G314" i="32"/>
  <c r="F315" i="32"/>
  <c r="G315" i="32"/>
  <c r="F316" i="32"/>
  <c r="G316" i="32"/>
  <c r="F317" i="32"/>
  <c r="G317" i="32"/>
  <c r="F318" i="32"/>
  <c r="G318" i="32"/>
  <c r="F319" i="32"/>
  <c r="G319" i="32"/>
  <c r="F320" i="32"/>
  <c r="G320" i="32"/>
  <c r="F321" i="32"/>
  <c r="G321" i="32"/>
  <c r="F322" i="32"/>
  <c r="G322" i="32"/>
  <c r="F323" i="32"/>
  <c r="G323" i="32"/>
  <c r="F324" i="32"/>
  <c r="G324" i="32"/>
  <c r="F325" i="32"/>
  <c r="G325" i="32"/>
  <c r="F326" i="32"/>
  <c r="G326" i="32"/>
  <c r="F327" i="32"/>
  <c r="G327" i="32"/>
  <c r="F328" i="32"/>
  <c r="G328" i="32"/>
  <c r="F329" i="32"/>
  <c r="G329" i="32"/>
  <c r="F330" i="32"/>
  <c r="G330" i="32"/>
  <c r="F331" i="32"/>
  <c r="G331" i="32"/>
  <c r="F332" i="32"/>
  <c r="G332" i="32"/>
  <c r="F333" i="32"/>
  <c r="G333" i="32"/>
  <c r="F334" i="32"/>
  <c r="G334" i="32"/>
  <c r="F335" i="32"/>
  <c r="G335" i="32"/>
  <c r="F336" i="32"/>
  <c r="G336" i="32"/>
  <c r="F337" i="32"/>
  <c r="G337" i="32"/>
  <c r="F338" i="32"/>
  <c r="G338" i="32"/>
  <c r="F339" i="32"/>
  <c r="G339" i="32"/>
  <c r="F340" i="32"/>
  <c r="G340" i="32"/>
  <c r="F341" i="32"/>
  <c r="G341" i="32"/>
  <c r="F342" i="32"/>
  <c r="G342" i="32"/>
  <c r="F343" i="32"/>
  <c r="G343" i="32"/>
  <c r="F344" i="32"/>
  <c r="G344" i="32"/>
  <c r="F345" i="32"/>
  <c r="G345" i="32"/>
  <c r="F346" i="32"/>
  <c r="G346" i="32"/>
  <c r="F347" i="32"/>
  <c r="G347" i="32"/>
  <c r="F348" i="32"/>
  <c r="G348" i="32"/>
  <c r="F349" i="32"/>
  <c r="G349" i="32"/>
  <c r="F350" i="32"/>
  <c r="G350" i="32"/>
  <c r="F351" i="32"/>
  <c r="G351" i="32"/>
  <c r="F352" i="32"/>
  <c r="G352" i="32"/>
  <c r="F353" i="32"/>
  <c r="G353" i="32"/>
  <c r="F354" i="32"/>
  <c r="G354" i="32"/>
  <c r="F355" i="32"/>
  <c r="G355" i="32"/>
  <c r="F356" i="32"/>
  <c r="G356" i="32"/>
  <c r="F357" i="32"/>
  <c r="G357" i="32"/>
  <c r="F358" i="32"/>
  <c r="G358" i="32"/>
  <c r="F359" i="32"/>
  <c r="G359" i="32"/>
  <c r="F360" i="32"/>
  <c r="G360" i="32"/>
  <c r="F361" i="32"/>
  <c r="G361" i="32"/>
  <c r="F362" i="32"/>
  <c r="G362" i="32"/>
  <c r="F363" i="32"/>
  <c r="G363" i="32"/>
  <c r="F364" i="32"/>
  <c r="G364" i="32"/>
  <c r="F365" i="32"/>
  <c r="G365" i="32"/>
  <c r="F366" i="32"/>
  <c r="G366" i="32"/>
  <c r="F367" i="32"/>
  <c r="G367" i="32"/>
  <c r="F368" i="32"/>
  <c r="G368" i="32"/>
  <c r="G249" i="32"/>
  <c r="F249" i="32"/>
  <c r="S248" i="32"/>
  <c r="P248" i="32"/>
  <c r="M248" i="32"/>
  <c r="J248" i="32"/>
  <c r="G248" i="32"/>
  <c r="R127" i="32"/>
  <c r="S127" i="32"/>
  <c r="R128" i="32"/>
  <c r="S128" i="32"/>
  <c r="R129" i="32"/>
  <c r="S129" i="32"/>
  <c r="R130" i="32"/>
  <c r="S130" i="32"/>
  <c r="R131" i="32"/>
  <c r="S131" i="32"/>
  <c r="R132" i="32"/>
  <c r="S132" i="32"/>
  <c r="R133" i="32"/>
  <c r="S133" i="32"/>
  <c r="R134" i="32"/>
  <c r="S134" i="32"/>
  <c r="R135" i="32"/>
  <c r="S135" i="32"/>
  <c r="R136" i="32"/>
  <c r="S136" i="32"/>
  <c r="R137" i="32"/>
  <c r="S137" i="32"/>
  <c r="R138" i="32"/>
  <c r="S138" i="32"/>
  <c r="R139" i="32"/>
  <c r="S139" i="32"/>
  <c r="R140" i="32"/>
  <c r="S140" i="32"/>
  <c r="R141" i="32"/>
  <c r="S141" i="32"/>
  <c r="R142" i="32"/>
  <c r="S142" i="32"/>
  <c r="R143" i="32"/>
  <c r="S143" i="32"/>
  <c r="R144" i="32"/>
  <c r="S144" i="32"/>
  <c r="R145" i="32"/>
  <c r="S145" i="32"/>
  <c r="C145" i="32" s="1"/>
  <c r="D145" i="32" s="1"/>
  <c r="R146" i="32"/>
  <c r="S146" i="32"/>
  <c r="R147" i="32"/>
  <c r="S147" i="32"/>
  <c r="R148" i="32"/>
  <c r="S148" i="32"/>
  <c r="R149" i="32"/>
  <c r="S149" i="32"/>
  <c r="R150" i="32"/>
  <c r="S150" i="32"/>
  <c r="R151" i="32"/>
  <c r="S151" i="32"/>
  <c r="R152" i="32"/>
  <c r="S152" i="32"/>
  <c r="R153" i="32"/>
  <c r="S153" i="32"/>
  <c r="R154" i="32"/>
  <c r="S154" i="32"/>
  <c r="R155" i="32"/>
  <c r="S155" i="32"/>
  <c r="R156" i="32"/>
  <c r="S156" i="32"/>
  <c r="R157" i="32"/>
  <c r="S157" i="32"/>
  <c r="R158" i="32"/>
  <c r="S158" i="32"/>
  <c r="R159" i="32"/>
  <c r="S159" i="32"/>
  <c r="R160" i="32"/>
  <c r="S160" i="32"/>
  <c r="R161" i="32"/>
  <c r="S161" i="32"/>
  <c r="R162" i="32"/>
  <c r="S162" i="32"/>
  <c r="R163" i="32"/>
  <c r="S163" i="32"/>
  <c r="R164" i="32"/>
  <c r="S164" i="32"/>
  <c r="R165" i="32"/>
  <c r="S165" i="32"/>
  <c r="R166" i="32"/>
  <c r="S166" i="32"/>
  <c r="R167" i="32"/>
  <c r="S167" i="32"/>
  <c r="R168" i="32"/>
  <c r="S168" i="32"/>
  <c r="R169" i="32"/>
  <c r="S169" i="32"/>
  <c r="R170" i="32"/>
  <c r="S170" i="32"/>
  <c r="R171" i="32"/>
  <c r="S171" i="32"/>
  <c r="R172" i="32"/>
  <c r="S172" i="32"/>
  <c r="R173" i="32"/>
  <c r="S173" i="32"/>
  <c r="C173" i="32" s="1"/>
  <c r="R174" i="32"/>
  <c r="S174" i="32"/>
  <c r="R175" i="32"/>
  <c r="S175" i="32"/>
  <c r="R176" i="32"/>
  <c r="S176" i="32"/>
  <c r="R177" i="32"/>
  <c r="S177" i="32"/>
  <c r="R178" i="32"/>
  <c r="S178" i="32"/>
  <c r="R179" i="32"/>
  <c r="S179" i="32"/>
  <c r="R180" i="32"/>
  <c r="S180" i="32"/>
  <c r="R181" i="32"/>
  <c r="S181" i="32"/>
  <c r="R182" i="32"/>
  <c r="S182" i="32"/>
  <c r="R183" i="32"/>
  <c r="S183" i="32"/>
  <c r="R184" i="32"/>
  <c r="S184" i="32"/>
  <c r="R185" i="32"/>
  <c r="S185" i="32"/>
  <c r="R186" i="32"/>
  <c r="S186" i="32"/>
  <c r="R187" i="32"/>
  <c r="S187" i="32"/>
  <c r="R188" i="32"/>
  <c r="S188" i="32"/>
  <c r="R189" i="32"/>
  <c r="S189" i="32"/>
  <c r="R190" i="32"/>
  <c r="S190" i="32"/>
  <c r="R191" i="32"/>
  <c r="S191" i="32"/>
  <c r="R192" i="32"/>
  <c r="S192" i="32"/>
  <c r="R193" i="32"/>
  <c r="S193" i="32"/>
  <c r="R194" i="32"/>
  <c r="S194" i="32"/>
  <c r="R195" i="32"/>
  <c r="S195" i="32"/>
  <c r="R196" i="32"/>
  <c r="S196" i="32"/>
  <c r="R197" i="32"/>
  <c r="S197" i="32"/>
  <c r="R198" i="32"/>
  <c r="S198" i="32"/>
  <c r="R199" i="32"/>
  <c r="S199" i="32"/>
  <c r="R200" i="32"/>
  <c r="S200" i="32"/>
  <c r="R201" i="32"/>
  <c r="S201" i="32"/>
  <c r="R202" i="32"/>
  <c r="S202" i="32"/>
  <c r="R203" i="32"/>
  <c r="S203" i="32"/>
  <c r="R204" i="32"/>
  <c r="S204" i="32"/>
  <c r="R205" i="32"/>
  <c r="S205" i="32"/>
  <c r="R206" i="32"/>
  <c r="S206" i="32"/>
  <c r="R207" i="32"/>
  <c r="S207" i="32"/>
  <c r="R208" i="32"/>
  <c r="S208" i="32"/>
  <c r="R209" i="32"/>
  <c r="S209" i="32"/>
  <c r="R210" i="32"/>
  <c r="S210" i="32"/>
  <c r="R211" i="32"/>
  <c r="S211" i="32"/>
  <c r="R212" i="32"/>
  <c r="S212" i="32"/>
  <c r="R213" i="32"/>
  <c r="S213" i="32"/>
  <c r="C213" i="32" s="1"/>
  <c r="R214" i="32"/>
  <c r="S214" i="32"/>
  <c r="R215" i="32"/>
  <c r="S215" i="32"/>
  <c r="R216" i="32"/>
  <c r="S216" i="32"/>
  <c r="R217" i="32"/>
  <c r="S217" i="32"/>
  <c r="R218" i="32"/>
  <c r="S218" i="32"/>
  <c r="R219" i="32"/>
  <c r="S219" i="32"/>
  <c r="R220" i="32"/>
  <c r="S220" i="32"/>
  <c r="R221" i="32"/>
  <c r="S221" i="32"/>
  <c r="R222" i="32"/>
  <c r="S222" i="32"/>
  <c r="R223" i="32"/>
  <c r="S223" i="32"/>
  <c r="R224" i="32"/>
  <c r="S224" i="32"/>
  <c r="R225" i="32"/>
  <c r="S225" i="32"/>
  <c r="R226" i="32"/>
  <c r="S226" i="32"/>
  <c r="R227" i="32"/>
  <c r="S227" i="32"/>
  <c r="R228" i="32"/>
  <c r="S228" i="32"/>
  <c r="R229" i="32"/>
  <c r="S229" i="32"/>
  <c r="R230" i="32"/>
  <c r="S230" i="32"/>
  <c r="R231" i="32"/>
  <c r="S231" i="32"/>
  <c r="R232" i="32"/>
  <c r="S232" i="32"/>
  <c r="R233" i="32"/>
  <c r="S233" i="32"/>
  <c r="R234" i="32"/>
  <c r="S234" i="32"/>
  <c r="R235" i="32"/>
  <c r="S235" i="32"/>
  <c r="R236" i="32"/>
  <c r="S236" i="32"/>
  <c r="R237" i="32"/>
  <c r="S237" i="32"/>
  <c r="R238" i="32"/>
  <c r="S238" i="32"/>
  <c r="R239" i="32"/>
  <c r="S239" i="32"/>
  <c r="R240" i="32"/>
  <c r="S240" i="32"/>
  <c r="R241" i="32"/>
  <c r="S241" i="32"/>
  <c r="R242" i="32"/>
  <c r="S242" i="32"/>
  <c r="R243" i="32"/>
  <c r="S243" i="32"/>
  <c r="R244" i="32"/>
  <c r="S244" i="32"/>
  <c r="R245" i="32"/>
  <c r="S245" i="32"/>
  <c r="R246" i="32"/>
  <c r="S246" i="32"/>
  <c r="R247" i="32"/>
  <c r="S247" i="32"/>
  <c r="S126" i="32"/>
  <c r="R126" i="32"/>
  <c r="O127" i="32"/>
  <c r="P127" i="32"/>
  <c r="O128" i="32"/>
  <c r="P128" i="32"/>
  <c r="O129" i="32"/>
  <c r="P129" i="32"/>
  <c r="O130" i="32"/>
  <c r="P130" i="32"/>
  <c r="O131" i="32"/>
  <c r="P131" i="32"/>
  <c r="O132" i="32"/>
  <c r="P132" i="32"/>
  <c r="O133" i="32"/>
  <c r="P133" i="32"/>
  <c r="O134" i="32"/>
  <c r="P134" i="32"/>
  <c r="O135" i="32"/>
  <c r="P135" i="32"/>
  <c r="O136" i="32"/>
  <c r="P136" i="32"/>
  <c r="O137" i="32"/>
  <c r="P137" i="32"/>
  <c r="O138" i="32"/>
  <c r="P138" i="32"/>
  <c r="O139" i="32"/>
  <c r="P139" i="32"/>
  <c r="O140" i="32"/>
  <c r="P140" i="32"/>
  <c r="O141" i="32"/>
  <c r="P141" i="32"/>
  <c r="O142" i="32"/>
  <c r="P142" i="32"/>
  <c r="O143" i="32"/>
  <c r="P143" i="32"/>
  <c r="O144" i="32"/>
  <c r="P144" i="32"/>
  <c r="O145" i="32"/>
  <c r="P145" i="32"/>
  <c r="O146" i="32"/>
  <c r="P146" i="32"/>
  <c r="O147" i="32"/>
  <c r="P147" i="32"/>
  <c r="O148" i="32"/>
  <c r="P148" i="32"/>
  <c r="O149" i="32"/>
  <c r="P149" i="32"/>
  <c r="O150" i="32"/>
  <c r="P150" i="32"/>
  <c r="O151" i="32"/>
  <c r="P151" i="32"/>
  <c r="O152" i="32"/>
  <c r="P152" i="32"/>
  <c r="O153" i="32"/>
  <c r="P153" i="32"/>
  <c r="O154" i="32"/>
  <c r="P154" i="32"/>
  <c r="O155" i="32"/>
  <c r="P155" i="32"/>
  <c r="O156" i="32"/>
  <c r="P156" i="32"/>
  <c r="O157" i="32"/>
  <c r="P157" i="32"/>
  <c r="O158" i="32"/>
  <c r="P158" i="32"/>
  <c r="O159" i="32"/>
  <c r="P159" i="32"/>
  <c r="O160" i="32"/>
  <c r="P160" i="32"/>
  <c r="O161" i="32"/>
  <c r="P161" i="32"/>
  <c r="O162" i="32"/>
  <c r="P162" i="32"/>
  <c r="O163" i="32"/>
  <c r="P163" i="32"/>
  <c r="O164" i="32"/>
  <c r="P164" i="32"/>
  <c r="O165" i="32"/>
  <c r="P165" i="32"/>
  <c r="O166" i="32"/>
  <c r="P166" i="32"/>
  <c r="O167" i="32"/>
  <c r="P167" i="32"/>
  <c r="O168" i="32"/>
  <c r="P168" i="32"/>
  <c r="O169" i="32"/>
  <c r="P169" i="32"/>
  <c r="O170" i="32"/>
  <c r="P170" i="32"/>
  <c r="O171" i="32"/>
  <c r="P171" i="32"/>
  <c r="O172" i="32"/>
  <c r="P172" i="32"/>
  <c r="O173" i="32"/>
  <c r="P173" i="32"/>
  <c r="O174" i="32"/>
  <c r="P174" i="32"/>
  <c r="O175" i="32"/>
  <c r="P175" i="32"/>
  <c r="O176" i="32"/>
  <c r="P176" i="32"/>
  <c r="O177" i="32"/>
  <c r="P177" i="32"/>
  <c r="O178" i="32"/>
  <c r="P178" i="32"/>
  <c r="O179" i="32"/>
  <c r="P179" i="32"/>
  <c r="O180" i="32"/>
  <c r="P180" i="32"/>
  <c r="O181" i="32"/>
  <c r="P181" i="32"/>
  <c r="O182" i="32"/>
  <c r="P182" i="32"/>
  <c r="O183" i="32"/>
  <c r="P183" i="32"/>
  <c r="O184" i="32"/>
  <c r="P184" i="32"/>
  <c r="O185" i="32"/>
  <c r="P185" i="32"/>
  <c r="O186" i="32"/>
  <c r="P186" i="32"/>
  <c r="O187" i="32"/>
  <c r="P187" i="32"/>
  <c r="O188" i="32"/>
  <c r="P188" i="32"/>
  <c r="O189" i="32"/>
  <c r="P189" i="32"/>
  <c r="O190" i="32"/>
  <c r="P190" i="32"/>
  <c r="O191" i="32"/>
  <c r="P191" i="32"/>
  <c r="O192" i="32"/>
  <c r="P192" i="32"/>
  <c r="O193" i="32"/>
  <c r="P193" i="32"/>
  <c r="O194" i="32"/>
  <c r="P194" i="32"/>
  <c r="O195" i="32"/>
  <c r="P195" i="32"/>
  <c r="O196" i="32"/>
  <c r="P196" i="32"/>
  <c r="O197" i="32"/>
  <c r="P197" i="32"/>
  <c r="O198" i="32"/>
  <c r="P198" i="32"/>
  <c r="O199" i="32"/>
  <c r="P199" i="32"/>
  <c r="O200" i="32"/>
  <c r="P200" i="32"/>
  <c r="O201" i="32"/>
  <c r="P201" i="32"/>
  <c r="O202" i="32"/>
  <c r="P202" i="32"/>
  <c r="O203" i="32"/>
  <c r="P203" i="32"/>
  <c r="O204" i="32"/>
  <c r="P204" i="32"/>
  <c r="O205" i="32"/>
  <c r="P205" i="32"/>
  <c r="O206" i="32"/>
  <c r="P206" i="32"/>
  <c r="O207" i="32"/>
  <c r="P207" i="32"/>
  <c r="O208" i="32"/>
  <c r="P208" i="32"/>
  <c r="O209" i="32"/>
  <c r="P209" i="32"/>
  <c r="O210" i="32"/>
  <c r="P210" i="32"/>
  <c r="O211" i="32"/>
  <c r="P211" i="32"/>
  <c r="O212" i="32"/>
  <c r="P212" i="32"/>
  <c r="O213" i="32"/>
  <c r="P213" i="32"/>
  <c r="O214" i="32"/>
  <c r="P214" i="32"/>
  <c r="O215" i="32"/>
  <c r="P215" i="32"/>
  <c r="O216" i="32"/>
  <c r="P216" i="32"/>
  <c r="O217" i="32"/>
  <c r="P217" i="32"/>
  <c r="O218" i="32"/>
  <c r="P218" i="32"/>
  <c r="O219" i="32"/>
  <c r="P219" i="32"/>
  <c r="O220" i="32"/>
  <c r="P220" i="32"/>
  <c r="O221" i="32"/>
  <c r="P221" i="32"/>
  <c r="O222" i="32"/>
  <c r="P222" i="32"/>
  <c r="O223" i="32"/>
  <c r="P223" i="32"/>
  <c r="O224" i="32"/>
  <c r="P224" i="32"/>
  <c r="O225" i="32"/>
  <c r="P225" i="32"/>
  <c r="O226" i="32"/>
  <c r="P226" i="32"/>
  <c r="O227" i="32"/>
  <c r="P227" i="32"/>
  <c r="O228" i="32"/>
  <c r="P228" i="32"/>
  <c r="O229" i="32"/>
  <c r="P229" i="32"/>
  <c r="O230" i="32"/>
  <c r="P230" i="32"/>
  <c r="O231" i="32"/>
  <c r="P231" i="32"/>
  <c r="O232" i="32"/>
  <c r="P232" i="32"/>
  <c r="O233" i="32"/>
  <c r="P233" i="32"/>
  <c r="O234" i="32"/>
  <c r="P234" i="32"/>
  <c r="O235" i="32"/>
  <c r="P235" i="32"/>
  <c r="O236" i="32"/>
  <c r="P236" i="32"/>
  <c r="O237" i="32"/>
  <c r="P237" i="32"/>
  <c r="O238" i="32"/>
  <c r="P238" i="32"/>
  <c r="O239" i="32"/>
  <c r="P239" i="32"/>
  <c r="O240" i="32"/>
  <c r="P240" i="32"/>
  <c r="O241" i="32"/>
  <c r="P241" i="32"/>
  <c r="O242" i="32"/>
  <c r="P242" i="32"/>
  <c r="O243" i="32"/>
  <c r="P243" i="32"/>
  <c r="O244" i="32"/>
  <c r="P244" i="32"/>
  <c r="O245" i="32"/>
  <c r="P245" i="32"/>
  <c r="O246" i="32"/>
  <c r="P246" i="32"/>
  <c r="O247" i="32"/>
  <c r="P247" i="32"/>
  <c r="P126" i="32"/>
  <c r="O126" i="32"/>
  <c r="S125" i="32"/>
  <c r="P125" i="32"/>
  <c r="M125" i="32"/>
  <c r="J125" i="32"/>
  <c r="G12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8" i="32"/>
  <c r="D39" i="32"/>
  <c r="D40" i="32"/>
  <c r="D41" i="32"/>
  <c r="D42" i="32"/>
  <c r="D43" i="32"/>
  <c r="D44" i="32"/>
  <c r="D45" i="32"/>
  <c r="D46" i="32"/>
  <c r="D47" i="32"/>
  <c r="D48" i="32"/>
  <c r="D49" i="32"/>
  <c r="D50" i="32"/>
  <c r="D51" i="32"/>
  <c r="D52" i="32"/>
  <c r="D53" i="32"/>
  <c r="D54" i="32"/>
  <c r="D55" i="32"/>
  <c r="D56" i="32"/>
  <c r="D57" i="32"/>
  <c r="D58" i="32"/>
  <c r="D59" i="32"/>
  <c r="D60" i="32"/>
  <c r="D61" i="32"/>
  <c r="D62" i="32"/>
  <c r="D63" i="32"/>
  <c r="D64" i="32"/>
  <c r="D65" i="32"/>
  <c r="D66" i="32"/>
  <c r="D67" i="32"/>
  <c r="D68" i="32"/>
  <c r="D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96" i="32"/>
  <c r="D97" i="32"/>
  <c r="D98" i="32"/>
  <c r="D99" i="32"/>
  <c r="D100" i="32"/>
  <c r="D101" i="32"/>
  <c r="D102" i="32"/>
  <c r="D103" i="32"/>
  <c r="D104" i="32"/>
  <c r="D105" i="32"/>
  <c r="D106" i="32"/>
  <c r="D107" i="32"/>
  <c r="D108" i="32"/>
  <c r="D109" i="32"/>
  <c r="D110" i="32"/>
  <c r="D111" i="32"/>
  <c r="D112" i="32"/>
  <c r="D113" i="32"/>
  <c r="D114" i="32"/>
  <c r="D115" i="32"/>
  <c r="D116" i="32"/>
  <c r="D117" i="32"/>
  <c r="D118" i="32"/>
  <c r="D119" i="32"/>
  <c r="D120" i="32"/>
  <c r="D121" i="32"/>
  <c r="D122" i="32"/>
  <c r="D123" i="32"/>
  <c r="D124" i="32"/>
  <c r="D5" i="32"/>
  <c r="L127" i="32"/>
  <c r="M127" i="32"/>
  <c r="L128" i="32"/>
  <c r="M128" i="32"/>
  <c r="L129" i="32"/>
  <c r="M129" i="32"/>
  <c r="L130" i="32"/>
  <c r="M130" i="32"/>
  <c r="L131" i="32"/>
  <c r="M131" i="32"/>
  <c r="L132" i="32"/>
  <c r="M132" i="32"/>
  <c r="L133" i="32"/>
  <c r="M133" i="32"/>
  <c r="L134" i="32"/>
  <c r="M134" i="32"/>
  <c r="L135" i="32"/>
  <c r="M135" i="32"/>
  <c r="L136" i="32"/>
  <c r="M136" i="32"/>
  <c r="L137" i="32"/>
  <c r="M137" i="32"/>
  <c r="L138" i="32"/>
  <c r="M138" i="32"/>
  <c r="L139" i="32"/>
  <c r="M139" i="32"/>
  <c r="L140" i="32"/>
  <c r="M140" i="32"/>
  <c r="L141" i="32"/>
  <c r="M141" i="32"/>
  <c r="L142" i="32"/>
  <c r="M142" i="32"/>
  <c r="L143" i="32"/>
  <c r="M143" i="32"/>
  <c r="L144" i="32"/>
  <c r="M144" i="32"/>
  <c r="L145" i="32"/>
  <c r="M145" i="32"/>
  <c r="L146" i="32"/>
  <c r="M146" i="32"/>
  <c r="L147" i="32"/>
  <c r="M147" i="32"/>
  <c r="L148" i="32"/>
  <c r="M148" i="32"/>
  <c r="L149" i="32"/>
  <c r="M149" i="32"/>
  <c r="L150" i="32"/>
  <c r="M150" i="32"/>
  <c r="L151" i="32"/>
  <c r="M151" i="32"/>
  <c r="L152" i="32"/>
  <c r="M152" i="32"/>
  <c r="L153" i="32"/>
  <c r="M153" i="32"/>
  <c r="L154" i="32"/>
  <c r="M154" i="32"/>
  <c r="L155" i="32"/>
  <c r="M155" i="32"/>
  <c r="L156" i="32"/>
  <c r="M156" i="32"/>
  <c r="L157" i="32"/>
  <c r="M157" i="32"/>
  <c r="L158" i="32"/>
  <c r="M158" i="32"/>
  <c r="L159" i="32"/>
  <c r="M159" i="32"/>
  <c r="L160" i="32"/>
  <c r="M160" i="32"/>
  <c r="L161" i="32"/>
  <c r="M161" i="32"/>
  <c r="L162" i="32"/>
  <c r="M162" i="32"/>
  <c r="L163" i="32"/>
  <c r="M163" i="32"/>
  <c r="L164" i="32"/>
  <c r="M164" i="32"/>
  <c r="L165" i="32"/>
  <c r="M165" i="32"/>
  <c r="L166" i="32"/>
  <c r="M166" i="32"/>
  <c r="L167" i="32"/>
  <c r="M167" i="32"/>
  <c r="L168" i="32"/>
  <c r="M168" i="32"/>
  <c r="L169" i="32"/>
  <c r="M169" i="32"/>
  <c r="L170" i="32"/>
  <c r="M170" i="32"/>
  <c r="L171" i="32"/>
  <c r="M171" i="32"/>
  <c r="L172" i="32"/>
  <c r="M172" i="32"/>
  <c r="L173" i="32"/>
  <c r="M173" i="32"/>
  <c r="L174" i="32"/>
  <c r="M174" i="32"/>
  <c r="L175" i="32"/>
  <c r="M175" i="32"/>
  <c r="L176" i="32"/>
  <c r="M176" i="32"/>
  <c r="L177" i="32"/>
  <c r="M177" i="32"/>
  <c r="L178" i="32"/>
  <c r="M178" i="32"/>
  <c r="L179" i="32"/>
  <c r="M179" i="32"/>
  <c r="L180" i="32"/>
  <c r="M180" i="32"/>
  <c r="L181" i="32"/>
  <c r="M181" i="32"/>
  <c r="L182" i="32"/>
  <c r="M182" i="32"/>
  <c r="L183" i="32"/>
  <c r="M183" i="32"/>
  <c r="L184" i="32"/>
  <c r="M184" i="32"/>
  <c r="L185" i="32"/>
  <c r="M185" i="32"/>
  <c r="L186" i="32"/>
  <c r="M186" i="32"/>
  <c r="L187" i="32"/>
  <c r="M187" i="32"/>
  <c r="L188" i="32"/>
  <c r="M188" i="32"/>
  <c r="L189" i="32"/>
  <c r="M189" i="32"/>
  <c r="L190" i="32"/>
  <c r="M190" i="32"/>
  <c r="L191" i="32"/>
  <c r="M191" i="32"/>
  <c r="L192" i="32"/>
  <c r="M192" i="32"/>
  <c r="L193" i="32"/>
  <c r="M193" i="32"/>
  <c r="L194" i="32"/>
  <c r="M194" i="32"/>
  <c r="L195" i="32"/>
  <c r="M195" i="32"/>
  <c r="L196" i="32"/>
  <c r="M196" i="32"/>
  <c r="L197" i="32"/>
  <c r="M197" i="32"/>
  <c r="L198" i="32"/>
  <c r="M198" i="32"/>
  <c r="L199" i="32"/>
  <c r="M199" i="32"/>
  <c r="L200" i="32"/>
  <c r="M200" i="32"/>
  <c r="L201" i="32"/>
  <c r="M201" i="32"/>
  <c r="L202" i="32"/>
  <c r="M202" i="32"/>
  <c r="L203" i="32"/>
  <c r="M203" i="32"/>
  <c r="L204" i="32"/>
  <c r="M204" i="32"/>
  <c r="L205" i="32"/>
  <c r="M205" i="32"/>
  <c r="L206" i="32"/>
  <c r="M206" i="32"/>
  <c r="L207" i="32"/>
  <c r="M207" i="32"/>
  <c r="L208" i="32"/>
  <c r="M208" i="32"/>
  <c r="L209" i="32"/>
  <c r="M209" i="32"/>
  <c r="L210" i="32"/>
  <c r="M210" i="32"/>
  <c r="L211" i="32"/>
  <c r="M211" i="32"/>
  <c r="L212" i="32"/>
  <c r="M212" i="32"/>
  <c r="L213" i="32"/>
  <c r="M213" i="32"/>
  <c r="L214" i="32"/>
  <c r="M214" i="32"/>
  <c r="L215" i="32"/>
  <c r="M215" i="32"/>
  <c r="L216" i="32"/>
  <c r="M216" i="32"/>
  <c r="L217" i="32"/>
  <c r="M217" i="32"/>
  <c r="L218" i="32"/>
  <c r="M218" i="32"/>
  <c r="L219" i="32"/>
  <c r="M219" i="32"/>
  <c r="L220" i="32"/>
  <c r="M220" i="32"/>
  <c r="L221" i="32"/>
  <c r="M221" i="32"/>
  <c r="L222" i="32"/>
  <c r="M222" i="32"/>
  <c r="L223" i="32"/>
  <c r="M223" i="32"/>
  <c r="L224" i="32"/>
  <c r="M224" i="32"/>
  <c r="L225" i="32"/>
  <c r="M225" i="32"/>
  <c r="L226" i="32"/>
  <c r="M226" i="32"/>
  <c r="L227" i="32"/>
  <c r="M227" i="32"/>
  <c r="L228" i="32"/>
  <c r="M228" i="32"/>
  <c r="L229" i="32"/>
  <c r="M229" i="32"/>
  <c r="L230" i="32"/>
  <c r="M230" i="32"/>
  <c r="L231" i="32"/>
  <c r="M231" i="32"/>
  <c r="L232" i="32"/>
  <c r="M232" i="32"/>
  <c r="L233" i="32"/>
  <c r="M233" i="32"/>
  <c r="L234" i="32"/>
  <c r="M234" i="32"/>
  <c r="L235" i="32"/>
  <c r="M235" i="32"/>
  <c r="L236" i="32"/>
  <c r="M236" i="32"/>
  <c r="L237" i="32"/>
  <c r="M237" i="32"/>
  <c r="L238" i="32"/>
  <c r="M238" i="32"/>
  <c r="L239" i="32"/>
  <c r="M239" i="32"/>
  <c r="L240" i="32"/>
  <c r="M240" i="32"/>
  <c r="L241" i="32"/>
  <c r="M241" i="32"/>
  <c r="L242" i="32"/>
  <c r="M242" i="32"/>
  <c r="L243" i="32"/>
  <c r="M243" i="32"/>
  <c r="L244" i="32"/>
  <c r="M244" i="32"/>
  <c r="L245" i="32"/>
  <c r="M245" i="32"/>
  <c r="L246" i="32"/>
  <c r="M246" i="32"/>
  <c r="L247" i="32"/>
  <c r="M247" i="32"/>
  <c r="M126" i="32"/>
  <c r="L126" i="32"/>
  <c r="I127" i="32"/>
  <c r="J127" i="32"/>
  <c r="I128" i="32"/>
  <c r="J128" i="32"/>
  <c r="I129" i="32"/>
  <c r="J129" i="32"/>
  <c r="I130" i="32"/>
  <c r="J130" i="32"/>
  <c r="I131" i="32"/>
  <c r="J131" i="32"/>
  <c r="I132" i="32"/>
  <c r="J132" i="32"/>
  <c r="I133" i="32"/>
  <c r="J133" i="32"/>
  <c r="I134" i="32"/>
  <c r="J134" i="32"/>
  <c r="I135" i="32"/>
  <c r="J135" i="32"/>
  <c r="I136" i="32"/>
  <c r="J136" i="32"/>
  <c r="I137" i="32"/>
  <c r="J137" i="32"/>
  <c r="I138" i="32"/>
  <c r="J138" i="32"/>
  <c r="I139" i="32"/>
  <c r="J139" i="32"/>
  <c r="I140" i="32"/>
  <c r="J140" i="32"/>
  <c r="I141" i="32"/>
  <c r="J141" i="32"/>
  <c r="I142" i="32"/>
  <c r="J142" i="32"/>
  <c r="I143" i="32"/>
  <c r="J143" i="32"/>
  <c r="I144" i="32"/>
  <c r="J144" i="32"/>
  <c r="I145" i="32"/>
  <c r="J145" i="32"/>
  <c r="I146" i="32"/>
  <c r="J146" i="32"/>
  <c r="I147" i="32"/>
  <c r="J147" i="32"/>
  <c r="I148" i="32"/>
  <c r="J148" i="32"/>
  <c r="I149" i="32"/>
  <c r="J149" i="32"/>
  <c r="I150" i="32"/>
  <c r="J150" i="32"/>
  <c r="I151" i="32"/>
  <c r="J151" i="32"/>
  <c r="I152" i="32"/>
  <c r="J152" i="32"/>
  <c r="I153" i="32"/>
  <c r="J153" i="32"/>
  <c r="I154" i="32"/>
  <c r="J154" i="32"/>
  <c r="I155" i="32"/>
  <c r="J155" i="32"/>
  <c r="I156" i="32"/>
  <c r="J156" i="32"/>
  <c r="I157" i="32"/>
  <c r="J157" i="32"/>
  <c r="I158" i="32"/>
  <c r="J158" i="32"/>
  <c r="I159" i="32"/>
  <c r="J159" i="32"/>
  <c r="I160" i="32"/>
  <c r="J160" i="32"/>
  <c r="I161" i="32"/>
  <c r="J161" i="32"/>
  <c r="I162" i="32"/>
  <c r="J162" i="32"/>
  <c r="I163" i="32"/>
  <c r="J163" i="32"/>
  <c r="I164" i="32"/>
  <c r="J164" i="32"/>
  <c r="I165" i="32"/>
  <c r="J165" i="32"/>
  <c r="I166" i="32"/>
  <c r="J166" i="32"/>
  <c r="I167" i="32"/>
  <c r="J167" i="32"/>
  <c r="I168" i="32"/>
  <c r="J168" i="32"/>
  <c r="I169" i="32"/>
  <c r="J169" i="32"/>
  <c r="I170" i="32"/>
  <c r="J170" i="32"/>
  <c r="I171" i="32"/>
  <c r="J171" i="32"/>
  <c r="I172" i="32"/>
  <c r="J172" i="32"/>
  <c r="I173" i="32"/>
  <c r="J173" i="32"/>
  <c r="I174" i="32"/>
  <c r="J174" i="32"/>
  <c r="I175" i="32"/>
  <c r="J175" i="32"/>
  <c r="I176" i="32"/>
  <c r="J176" i="32"/>
  <c r="I177" i="32"/>
  <c r="J177" i="32"/>
  <c r="I178" i="32"/>
  <c r="J178" i="32"/>
  <c r="I179" i="32"/>
  <c r="J179" i="32"/>
  <c r="I180" i="32"/>
  <c r="J180" i="32"/>
  <c r="I181" i="32"/>
  <c r="J181" i="32"/>
  <c r="I182" i="32"/>
  <c r="J182" i="32"/>
  <c r="I183" i="32"/>
  <c r="J183" i="32"/>
  <c r="I184" i="32"/>
  <c r="J184" i="32"/>
  <c r="I185" i="32"/>
  <c r="J185" i="32"/>
  <c r="I186" i="32"/>
  <c r="J186" i="32"/>
  <c r="I187" i="32"/>
  <c r="J187" i="32"/>
  <c r="I188" i="32"/>
  <c r="J188" i="32"/>
  <c r="I189" i="32"/>
  <c r="J189" i="32"/>
  <c r="I190" i="32"/>
  <c r="J190" i="32"/>
  <c r="I191" i="32"/>
  <c r="J191" i="32"/>
  <c r="I192" i="32"/>
  <c r="J192" i="32"/>
  <c r="I193" i="32"/>
  <c r="J193" i="32"/>
  <c r="I194" i="32"/>
  <c r="J194" i="32"/>
  <c r="I195" i="32"/>
  <c r="J195" i="32"/>
  <c r="I196" i="32"/>
  <c r="J196" i="32"/>
  <c r="I197" i="32"/>
  <c r="J197" i="32"/>
  <c r="I198" i="32"/>
  <c r="J198" i="32"/>
  <c r="I199" i="32"/>
  <c r="J199" i="32"/>
  <c r="I200" i="32"/>
  <c r="J200" i="32"/>
  <c r="I201" i="32"/>
  <c r="J201" i="32"/>
  <c r="I202" i="32"/>
  <c r="J202" i="32"/>
  <c r="I203" i="32"/>
  <c r="J203" i="32"/>
  <c r="I204" i="32"/>
  <c r="J204" i="32"/>
  <c r="I205" i="32"/>
  <c r="J205" i="32"/>
  <c r="I206" i="32"/>
  <c r="J206" i="32"/>
  <c r="I207" i="32"/>
  <c r="J207" i="32"/>
  <c r="I208" i="32"/>
  <c r="J208" i="32"/>
  <c r="I209" i="32"/>
  <c r="J209" i="32"/>
  <c r="I210" i="32"/>
  <c r="J210" i="32"/>
  <c r="I211" i="32"/>
  <c r="J211" i="32"/>
  <c r="I212" i="32"/>
  <c r="J212" i="32"/>
  <c r="I213" i="32"/>
  <c r="J213" i="32"/>
  <c r="I214" i="32"/>
  <c r="J214" i="32"/>
  <c r="I215" i="32"/>
  <c r="J215" i="32"/>
  <c r="I216" i="32"/>
  <c r="J216" i="32"/>
  <c r="I217" i="32"/>
  <c r="J217" i="32"/>
  <c r="I218" i="32"/>
  <c r="J218" i="32"/>
  <c r="I219" i="32"/>
  <c r="J219" i="32"/>
  <c r="I220" i="32"/>
  <c r="J220" i="32"/>
  <c r="I221" i="32"/>
  <c r="J221" i="32"/>
  <c r="I222" i="32"/>
  <c r="J222" i="32"/>
  <c r="I223" i="32"/>
  <c r="J223" i="32"/>
  <c r="I224" i="32"/>
  <c r="J224" i="32"/>
  <c r="I225" i="32"/>
  <c r="J225" i="32"/>
  <c r="I226" i="32"/>
  <c r="J226" i="32"/>
  <c r="I227" i="32"/>
  <c r="J227" i="32"/>
  <c r="I228" i="32"/>
  <c r="J228" i="32"/>
  <c r="I229" i="32"/>
  <c r="J229" i="32"/>
  <c r="I230" i="32"/>
  <c r="J230" i="32"/>
  <c r="I231" i="32"/>
  <c r="J231" i="32"/>
  <c r="I232" i="32"/>
  <c r="J232" i="32"/>
  <c r="I233" i="32"/>
  <c r="J233" i="32"/>
  <c r="I234" i="32"/>
  <c r="J234" i="32"/>
  <c r="I235" i="32"/>
  <c r="J235" i="32"/>
  <c r="I236" i="32"/>
  <c r="J236" i="32"/>
  <c r="I237" i="32"/>
  <c r="J237" i="32"/>
  <c r="I238" i="32"/>
  <c r="J238" i="32"/>
  <c r="I239" i="32"/>
  <c r="J239" i="32"/>
  <c r="I240" i="32"/>
  <c r="J240" i="32"/>
  <c r="I241" i="32"/>
  <c r="J241" i="32"/>
  <c r="I242" i="32"/>
  <c r="J242" i="32"/>
  <c r="I243" i="32"/>
  <c r="J243" i="32"/>
  <c r="I244" i="32"/>
  <c r="J244" i="32"/>
  <c r="I245" i="32"/>
  <c r="J245" i="32"/>
  <c r="I246" i="32"/>
  <c r="J246" i="32"/>
  <c r="I247" i="32"/>
  <c r="J247" i="32"/>
  <c r="J126" i="32"/>
  <c r="C126" i="32" s="1"/>
  <c r="I126" i="32"/>
  <c r="F127" i="32"/>
  <c r="G127" i="32"/>
  <c r="F128" i="32"/>
  <c r="G128" i="32"/>
  <c r="F129" i="32"/>
  <c r="G129" i="32"/>
  <c r="F130" i="32"/>
  <c r="G130" i="32"/>
  <c r="F131" i="32"/>
  <c r="G131" i="32"/>
  <c r="F132" i="32"/>
  <c r="G132" i="32"/>
  <c r="F133" i="32"/>
  <c r="G133" i="32"/>
  <c r="F134" i="32"/>
  <c r="G134" i="32"/>
  <c r="F135" i="32"/>
  <c r="G135" i="32"/>
  <c r="F136" i="32"/>
  <c r="G136" i="32"/>
  <c r="F137" i="32"/>
  <c r="G137" i="32"/>
  <c r="F138" i="32"/>
  <c r="G138" i="32"/>
  <c r="F139" i="32"/>
  <c r="G139" i="32"/>
  <c r="F140" i="32"/>
  <c r="G140" i="32"/>
  <c r="F141" i="32"/>
  <c r="G141" i="32"/>
  <c r="F142" i="32"/>
  <c r="G142" i="32"/>
  <c r="F143" i="32"/>
  <c r="G143" i="32"/>
  <c r="F144" i="32"/>
  <c r="G144" i="32"/>
  <c r="F145" i="32"/>
  <c r="G145" i="32"/>
  <c r="F146" i="32"/>
  <c r="G146" i="32"/>
  <c r="F147" i="32"/>
  <c r="G147" i="32"/>
  <c r="F148" i="32"/>
  <c r="G148" i="32"/>
  <c r="F149" i="32"/>
  <c r="G149" i="32"/>
  <c r="F150" i="32"/>
  <c r="G150" i="32"/>
  <c r="F151" i="32"/>
  <c r="G151" i="32"/>
  <c r="F152" i="32"/>
  <c r="G152" i="32"/>
  <c r="F153" i="32"/>
  <c r="G153" i="32"/>
  <c r="F154" i="32"/>
  <c r="G154" i="32"/>
  <c r="F155" i="32"/>
  <c r="G155" i="32"/>
  <c r="F156" i="32"/>
  <c r="G156" i="32"/>
  <c r="F157" i="32"/>
  <c r="G157" i="32"/>
  <c r="F158" i="32"/>
  <c r="G158" i="32"/>
  <c r="F159" i="32"/>
  <c r="G159" i="32"/>
  <c r="F160" i="32"/>
  <c r="G160" i="32"/>
  <c r="F161" i="32"/>
  <c r="G161" i="32"/>
  <c r="F162" i="32"/>
  <c r="G162" i="32"/>
  <c r="F163" i="32"/>
  <c r="G163" i="32"/>
  <c r="F164" i="32"/>
  <c r="G164" i="32"/>
  <c r="F165" i="32"/>
  <c r="G165" i="32"/>
  <c r="F166" i="32"/>
  <c r="G166" i="32"/>
  <c r="F167" i="32"/>
  <c r="G167" i="32"/>
  <c r="F168" i="32"/>
  <c r="G168" i="32"/>
  <c r="F169" i="32"/>
  <c r="G169" i="32"/>
  <c r="F170" i="32"/>
  <c r="G170" i="32"/>
  <c r="F171" i="32"/>
  <c r="G171" i="32"/>
  <c r="F172" i="32"/>
  <c r="G172" i="32"/>
  <c r="F173" i="32"/>
  <c r="G173" i="32"/>
  <c r="F174" i="32"/>
  <c r="G174" i="32"/>
  <c r="F175" i="32"/>
  <c r="G175" i="32"/>
  <c r="F176" i="32"/>
  <c r="G176" i="32"/>
  <c r="F177" i="32"/>
  <c r="G177" i="32"/>
  <c r="F178" i="32"/>
  <c r="G178" i="32"/>
  <c r="F179" i="32"/>
  <c r="G179" i="32"/>
  <c r="F180" i="32"/>
  <c r="G180" i="32"/>
  <c r="F181" i="32"/>
  <c r="G181" i="32"/>
  <c r="F182" i="32"/>
  <c r="G182" i="32"/>
  <c r="F183" i="32"/>
  <c r="G183" i="32"/>
  <c r="F184" i="32"/>
  <c r="G184" i="32"/>
  <c r="F185" i="32"/>
  <c r="G185" i="32"/>
  <c r="F186" i="32"/>
  <c r="G186" i="32"/>
  <c r="F187" i="32"/>
  <c r="G187" i="32"/>
  <c r="F188" i="32"/>
  <c r="G188" i="32"/>
  <c r="F189" i="32"/>
  <c r="G189" i="32"/>
  <c r="F190" i="32"/>
  <c r="G190" i="32"/>
  <c r="F191" i="32"/>
  <c r="G191" i="32"/>
  <c r="F192" i="32"/>
  <c r="G192" i="32"/>
  <c r="F193" i="32"/>
  <c r="G193" i="32"/>
  <c r="F194" i="32"/>
  <c r="G194" i="32"/>
  <c r="F195" i="32"/>
  <c r="G195" i="32"/>
  <c r="F196" i="32"/>
  <c r="G196" i="32"/>
  <c r="F197" i="32"/>
  <c r="G197" i="32"/>
  <c r="F198" i="32"/>
  <c r="G198" i="32"/>
  <c r="F199" i="32"/>
  <c r="G199" i="32"/>
  <c r="F200" i="32"/>
  <c r="G200" i="32"/>
  <c r="F201" i="32"/>
  <c r="G201" i="32"/>
  <c r="F202" i="32"/>
  <c r="G202" i="32"/>
  <c r="F203" i="32"/>
  <c r="G203" i="32"/>
  <c r="F204" i="32"/>
  <c r="G204" i="32"/>
  <c r="F205" i="32"/>
  <c r="G205" i="32"/>
  <c r="F206" i="32"/>
  <c r="G206" i="32"/>
  <c r="F207" i="32"/>
  <c r="G207" i="32"/>
  <c r="F208" i="32"/>
  <c r="G208" i="32"/>
  <c r="F209" i="32"/>
  <c r="G209" i="32"/>
  <c r="F210" i="32"/>
  <c r="G210" i="32"/>
  <c r="F211" i="32"/>
  <c r="G211" i="32"/>
  <c r="F212" i="32"/>
  <c r="G212" i="32"/>
  <c r="F213" i="32"/>
  <c r="G213" i="32"/>
  <c r="F214" i="32"/>
  <c r="G214" i="32"/>
  <c r="F215" i="32"/>
  <c r="G215" i="32"/>
  <c r="F216" i="32"/>
  <c r="G216" i="32"/>
  <c r="F217" i="32"/>
  <c r="G217" i="32"/>
  <c r="F218" i="32"/>
  <c r="G218" i="32"/>
  <c r="F219" i="32"/>
  <c r="G219" i="32"/>
  <c r="F220" i="32"/>
  <c r="G220" i="32"/>
  <c r="F221" i="32"/>
  <c r="G221" i="32"/>
  <c r="F222" i="32"/>
  <c r="G222" i="32"/>
  <c r="F223" i="32"/>
  <c r="G223" i="32"/>
  <c r="F224" i="32"/>
  <c r="G224" i="32"/>
  <c r="F225" i="32"/>
  <c r="G225" i="32"/>
  <c r="F226" i="32"/>
  <c r="G226" i="32"/>
  <c r="F227" i="32"/>
  <c r="G227" i="32"/>
  <c r="F228" i="32"/>
  <c r="G228" i="32"/>
  <c r="F229" i="32"/>
  <c r="G229" i="32"/>
  <c r="F230" i="32"/>
  <c r="G230" i="32"/>
  <c r="F231" i="32"/>
  <c r="G231" i="32"/>
  <c r="F232" i="32"/>
  <c r="G232" i="32"/>
  <c r="F233" i="32"/>
  <c r="G233" i="32"/>
  <c r="F234" i="32"/>
  <c r="G234" i="32"/>
  <c r="F235" i="32"/>
  <c r="G235" i="32"/>
  <c r="F236" i="32"/>
  <c r="G236" i="32"/>
  <c r="F237" i="32"/>
  <c r="G237" i="32"/>
  <c r="F238" i="32"/>
  <c r="G238" i="32"/>
  <c r="F239" i="32"/>
  <c r="G239" i="32"/>
  <c r="F240" i="32"/>
  <c r="G240" i="32"/>
  <c r="F241" i="32"/>
  <c r="G241" i="32"/>
  <c r="F242" i="32"/>
  <c r="G242" i="32"/>
  <c r="F243" i="32"/>
  <c r="G243" i="32"/>
  <c r="F244" i="32"/>
  <c r="G244" i="32"/>
  <c r="F245" i="32"/>
  <c r="G245" i="32"/>
  <c r="F246" i="32"/>
  <c r="G246" i="32"/>
  <c r="F247" i="32"/>
  <c r="G247" i="32"/>
  <c r="G126" i="32"/>
  <c r="F126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7" i="32"/>
  <c r="C128" i="32"/>
  <c r="C131" i="32"/>
  <c r="C132" i="32"/>
  <c r="C135" i="32"/>
  <c r="C139" i="32"/>
  <c r="C143" i="32"/>
  <c r="C144" i="32"/>
  <c r="C147" i="32"/>
  <c r="C151" i="32"/>
  <c r="C155" i="32"/>
  <c r="C159" i="32"/>
  <c r="C160" i="32"/>
  <c r="C163" i="32"/>
  <c r="C164" i="32"/>
  <c r="C167" i="32"/>
  <c r="C171" i="32"/>
  <c r="C175" i="32"/>
  <c r="C176" i="32"/>
  <c r="D176" i="32" s="1"/>
  <c r="C179" i="32"/>
  <c r="C183" i="32"/>
  <c r="C187" i="32"/>
  <c r="C191" i="32"/>
  <c r="C192" i="32"/>
  <c r="C195" i="32"/>
  <c r="C196" i="32"/>
  <c r="D196" i="32" s="1"/>
  <c r="C199" i="32"/>
  <c r="C203" i="32"/>
  <c r="C207" i="32"/>
  <c r="C208" i="32"/>
  <c r="C211" i="32"/>
  <c r="C215" i="32"/>
  <c r="C219" i="32"/>
  <c r="C223" i="32"/>
  <c r="C224" i="32"/>
  <c r="C227" i="32"/>
  <c r="C228" i="32"/>
  <c r="C231" i="32"/>
  <c r="C235" i="32"/>
  <c r="C239" i="32"/>
  <c r="C240" i="32"/>
  <c r="D240" i="32" s="1"/>
  <c r="C243" i="32"/>
  <c r="C247" i="32"/>
  <c r="C248" i="32"/>
  <c r="C249" i="32"/>
  <c r="C250" i="32"/>
  <c r="C369" i="32"/>
  <c r="C370" i="32"/>
  <c r="C371" i="32"/>
  <c r="C372" i="32"/>
  <c r="C375" i="32"/>
  <c r="C376" i="32"/>
  <c r="D376" i="32" s="1"/>
  <c r="C379" i="32"/>
  <c r="C380" i="32"/>
  <c r="C381" i="32"/>
  <c r="D381" i="32" s="1"/>
  <c r="C4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2" i="32"/>
  <c r="S23" i="32"/>
  <c r="S24" i="32"/>
  <c r="S25" i="32"/>
  <c r="S26" i="32"/>
  <c r="S27" i="32"/>
  <c r="S28" i="32"/>
  <c r="S29" i="32"/>
  <c r="S30" i="32"/>
  <c r="S31" i="32"/>
  <c r="S32" i="32"/>
  <c r="S33" i="32"/>
  <c r="S34" i="32"/>
  <c r="S35" i="32"/>
  <c r="S36" i="32"/>
  <c r="S37" i="32"/>
  <c r="S38" i="32"/>
  <c r="S39" i="32"/>
  <c r="S40" i="32"/>
  <c r="S41" i="32"/>
  <c r="S42" i="32"/>
  <c r="S43" i="32"/>
  <c r="S44" i="32"/>
  <c r="S45" i="32"/>
  <c r="S46" i="32"/>
  <c r="S47" i="32"/>
  <c r="S48" i="32"/>
  <c r="S49" i="32"/>
  <c r="S50" i="32"/>
  <c r="S51" i="32"/>
  <c r="S52" i="32"/>
  <c r="S53" i="32"/>
  <c r="S54" i="32"/>
  <c r="S55" i="32"/>
  <c r="S56" i="32"/>
  <c r="S57" i="32"/>
  <c r="S58" i="32"/>
  <c r="S59" i="32"/>
  <c r="S60" i="32"/>
  <c r="S61" i="32"/>
  <c r="S62" i="32"/>
  <c r="S63" i="32"/>
  <c r="S64" i="32"/>
  <c r="S65" i="32"/>
  <c r="S66" i="32"/>
  <c r="S67" i="32"/>
  <c r="S68" i="32"/>
  <c r="S69" i="32"/>
  <c r="S70" i="32"/>
  <c r="S71" i="32"/>
  <c r="S72" i="32"/>
  <c r="S73" i="32"/>
  <c r="S74" i="32"/>
  <c r="S75" i="32"/>
  <c r="S76" i="32"/>
  <c r="S77" i="32"/>
  <c r="S78" i="32"/>
  <c r="S79" i="32"/>
  <c r="S80" i="32"/>
  <c r="S81" i="32"/>
  <c r="S82" i="32"/>
  <c r="S83" i="32"/>
  <c r="S84" i="32"/>
  <c r="S85" i="32"/>
  <c r="S86" i="32"/>
  <c r="S87" i="32"/>
  <c r="S88" i="32"/>
  <c r="S89" i="32"/>
  <c r="S90" i="32"/>
  <c r="S91" i="32"/>
  <c r="S92" i="32"/>
  <c r="S93" i="32"/>
  <c r="S94" i="32"/>
  <c r="S95" i="32"/>
  <c r="S96" i="32"/>
  <c r="S97" i="32"/>
  <c r="S98" i="32"/>
  <c r="S99" i="32"/>
  <c r="S100" i="32"/>
  <c r="S101" i="32"/>
  <c r="S102" i="32"/>
  <c r="S103" i="32"/>
  <c r="S104" i="32"/>
  <c r="S105" i="32"/>
  <c r="S106" i="32"/>
  <c r="S107" i="32"/>
  <c r="S108" i="32"/>
  <c r="S109" i="32"/>
  <c r="S110" i="32"/>
  <c r="S111" i="32"/>
  <c r="S112" i="32"/>
  <c r="S113" i="32"/>
  <c r="S114" i="32"/>
  <c r="S115" i="32"/>
  <c r="S116" i="32"/>
  <c r="S117" i="32"/>
  <c r="S118" i="32"/>
  <c r="S119" i="32"/>
  <c r="S120" i="32"/>
  <c r="S121" i="32"/>
  <c r="S122" i="32"/>
  <c r="S123" i="32"/>
  <c r="S124" i="32"/>
  <c r="S5" i="32"/>
  <c r="S4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32" i="32"/>
  <c r="R33" i="32"/>
  <c r="R34" i="32"/>
  <c r="R35" i="32"/>
  <c r="R36" i="32"/>
  <c r="R37" i="32"/>
  <c r="R38" i="32"/>
  <c r="R39" i="32"/>
  <c r="R40" i="32"/>
  <c r="R41" i="32"/>
  <c r="R42" i="32"/>
  <c r="R43" i="32"/>
  <c r="R44" i="32"/>
  <c r="R45" i="32"/>
  <c r="R46" i="32"/>
  <c r="R47" i="32"/>
  <c r="R48" i="32"/>
  <c r="R49" i="32"/>
  <c r="R50" i="32"/>
  <c r="R51" i="32"/>
  <c r="R52" i="32"/>
  <c r="R53" i="32"/>
  <c r="R54" i="32"/>
  <c r="R55" i="32"/>
  <c r="R56" i="32"/>
  <c r="R57" i="32"/>
  <c r="R58" i="32"/>
  <c r="R59" i="32"/>
  <c r="R60" i="32"/>
  <c r="R61" i="32"/>
  <c r="R62" i="32"/>
  <c r="R63" i="32"/>
  <c r="R64" i="32"/>
  <c r="R65" i="32"/>
  <c r="R66" i="32"/>
  <c r="R67" i="32"/>
  <c r="R68" i="32"/>
  <c r="R69" i="32"/>
  <c r="R70" i="32"/>
  <c r="R71" i="32"/>
  <c r="R72" i="32"/>
  <c r="R73" i="32"/>
  <c r="R74" i="32"/>
  <c r="R75" i="32"/>
  <c r="R76" i="32"/>
  <c r="R77" i="32"/>
  <c r="R78" i="32"/>
  <c r="R79" i="32"/>
  <c r="R80" i="32"/>
  <c r="R81" i="32"/>
  <c r="R82" i="32"/>
  <c r="R83" i="32"/>
  <c r="R84" i="32"/>
  <c r="R85" i="32"/>
  <c r="R86" i="32"/>
  <c r="R87" i="32"/>
  <c r="R88" i="32"/>
  <c r="R89" i="32"/>
  <c r="R90" i="32"/>
  <c r="R91" i="32"/>
  <c r="R92" i="32"/>
  <c r="R93" i="32"/>
  <c r="R94" i="32"/>
  <c r="R95" i="32"/>
  <c r="R96" i="32"/>
  <c r="R97" i="32"/>
  <c r="R98" i="32"/>
  <c r="R99" i="32"/>
  <c r="R100" i="32"/>
  <c r="R101" i="32"/>
  <c r="R102" i="32"/>
  <c r="R103" i="32"/>
  <c r="R104" i="32"/>
  <c r="R105" i="32"/>
  <c r="R106" i="32"/>
  <c r="R107" i="32"/>
  <c r="R108" i="32"/>
  <c r="R109" i="32"/>
  <c r="R110" i="32"/>
  <c r="R111" i="32"/>
  <c r="R112" i="32"/>
  <c r="R113" i="32"/>
  <c r="R114" i="32"/>
  <c r="R115" i="32"/>
  <c r="R116" i="32"/>
  <c r="R117" i="32"/>
  <c r="R118" i="32"/>
  <c r="R119" i="32"/>
  <c r="R120" i="32"/>
  <c r="R121" i="32"/>
  <c r="R122" i="32"/>
  <c r="R123" i="32"/>
  <c r="R124" i="32"/>
  <c r="R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22" i="32"/>
  <c r="P23" i="32"/>
  <c r="P24" i="32"/>
  <c r="P25" i="32"/>
  <c r="P26" i="32"/>
  <c r="P27" i="32"/>
  <c r="P28" i="32"/>
  <c r="P29" i="32"/>
  <c r="P30" i="32"/>
  <c r="P31" i="32"/>
  <c r="P32" i="32"/>
  <c r="P33" i="32"/>
  <c r="P34" i="32"/>
  <c r="P35" i="32"/>
  <c r="P36" i="32"/>
  <c r="P37" i="32"/>
  <c r="P38" i="32"/>
  <c r="P39" i="32"/>
  <c r="P40" i="32"/>
  <c r="P41" i="32"/>
  <c r="P42" i="32"/>
  <c r="P43" i="32"/>
  <c r="P44" i="32"/>
  <c r="P45" i="32"/>
  <c r="P46" i="32"/>
  <c r="P47" i="32"/>
  <c r="P48" i="32"/>
  <c r="P49" i="32"/>
  <c r="P50" i="32"/>
  <c r="P51" i="32"/>
  <c r="P52" i="32"/>
  <c r="P53" i="32"/>
  <c r="P54" i="32"/>
  <c r="P55" i="32"/>
  <c r="P56" i="32"/>
  <c r="P57" i="32"/>
  <c r="P58" i="32"/>
  <c r="P59" i="32"/>
  <c r="P60" i="32"/>
  <c r="P61" i="32"/>
  <c r="P62" i="32"/>
  <c r="P63" i="32"/>
  <c r="P64" i="32"/>
  <c r="P65" i="32"/>
  <c r="P66" i="32"/>
  <c r="P67" i="32"/>
  <c r="P68" i="32"/>
  <c r="P69" i="32"/>
  <c r="P70" i="32"/>
  <c r="P71" i="32"/>
  <c r="P72" i="32"/>
  <c r="P73" i="32"/>
  <c r="P74" i="32"/>
  <c r="P75" i="32"/>
  <c r="P76" i="32"/>
  <c r="P77" i="32"/>
  <c r="P78" i="32"/>
  <c r="P79" i="32"/>
  <c r="P80" i="32"/>
  <c r="P81" i="32"/>
  <c r="P82" i="32"/>
  <c r="P83" i="32"/>
  <c r="P84" i="32"/>
  <c r="P85" i="32"/>
  <c r="P86" i="32"/>
  <c r="P87" i="32"/>
  <c r="P88" i="32"/>
  <c r="P89" i="32"/>
  <c r="P90" i="32"/>
  <c r="P91" i="32"/>
  <c r="P92" i="32"/>
  <c r="P93" i="32"/>
  <c r="P94" i="32"/>
  <c r="P95" i="32"/>
  <c r="P96" i="32"/>
  <c r="P97" i="32"/>
  <c r="P98" i="32"/>
  <c r="P99" i="32"/>
  <c r="P100" i="32"/>
  <c r="P101" i="32"/>
  <c r="P102" i="32"/>
  <c r="P103" i="32"/>
  <c r="P104" i="32"/>
  <c r="P105" i="32"/>
  <c r="P106" i="32"/>
  <c r="P107" i="32"/>
  <c r="P108" i="32"/>
  <c r="P109" i="32"/>
  <c r="P110" i="32"/>
  <c r="P111" i="32"/>
  <c r="P112" i="32"/>
  <c r="P113" i="32"/>
  <c r="P114" i="32"/>
  <c r="P115" i="32"/>
  <c r="P116" i="32"/>
  <c r="P117" i="32"/>
  <c r="P118" i="32"/>
  <c r="P119" i="32"/>
  <c r="P120" i="32"/>
  <c r="P121" i="32"/>
  <c r="P122" i="32"/>
  <c r="P123" i="32"/>
  <c r="P124" i="32"/>
  <c r="P5" i="32"/>
  <c r="O6" i="32"/>
  <c r="O7" i="32"/>
  <c r="O8" i="32"/>
  <c r="O9" i="32"/>
  <c r="O10" i="32"/>
  <c r="O11" i="32"/>
  <c r="O12" i="32"/>
  <c r="O13" i="32"/>
  <c r="O14" i="32"/>
  <c r="O15" i="32"/>
  <c r="O16" i="32"/>
  <c r="O17" i="32"/>
  <c r="O18" i="32"/>
  <c r="O19" i="32"/>
  <c r="O20" i="32"/>
  <c r="O21" i="32"/>
  <c r="O22" i="32"/>
  <c r="O23" i="32"/>
  <c r="O24" i="32"/>
  <c r="O25" i="32"/>
  <c r="O26" i="32"/>
  <c r="O27" i="32"/>
  <c r="O28" i="32"/>
  <c r="O29" i="32"/>
  <c r="O30" i="32"/>
  <c r="O31" i="32"/>
  <c r="O32" i="32"/>
  <c r="O33" i="32"/>
  <c r="O34" i="32"/>
  <c r="O35" i="32"/>
  <c r="O36" i="32"/>
  <c r="O37" i="32"/>
  <c r="O38" i="32"/>
  <c r="O39" i="32"/>
  <c r="O40" i="32"/>
  <c r="O41" i="32"/>
  <c r="O42" i="32"/>
  <c r="O43" i="32"/>
  <c r="O44" i="32"/>
  <c r="O45" i="32"/>
  <c r="O46" i="32"/>
  <c r="O47" i="32"/>
  <c r="O48" i="32"/>
  <c r="O49" i="32"/>
  <c r="O50" i="32"/>
  <c r="O51" i="32"/>
  <c r="O52" i="32"/>
  <c r="O53" i="32"/>
  <c r="O54" i="32"/>
  <c r="O55" i="32"/>
  <c r="O56" i="32"/>
  <c r="O57" i="32"/>
  <c r="O58" i="32"/>
  <c r="O59" i="32"/>
  <c r="O60" i="32"/>
  <c r="O61" i="32"/>
  <c r="O62" i="32"/>
  <c r="O63" i="32"/>
  <c r="O64" i="32"/>
  <c r="O65" i="32"/>
  <c r="O66" i="32"/>
  <c r="O67" i="32"/>
  <c r="O68" i="32"/>
  <c r="O69" i="32"/>
  <c r="O70" i="32"/>
  <c r="O71" i="32"/>
  <c r="O72" i="32"/>
  <c r="O73" i="32"/>
  <c r="O74" i="32"/>
  <c r="O75" i="32"/>
  <c r="O76" i="32"/>
  <c r="O77" i="32"/>
  <c r="O78" i="32"/>
  <c r="O79" i="32"/>
  <c r="O80" i="32"/>
  <c r="O81" i="32"/>
  <c r="O82" i="32"/>
  <c r="O83" i="32"/>
  <c r="O84" i="32"/>
  <c r="O85" i="32"/>
  <c r="O86" i="32"/>
  <c r="O87" i="32"/>
  <c r="O88" i="32"/>
  <c r="O89" i="32"/>
  <c r="O90" i="32"/>
  <c r="O91" i="32"/>
  <c r="O92" i="32"/>
  <c r="O93" i="32"/>
  <c r="O94" i="32"/>
  <c r="O95" i="32"/>
  <c r="O96" i="32"/>
  <c r="O97" i="32"/>
  <c r="O98" i="32"/>
  <c r="O99" i="32"/>
  <c r="O100" i="32"/>
  <c r="O101" i="32"/>
  <c r="O102" i="32"/>
  <c r="O103" i="32"/>
  <c r="O104" i="32"/>
  <c r="O105" i="32"/>
  <c r="O106" i="32"/>
  <c r="O107" i="32"/>
  <c r="O108" i="32"/>
  <c r="O109" i="32"/>
  <c r="O110" i="32"/>
  <c r="O111" i="32"/>
  <c r="O112" i="32"/>
  <c r="O113" i="32"/>
  <c r="O114" i="32"/>
  <c r="O115" i="32"/>
  <c r="O116" i="32"/>
  <c r="O117" i="32"/>
  <c r="O118" i="32"/>
  <c r="O119" i="32"/>
  <c r="O120" i="32"/>
  <c r="O121" i="32"/>
  <c r="O122" i="32"/>
  <c r="O123" i="32"/>
  <c r="O124" i="32"/>
  <c r="O5" i="32"/>
  <c r="P4" i="32"/>
  <c r="M6" i="32"/>
  <c r="M7" i="32"/>
  <c r="M8" i="32"/>
  <c r="M9" i="32"/>
  <c r="M10" i="32"/>
  <c r="M11" i="32"/>
  <c r="M12" i="32"/>
  <c r="M13" i="32"/>
  <c r="M14" i="32"/>
  <c r="M15" i="32"/>
  <c r="M16" i="32"/>
  <c r="M17" i="32"/>
  <c r="M18" i="32"/>
  <c r="M19" i="32"/>
  <c r="M20" i="32"/>
  <c r="M21" i="32"/>
  <c r="M22" i="32"/>
  <c r="M23" i="32"/>
  <c r="M24" i="32"/>
  <c r="M25" i="32"/>
  <c r="M26" i="32"/>
  <c r="M27" i="32"/>
  <c r="M28" i="32"/>
  <c r="M29" i="32"/>
  <c r="M30" i="32"/>
  <c r="M31" i="32"/>
  <c r="M32" i="32"/>
  <c r="M33" i="32"/>
  <c r="M34" i="32"/>
  <c r="M35" i="32"/>
  <c r="M36" i="32"/>
  <c r="M37" i="32"/>
  <c r="M38" i="32"/>
  <c r="M39" i="32"/>
  <c r="M40" i="32"/>
  <c r="M41" i="32"/>
  <c r="M42" i="32"/>
  <c r="M43" i="32"/>
  <c r="M44" i="32"/>
  <c r="M45" i="32"/>
  <c r="M46" i="32"/>
  <c r="M47" i="32"/>
  <c r="M48" i="32"/>
  <c r="M49" i="32"/>
  <c r="M50" i="32"/>
  <c r="M51" i="32"/>
  <c r="M52" i="32"/>
  <c r="M53" i="32"/>
  <c r="M54" i="32"/>
  <c r="M5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6" i="32"/>
  <c r="M87" i="32"/>
  <c r="M88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06" i="32"/>
  <c r="M107" i="32"/>
  <c r="M108" i="32"/>
  <c r="M109" i="32"/>
  <c r="M110" i="32"/>
  <c r="M111" i="32"/>
  <c r="M112" i="32"/>
  <c r="M113" i="32"/>
  <c r="M114" i="32"/>
  <c r="M115" i="32"/>
  <c r="M116" i="32"/>
  <c r="M117" i="32"/>
  <c r="M118" i="32"/>
  <c r="M119" i="32"/>
  <c r="M120" i="32"/>
  <c r="M121" i="32"/>
  <c r="M122" i="32"/>
  <c r="M123" i="32"/>
  <c r="M124" i="32"/>
  <c r="M5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8" i="32"/>
  <c r="L79" i="32"/>
  <c r="L80" i="32"/>
  <c r="L81" i="32"/>
  <c r="L82" i="32"/>
  <c r="L83" i="32"/>
  <c r="L84" i="32"/>
  <c r="L85" i="32"/>
  <c r="L86" i="32"/>
  <c r="L87" i="32"/>
  <c r="L88" i="32"/>
  <c r="L89" i="32"/>
  <c r="L90" i="32"/>
  <c r="L91" i="32"/>
  <c r="L92" i="32"/>
  <c r="L93" i="32"/>
  <c r="L94" i="32"/>
  <c r="L95" i="32"/>
  <c r="L96" i="32"/>
  <c r="L97" i="32"/>
  <c r="L98" i="32"/>
  <c r="L99" i="32"/>
  <c r="L100" i="32"/>
  <c r="L101" i="32"/>
  <c r="L102" i="32"/>
  <c r="L103" i="32"/>
  <c r="L104" i="32"/>
  <c r="L105" i="32"/>
  <c r="L106" i="32"/>
  <c r="L107" i="32"/>
  <c r="L108" i="32"/>
  <c r="L109" i="32"/>
  <c r="L110" i="32"/>
  <c r="L111" i="32"/>
  <c r="L112" i="32"/>
  <c r="L113" i="32"/>
  <c r="L114" i="32"/>
  <c r="L115" i="32"/>
  <c r="L116" i="32"/>
  <c r="L117" i="32"/>
  <c r="L118" i="32"/>
  <c r="L119" i="32"/>
  <c r="L120" i="32"/>
  <c r="L121" i="32"/>
  <c r="L122" i="32"/>
  <c r="L123" i="32"/>
  <c r="L124" i="32"/>
  <c r="L5" i="32"/>
  <c r="M4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J37" i="32"/>
  <c r="J38" i="32"/>
  <c r="J39" i="32"/>
  <c r="J40" i="32"/>
  <c r="J41" i="32"/>
  <c r="J42" i="32"/>
  <c r="J43" i="32"/>
  <c r="J44" i="32"/>
  <c r="J45" i="32"/>
  <c r="J46" i="32"/>
  <c r="J47" i="32"/>
  <c r="J48" i="32"/>
  <c r="J49" i="32"/>
  <c r="J50" i="32"/>
  <c r="J51" i="32"/>
  <c r="J52" i="32"/>
  <c r="J53" i="32"/>
  <c r="J54" i="32"/>
  <c r="J55" i="32"/>
  <c r="J56" i="32"/>
  <c r="J57" i="32"/>
  <c r="J58" i="32"/>
  <c r="J59" i="32"/>
  <c r="J60" i="32"/>
  <c r="J61" i="32"/>
  <c r="J62" i="32"/>
  <c r="J63" i="32"/>
  <c r="J64" i="32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83" i="32"/>
  <c r="J84" i="32"/>
  <c r="J85" i="32"/>
  <c r="J86" i="32"/>
  <c r="J87" i="32"/>
  <c r="J88" i="32"/>
  <c r="J89" i="32"/>
  <c r="J90" i="32"/>
  <c r="J91" i="32"/>
  <c r="J92" i="32"/>
  <c r="J93" i="32"/>
  <c r="J94" i="32"/>
  <c r="J95" i="32"/>
  <c r="J96" i="32"/>
  <c r="J97" i="32"/>
  <c r="J98" i="32"/>
  <c r="J99" i="32"/>
  <c r="J100" i="32"/>
  <c r="J101" i="32"/>
  <c r="J102" i="32"/>
  <c r="J103" i="32"/>
  <c r="J104" i="32"/>
  <c r="J105" i="32"/>
  <c r="J106" i="32"/>
  <c r="J107" i="32"/>
  <c r="J108" i="32"/>
  <c r="J109" i="32"/>
  <c r="J110" i="32"/>
  <c r="J111" i="32"/>
  <c r="J112" i="32"/>
  <c r="J113" i="32"/>
  <c r="J114" i="32"/>
  <c r="J115" i="32"/>
  <c r="J116" i="32"/>
  <c r="J117" i="32"/>
  <c r="J118" i="32"/>
  <c r="J119" i="32"/>
  <c r="J120" i="32"/>
  <c r="J121" i="32"/>
  <c r="J122" i="32"/>
  <c r="J123" i="32"/>
  <c r="J124" i="32"/>
  <c r="J5" i="32"/>
  <c r="J4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8" i="32"/>
  <c r="I39" i="32"/>
  <c r="I40" i="32"/>
  <c r="I41" i="32"/>
  <c r="I42" i="32"/>
  <c r="I43" i="32"/>
  <c r="I44" i="32"/>
  <c r="I45" i="32"/>
  <c r="I46" i="32"/>
  <c r="I47" i="32"/>
  <c r="I48" i="32"/>
  <c r="I49" i="32"/>
  <c r="I50" i="32"/>
  <c r="I51" i="32"/>
  <c r="I52" i="32"/>
  <c r="I53" i="32"/>
  <c r="I54" i="32"/>
  <c r="I55" i="32"/>
  <c r="I56" i="32"/>
  <c r="I57" i="32"/>
  <c r="I58" i="32"/>
  <c r="I59" i="32"/>
  <c r="I60" i="32"/>
  <c r="I61" i="32"/>
  <c r="I62" i="32"/>
  <c r="I63" i="32"/>
  <c r="I64" i="32"/>
  <c r="I65" i="32"/>
  <c r="I66" i="32"/>
  <c r="I67" i="32"/>
  <c r="I68" i="32"/>
  <c r="I69" i="32"/>
  <c r="I70" i="32"/>
  <c r="I71" i="32"/>
  <c r="I72" i="32"/>
  <c r="I73" i="32"/>
  <c r="I74" i="32"/>
  <c r="I75" i="32"/>
  <c r="I76" i="32"/>
  <c r="I77" i="32"/>
  <c r="I78" i="32"/>
  <c r="I79" i="32"/>
  <c r="I80" i="32"/>
  <c r="I81" i="32"/>
  <c r="I82" i="32"/>
  <c r="I83" i="32"/>
  <c r="I84" i="32"/>
  <c r="I85" i="32"/>
  <c r="I86" i="32"/>
  <c r="I87" i="32"/>
  <c r="I88" i="32"/>
  <c r="I89" i="32"/>
  <c r="I90" i="32"/>
  <c r="I91" i="32"/>
  <c r="I92" i="32"/>
  <c r="I93" i="32"/>
  <c r="I94" i="32"/>
  <c r="I95" i="32"/>
  <c r="I96" i="32"/>
  <c r="I97" i="32"/>
  <c r="I98" i="32"/>
  <c r="I99" i="32"/>
  <c r="I100" i="32"/>
  <c r="I101" i="32"/>
  <c r="I102" i="32"/>
  <c r="I103" i="32"/>
  <c r="I104" i="32"/>
  <c r="I105" i="32"/>
  <c r="I106" i="32"/>
  <c r="I107" i="32"/>
  <c r="I108" i="32"/>
  <c r="I109" i="32"/>
  <c r="I110" i="32"/>
  <c r="I111" i="32"/>
  <c r="I112" i="32"/>
  <c r="I113" i="32"/>
  <c r="I114" i="32"/>
  <c r="I115" i="32"/>
  <c r="I116" i="32"/>
  <c r="I117" i="32"/>
  <c r="I118" i="32"/>
  <c r="I119" i="32"/>
  <c r="I120" i="32"/>
  <c r="I121" i="32"/>
  <c r="I122" i="32"/>
  <c r="I123" i="32"/>
  <c r="I124" i="32"/>
  <c r="I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6" i="32"/>
  <c r="G57" i="32"/>
  <c r="G58" i="32"/>
  <c r="G59" i="32"/>
  <c r="G60" i="32"/>
  <c r="G61" i="32"/>
  <c r="G62" i="32"/>
  <c r="G63" i="32"/>
  <c r="G64" i="32"/>
  <c r="G65" i="32"/>
  <c r="G66" i="32"/>
  <c r="G67" i="32"/>
  <c r="G68" i="32"/>
  <c r="G69" i="32"/>
  <c r="G70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97" i="32"/>
  <c r="G98" i="32"/>
  <c r="G99" i="32"/>
  <c r="G100" i="32"/>
  <c r="G101" i="32"/>
  <c r="G102" i="32"/>
  <c r="G103" i="32"/>
  <c r="G104" i="32"/>
  <c r="G105" i="32"/>
  <c r="G106" i="32"/>
  <c r="G107" i="32"/>
  <c r="G108" i="32"/>
  <c r="G109" i="32"/>
  <c r="G110" i="32"/>
  <c r="G111" i="32"/>
  <c r="G112" i="32"/>
  <c r="G113" i="32"/>
  <c r="G114" i="32"/>
  <c r="G115" i="32"/>
  <c r="G116" i="32"/>
  <c r="G117" i="32"/>
  <c r="G118" i="32"/>
  <c r="G119" i="32"/>
  <c r="G120" i="32"/>
  <c r="G121" i="32"/>
  <c r="G122" i="32"/>
  <c r="G123" i="32"/>
  <c r="G124" i="32"/>
  <c r="G5" i="32"/>
  <c r="G4" i="32"/>
  <c r="AL5" i="31"/>
  <c r="AL4" i="31"/>
  <c r="AM4" i="31" s="1"/>
  <c r="AK124" i="31"/>
  <c r="AK247" i="31"/>
  <c r="AK368" i="31"/>
  <c r="AK4" i="31"/>
  <c r="AD124" i="31"/>
  <c r="AD247" i="31"/>
  <c r="AD368" i="31"/>
  <c r="AD4" i="31"/>
  <c r="AD3" i="31"/>
  <c r="AK3" i="31"/>
  <c r="W3" i="31"/>
  <c r="V4" i="31" s="1"/>
  <c r="W124" i="31"/>
  <c r="W247" i="31"/>
  <c r="V248" i="31" s="1"/>
  <c r="W368" i="31"/>
  <c r="V369" i="31" s="1"/>
  <c r="P124" i="31"/>
  <c r="O125" i="31" s="1"/>
  <c r="P247" i="31"/>
  <c r="O248" i="31" s="1"/>
  <c r="P368" i="31"/>
  <c r="O369" i="31" s="1"/>
  <c r="P3" i="31"/>
  <c r="AJ4" i="31"/>
  <c r="AJ3" i="31"/>
  <c r="AC3" i="31"/>
  <c r="V3" i="31"/>
  <c r="O3" i="31"/>
  <c r="I124" i="31"/>
  <c r="H125" i="31" s="1"/>
  <c r="I247" i="31"/>
  <c r="H248" i="31" s="1"/>
  <c r="I368" i="31"/>
  <c r="I3" i="31"/>
  <c r="H3" i="31"/>
  <c r="AT380" i="31"/>
  <c r="AS380" i="31"/>
  <c r="AR380" i="31"/>
  <c r="AQ380" i="31"/>
  <c r="AT379" i="31"/>
  <c r="AS379" i="31"/>
  <c r="AR379" i="31"/>
  <c r="AQ379" i="31"/>
  <c r="AT378" i="31"/>
  <c r="AS378" i="31"/>
  <c r="AR378" i="31"/>
  <c r="AQ378" i="31"/>
  <c r="AT377" i="31"/>
  <c r="AS377" i="31"/>
  <c r="AR377" i="31"/>
  <c r="AQ377" i="31"/>
  <c r="AT376" i="31"/>
  <c r="AS376" i="31"/>
  <c r="AR376" i="31"/>
  <c r="AQ376" i="31"/>
  <c r="AT375" i="31"/>
  <c r="AS375" i="31"/>
  <c r="AR375" i="31"/>
  <c r="AQ375" i="31"/>
  <c r="AT374" i="31"/>
  <c r="AS374" i="31"/>
  <c r="AR374" i="31"/>
  <c r="AQ374" i="31"/>
  <c r="AT373" i="31"/>
  <c r="AS373" i="31"/>
  <c r="AR373" i="31"/>
  <c r="AQ373" i="31"/>
  <c r="AT372" i="31"/>
  <c r="AS372" i="31"/>
  <c r="AR372" i="31"/>
  <c r="AQ372" i="31"/>
  <c r="AT371" i="31"/>
  <c r="AS371" i="31"/>
  <c r="AR371" i="31"/>
  <c r="AQ371" i="31"/>
  <c r="AT370" i="31"/>
  <c r="AS370" i="31"/>
  <c r="AR370" i="31"/>
  <c r="AQ370" i="31"/>
  <c r="AT369" i="31"/>
  <c r="AS369" i="31"/>
  <c r="AR369" i="31"/>
  <c r="AQ369" i="31"/>
  <c r="AT368" i="31"/>
  <c r="AS368" i="31"/>
  <c r="AR368" i="31"/>
  <c r="AQ368" i="31"/>
  <c r="AT367" i="31"/>
  <c r="AS367" i="31"/>
  <c r="AR367" i="31"/>
  <c r="AQ367" i="31"/>
  <c r="AT366" i="31"/>
  <c r="AS366" i="31"/>
  <c r="AR366" i="31"/>
  <c r="AQ366" i="31"/>
  <c r="AT365" i="31"/>
  <c r="AS365" i="31"/>
  <c r="AR365" i="31"/>
  <c r="AQ365" i="31"/>
  <c r="AT364" i="31"/>
  <c r="AS364" i="31"/>
  <c r="AR364" i="31"/>
  <c r="AQ364" i="31"/>
  <c r="AT363" i="31"/>
  <c r="AS363" i="31"/>
  <c r="AR363" i="31"/>
  <c r="AQ363" i="31"/>
  <c r="AT362" i="31"/>
  <c r="AS362" i="31"/>
  <c r="AR362" i="31"/>
  <c r="AQ362" i="31"/>
  <c r="AT361" i="31"/>
  <c r="AS361" i="31"/>
  <c r="AR361" i="31"/>
  <c r="AQ361" i="31"/>
  <c r="AT360" i="31"/>
  <c r="AS360" i="31"/>
  <c r="AR360" i="31"/>
  <c r="AQ360" i="31"/>
  <c r="AT359" i="31"/>
  <c r="AS359" i="31"/>
  <c r="AR359" i="31"/>
  <c r="AQ359" i="31"/>
  <c r="AT358" i="31"/>
  <c r="AS358" i="31"/>
  <c r="AR358" i="31"/>
  <c r="AQ358" i="31"/>
  <c r="AT357" i="31"/>
  <c r="AS357" i="31"/>
  <c r="AR357" i="31"/>
  <c r="AQ357" i="31"/>
  <c r="AT356" i="31"/>
  <c r="AS356" i="31"/>
  <c r="AR356" i="31"/>
  <c r="AQ356" i="31"/>
  <c r="AT355" i="31"/>
  <c r="AS355" i="31"/>
  <c r="AR355" i="31"/>
  <c r="AQ355" i="31"/>
  <c r="AT354" i="31"/>
  <c r="AS354" i="31"/>
  <c r="AR354" i="31"/>
  <c r="AQ354" i="31"/>
  <c r="AT353" i="31"/>
  <c r="AS353" i="31"/>
  <c r="AR353" i="31"/>
  <c r="AQ353" i="31"/>
  <c r="AT352" i="31"/>
  <c r="AS352" i="31"/>
  <c r="AR352" i="31"/>
  <c r="AQ352" i="31"/>
  <c r="AT351" i="31"/>
  <c r="AS351" i="31"/>
  <c r="AR351" i="31"/>
  <c r="AQ351" i="31"/>
  <c r="AT350" i="31"/>
  <c r="AS350" i="31"/>
  <c r="AR350" i="31"/>
  <c r="AQ350" i="31"/>
  <c r="AT349" i="31"/>
  <c r="AS349" i="31"/>
  <c r="AR349" i="31"/>
  <c r="AQ349" i="31"/>
  <c r="AT348" i="31"/>
  <c r="AS348" i="31"/>
  <c r="AR348" i="31"/>
  <c r="AQ348" i="31"/>
  <c r="AT347" i="31"/>
  <c r="AS347" i="31"/>
  <c r="AR347" i="31"/>
  <c r="AQ347" i="31"/>
  <c r="AT346" i="31"/>
  <c r="AS346" i="31"/>
  <c r="AR346" i="31"/>
  <c r="AQ346" i="31"/>
  <c r="AT345" i="31"/>
  <c r="AS345" i="31"/>
  <c r="AR345" i="31"/>
  <c r="AQ345" i="31"/>
  <c r="AT344" i="31"/>
  <c r="AS344" i="31"/>
  <c r="AR344" i="31"/>
  <c r="AQ344" i="31"/>
  <c r="AT343" i="31"/>
  <c r="AS343" i="31"/>
  <c r="AR343" i="31"/>
  <c r="AQ343" i="31"/>
  <c r="AT342" i="31"/>
  <c r="AS342" i="31"/>
  <c r="AR342" i="31"/>
  <c r="AQ342" i="31"/>
  <c r="AT341" i="31"/>
  <c r="AS341" i="31"/>
  <c r="AR341" i="31"/>
  <c r="AQ341" i="31"/>
  <c r="AT340" i="31"/>
  <c r="AS340" i="31"/>
  <c r="AR340" i="31"/>
  <c r="AQ340" i="31"/>
  <c r="AT339" i="31"/>
  <c r="AS339" i="31"/>
  <c r="AR339" i="31"/>
  <c r="AQ339" i="31"/>
  <c r="AT338" i="31"/>
  <c r="AS338" i="31"/>
  <c r="AR338" i="31"/>
  <c r="AQ338" i="31"/>
  <c r="AT337" i="31"/>
  <c r="AS337" i="31"/>
  <c r="AR337" i="31"/>
  <c r="AQ337" i="31"/>
  <c r="AT336" i="31"/>
  <c r="AS336" i="31"/>
  <c r="AR336" i="31"/>
  <c r="AQ336" i="31"/>
  <c r="AT335" i="31"/>
  <c r="AS335" i="31"/>
  <c r="AR335" i="31"/>
  <c r="AQ335" i="31"/>
  <c r="AT334" i="31"/>
  <c r="AS334" i="31"/>
  <c r="AR334" i="31"/>
  <c r="AQ334" i="31"/>
  <c r="AT333" i="31"/>
  <c r="AS333" i="31"/>
  <c r="AR333" i="31"/>
  <c r="AQ333" i="31"/>
  <c r="AT332" i="31"/>
  <c r="AS332" i="31"/>
  <c r="AR332" i="31"/>
  <c r="AQ332" i="31"/>
  <c r="AT331" i="31"/>
  <c r="AS331" i="31"/>
  <c r="AR331" i="31"/>
  <c r="AQ331" i="31"/>
  <c r="AT330" i="31"/>
  <c r="AS330" i="31"/>
  <c r="AR330" i="31"/>
  <c r="AQ330" i="31"/>
  <c r="AT329" i="31"/>
  <c r="AS329" i="31"/>
  <c r="AR329" i="31"/>
  <c r="AQ329" i="31"/>
  <c r="AT328" i="31"/>
  <c r="AS328" i="31"/>
  <c r="AR328" i="31"/>
  <c r="AQ328" i="31"/>
  <c r="AT327" i="31"/>
  <c r="AS327" i="31"/>
  <c r="AR327" i="31"/>
  <c r="AQ327" i="31"/>
  <c r="AT326" i="31"/>
  <c r="AS326" i="31"/>
  <c r="AR326" i="31"/>
  <c r="AQ326" i="31"/>
  <c r="AT325" i="31"/>
  <c r="AS325" i="31"/>
  <c r="AR325" i="31"/>
  <c r="AQ325" i="31"/>
  <c r="AT324" i="31"/>
  <c r="AS324" i="31"/>
  <c r="AR324" i="31"/>
  <c r="AQ324" i="31"/>
  <c r="AT323" i="31"/>
  <c r="AS323" i="31"/>
  <c r="AR323" i="31"/>
  <c r="AQ323" i="31"/>
  <c r="AT322" i="31"/>
  <c r="AS322" i="31"/>
  <c r="AR322" i="31"/>
  <c r="AQ322" i="31"/>
  <c r="AT321" i="31"/>
  <c r="AS321" i="31"/>
  <c r="AR321" i="31"/>
  <c r="AQ321" i="31"/>
  <c r="AT320" i="31"/>
  <c r="AS320" i="31"/>
  <c r="AR320" i="31"/>
  <c r="AQ320" i="31"/>
  <c r="AT319" i="31"/>
  <c r="AS319" i="31"/>
  <c r="AR319" i="31"/>
  <c r="AQ319" i="31"/>
  <c r="AT318" i="31"/>
  <c r="AS318" i="31"/>
  <c r="AR318" i="31"/>
  <c r="AQ318" i="31"/>
  <c r="AT317" i="31"/>
  <c r="AS317" i="31"/>
  <c r="AR317" i="31"/>
  <c r="AQ317" i="31"/>
  <c r="AT316" i="31"/>
  <c r="AS316" i="31"/>
  <c r="AR316" i="31"/>
  <c r="AQ316" i="31"/>
  <c r="AT315" i="31"/>
  <c r="AS315" i="31"/>
  <c r="AR315" i="31"/>
  <c r="AQ315" i="31"/>
  <c r="AT314" i="31"/>
  <c r="AS314" i="31"/>
  <c r="AR314" i="31"/>
  <c r="AQ314" i="31"/>
  <c r="AT313" i="31"/>
  <c r="AS313" i="31"/>
  <c r="AR313" i="31"/>
  <c r="AQ313" i="31"/>
  <c r="AT312" i="31"/>
  <c r="AS312" i="31"/>
  <c r="AR312" i="31"/>
  <c r="AQ312" i="31"/>
  <c r="AT311" i="31"/>
  <c r="AS311" i="31"/>
  <c r="AR311" i="31"/>
  <c r="AQ311" i="31"/>
  <c r="AT310" i="31"/>
  <c r="AS310" i="31"/>
  <c r="AR310" i="31"/>
  <c r="AQ310" i="31"/>
  <c r="AT309" i="31"/>
  <c r="AS309" i="31"/>
  <c r="AR309" i="31"/>
  <c r="AQ309" i="31"/>
  <c r="AT308" i="31"/>
  <c r="AS308" i="31"/>
  <c r="AR308" i="31"/>
  <c r="AQ308" i="31"/>
  <c r="AT307" i="31"/>
  <c r="AS307" i="31"/>
  <c r="AR307" i="31"/>
  <c r="AQ307" i="31"/>
  <c r="AT306" i="31"/>
  <c r="AS306" i="31"/>
  <c r="AR306" i="31"/>
  <c r="AQ306" i="31"/>
  <c r="AT305" i="31"/>
  <c r="AS305" i="31"/>
  <c r="AR305" i="31"/>
  <c r="AQ305" i="31"/>
  <c r="AT304" i="31"/>
  <c r="AS304" i="31"/>
  <c r="AR304" i="31"/>
  <c r="AQ304" i="31"/>
  <c r="AT303" i="31"/>
  <c r="AS303" i="31"/>
  <c r="AR303" i="31"/>
  <c r="AQ303" i="31"/>
  <c r="AT302" i="31"/>
  <c r="AS302" i="31"/>
  <c r="AR302" i="31"/>
  <c r="AQ302" i="31"/>
  <c r="AT301" i="31"/>
  <c r="AS301" i="31"/>
  <c r="AR301" i="31"/>
  <c r="AQ301" i="31"/>
  <c r="AT300" i="31"/>
  <c r="AS300" i="31"/>
  <c r="AR300" i="31"/>
  <c r="AQ300" i="31"/>
  <c r="AT299" i="31"/>
  <c r="AS299" i="31"/>
  <c r="AR299" i="31"/>
  <c r="AQ299" i="31"/>
  <c r="AT298" i="31"/>
  <c r="AS298" i="31"/>
  <c r="AR298" i="31"/>
  <c r="AQ298" i="31"/>
  <c r="AT297" i="31"/>
  <c r="AS297" i="31"/>
  <c r="AR297" i="31"/>
  <c r="AQ297" i="31"/>
  <c r="AT296" i="31"/>
  <c r="AS296" i="31"/>
  <c r="AR296" i="31"/>
  <c r="AQ296" i="31"/>
  <c r="AT295" i="31"/>
  <c r="AS295" i="31"/>
  <c r="AR295" i="31"/>
  <c r="AQ295" i="31"/>
  <c r="AT294" i="31"/>
  <c r="AS294" i="31"/>
  <c r="AR294" i="31"/>
  <c r="AQ294" i="31"/>
  <c r="AT293" i="31"/>
  <c r="AS293" i="31"/>
  <c r="AR293" i="31"/>
  <c r="AQ293" i="31"/>
  <c r="AT292" i="31"/>
  <c r="AS292" i="31"/>
  <c r="AR292" i="31"/>
  <c r="AQ292" i="31"/>
  <c r="AT291" i="31"/>
  <c r="AS291" i="31"/>
  <c r="AR291" i="31"/>
  <c r="AQ291" i="31"/>
  <c r="AT290" i="31"/>
  <c r="AS290" i="31"/>
  <c r="AR290" i="31"/>
  <c r="AQ290" i="31"/>
  <c r="AT289" i="31"/>
  <c r="AS289" i="31"/>
  <c r="AR289" i="31"/>
  <c r="AQ289" i="31"/>
  <c r="AT288" i="31"/>
  <c r="AS288" i="31"/>
  <c r="AR288" i="31"/>
  <c r="AQ288" i="31"/>
  <c r="AT287" i="31"/>
  <c r="AS287" i="31"/>
  <c r="AR287" i="31"/>
  <c r="AQ287" i="31"/>
  <c r="AT286" i="31"/>
  <c r="AS286" i="31"/>
  <c r="AR286" i="31"/>
  <c r="AQ286" i="31"/>
  <c r="AT285" i="31"/>
  <c r="AS285" i="31"/>
  <c r="AR285" i="31"/>
  <c r="AQ285" i="31"/>
  <c r="AT284" i="31"/>
  <c r="AS284" i="31"/>
  <c r="AR284" i="31"/>
  <c r="AQ284" i="31"/>
  <c r="AT283" i="31"/>
  <c r="AS283" i="31"/>
  <c r="AR283" i="31"/>
  <c r="AQ283" i="31"/>
  <c r="AT282" i="31"/>
  <c r="AS282" i="31"/>
  <c r="AR282" i="31"/>
  <c r="AQ282" i="31"/>
  <c r="AT281" i="31"/>
  <c r="AS281" i="31"/>
  <c r="AR281" i="31"/>
  <c r="AQ281" i="31"/>
  <c r="AT280" i="31"/>
  <c r="AS280" i="31"/>
  <c r="AR280" i="31"/>
  <c r="AQ280" i="31"/>
  <c r="AT279" i="31"/>
  <c r="AS279" i="31"/>
  <c r="AR279" i="31"/>
  <c r="AQ279" i="31"/>
  <c r="AT278" i="31"/>
  <c r="AS278" i="31"/>
  <c r="AR278" i="31"/>
  <c r="AQ278" i="31"/>
  <c r="AT277" i="31"/>
  <c r="AS277" i="31"/>
  <c r="AR277" i="31"/>
  <c r="AQ277" i="31"/>
  <c r="AT276" i="31"/>
  <c r="AS276" i="31"/>
  <c r="AR276" i="31"/>
  <c r="AQ276" i="31"/>
  <c r="AT275" i="31"/>
  <c r="AS275" i="31"/>
  <c r="AR275" i="31"/>
  <c r="AQ275" i="31"/>
  <c r="AT274" i="31"/>
  <c r="AS274" i="31"/>
  <c r="AR274" i="31"/>
  <c r="AQ274" i="31"/>
  <c r="AT273" i="31"/>
  <c r="AS273" i="31"/>
  <c r="AR273" i="31"/>
  <c r="AQ273" i="31"/>
  <c r="AT272" i="31"/>
  <c r="AS272" i="31"/>
  <c r="AR272" i="31"/>
  <c r="AQ272" i="31"/>
  <c r="AT271" i="31"/>
  <c r="AS271" i="31"/>
  <c r="AR271" i="31"/>
  <c r="AQ271" i="31"/>
  <c r="AT270" i="31"/>
  <c r="AS270" i="31"/>
  <c r="AR270" i="31"/>
  <c r="AQ270" i="31"/>
  <c r="AT269" i="31"/>
  <c r="AS269" i="31"/>
  <c r="AR269" i="31"/>
  <c r="AQ269" i="31"/>
  <c r="AT268" i="31"/>
  <c r="AS268" i="31"/>
  <c r="AR268" i="31"/>
  <c r="AQ268" i="31"/>
  <c r="AT267" i="31"/>
  <c r="AS267" i="31"/>
  <c r="AR267" i="31"/>
  <c r="AQ267" i="31"/>
  <c r="AT266" i="31"/>
  <c r="AS266" i="31"/>
  <c r="AR266" i="31"/>
  <c r="AQ266" i="31"/>
  <c r="AT265" i="31"/>
  <c r="AS265" i="31"/>
  <c r="AR265" i="31"/>
  <c r="AQ265" i="31"/>
  <c r="AT264" i="31"/>
  <c r="AS264" i="31"/>
  <c r="AR264" i="31"/>
  <c r="AQ264" i="31"/>
  <c r="AT263" i="31"/>
  <c r="AS263" i="31"/>
  <c r="AR263" i="31"/>
  <c r="AQ263" i="31"/>
  <c r="AT262" i="31"/>
  <c r="AS262" i="31"/>
  <c r="AR262" i="31"/>
  <c r="AQ262" i="31"/>
  <c r="AT261" i="31"/>
  <c r="AS261" i="31"/>
  <c r="AR261" i="31"/>
  <c r="AQ261" i="31"/>
  <c r="AT260" i="31"/>
  <c r="AS260" i="31"/>
  <c r="AR260" i="31"/>
  <c r="AQ260" i="31"/>
  <c r="AT259" i="31"/>
  <c r="AS259" i="31"/>
  <c r="AR259" i="31"/>
  <c r="AQ259" i="31"/>
  <c r="AT258" i="31"/>
  <c r="AS258" i="31"/>
  <c r="AR258" i="31"/>
  <c r="AQ258" i="31"/>
  <c r="AT257" i="31"/>
  <c r="AS257" i="31"/>
  <c r="AR257" i="31"/>
  <c r="AQ257" i="31"/>
  <c r="AT256" i="31"/>
  <c r="AS256" i="31"/>
  <c r="AR256" i="31"/>
  <c r="AQ256" i="31"/>
  <c r="AT255" i="31"/>
  <c r="AS255" i="31"/>
  <c r="AR255" i="31"/>
  <c r="AQ255" i="31"/>
  <c r="AT254" i="31"/>
  <c r="AS254" i="31"/>
  <c r="AR254" i="31"/>
  <c r="AQ254" i="31"/>
  <c r="AT253" i="31"/>
  <c r="AS253" i="31"/>
  <c r="AR253" i="31"/>
  <c r="AQ253" i="31"/>
  <c r="AT252" i="31"/>
  <c r="AS252" i="31"/>
  <c r="AR252" i="31"/>
  <c r="AQ252" i="31"/>
  <c r="AT251" i="31"/>
  <c r="AS251" i="31"/>
  <c r="AR251" i="31"/>
  <c r="AQ251" i="31"/>
  <c r="AT250" i="31"/>
  <c r="AS250" i="31"/>
  <c r="AR250" i="31"/>
  <c r="AQ250" i="31"/>
  <c r="AT249" i="31"/>
  <c r="AS249" i="31"/>
  <c r="AR249" i="31"/>
  <c r="AQ249" i="31"/>
  <c r="AT248" i="31"/>
  <c r="AS248" i="31"/>
  <c r="AR248" i="31"/>
  <c r="AQ248" i="31"/>
  <c r="AT247" i="31"/>
  <c r="AS247" i="31"/>
  <c r="AR247" i="31"/>
  <c r="AQ247" i="31"/>
  <c r="AT246" i="31"/>
  <c r="AS246" i="31"/>
  <c r="AR246" i="31"/>
  <c r="AQ246" i="31"/>
  <c r="AT245" i="31"/>
  <c r="AS245" i="31"/>
  <c r="AR245" i="31"/>
  <c r="AQ245" i="31"/>
  <c r="AT244" i="31"/>
  <c r="AS244" i="31"/>
  <c r="AR244" i="31"/>
  <c r="AQ244" i="31"/>
  <c r="AT243" i="31"/>
  <c r="AS243" i="31"/>
  <c r="AR243" i="31"/>
  <c r="AQ243" i="31"/>
  <c r="AT242" i="31"/>
  <c r="AS242" i="31"/>
  <c r="AR242" i="31"/>
  <c r="AQ242" i="31"/>
  <c r="AT241" i="31"/>
  <c r="AS241" i="31"/>
  <c r="AR241" i="31"/>
  <c r="AQ241" i="31"/>
  <c r="AT240" i="31"/>
  <c r="AS240" i="31"/>
  <c r="AR240" i="31"/>
  <c r="AQ240" i="31"/>
  <c r="AT239" i="31"/>
  <c r="AS239" i="31"/>
  <c r="AR239" i="31"/>
  <c r="AQ239" i="31"/>
  <c r="AT238" i="31"/>
  <c r="AS238" i="31"/>
  <c r="AR238" i="31"/>
  <c r="AQ238" i="31"/>
  <c r="AT237" i="31"/>
  <c r="AS237" i="31"/>
  <c r="AR237" i="31"/>
  <c r="AQ237" i="31"/>
  <c r="AT236" i="31"/>
  <c r="AS236" i="31"/>
  <c r="AR236" i="31"/>
  <c r="AQ236" i="31"/>
  <c r="AT235" i="31"/>
  <c r="AS235" i="31"/>
  <c r="AR235" i="31"/>
  <c r="AQ235" i="31"/>
  <c r="AT234" i="31"/>
  <c r="AS234" i="31"/>
  <c r="AR234" i="31"/>
  <c r="AQ234" i="31"/>
  <c r="AT233" i="31"/>
  <c r="AS233" i="31"/>
  <c r="AR233" i="31"/>
  <c r="AQ233" i="31"/>
  <c r="AT232" i="31"/>
  <c r="AS232" i="31"/>
  <c r="AR232" i="31"/>
  <c r="AQ232" i="31"/>
  <c r="AT231" i="31"/>
  <c r="AS231" i="31"/>
  <c r="AR231" i="31"/>
  <c r="AQ231" i="31"/>
  <c r="AT230" i="31"/>
  <c r="AS230" i="31"/>
  <c r="AR230" i="31"/>
  <c r="AQ230" i="31"/>
  <c r="AT229" i="31"/>
  <c r="AS229" i="31"/>
  <c r="AR229" i="31"/>
  <c r="AQ229" i="31"/>
  <c r="AT228" i="31"/>
  <c r="AS228" i="31"/>
  <c r="AR228" i="31"/>
  <c r="AQ228" i="31"/>
  <c r="AT227" i="31"/>
  <c r="AS227" i="31"/>
  <c r="AR227" i="31"/>
  <c r="AQ227" i="31"/>
  <c r="AT226" i="31"/>
  <c r="AS226" i="31"/>
  <c r="AR226" i="31"/>
  <c r="AQ226" i="31"/>
  <c r="AT225" i="31"/>
  <c r="AS225" i="31"/>
  <c r="AR225" i="31"/>
  <c r="AQ225" i="31"/>
  <c r="AT224" i="31"/>
  <c r="AS224" i="31"/>
  <c r="AR224" i="31"/>
  <c r="AQ224" i="31"/>
  <c r="AT223" i="31"/>
  <c r="AS223" i="31"/>
  <c r="AR223" i="31"/>
  <c r="AQ223" i="31"/>
  <c r="AT222" i="31"/>
  <c r="AS222" i="31"/>
  <c r="AR222" i="31"/>
  <c r="AQ222" i="31"/>
  <c r="AT221" i="31"/>
  <c r="AS221" i="31"/>
  <c r="AR221" i="31"/>
  <c r="AQ221" i="31"/>
  <c r="AT220" i="31"/>
  <c r="AS220" i="31"/>
  <c r="AR220" i="31"/>
  <c r="AQ220" i="31"/>
  <c r="AT219" i="31"/>
  <c r="AS219" i="31"/>
  <c r="AR219" i="31"/>
  <c r="AQ219" i="31"/>
  <c r="AT218" i="31"/>
  <c r="AS218" i="31"/>
  <c r="AR218" i="31"/>
  <c r="AQ218" i="31"/>
  <c r="AT217" i="31"/>
  <c r="AS217" i="31"/>
  <c r="AR217" i="31"/>
  <c r="AQ217" i="31"/>
  <c r="AT216" i="31"/>
  <c r="AS216" i="31"/>
  <c r="AR216" i="31"/>
  <c r="AQ216" i="31"/>
  <c r="AT215" i="31"/>
  <c r="AS215" i="31"/>
  <c r="AR215" i="31"/>
  <c r="AQ215" i="31"/>
  <c r="AT214" i="31"/>
  <c r="AS214" i="31"/>
  <c r="AR214" i="31"/>
  <c r="AQ214" i="31"/>
  <c r="AT213" i="31"/>
  <c r="AS213" i="31"/>
  <c r="AR213" i="31"/>
  <c r="AQ213" i="31"/>
  <c r="AT212" i="31"/>
  <c r="AS212" i="31"/>
  <c r="AR212" i="31"/>
  <c r="AQ212" i="31"/>
  <c r="AT211" i="31"/>
  <c r="AS211" i="31"/>
  <c r="AR211" i="31"/>
  <c r="AQ211" i="31"/>
  <c r="AT210" i="31"/>
  <c r="AS210" i="31"/>
  <c r="AR210" i="31"/>
  <c r="AQ210" i="31"/>
  <c r="AT209" i="31"/>
  <c r="AS209" i="31"/>
  <c r="AR209" i="31"/>
  <c r="AQ209" i="31"/>
  <c r="AT208" i="31"/>
  <c r="AS208" i="31"/>
  <c r="AR208" i="31"/>
  <c r="AQ208" i="31"/>
  <c r="AT207" i="31"/>
  <c r="AS207" i="31"/>
  <c r="AR207" i="31"/>
  <c r="AQ207" i="31"/>
  <c r="AT206" i="31"/>
  <c r="AS206" i="31"/>
  <c r="AR206" i="31"/>
  <c r="AQ206" i="31"/>
  <c r="AT205" i="31"/>
  <c r="AS205" i="31"/>
  <c r="AR205" i="31"/>
  <c r="AQ205" i="31"/>
  <c r="AT204" i="31"/>
  <c r="AS204" i="31"/>
  <c r="AR204" i="31"/>
  <c r="AQ204" i="31"/>
  <c r="AT203" i="31"/>
  <c r="AS203" i="31"/>
  <c r="AR203" i="31"/>
  <c r="AQ203" i="31"/>
  <c r="AT202" i="31"/>
  <c r="AS202" i="31"/>
  <c r="AR202" i="31"/>
  <c r="AQ202" i="31"/>
  <c r="AT201" i="31"/>
  <c r="AS201" i="31"/>
  <c r="AR201" i="31"/>
  <c r="AQ201" i="31"/>
  <c r="AT200" i="31"/>
  <c r="AS200" i="31"/>
  <c r="AR200" i="31"/>
  <c r="AQ200" i="31"/>
  <c r="AT199" i="31"/>
  <c r="AS199" i="31"/>
  <c r="AR199" i="31"/>
  <c r="AQ199" i="31"/>
  <c r="AT198" i="31"/>
  <c r="AS198" i="31"/>
  <c r="AR198" i="31"/>
  <c r="AQ198" i="31"/>
  <c r="AT197" i="31"/>
  <c r="AS197" i="31"/>
  <c r="AR197" i="31"/>
  <c r="AQ197" i="31"/>
  <c r="AT196" i="31"/>
  <c r="AS196" i="31"/>
  <c r="AR196" i="31"/>
  <c r="AQ196" i="31"/>
  <c r="AT195" i="31"/>
  <c r="AS195" i="31"/>
  <c r="AR195" i="31"/>
  <c r="AQ195" i="31"/>
  <c r="AT194" i="31"/>
  <c r="AS194" i="31"/>
  <c r="AR194" i="31"/>
  <c r="AQ194" i="31"/>
  <c r="AT193" i="31"/>
  <c r="AS193" i="31"/>
  <c r="AR193" i="31"/>
  <c r="AQ193" i="31"/>
  <c r="AT192" i="31"/>
  <c r="AS192" i="31"/>
  <c r="AR192" i="31"/>
  <c r="AQ192" i="31"/>
  <c r="AT191" i="31"/>
  <c r="AS191" i="31"/>
  <c r="AR191" i="31"/>
  <c r="AQ191" i="31"/>
  <c r="AT190" i="31"/>
  <c r="AS190" i="31"/>
  <c r="AR190" i="31"/>
  <c r="AQ190" i="31"/>
  <c r="AT189" i="31"/>
  <c r="AS189" i="31"/>
  <c r="AR189" i="31"/>
  <c r="AQ189" i="31"/>
  <c r="AT188" i="31"/>
  <c r="AS188" i="31"/>
  <c r="AR188" i="31"/>
  <c r="AQ188" i="31"/>
  <c r="AT187" i="31"/>
  <c r="AS187" i="31"/>
  <c r="AR187" i="31"/>
  <c r="AQ187" i="31"/>
  <c r="AT186" i="31"/>
  <c r="AS186" i="31"/>
  <c r="AR186" i="31"/>
  <c r="AQ186" i="31"/>
  <c r="AT185" i="31"/>
  <c r="AS185" i="31"/>
  <c r="AR185" i="31"/>
  <c r="AQ185" i="31"/>
  <c r="AT184" i="31"/>
  <c r="AS184" i="31"/>
  <c r="AR184" i="31"/>
  <c r="AQ184" i="31"/>
  <c r="AT183" i="31"/>
  <c r="AS183" i="31"/>
  <c r="AR183" i="31"/>
  <c r="AQ183" i="31"/>
  <c r="AT182" i="31"/>
  <c r="AS182" i="31"/>
  <c r="AR182" i="31"/>
  <c r="AQ182" i="31"/>
  <c r="AT181" i="31"/>
  <c r="AS181" i="31"/>
  <c r="AR181" i="31"/>
  <c r="AQ181" i="31"/>
  <c r="AT180" i="31"/>
  <c r="AS180" i="31"/>
  <c r="AR180" i="31"/>
  <c r="AQ180" i="31"/>
  <c r="AT179" i="31"/>
  <c r="AS179" i="31"/>
  <c r="AR179" i="31"/>
  <c r="AQ179" i="31"/>
  <c r="AT178" i="31"/>
  <c r="AS178" i="31"/>
  <c r="AR178" i="31"/>
  <c r="AQ178" i="31"/>
  <c r="AT177" i="31"/>
  <c r="AS177" i="31"/>
  <c r="AR177" i="31"/>
  <c r="AQ177" i="31"/>
  <c r="AT176" i="31"/>
  <c r="AS176" i="31"/>
  <c r="AR176" i="31"/>
  <c r="AQ176" i="31"/>
  <c r="AT175" i="31"/>
  <c r="AS175" i="31"/>
  <c r="AR175" i="31"/>
  <c r="AQ175" i="31"/>
  <c r="AT174" i="31"/>
  <c r="AS174" i="31"/>
  <c r="AR174" i="31"/>
  <c r="AQ174" i="31"/>
  <c r="AT173" i="31"/>
  <c r="AS173" i="31"/>
  <c r="AR173" i="31"/>
  <c r="AQ173" i="31"/>
  <c r="AT172" i="31"/>
  <c r="AS172" i="31"/>
  <c r="AR172" i="31"/>
  <c r="AQ172" i="31"/>
  <c r="AT171" i="31"/>
  <c r="AS171" i="31"/>
  <c r="AR171" i="31"/>
  <c r="AQ171" i="31"/>
  <c r="AT170" i="31"/>
  <c r="AS170" i="31"/>
  <c r="AR170" i="31"/>
  <c r="AQ170" i="31"/>
  <c r="AT169" i="31"/>
  <c r="AS169" i="31"/>
  <c r="AR169" i="31"/>
  <c r="AQ169" i="31"/>
  <c r="AT168" i="31"/>
  <c r="AS168" i="31"/>
  <c r="AR168" i="31"/>
  <c r="AQ168" i="31"/>
  <c r="AT167" i="31"/>
  <c r="AS167" i="31"/>
  <c r="AR167" i="31"/>
  <c r="AQ167" i="31"/>
  <c r="AT166" i="31"/>
  <c r="AS166" i="31"/>
  <c r="AR166" i="31"/>
  <c r="AQ166" i="31"/>
  <c r="AT165" i="31"/>
  <c r="AS165" i="31"/>
  <c r="AR165" i="31"/>
  <c r="AQ165" i="31"/>
  <c r="AT164" i="31"/>
  <c r="AS164" i="31"/>
  <c r="AR164" i="31"/>
  <c r="AQ164" i="31"/>
  <c r="AT163" i="31"/>
  <c r="AS163" i="31"/>
  <c r="AR163" i="31"/>
  <c r="AQ163" i="31"/>
  <c r="AT162" i="31"/>
  <c r="AS162" i="31"/>
  <c r="AR162" i="31"/>
  <c r="AQ162" i="31"/>
  <c r="AT161" i="31"/>
  <c r="AS161" i="31"/>
  <c r="AR161" i="31"/>
  <c r="AQ161" i="31"/>
  <c r="AT160" i="31"/>
  <c r="AS160" i="31"/>
  <c r="AR160" i="31"/>
  <c r="AQ160" i="31"/>
  <c r="AT159" i="31"/>
  <c r="AS159" i="31"/>
  <c r="AR159" i="31"/>
  <c r="AQ159" i="31"/>
  <c r="AT158" i="31"/>
  <c r="AS158" i="31"/>
  <c r="AR158" i="31"/>
  <c r="AQ158" i="31"/>
  <c r="AT157" i="31"/>
  <c r="AS157" i="31"/>
  <c r="AR157" i="31"/>
  <c r="AQ157" i="31"/>
  <c r="AT156" i="31"/>
  <c r="AS156" i="31"/>
  <c r="AR156" i="31"/>
  <c r="AQ156" i="31"/>
  <c r="AT155" i="31"/>
  <c r="AS155" i="31"/>
  <c r="AR155" i="31"/>
  <c r="AQ155" i="31"/>
  <c r="AT154" i="31"/>
  <c r="AS154" i="31"/>
  <c r="AR154" i="31"/>
  <c r="AQ154" i="31"/>
  <c r="AT153" i="31"/>
  <c r="AS153" i="31"/>
  <c r="AR153" i="31"/>
  <c r="AQ153" i="31"/>
  <c r="AT152" i="31"/>
  <c r="AS152" i="31"/>
  <c r="AR152" i="31"/>
  <c r="AQ152" i="31"/>
  <c r="AT151" i="31"/>
  <c r="AS151" i="31"/>
  <c r="AR151" i="31"/>
  <c r="AQ151" i="31"/>
  <c r="AT150" i="31"/>
  <c r="AS150" i="31"/>
  <c r="AR150" i="31"/>
  <c r="AQ150" i="31"/>
  <c r="AT149" i="31"/>
  <c r="AS149" i="31"/>
  <c r="AR149" i="31"/>
  <c r="AQ149" i="31"/>
  <c r="AT148" i="31"/>
  <c r="AS148" i="31"/>
  <c r="AR148" i="31"/>
  <c r="AQ148" i="31"/>
  <c r="AT147" i="31"/>
  <c r="AS147" i="31"/>
  <c r="AR147" i="31"/>
  <c r="AQ147" i="31"/>
  <c r="AT146" i="31"/>
  <c r="AS146" i="31"/>
  <c r="AR146" i="31"/>
  <c r="AQ146" i="31"/>
  <c r="AT145" i="31"/>
  <c r="AS145" i="31"/>
  <c r="AR145" i="31"/>
  <c r="AQ145" i="31"/>
  <c r="AT144" i="31"/>
  <c r="AS144" i="31"/>
  <c r="AR144" i="31"/>
  <c r="AQ144" i="31"/>
  <c r="AT143" i="31"/>
  <c r="AS143" i="31"/>
  <c r="AR143" i="31"/>
  <c r="AQ143" i="31"/>
  <c r="AT142" i="31"/>
  <c r="AS142" i="31"/>
  <c r="AR142" i="31"/>
  <c r="AQ142" i="31"/>
  <c r="AT141" i="31"/>
  <c r="AS141" i="31"/>
  <c r="AR141" i="31"/>
  <c r="AQ141" i="31"/>
  <c r="AT140" i="31"/>
  <c r="AS140" i="31"/>
  <c r="AR140" i="31"/>
  <c r="AQ140" i="31"/>
  <c r="AT139" i="31"/>
  <c r="AS139" i="31"/>
  <c r="AR139" i="31"/>
  <c r="AQ139" i="31"/>
  <c r="AT138" i="31"/>
  <c r="AS138" i="31"/>
  <c r="AR138" i="31"/>
  <c r="AQ138" i="31"/>
  <c r="AT137" i="31"/>
  <c r="AS137" i="31"/>
  <c r="AR137" i="31"/>
  <c r="AQ137" i="31"/>
  <c r="AT136" i="31"/>
  <c r="AS136" i="31"/>
  <c r="AR136" i="31"/>
  <c r="AQ136" i="31"/>
  <c r="AT135" i="31"/>
  <c r="AS135" i="31"/>
  <c r="AR135" i="31"/>
  <c r="AQ135" i="31"/>
  <c r="AT134" i="31"/>
  <c r="AS134" i="31"/>
  <c r="AR134" i="31"/>
  <c r="AQ134" i="31"/>
  <c r="AT133" i="31"/>
  <c r="AS133" i="31"/>
  <c r="AR133" i="31"/>
  <c r="AQ133" i="31"/>
  <c r="AT132" i="31"/>
  <c r="AS132" i="31"/>
  <c r="AR132" i="31"/>
  <c r="AQ132" i="31"/>
  <c r="AT131" i="31"/>
  <c r="AS131" i="31"/>
  <c r="AR131" i="31"/>
  <c r="AQ131" i="31"/>
  <c r="AT130" i="31"/>
  <c r="AS130" i="31"/>
  <c r="AR130" i="31"/>
  <c r="AQ130" i="31"/>
  <c r="AT129" i="31"/>
  <c r="AS129" i="31"/>
  <c r="AR129" i="31"/>
  <c r="AQ129" i="31"/>
  <c r="AT128" i="31"/>
  <c r="AS128" i="31"/>
  <c r="AR128" i="31"/>
  <c r="AQ128" i="31"/>
  <c r="AT127" i="31"/>
  <c r="AS127" i="31"/>
  <c r="AR127" i="31"/>
  <c r="AQ127" i="31"/>
  <c r="AT126" i="31"/>
  <c r="AS126" i="31"/>
  <c r="AR126" i="31"/>
  <c r="AQ126" i="31"/>
  <c r="AT125" i="31"/>
  <c r="AS125" i="31"/>
  <c r="AR125" i="31"/>
  <c r="AQ125" i="31"/>
  <c r="AT124" i="31"/>
  <c r="AS124" i="31"/>
  <c r="AR124" i="31"/>
  <c r="AQ124" i="31"/>
  <c r="V125" i="31"/>
  <c r="AT123" i="31"/>
  <c r="AS123" i="31"/>
  <c r="AR123" i="31"/>
  <c r="AQ123" i="31"/>
  <c r="AT122" i="31"/>
  <c r="AS122" i="31"/>
  <c r="AR122" i="31"/>
  <c r="AQ122" i="31"/>
  <c r="AT121" i="31"/>
  <c r="AS121" i="31"/>
  <c r="AR121" i="31"/>
  <c r="AQ121" i="31"/>
  <c r="AT120" i="31"/>
  <c r="AS120" i="31"/>
  <c r="AR120" i="31"/>
  <c r="AQ120" i="31"/>
  <c r="AT119" i="31"/>
  <c r="AS119" i="31"/>
  <c r="AR119" i="31"/>
  <c r="AQ119" i="31"/>
  <c r="AT118" i="31"/>
  <c r="AS118" i="31"/>
  <c r="AR118" i="31"/>
  <c r="AQ118" i="31"/>
  <c r="AT117" i="31"/>
  <c r="AS117" i="31"/>
  <c r="AR117" i="31"/>
  <c r="AQ117" i="31"/>
  <c r="AT116" i="31"/>
  <c r="AS116" i="31"/>
  <c r="AR116" i="31"/>
  <c r="AQ116" i="31"/>
  <c r="AT115" i="31"/>
  <c r="AS115" i="31"/>
  <c r="AR115" i="31"/>
  <c r="AQ115" i="31"/>
  <c r="AT114" i="31"/>
  <c r="AS114" i="31"/>
  <c r="AR114" i="31"/>
  <c r="AQ114" i="31"/>
  <c r="AT113" i="31"/>
  <c r="AS113" i="31"/>
  <c r="AR113" i="31"/>
  <c r="AQ113" i="31"/>
  <c r="AT112" i="31"/>
  <c r="AS112" i="31"/>
  <c r="AR112" i="31"/>
  <c r="AQ112" i="31"/>
  <c r="AT111" i="31"/>
  <c r="AS111" i="31"/>
  <c r="AR111" i="31"/>
  <c r="AQ111" i="31"/>
  <c r="AT110" i="31"/>
  <c r="AS110" i="31"/>
  <c r="AR110" i="31"/>
  <c r="AQ110" i="31"/>
  <c r="AT109" i="31"/>
  <c r="AS109" i="31"/>
  <c r="AR109" i="31"/>
  <c r="AQ109" i="31"/>
  <c r="AT108" i="31"/>
  <c r="AS108" i="31"/>
  <c r="AR108" i="31"/>
  <c r="AQ108" i="31"/>
  <c r="AT107" i="31"/>
  <c r="AS107" i="31"/>
  <c r="AR107" i="31"/>
  <c r="AQ107" i="31"/>
  <c r="AT106" i="31"/>
  <c r="AS106" i="31"/>
  <c r="AR106" i="31"/>
  <c r="AQ106" i="31"/>
  <c r="AT105" i="31"/>
  <c r="AS105" i="31"/>
  <c r="AR105" i="31"/>
  <c r="AQ105" i="31"/>
  <c r="AT104" i="31"/>
  <c r="AS104" i="31"/>
  <c r="AR104" i="31"/>
  <c r="AQ104" i="31"/>
  <c r="AT103" i="31"/>
  <c r="AS103" i="31"/>
  <c r="AR103" i="31"/>
  <c r="AQ103" i="31"/>
  <c r="AT102" i="31"/>
  <c r="AS102" i="31"/>
  <c r="AR102" i="31"/>
  <c r="AQ102" i="31"/>
  <c r="AT101" i="31"/>
  <c r="AS101" i="31"/>
  <c r="AR101" i="31"/>
  <c r="AQ101" i="31"/>
  <c r="AT100" i="31"/>
  <c r="AS100" i="31"/>
  <c r="AR100" i="31"/>
  <c r="AQ100" i="31"/>
  <c r="AT99" i="31"/>
  <c r="AS99" i="31"/>
  <c r="AR99" i="31"/>
  <c r="AQ99" i="31"/>
  <c r="AT98" i="31"/>
  <c r="AS98" i="31"/>
  <c r="AR98" i="31"/>
  <c r="AQ98" i="31"/>
  <c r="AT97" i="31"/>
  <c r="AS97" i="31"/>
  <c r="AR97" i="31"/>
  <c r="AQ97" i="31"/>
  <c r="AT96" i="31"/>
  <c r="AS96" i="31"/>
  <c r="AR96" i="31"/>
  <c r="AQ96" i="31"/>
  <c r="AT95" i="31"/>
  <c r="AS95" i="31"/>
  <c r="AR95" i="31"/>
  <c r="AQ95" i="31"/>
  <c r="AT94" i="31"/>
  <c r="AS94" i="31"/>
  <c r="AR94" i="31"/>
  <c r="AQ94" i="31"/>
  <c r="AT93" i="31"/>
  <c r="AS93" i="31"/>
  <c r="AR93" i="31"/>
  <c r="AQ93" i="31"/>
  <c r="AT92" i="31"/>
  <c r="AS92" i="31"/>
  <c r="AR92" i="31"/>
  <c r="AQ92" i="31"/>
  <c r="AT91" i="31"/>
  <c r="AS91" i="31"/>
  <c r="AR91" i="31"/>
  <c r="AQ91" i="31"/>
  <c r="AT90" i="31"/>
  <c r="AS90" i="31"/>
  <c r="AR90" i="31"/>
  <c r="AQ90" i="31"/>
  <c r="AT89" i="31"/>
  <c r="AS89" i="31"/>
  <c r="AR89" i="31"/>
  <c r="AQ89" i="31"/>
  <c r="AT88" i="31"/>
  <c r="AS88" i="31"/>
  <c r="AR88" i="31"/>
  <c r="AQ88" i="31"/>
  <c r="AT87" i="31"/>
  <c r="AS87" i="31"/>
  <c r="AR87" i="31"/>
  <c r="AQ87" i="31"/>
  <c r="AT86" i="31"/>
  <c r="AS86" i="31"/>
  <c r="AR86" i="31"/>
  <c r="AQ86" i="31"/>
  <c r="AT85" i="31"/>
  <c r="AS85" i="31"/>
  <c r="AR85" i="31"/>
  <c r="AQ85" i="31"/>
  <c r="AT84" i="31"/>
  <c r="AS84" i="31"/>
  <c r="AR84" i="31"/>
  <c r="AQ84" i="31"/>
  <c r="AT83" i="31"/>
  <c r="AS83" i="31"/>
  <c r="AR83" i="31"/>
  <c r="AQ83" i="31"/>
  <c r="AT82" i="31"/>
  <c r="AS82" i="31"/>
  <c r="AR82" i="31"/>
  <c r="AQ82" i="31"/>
  <c r="AT81" i="31"/>
  <c r="AS81" i="31"/>
  <c r="AR81" i="31"/>
  <c r="AQ81" i="31"/>
  <c r="AT80" i="31"/>
  <c r="AS80" i="31"/>
  <c r="AR80" i="31"/>
  <c r="AQ80" i="31"/>
  <c r="AT79" i="31"/>
  <c r="AS79" i="31"/>
  <c r="AR79" i="31"/>
  <c r="AQ79" i="31"/>
  <c r="AT78" i="31"/>
  <c r="AS78" i="31"/>
  <c r="AR78" i="31"/>
  <c r="AQ78" i="31"/>
  <c r="AT77" i="31"/>
  <c r="AS77" i="31"/>
  <c r="AR77" i="31"/>
  <c r="AQ77" i="31"/>
  <c r="AT76" i="31"/>
  <c r="AS76" i="31"/>
  <c r="AR76" i="31"/>
  <c r="AQ76" i="31"/>
  <c r="AT75" i="31"/>
  <c r="AS75" i="31"/>
  <c r="AR75" i="31"/>
  <c r="AQ75" i="31"/>
  <c r="AT74" i="31"/>
  <c r="AS74" i="31"/>
  <c r="AR74" i="31"/>
  <c r="AQ74" i="31"/>
  <c r="AT73" i="31"/>
  <c r="AS73" i="31"/>
  <c r="AR73" i="31"/>
  <c r="AQ73" i="31"/>
  <c r="AT72" i="31"/>
  <c r="AS72" i="31"/>
  <c r="AR72" i="31"/>
  <c r="AQ72" i="31"/>
  <c r="AT71" i="31"/>
  <c r="AS71" i="31"/>
  <c r="AR71" i="31"/>
  <c r="AQ71" i="31"/>
  <c r="AT70" i="31"/>
  <c r="AS70" i="31"/>
  <c r="AR70" i="31"/>
  <c r="AQ70" i="31"/>
  <c r="AT69" i="31"/>
  <c r="AS69" i="31"/>
  <c r="AR69" i="31"/>
  <c r="AQ69" i="31"/>
  <c r="AT68" i="31"/>
  <c r="AS68" i="31"/>
  <c r="AR68" i="31"/>
  <c r="AQ68" i="31"/>
  <c r="AT67" i="31"/>
  <c r="AS67" i="31"/>
  <c r="AR67" i="31"/>
  <c r="AQ67" i="31"/>
  <c r="AT66" i="31"/>
  <c r="AS66" i="31"/>
  <c r="AR66" i="31"/>
  <c r="AQ66" i="31"/>
  <c r="AT65" i="31"/>
  <c r="AS65" i="31"/>
  <c r="AR65" i="31"/>
  <c r="AQ65" i="31"/>
  <c r="AT64" i="31"/>
  <c r="AS64" i="31"/>
  <c r="AR64" i="31"/>
  <c r="AQ64" i="31"/>
  <c r="AT63" i="31"/>
  <c r="AS63" i="31"/>
  <c r="AR63" i="31"/>
  <c r="AQ63" i="31"/>
  <c r="AT62" i="31"/>
  <c r="AS62" i="31"/>
  <c r="AR62" i="31"/>
  <c r="AQ62" i="31"/>
  <c r="AT61" i="31"/>
  <c r="AS61" i="31"/>
  <c r="AR61" i="31"/>
  <c r="AQ61" i="31"/>
  <c r="AT60" i="31"/>
  <c r="AS60" i="31"/>
  <c r="AR60" i="31"/>
  <c r="AQ60" i="31"/>
  <c r="AT59" i="31"/>
  <c r="AS59" i="31"/>
  <c r="AR59" i="31"/>
  <c r="AQ59" i="31"/>
  <c r="AT58" i="31"/>
  <c r="AS58" i="31"/>
  <c r="AR58" i="31"/>
  <c r="AQ58" i="31"/>
  <c r="AT57" i="31"/>
  <c r="AS57" i="31"/>
  <c r="AR57" i="31"/>
  <c r="AQ57" i="31"/>
  <c r="AT56" i="31"/>
  <c r="AS56" i="31"/>
  <c r="AR56" i="31"/>
  <c r="AQ56" i="31"/>
  <c r="AT55" i="31"/>
  <c r="AS55" i="31"/>
  <c r="AR55" i="31"/>
  <c r="AQ55" i="31"/>
  <c r="AT54" i="31"/>
  <c r="AS54" i="31"/>
  <c r="AR54" i="31"/>
  <c r="AQ54" i="31"/>
  <c r="AT53" i="31"/>
  <c r="AS53" i="31"/>
  <c r="AR53" i="31"/>
  <c r="AQ53" i="31"/>
  <c r="AT52" i="31"/>
  <c r="AS52" i="31"/>
  <c r="AR52" i="31"/>
  <c r="AQ52" i="31"/>
  <c r="AT51" i="31"/>
  <c r="AS51" i="31"/>
  <c r="AR51" i="31"/>
  <c r="AQ51" i="31"/>
  <c r="AT50" i="31"/>
  <c r="AS50" i="31"/>
  <c r="AR50" i="31"/>
  <c r="AQ50" i="31"/>
  <c r="AT49" i="31"/>
  <c r="AS49" i="31"/>
  <c r="AR49" i="31"/>
  <c r="AQ49" i="31"/>
  <c r="AT48" i="31"/>
  <c r="AS48" i="31"/>
  <c r="AR48" i="31"/>
  <c r="AQ48" i="31"/>
  <c r="AT47" i="31"/>
  <c r="AS47" i="31"/>
  <c r="AR47" i="31"/>
  <c r="AQ47" i="31"/>
  <c r="AT46" i="31"/>
  <c r="AS46" i="31"/>
  <c r="AR46" i="31"/>
  <c r="AQ46" i="31"/>
  <c r="AT45" i="31"/>
  <c r="AS45" i="31"/>
  <c r="AR45" i="31"/>
  <c r="AQ45" i="31"/>
  <c r="AT44" i="31"/>
  <c r="AS44" i="31"/>
  <c r="AR44" i="31"/>
  <c r="AQ44" i="31"/>
  <c r="AT43" i="31"/>
  <c r="AS43" i="31"/>
  <c r="AR43" i="31"/>
  <c r="AQ43" i="31"/>
  <c r="AT42" i="31"/>
  <c r="AS42" i="31"/>
  <c r="AR42" i="31"/>
  <c r="AQ42" i="31"/>
  <c r="AT41" i="31"/>
  <c r="AS41" i="31"/>
  <c r="AR41" i="31"/>
  <c r="AQ41" i="31"/>
  <c r="AT40" i="31"/>
  <c r="AS40" i="31"/>
  <c r="AR40" i="31"/>
  <c r="AQ40" i="31"/>
  <c r="AT39" i="31"/>
  <c r="AS39" i="31"/>
  <c r="AR39" i="31"/>
  <c r="AQ39" i="31"/>
  <c r="AT38" i="31"/>
  <c r="AS38" i="31"/>
  <c r="AR38" i="31"/>
  <c r="AQ38" i="31"/>
  <c r="AT37" i="31"/>
  <c r="AS37" i="31"/>
  <c r="AR37" i="31"/>
  <c r="AQ37" i="31"/>
  <c r="AT36" i="31"/>
  <c r="AS36" i="31"/>
  <c r="AR36" i="31"/>
  <c r="AQ36" i="31"/>
  <c r="AT35" i="31"/>
  <c r="AS35" i="31"/>
  <c r="AR35" i="31"/>
  <c r="AQ35" i="31"/>
  <c r="AT34" i="31"/>
  <c r="AS34" i="31"/>
  <c r="AR34" i="31"/>
  <c r="AQ34" i="31"/>
  <c r="AT33" i="31"/>
  <c r="AS33" i="31"/>
  <c r="AR33" i="31"/>
  <c r="AQ33" i="31"/>
  <c r="AT32" i="31"/>
  <c r="AS32" i="31"/>
  <c r="AR32" i="31"/>
  <c r="AQ32" i="31"/>
  <c r="AT31" i="31"/>
  <c r="AS31" i="31"/>
  <c r="AR31" i="31"/>
  <c r="AQ31" i="31"/>
  <c r="AT30" i="31"/>
  <c r="AS30" i="31"/>
  <c r="AR30" i="31"/>
  <c r="AQ30" i="31"/>
  <c r="AT29" i="31"/>
  <c r="AS29" i="31"/>
  <c r="AR29" i="31"/>
  <c r="AQ29" i="31"/>
  <c r="AT28" i="31"/>
  <c r="AS28" i="31"/>
  <c r="AR28" i="31"/>
  <c r="AQ28" i="31"/>
  <c r="AT27" i="31"/>
  <c r="AS27" i="31"/>
  <c r="AR27" i="31"/>
  <c r="AQ27" i="31"/>
  <c r="AT26" i="31"/>
  <c r="AS26" i="31"/>
  <c r="AR26" i="31"/>
  <c r="AQ26" i="31"/>
  <c r="AT25" i="31"/>
  <c r="AS25" i="31"/>
  <c r="AR25" i="31"/>
  <c r="AQ25" i="31"/>
  <c r="AT24" i="31"/>
  <c r="AS24" i="31"/>
  <c r="AR24" i="31"/>
  <c r="AQ24" i="31"/>
  <c r="AT23" i="31"/>
  <c r="AS23" i="31"/>
  <c r="AR23" i="31"/>
  <c r="AQ23" i="31"/>
  <c r="AT22" i="31"/>
  <c r="AS22" i="31"/>
  <c r="AR22" i="31"/>
  <c r="AQ22" i="31"/>
  <c r="AT21" i="31"/>
  <c r="AS21" i="31"/>
  <c r="AR21" i="31"/>
  <c r="AQ21" i="31"/>
  <c r="AT20" i="31"/>
  <c r="AS20" i="31"/>
  <c r="AR20" i="31"/>
  <c r="AQ20" i="31"/>
  <c r="AT19" i="31"/>
  <c r="AS19" i="31"/>
  <c r="AR19" i="31"/>
  <c r="AQ19" i="31"/>
  <c r="AT18" i="31"/>
  <c r="AS18" i="31"/>
  <c r="AR18" i="31"/>
  <c r="AQ18" i="31"/>
  <c r="AT17" i="31"/>
  <c r="AS17" i="31"/>
  <c r="AR17" i="31"/>
  <c r="AQ17" i="31"/>
  <c r="AT16" i="31"/>
  <c r="AS16" i="31"/>
  <c r="AR16" i="31"/>
  <c r="AQ16" i="31"/>
  <c r="AT15" i="31"/>
  <c r="AS15" i="31"/>
  <c r="AR15" i="31"/>
  <c r="AQ15" i="31"/>
  <c r="AT14" i="31"/>
  <c r="AS14" i="31"/>
  <c r="AR14" i="31"/>
  <c r="AQ14" i="31"/>
  <c r="AT13" i="31"/>
  <c r="AS13" i="31"/>
  <c r="AR13" i="31"/>
  <c r="AQ13" i="31"/>
  <c r="AT12" i="31"/>
  <c r="AS12" i="31"/>
  <c r="AR12" i="31"/>
  <c r="AQ12" i="31"/>
  <c r="AT11" i="31"/>
  <c r="AS11" i="31"/>
  <c r="AR11" i="31"/>
  <c r="AQ11" i="31"/>
  <c r="AT10" i="31"/>
  <c r="AS10" i="31"/>
  <c r="AR10" i="31"/>
  <c r="AQ10" i="31"/>
  <c r="AT9" i="31"/>
  <c r="AS9" i="31"/>
  <c r="AR9" i="31"/>
  <c r="AQ9" i="31"/>
  <c r="AT8" i="31"/>
  <c r="AS8" i="31"/>
  <c r="AR8" i="31"/>
  <c r="AQ8" i="31"/>
  <c r="AT7" i="31"/>
  <c r="AS7" i="31"/>
  <c r="AR7" i="31"/>
  <c r="AQ7" i="31"/>
  <c r="AT6" i="31"/>
  <c r="AS6" i="31"/>
  <c r="AR6" i="31"/>
  <c r="AQ6" i="31"/>
  <c r="AT5" i="31"/>
  <c r="AS5" i="31"/>
  <c r="AR5" i="31"/>
  <c r="AQ5" i="31"/>
  <c r="AT4" i="31"/>
  <c r="AS4" i="31"/>
  <c r="AR4" i="31"/>
  <c r="AQ4" i="31"/>
  <c r="AT3" i="31"/>
  <c r="AS3" i="31"/>
  <c r="AR3" i="31"/>
  <c r="AQ3" i="31"/>
  <c r="H4" i="31"/>
  <c r="D16" i="30"/>
  <c r="R4" i="29"/>
  <c r="R5" i="29"/>
  <c r="R6" i="29"/>
  <c r="R7" i="29"/>
  <c r="R8" i="29"/>
  <c r="R9" i="29"/>
  <c r="R10" i="29"/>
  <c r="R11" i="29"/>
  <c r="R12" i="29"/>
  <c r="R13" i="29"/>
  <c r="R14" i="29"/>
  <c r="R15" i="29"/>
  <c r="R16" i="29"/>
  <c r="R17" i="29"/>
  <c r="R18" i="29"/>
  <c r="R19" i="29"/>
  <c r="R20" i="29"/>
  <c r="R21" i="29"/>
  <c r="R22" i="29"/>
  <c r="R23" i="29"/>
  <c r="R24" i="29"/>
  <c r="R25" i="29"/>
  <c r="R26" i="29"/>
  <c r="R27" i="29"/>
  <c r="R28" i="29"/>
  <c r="R29" i="29"/>
  <c r="R30" i="29"/>
  <c r="R31" i="29"/>
  <c r="R32" i="29"/>
  <c r="R33" i="29"/>
  <c r="R34" i="29"/>
  <c r="R35" i="29"/>
  <c r="R36" i="29"/>
  <c r="R37" i="29"/>
  <c r="R38" i="29"/>
  <c r="R39" i="29"/>
  <c r="R40" i="29"/>
  <c r="R41" i="29"/>
  <c r="R42" i="29"/>
  <c r="R43" i="29"/>
  <c r="R44" i="29"/>
  <c r="R45" i="29"/>
  <c r="R46" i="29"/>
  <c r="R47" i="29"/>
  <c r="R48" i="29"/>
  <c r="R49" i="29"/>
  <c r="R50" i="29"/>
  <c r="R51" i="29"/>
  <c r="R52" i="29"/>
  <c r="R53" i="29"/>
  <c r="R54" i="29"/>
  <c r="R55" i="29"/>
  <c r="R56" i="29"/>
  <c r="R57" i="29"/>
  <c r="R58" i="29"/>
  <c r="R59" i="29"/>
  <c r="R60" i="29"/>
  <c r="R61" i="29"/>
  <c r="R62" i="29"/>
  <c r="R63" i="29"/>
  <c r="R64" i="29"/>
  <c r="R65" i="29"/>
  <c r="R66" i="29"/>
  <c r="R67" i="29"/>
  <c r="R68" i="29"/>
  <c r="R69" i="29"/>
  <c r="R70" i="29"/>
  <c r="R71" i="29"/>
  <c r="R72" i="29"/>
  <c r="R73" i="29"/>
  <c r="R74" i="29"/>
  <c r="R75" i="29"/>
  <c r="R76" i="29"/>
  <c r="R77" i="29"/>
  <c r="R78" i="29"/>
  <c r="R79" i="29"/>
  <c r="R80" i="29"/>
  <c r="R81" i="29"/>
  <c r="R82" i="29"/>
  <c r="R83" i="29"/>
  <c r="R84" i="29"/>
  <c r="R85" i="29"/>
  <c r="R86" i="29"/>
  <c r="R87" i="29"/>
  <c r="R88" i="29"/>
  <c r="R89" i="29"/>
  <c r="R90" i="29"/>
  <c r="R91" i="29"/>
  <c r="R92" i="29"/>
  <c r="R93" i="29"/>
  <c r="R94" i="29"/>
  <c r="R95" i="29"/>
  <c r="R96" i="29"/>
  <c r="R97" i="29"/>
  <c r="R98" i="29"/>
  <c r="R99" i="29"/>
  <c r="R100" i="29"/>
  <c r="R101" i="29"/>
  <c r="R102" i="29"/>
  <c r="R103" i="29"/>
  <c r="R104" i="29"/>
  <c r="R105" i="29"/>
  <c r="R106" i="29"/>
  <c r="R107" i="29"/>
  <c r="R108" i="29"/>
  <c r="R109" i="29"/>
  <c r="R110" i="29"/>
  <c r="R111" i="29"/>
  <c r="R112" i="29"/>
  <c r="R113" i="29"/>
  <c r="R114" i="29"/>
  <c r="R115" i="29"/>
  <c r="R116" i="29"/>
  <c r="R117" i="29"/>
  <c r="R118" i="29"/>
  <c r="R119" i="29"/>
  <c r="R120" i="29"/>
  <c r="R121" i="29"/>
  <c r="R122" i="29"/>
  <c r="R123" i="29"/>
  <c r="R124" i="29"/>
  <c r="R125" i="29"/>
  <c r="R126" i="29"/>
  <c r="R127" i="29"/>
  <c r="R128" i="29"/>
  <c r="R129" i="29"/>
  <c r="R130" i="29"/>
  <c r="R131" i="29"/>
  <c r="R132" i="29"/>
  <c r="R133" i="29"/>
  <c r="R134" i="29"/>
  <c r="R135" i="29"/>
  <c r="R136" i="29"/>
  <c r="R137" i="29"/>
  <c r="R138" i="29"/>
  <c r="R139" i="29"/>
  <c r="R140" i="29"/>
  <c r="R141" i="29"/>
  <c r="R142" i="29"/>
  <c r="R143" i="29"/>
  <c r="R144" i="29"/>
  <c r="R145" i="29"/>
  <c r="R146" i="29"/>
  <c r="R147" i="29"/>
  <c r="R148" i="29"/>
  <c r="R149" i="29"/>
  <c r="R150" i="29"/>
  <c r="R151" i="29"/>
  <c r="R152" i="29"/>
  <c r="R153" i="29"/>
  <c r="R154" i="29"/>
  <c r="R155" i="29"/>
  <c r="R156" i="29"/>
  <c r="R157" i="29"/>
  <c r="R158" i="29"/>
  <c r="R159" i="29"/>
  <c r="R160" i="29"/>
  <c r="R161" i="29"/>
  <c r="R162" i="29"/>
  <c r="R163" i="29"/>
  <c r="R164" i="29"/>
  <c r="R165" i="29"/>
  <c r="R166" i="29"/>
  <c r="R167" i="29"/>
  <c r="R168" i="29"/>
  <c r="R169" i="29"/>
  <c r="R170" i="29"/>
  <c r="R171" i="29"/>
  <c r="R172" i="29"/>
  <c r="R173" i="29"/>
  <c r="R174" i="29"/>
  <c r="R175" i="29"/>
  <c r="R176" i="29"/>
  <c r="R177" i="29"/>
  <c r="R178" i="29"/>
  <c r="R179" i="29"/>
  <c r="R180" i="29"/>
  <c r="R181" i="29"/>
  <c r="R182" i="29"/>
  <c r="R183" i="29"/>
  <c r="R184" i="29"/>
  <c r="R185" i="29"/>
  <c r="R186" i="29"/>
  <c r="R187" i="29"/>
  <c r="R188" i="29"/>
  <c r="R189" i="29"/>
  <c r="R190" i="29"/>
  <c r="R191" i="29"/>
  <c r="R192" i="29"/>
  <c r="R193" i="29"/>
  <c r="R194" i="29"/>
  <c r="R195" i="29"/>
  <c r="R196" i="29"/>
  <c r="R197" i="29"/>
  <c r="R198" i="29"/>
  <c r="R199" i="29"/>
  <c r="R200" i="29"/>
  <c r="R201" i="29"/>
  <c r="R202" i="29"/>
  <c r="R203" i="29"/>
  <c r="R204" i="29"/>
  <c r="R205" i="29"/>
  <c r="R206" i="29"/>
  <c r="R207" i="29"/>
  <c r="R208" i="29"/>
  <c r="R209" i="29"/>
  <c r="R210" i="29"/>
  <c r="R211" i="29"/>
  <c r="R212" i="29"/>
  <c r="R213" i="29"/>
  <c r="R214" i="29"/>
  <c r="R215" i="29"/>
  <c r="R216" i="29"/>
  <c r="R217" i="29"/>
  <c r="R218" i="29"/>
  <c r="R219" i="29"/>
  <c r="R220" i="29"/>
  <c r="R221" i="29"/>
  <c r="R222" i="29"/>
  <c r="R223" i="29"/>
  <c r="R224" i="29"/>
  <c r="R225" i="29"/>
  <c r="R226" i="29"/>
  <c r="R227" i="29"/>
  <c r="R228" i="29"/>
  <c r="R229" i="29"/>
  <c r="R230" i="29"/>
  <c r="R231" i="29"/>
  <c r="R232" i="29"/>
  <c r="R233" i="29"/>
  <c r="R234" i="29"/>
  <c r="R235" i="29"/>
  <c r="R236" i="29"/>
  <c r="R237" i="29"/>
  <c r="R238" i="29"/>
  <c r="R239" i="29"/>
  <c r="R240" i="29"/>
  <c r="R241" i="29"/>
  <c r="R242" i="29"/>
  <c r="R243" i="29"/>
  <c r="R244" i="29"/>
  <c r="R245" i="29"/>
  <c r="R246" i="29"/>
  <c r="R247" i="29"/>
  <c r="R248" i="29"/>
  <c r="R249" i="29"/>
  <c r="R250" i="29"/>
  <c r="R251" i="29"/>
  <c r="R252" i="29"/>
  <c r="R253" i="29"/>
  <c r="R254" i="29"/>
  <c r="R255" i="29"/>
  <c r="R256" i="29"/>
  <c r="R257" i="29"/>
  <c r="R258" i="29"/>
  <c r="R259" i="29"/>
  <c r="R260" i="29"/>
  <c r="R261" i="29"/>
  <c r="R262" i="29"/>
  <c r="R263" i="29"/>
  <c r="R264" i="29"/>
  <c r="R265" i="29"/>
  <c r="R266" i="29"/>
  <c r="R267" i="29"/>
  <c r="R268" i="29"/>
  <c r="R269" i="29"/>
  <c r="R270" i="29"/>
  <c r="R271" i="29"/>
  <c r="R272" i="29"/>
  <c r="R273" i="29"/>
  <c r="R274" i="29"/>
  <c r="R275" i="29"/>
  <c r="R276" i="29"/>
  <c r="R277" i="29"/>
  <c r="R278" i="29"/>
  <c r="R279" i="29"/>
  <c r="R280" i="29"/>
  <c r="R281" i="29"/>
  <c r="R282" i="29"/>
  <c r="R283" i="29"/>
  <c r="R284" i="29"/>
  <c r="R285" i="29"/>
  <c r="R286" i="29"/>
  <c r="R287" i="29"/>
  <c r="R288" i="29"/>
  <c r="R289" i="29"/>
  <c r="R290" i="29"/>
  <c r="R291" i="29"/>
  <c r="R292" i="29"/>
  <c r="R293" i="29"/>
  <c r="R294" i="29"/>
  <c r="R295" i="29"/>
  <c r="R296" i="29"/>
  <c r="R297" i="29"/>
  <c r="R298" i="29"/>
  <c r="R299" i="29"/>
  <c r="R300" i="29"/>
  <c r="R301" i="29"/>
  <c r="R302" i="29"/>
  <c r="R303" i="29"/>
  <c r="R304" i="29"/>
  <c r="R305" i="29"/>
  <c r="R306" i="29"/>
  <c r="R307" i="29"/>
  <c r="R308" i="29"/>
  <c r="R309" i="29"/>
  <c r="R310" i="29"/>
  <c r="R311" i="29"/>
  <c r="R312" i="29"/>
  <c r="R313" i="29"/>
  <c r="R314" i="29"/>
  <c r="R315" i="29"/>
  <c r="R316" i="29"/>
  <c r="R317" i="29"/>
  <c r="R318" i="29"/>
  <c r="R319" i="29"/>
  <c r="R320" i="29"/>
  <c r="R321" i="29"/>
  <c r="R322" i="29"/>
  <c r="R323" i="29"/>
  <c r="R324" i="29"/>
  <c r="R325" i="29"/>
  <c r="R326" i="29"/>
  <c r="R327" i="29"/>
  <c r="R328" i="29"/>
  <c r="R329" i="29"/>
  <c r="R330" i="29"/>
  <c r="R331" i="29"/>
  <c r="R332" i="29"/>
  <c r="R333" i="29"/>
  <c r="R334" i="29"/>
  <c r="R335" i="29"/>
  <c r="R336" i="29"/>
  <c r="R337" i="29"/>
  <c r="R338" i="29"/>
  <c r="R339" i="29"/>
  <c r="R340" i="29"/>
  <c r="R341" i="29"/>
  <c r="R342" i="29"/>
  <c r="R343" i="29"/>
  <c r="R344" i="29"/>
  <c r="R345" i="29"/>
  <c r="R346" i="29"/>
  <c r="R347" i="29"/>
  <c r="R348" i="29"/>
  <c r="R349" i="29"/>
  <c r="R350" i="29"/>
  <c r="R351" i="29"/>
  <c r="R352" i="29"/>
  <c r="R353" i="29"/>
  <c r="R354" i="29"/>
  <c r="R355" i="29"/>
  <c r="R356" i="29"/>
  <c r="R357" i="29"/>
  <c r="R358" i="29"/>
  <c r="R359" i="29"/>
  <c r="R360" i="29"/>
  <c r="R361" i="29"/>
  <c r="R362" i="29"/>
  <c r="R363" i="29"/>
  <c r="R364" i="29"/>
  <c r="R365" i="29"/>
  <c r="R366" i="29"/>
  <c r="R367" i="29"/>
  <c r="R368" i="29"/>
  <c r="R369" i="29"/>
  <c r="R370" i="29"/>
  <c r="R371" i="29"/>
  <c r="R372" i="29"/>
  <c r="R373" i="29"/>
  <c r="R374" i="29"/>
  <c r="R375" i="29"/>
  <c r="R376" i="29"/>
  <c r="R377" i="29"/>
  <c r="R378" i="29"/>
  <c r="R379" i="29"/>
  <c r="R380" i="29"/>
  <c r="R3" i="29"/>
  <c r="K4" i="29"/>
  <c r="K5" i="29"/>
  <c r="K6" i="29"/>
  <c r="K7" i="29"/>
  <c r="K8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K129" i="29"/>
  <c r="K130" i="29"/>
  <c r="K131" i="29"/>
  <c r="K132" i="29"/>
  <c r="K133" i="29"/>
  <c r="K134" i="29"/>
  <c r="K135" i="29"/>
  <c r="K136" i="29"/>
  <c r="K137" i="29"/>
  <c r="K138" i="29"/>
  <c r="K139" i="29"/>
  <c r="K140" i="29"/>
  <c r="K141" i="29"/>
  <c r="K142" i="29"/>
  <c r="K143" i="29"/>
  <c r="K144" i="29"/>
  <c r="K145" i="29"/>
  <c r="K146" i="29"/>
  <c r="K147" i="29"/>
  <c r="K148" i="29"/>
  <c r="K149" i="29"/>
  <c r="K150" i="29"/>
  <c r="K151" i="29"/>
  <c r="K152" i="29"/>
  <c r="K153" i="29"/>
  <c r="K154" i="29"/>
  <c r="K155" i="29"/>
  <c r="K156" i="29"/>
  <c r="K157" i="29"/>
  <c r="K158" i="29"/>
  <c r="K159" i="29"/>
  <c r="K160" i="29"/>
  <c r="K161" i="29"/>
  <c r="K162" i="29"/>
  <c r="K163" i="29"/>
  <c r="K164" i="29"/>
  <c r="K165" i="29"/>
  <c r="K166" i="29"/>
  <c r="K167" i="29"/>
  <c r="K168" i="29"/>
  <c r="K169" i="29"/>
  <c r="K170" i="29"/>
  <c r="K171" i="29"/>
  <c r="K172" i="29"/>
  <c r="K173" i="29"/>
  <c r="K174" i="29"/>
  <c r="K175" i="29"/>
  <c r="K176" i="29"/>
  <c r="K177" i="29"/>
  <c r="K178" i="29"/>
  <c r="K179" i="29"/>
  <c r="K180" i="29"/>
  <c r="K181" i="29"/>
  <c r="K182" i="29"/>
  <c r="K183" i="29"/>
  <c r="K184" i="29"/>
  <c r="K185" i="29"/>
  <c r="K186" i="29"/>
  <c r="K187" i="29"/>
  <c r="K188" i="29"/>
  <c r="K189" i="29"/>
  <c r="K190" i="29"/>
  <c r="K191" i="29"/>
  <c r="K192" i="29"/>
  <c r="K193" i="29"/>
  <c r="K194" i="29"/>
  <c r="K195" i="29"/>
  <c r="K196" i="29"/>
  <c r="K197" i="29"/>
  <c r="K198" i="29"/>
  <c r="K199" i="29"/>
  <c r="K200" i="29"/>
  <c r="K201" i="29"/>
  <c r="K202" i="29"/>
  <c r="K203" i="29"/>
  <c r="K204" i="29"/>
  <c r="K205" i="29"/>
  <c r="K206" i="29"/>
  <c r="K207" i="29"/>
  <c r="K208" i="29"/>
  <c r="K209" i="29"/>
  <c r="K210" i="29"/>
  <c r="K211" i="29"/>
  <c r="K212" i="29"/>
  <c r="K213" i="29"/>
  <c r="K214" i="29"/>
  <c r="K215" i="29"/>
  <c r="K216" i="29"/>
  <c r="K217" i="29"/>
  <c r="K218" i="29"/>
  <c r="K219" i="29"/>
  <c r="K220" i="29"/>
  <c r="K221" i="29"/>
  <c r="K222" i="29"/>
  <c r="K223" i="29"/>
  <c r="K224" i="29"/>
  <c r="K225" i="29"/>
  <c r="K226" i="29"/>
  <c r="K227" i="29"/>
  <c r="K228" i="29"/>
  <c r="K229" i="29"/>
  <c r="K230" i="29"/>
  <c r="K231" i="29"/>
  <c r="K232" i="29"/>
  <c r="K233" i="29"/>
  <c r="K234" i="29"/>
  <c r="K235" i="29"/>
  <c r="K236" i="29"/>
  <c r="K237" i="29"/>
  <c r="K238" i="29"/>
  <c r="K239" i="29"/>
  <c r="K240" i="29"/>
  <c r="K241" i="29"/>
  <c r="K242" i="29"/>
  <c r="K243" i="29"/>
  <c r="K244" i="29"/>
  <c r="K245" i="29"/>
  <c r="K246" i="29"/>
  <c r="K247" i="29"/>
  <c r="K248" i="29"/>
  <c r="K249" i="29"/>
  <c r="K250" i="29"/>
  <c r="K251" i="29"/>
  <c r="K252" i="29"/>
  <c r="K253" i="29"/>
  <c r="K254" i="29"/>
  <c r="K255" i="29"/>
  <c r="K256" i="29"/>
  <c r="K257" i="29"/>
  <c r="K258" i="29"/>
  <c r="K259" i="29"/>
  <c r="K260" i="29"/>
  <c r="K261" i="29"/>
  <c r="K262" i="29"/>
  <c r="K263" i="29"/>
  <c r="K264" i="29"/>
  <c r="K265" i="29"/>
  <c r="K266" i="29"/>
  <c r="K267" i="29"/>
  <c r="K268" i="29"/>
  <c r="K269" i="29"/>
  <c r="K270" i="29"/>
  <c r="K271" i="29"/>
  <c r="K272" i="29"/>
  <c r="K273" i="29"/>
  <c r="K274" i="29"/>
  <c r="K275" i="29"/>
  <c r="K276" i="29"/>
  <c r="K277" i="29"/>
  <c r="K278" i="29"/>
  <c r="K279" i="29"/>
  <c r="K280" i="29"/>
  <c r="K281" i="29"/>
  <c r="K282" i="29"/>
  <c r="K283" i="29"/>
  <c r="K284" i="29"/>
  <c r="K285" i="29"/>
  <c r="K286" i="29"/>
  <c r="K287" i="29"/>
  <c r="K288" i="29"/>
  <c r="K289" i="29"/>
  <c r="K290" i="29"/>
  <c r="K291" i="29"/>
  <c r="K292" i="29"/>
  <c r="K293" i="29"/>
  <c r="K294" i="29"/>
  <c r="K295" i="29"/>
  <c r="K296" i="29"/>
  <c r="K297" i="29"/>
  <c r="K298" i="29"/>
  <c r="K299" i="29"/>
  <c r="K300" i="29"/>
  <c r="K301" i="29"/>
  <c r="K302" i="29"/>
  <c r="K303" i="29"/>
  <c r="K304" i="29"/>
  <c r="K305" i="29"/>
  <c r="K306" i="29"/>
  <c r="K307" i="29"/>
  <c r="K308" i="29"/>
  <c r="K309" i="29"/>
  <c r="K310" i="29"/>
  <c r="K311" i="29"/>
  <c r="K312" i="29"/>
  <c r="K313" i="29"/>
  <c r="K314" i="29"/>
  <c r="K315" i="29"/>
  <c r="K316" i="29"/>
  <c r="K317" i="29"/>
  <c r="K318" i="29"/>
  <c r="K319" i="29"/>
  <c r="K320" i="29"/>
  <c r="K321" i="29"/>
  <c r="K322" i="29"/>
  <c r="K323" i="29"/>
  <c r="K324" i="29"/>
  <c r="K325" i="29"/>
  <c r="K326" i="29"/>
  <c r="K327" i="29"/>
  <c r="K328" i="29"/>
  <c r="K329" i="29"/>
  <c r="K330" i="29"/>
  <c r="K331" i="29"/>
  <c r="K332" i="29"/>
  <c r="K333" i="29"/>
  <c r="K334" i="29"/>
  <c r="K335" i="29"/>
  <c r="K336" i="29"/>
  <c r="K337" i="29"/>
  <c r="K338" i="29"/>
  <c r="K339" i="29"/>
  <c r="K340" i="29"/>
  <c r="K341" i="29"/>
  <c r="K342" i="29"/>
  <c r="K343" i="29"/>
  <c r="K344" i="29"/>
  <c r="K345" i="29"/>
  <c r="K346" i="29"/>
  <c r="K347" i="29"/>
  <c r="K348" i="29"/>
  <c r="K349" i="29"/>
  <c r="K350" i="29"/>
  <c r="K351" i="29"/>
  <c r="K352" i="29"/>
  <c r="K353" i="29"/>
  <c r="K354" i="29"/>
  <c r="K355" i="29"/>
  <c r="K356" i="29"/>
  <c r="K357" i="29"/>
  <c r="K358" i="29"/>
  <c r="K359" i="29"/>
  <c r="K360" i="29"/>
  <c r="K361" i="29"/>
  <c r="K362" i="29"/>
  <c r="K363" i="29"/>
  <c r="K364" i="29"/>
  <c r="K365" i="29"/>
  <c r="K366" i="29"/>
  <c r="K367" i="29"/>
  <c r="K368" i="29"/>
  <c r="K369" i="29"/>
  <c r="K370" i="29"/>
  <c r="K371" i="29"/>
  <c r="K372" i="29"/>
  <c r="K373" i="29"/>
  <c r="K374" i="29"/>
  <c r="K375" i="29"/>
  <c r="K376" i="29"/>
  <c r="K377" i="29"/>
  <c r="K378" i="29"/>
  <c r="K379" i="29"/>
  <c r="K380" i="29"/>
  <c r="K3" i="29"/>
  <c r="D4" i="29"/>
  <c r="D5" i="29"/>
  <c r="D6" i="29"/>
  <c r="D7" i="29"/>
  <c r="D8" i="29"/>
  <c r="D9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162" i="29"/>
  <c r="D163" i="29"/>
  <c r="D164" i="29"/>
  <c r="D165" i="29"/>
  <c r="D166" i="29"/>
  <c r="D167" i="29"/>
  <c r="D168" i="29"/>
  <c r="D169" i="29"/>
  <c r="D170" i="29"/>
  <c r="D171" i="29"/>
  <c r="D172" i="29"/>
  <c r="D173" i="29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44" i="29"/>
  <c r="D245" i="29"/>
  <c r="D246" i="29"/>
  <c r="D247" i="29"/>
  <c r="D248" i="29"/>
  <c r="D249" i="29"/>
  <c r="D250" i="29"/>
  <c r="D251" i="29"/>
  <c r="D252" i="29"/>
  <c r="D253" i="29"/>
  <c r="D254" i="29"/>
  <c r="D255" i="29"/>
  <c r="D256" i="29"/>
  <c r="D257" i="29"/>
  <c r="D258" i="29"/>
  <c r="D259" i="29"/>
  <c r="D260" i="29"/>
  <c r="D261" i="29"/>
  <c r="D262" i="29"/>
  <c r="D263" i="29"/>
  <c r="D264" i="29"/>
  <c r="D265" i="29"/>
  <c r="D266" i="29"/>
  <c r="D267" i="29"/>
  <c r="D268" i="29"/>
  <c r="D269" i="29"/>
  <c r="D270" i="29"/>
  <c r="D271" i="29"/>
  <c r="D272" i="29"/>
  <c r="D273" i="29"/>
  <c r="D274" i="29"/>
  <c r="D275" i="29"/>
  <c r="D276" i="29"/>
  <c r="D277" i="29"/>
  <c r="D278" i="29"/>
  <c r="D279" i="29"/>
  <c r="D280" i="29"/>
  <c r="D281" i="29"/>
  <c r="D282" i="29"/>
  <c r="D283" i="29"/>
  <c r="D284" i="29"/>
  <c r="D285" i="29"/>
  <c r="D286" i="29"/>
  <c r="D287" i="29"/>
  <c r="D288" i="29"/>
  <c r="D289" i="29"/>
  <c r="D290" i="29"/>
  <c r="D291" i="29"/>
  <c r="D292" i="29"/>
  <c r="D293" i="29"/>
  <c r="D294" i="29"/>
  <c r="D295" i="29"/>
  <c r="D296" i="29"/>
  <c r="D297" i="29"/>
  <c r="D298" i="29"/>
  <c r="D299" i="29"/>
  <c r="D300" i="29"/>
  <c r="D301" i="29"/>
  <c r="D302" i="29"/>
  <c r="D303" i="29"/>
  <c r="D304" i="29"/>
  <c r="D305" i="29"/>
  <c r="D306" i="29"/>
  <c r="D307" i="29"/>
  <c r="D308" i="29"/>
  <c r="D309" i="29"/>
  <c r="D310" i="29"/>
  <c r="D311" i="29"/>
  <c r="D312" i="29"/>
  <c r="D313" i="29"/>
  <c r="D314" i="29"/>
  <c r="D315" i="29"/>
  <c r="D316" i="29"/>
  <c r="D317" i="29"/>
  <c r="D318" i="29"/>
  <c r="D319" i="29"/>
  <c r="D320" i="29"/>
  <c r="D321" i="29"/>
  <c r="D322" i="29"/>
  <c r="D323" i="29"/>
  <c r="D324" i="29"/>
  <c r="D325" i="29"/>
  <c r="D326" i="29"/>
  <c r="D327" i="29"/>
  <c r="D328" i="29"/>
  <c r="D329" i="29"/>
  <c r="D330" i="29"/>
  <c r="D331" i="29"/>
  <c r="D332" i="29"/>
  <c r="D333" i="29"/>
  <c r="D334" i="29"/>
  <c r="D335" i="29"/>
  <c r="D336" i="29"/>
  <c r="D337" i="29"/>
  <c r="D338" i="29"/>
  <c r="D339" i="29"/>
  <c r="D340" i="29"/>
  <c r="D341" i="29"/>
  <c r="D342" i="29"/>
  <c r="D343" i="29"/>
  <c r="D344" i="29"/>
  <c r="D345" i="29"/>
  <c r="D346" i="29"/>
  <c r="D347" i="29"/>
  <c r="D348" i="29"/>
  <c r="D349" i="29"/>
  <c r="D350" i="29"/>
  <c r="D351" i="29"/>
  <c r="D352" i="29"/>
  <c r="D353" i="29"/>
  <c r="D354" i="29"/>
  <c r="D355" i="29"/>
  <c r="D356" i="29"/>
  <c r="D357" i="29"/>
  <c r="D358" i="29"/>
  <c r="D359" i="29"/>
  <c r="D360" i="29"/>
  <c r="D361" i="29"/>
  <c r="D362" i="29"/>
  <c r="D363" i="29"/>
  <c r="D364" i="29"/>
  <c r="D365" i="29"/>
  <c r="D366" i="29"/>
  <c r="D367" i="29"/>
  <c r="D368" i="29"/>
  <c r="D369" i="29"/>
  <c r="D370" i="29"/>
  <c r="D371" i="29"/>
  <c r="D372" i="29"/>
  <c r="D373" i="29"/>
  <c r="D374" i="29"/>
  <c r="D375" i="29"/>
  <c r="D376" i="29"/>
  <c r="D377" i="29"/>
  <c r="D378" i="29"/>
  <c r="D379" i="29"/>
  <c r="D380" i="29"/>
  <c r="D3" i="29"/>
  <c r="W5" i="29"/>
  <c r="W124" i="29"/>
  <c r="V125" i="29" s="1"/>
  <c r="W247" i="29"/>
  <c r="W368" i="29"/>
  <c r="V369" i="29" s="1"/>
  <c r="W4" i="29"/>
  <c r="W3" i="29"/>
  <c r="V3" i="29"/>
  <c r="P124" i="29"/>
  <c r="O125" i="29" s="1"/>
  <c r="P247" i="29"/>
  <c r="P368" i="29"/>
  <c r="O369" i="29" s="1"/>
  <c r="P3" i="29"/>
  <c r="O3" i="29"/>
  <c r="I124" i="29"/>
  <c r="H125" i="29" s="1"/>
  <c r="I247" i="29"/>
  <c r="H248" i="29" s="1"/>
  <c r="I368" i="29"/>
  <c r="H369" i="29" s="1"/>
  <c r="I3" i="29"/>
  <c r="H3" i="29"/>
  <c r="O248" i="29"/>
  <c r="V4" i="29"/>
  <c r="Z4" i="25"/>
  <c r="P4" i="25"/>
  <c r="K4" i="25"/>
  <c r="F4" i="25"/>
  <c r="AF380" i="29"/>
  <c r="AE380" i="29"/>
  <c r="AD380" i="29"/>
  <c r="AC380" i="29"/>
  <c r="AF379" i="29"/>
  <c r="AE379" i="29"/>
  <c r="AD379" i="29"/>
  <c r="AC379" i="29"/>
  <c r="AF378" i="29"/>
  <c r="AE378" i="29"/>
  <c r="AD378" i="29"/>
  <c r="AC378" i="29"/>
  <c r="AF377" i="29"/>
  <c r="AE377" i="29"/>
  <c r="AD377" i="29"/>
  <c r="AC377" i="29"/>
  <c r="AF376" i="29"/>
  <c r="AE376" i="29"/>
  <c r="AD376" i="29"/>
  <c r="AC376" i="29"/>
  <c r="AF375" i="29"/>
  <c r="AE375" i="29"/>
  <c r="AD375" i="29"/>
  <c r="AC375" i="29"/>
  <c r="AF374" i="29"/>
  <c r="AE374" i="29"/>
  <c r="AD374" i="29"/>
  <c r="AC374" i="29"/>
  <c r="AF373" i="29"/>
  <c r="AE373" i="29"/>
  <c r="AD373" i="29"/>
  <c r="AC373" i="29"/>
  <c r="AF372" i="29"/>
  <c r="AE372" i="29"/>
  <c r="AD372" i="29"/>
  <c r="AC372" i="29"/>
  <c r="AF371" i="29"/>
  <c r="AE371" i="29"/>
  <c r="AD371" i="29"/>
  <c r="AC371" i="29"/>
  <c r="AF370" i="29"/>
  <c r="AE370" i="29"/>
  <c r="AD370" i="29"/>
  <c r="AC370" i="29"/>
  <c r="AF369" i="29"/>
  <c r="AE369" i="29"/>
  <c r="AD369" i="29"/>
  <c r="AC369" i="29"/>
  <c r="AF368" i="29"/>
  <c r="AE368" i="29"/>
  <c r="AD368" i="29"/>
  <c r="AC368" i="29"/>
  <c r="AF367" i="29"/>
  <c r="AE367" i="29"/>
  <c r="AD367" i="29"/>
  <c r="AC367" i="29"/>
  <c r="AF366" i="29"/>
  <c r="AE366" i="29"/>
  <c r="AD366" i="29"/>
  <c r="AC366" i="29"/>
  <c r="AF365" i="29"/>
  <c r="AE365" i="29"/>
  <c r="AD365" i="29"/>
  <c r="AC365" i="29"/>
  <c r="AF364" i="29"/>
  <c r="AE364" i="29"/>
  <c r="AD364" i="29"/>
  <c r="AC364" i="29"/>
  <c r="AF363" i="29"/>
  <c r="AE363" i="29"/>
  <c r="AD363" i="29"/>
  <c r="AC363" i="29"/>
  <c r="AF362" i="29"/>
  <c r="AE362" i="29"/>
  <c r="AD362" i="29"/>
  <c r="AC362" i="29"/>
  <c r="AF361" i="29"/>
  <c r="AE361" i="29"/>
  <c r="AD361" i="29"/>
  <c r="AC361" i="29"/>
  <c r="AF360" i="29"/>
  <c r="AE360" i="29"/>
  <c r="AD360" i="29"/>
  <c r="AC360" i="29"/>
  <c r="AF359" i="29"/>
  <c r="AE359" i="29"/>
  <c r="AD359" i="29"/>
  <c r="AC359" i="29"/>
  <c r="AF358" i="29"/>
  <c r="AE358" i="29"/>
  <c r="AD358" i="29"/>
  <c r="AC358" i="29"/>
  <c r="AF357" i="29"/>
  <c r="AE357" i="29"/>
  <c r="AD357" i="29"/>
  <c r="AC357" i="29"/>
  <c r="AF356" i="29"/>
  <c r="AE356" i="29"/>
  <c r="AD356" i="29"/>
  <c r="AC356" i="29"/>
  <c r="AF355" i="29"/>
  <c r="AE355" i="29"/>
  <c r="AD355" i="29"/>
  <c r="AC355" i="29"/>
  <c r="AF354" i="29"/>
  <c r="AE354" i="29"/>
  <c r="AD354" i="29"/>
  <c r="AC354" i="29"/>
  <c r="AF353" i="29"/>
  <c r="AE353" i="29"/>
  <c r="AD353" i="29"/>
  <c r="AC353" i="29"/>
  <c r="AF352" i="29"/>
  <c r="AE352" i="29"/>
  <c r="AD352" i="29"/>
  <c r="AC352" i="29"/>
  <c r="AF351" i="29"/>
  <c r="AE351" i="29"/>
  <c r="AD351" i="29"/>
  <c r="AC351" i="29"/>
  <c r="AF350" i="29"/>
  <c r="AE350" i="29"/>
  <c r="AD350" i="29"/>
  <c r="AC350" i="29"/>
  <c r="AF349" i="29"/>
  <c r="AE349" i="29"/>
  <c r="AD349" i="29"/>
  <c r="AC349" i="29"/>
  <c r="AF348" i="29"/>
  <c r="AE348" i="29"/>
  <c r="AD348" i="29"/>
  <c r="AC348" i="29"/>
  <c r="AF347" i="29"/>
  <c r="AE347" i="29"/>
  <c r="AD347" i="29"/>
  <c r="AC347" i="29"/>
  <c r="AF346" i="29"/>
  <c r="AE346" i="29"/>
  <c r="AD346" i="29"/>
  <c r="AC346" i="29"/>
  <c r="AF345" i="29"/>
  <c r="AE345" i="29"/>
  <c r="AD345" i="29"/>
  <c r="AC345" i="29"/>
  <c r="AF344" i="29"/>
  <c r="AE344" i="29"/>
  <c r="AD344" i="29"/>
  <c r="AC344" i="29"/>
  <c r="AF343" i="29"/>
  <c r="AE343" i="29"/>
  <c r="AD343" i="29"/>
  <c r="AC343" i="29"/>
  <c r="AF342" i="29"/>
  <c r="AE342" i="29"/>
  <c r="AD342" i="29"/>
  <c r="AC342" i="29"/>
  <c r="AF341" i="29"/>
  <c r="AE341" i="29"/>
  <c r="AD341" i="29"/>
  <c r="AC341" i="29"/>
  <c r="AF340" i="29"/>
  <c r="AE340" i="29"/>
  <c r="AD340" i="29"/>
  <c r="AC340" i="29"/>
  <c r="AF339" i="29"/>
  <c r="AE339" i="29"/>
  <c r="AD339" i="29"/>
  <c r="AC339" i="29"/>
  <c r="AF338" i="29"/>
  <c r="AE338" i="29"/>
  <c r="AD338" i="29"/>
  <c r="AC338" i="29"/>
  <c r="AF337" i="29"/>
  <c r="AE337" i="29"/>
  <c r="AD337" i="29"/>
  <c r="AC337" i="29"/>
  <c r="AF336" i="29"/>
  <c r="AE336" i="29"/>
  <c r="AD336" i="29"/>
  <c r="AC336" i="29"/>
  <c r="AF335" i="29"/>
  <c r="AE335" i="29"/>
  <c r="AD335" i="29"/>
  <c r="AC335" i="29"/>
  <c r="AF334" i="29"/>
  <c r="AE334" i="29"/>
  <c r="AD334" i="29"/>
  <c r="AC334" i="29"/>
  <c r="AF333" i="29"/>
  <c r="AE333" i="29"/>
  <c r="AD333" i="29"/>
  <c r="AC333" i="29"/>
  <c r="AF332" i="29"/>
  <c r="AE332" i="29"/>
  <c r="AD332" i="29"/>
  <c r="AC332" i="29"/>
  <c r="AF331" i="29"/>
  <c r="AE331" i="29"/>
  <c r="AD331" i="29"/>
  <c r="AC331" i="29"/>
  <c r="AF330" i="29"/>
  <c r="AE330" i="29"/>
  <c r="AD330" i="29"/>
  <c r="AC330" i="29"/>
  <c r="AF329" i="29"/>
  <c r="AE329" i="29"/>
  <c r="AD329" i="29"/>
  <c r="AC329" i="29"/>
  <c r="AF328" i="29"/>
  <c r="AE328" i="29"/>
  <c r="AD328" i="29"/>
  <c r="AC328" i="29"/>
  <c r="AF327" i="29"/>
  <c r="AE327" i="29"/>
  <c r="AD327" i="29"/>
  <c r="AC327" i="29"/>
  <c r="AF326" i="29"/>
  <c r="AE326" i="29"/>
  <c r="AD326" i="29"/>
  <c r="AC326" i="29"/>
  <c r="AF325" i="29"/>
  <c r="AE325" i="29"/>
  <c r="AD325" i="29"/>
  <c r="AC325" i="29"/>
  <c r="AF324" i="29"/>
  <c r="AE324" i="29"/>
  <c r="AD324" i="29"/>
  <c r="AC324" i="29"/>
  <c r="AF323" i="29"/>
  <c r="AE323" i="29"/>
  <c r="AD323" i="29"/>
  <c r="AC323" i="29"/>
  <c r="AF322" i="29"/>
  <c r="AE322" i="29"/>
  <c r="AD322" i="29"/>
  <c r="AC322" i="29"/>
  <c r="AF321" i="29"/>
  <c r="AE321" i="29"/>
  <c r="AD321" i="29"/>
  <c r="AC321" i="29"/>
  <c r="AF320" i="29"/>
  <c r="AE320" i="29"/>
  <c r="AD320" i="29"/>
  <c r="AC320" i="29"/>
  <c r="AF319" i="29"/>
  <c r="AE319" i="29"/>
  <c r="AD319" i="29"/>
  <c r="AC319" i="29"/>
  <c r="AF318" i="29"/>
  <c r="AE318" i="29"/>
  <c r="AD318" i="29"/>
  <c r="AC318" i="29"/>
  <c r="AF317" i="29"/>
  <c r="AE317" i="29"/>
  <c r="AD317" i="29"/>
  <c r="AC317" i="29"/>
  <c r="AF316" i="29"/>
  <c r="AE316" i="29"/>
  <c r="AD316" i="29"/>
  <c r="AC316" i="29"/>
  <c r="AF315" i="29"/>
  <c r="AE315" i="29"/>
  <c r="AD315" i="29"/>
  <c r="AC315" i="29"/>
  <c r="AF314" i="29"/>
  <c r="AE314" i="29"/>
  <c r="AD314" i="29"/>
  <c r="AC314" i="29"/>
  <c r="AF313" i="29"/>
  <c r="AE313" i="29"/>
  <c r="AD313" i="29"/>
  <c r="AC313" i="29"/>
  <c r="AF312" i="29"/>
  <c r="AE312" i="29"/>
  <c r="AD312" i="29"/>
  <c r="AC312" i="29"/>
  <c r="AF311" i="29"/>
  <c r="AE311" i="29"/>
  <c r="AD311" i="29"/>
  <c r="AC311" i="29"/>
  <c r="AF310" i="29"/>
  <c r="AE310" i="29"/>
  <c r="AD310" i="29"/>
  <c r="AC310" i="29"/>
  <c r="AF309" i="29"/>
  <c r="AE309" i="29"/>
  <c r="AD309" i="29"/>
  <c r="AC309" i="29"/>
  <c r="AF308" i="29"/>
  <c r="AE308" i="29"/>
  <c r="AD308" i="29"/>
  <c r="AC308" i="29"/>
  <c r="AF307" i="29"/>
  <c r="AE307" i="29"/>
  <c r="AD307" i="29"/>
  <c r="AC307" i="29"/>
  <c r="AF306" i="29"/>
  <c r="AE306" i="29"/>
  <c r="AD306" i="29"/>
  <c r="AC306" i="29"/>
  <c r="AF305" i="29"/>
  <c r="AE305" i="29"/>
  <c r="AD305" i="29"/>
  <c r="AC305" i="29"/>
  <c r="AF304" i="29"/>
  <c r="AE304" i="29"/>
  <c r="AD304" i="29"/>
  <c r="AC304" i="29"/>
  <c r="AF303" i="29"/>
  <c r="AE303" i="29"/>
  <c r="AD303" i="29"/>
  <c r="AC303" i="29"/>
  <c r="AF302" i="29"/>
  <c r="AE302" i="29"/>
  <c r="AD302" i="29"/>
  <c r="AC302" i="29"/>
  <c r="AF301" i="29"/>
  <c r="AE301" i="29"/>
  <c r="AD301" i="29"/>
  <c r="AC301" i="29"/>
  <c r="AF300" i="29"/>
  <c r="AE300" i="29"/>
  <c r="AD300" i="29"/>
  <c r="AC300" i="29"/>
  <c r="AF299" i="29"/>
  <c r="AE299" i="29"/>
  <c r="AD299" i="29"/>
  <c r="AC299" i="29"/>
  <c r="AF298" i="29"/>
  <c r="AE298" i="29"/>
  <c r="AD298" i="29"/>
  <c r="AC298" i="29"/>
  <c r="AF297" i="29"/>
  <c r="AE297" i="29"/>
  <c r="AD297" i="29"/>
  <c r="AC297" i="29"/>
  <c r="AF296" i="29"/>
  <c r="AE296" i="29"/>
  <c r="AD296" i="29"/>
  <c r="AC296" i="29"/>
  <c r="AF295" i="29"/>
  <c r="AE295" i="29"/>
  <c r="AD295" i="29"/>
  <c r="AC295" i="29"/>
  <c r="AF294" i="29"/>
  <c r="AE294" i="29"/>
  <c r="AD294" i="29"/>
  <c r="AC294" i="29"/>
  <c r="AF293" i="29"/>
  <c r="AE293" i="29"/>
  <c r="AD293" i="29"/>
  <c r="AC293" i="29"/>
  <c r="AF292" i="29"/>
  <c r="AE292" i="29"/>
  <c r="AD292" i="29"/>
  <c r="AC292" i="29"/>
  <c r="AF291" i="29"/>
  <c r="AE291" i="29"/>
  <c r="AD291" i="29"/>
  <c r="AC291" i="29"/>
  <c r="AF290" i="29"/>
  <c r="AE290" i="29"/>
  <c r="AD290" i="29"/>
  <c r="AC290" i="29"/>
  <c r="AF289" i="29"/>
  <c r="AE289" i="29"/>
  <c r="AD289" i="29"/>
  <c r="AC289" i="29"/>
  <c r="AF288" i="29"/>
  <c r="AE288" i="29"/>
  <c r="AD288" i="29"/>
  <c r="AC288" i="29"/>
  <c r="AF287" i="29"/>
  <c r="AE287" i="29"/>
  <c r="AD287" i="29"/>
  <c r="AC287" i="29"/>
  <c r="AF286" i="29"/>
  <c r="AE286" i="29"/>
  <c r="AD286" i="29"/>
  <c r="AC286" i="29"/>
  <c r="AF285" i="29"/>
  <c r="AE285" i="29"/>
  <c r="AD285" i="29"/>
  <c r="AC285" i="29"/>
  <c r="AF284" i="29"/>
  <c r="AE284" i="29"/>
  <c r="AD284" i="29"/>
  <c r="AC284" i="29"/>
  <c r="AF283" i="29"/>
  <c r="AE283" i="29"/>
  <c r="AD283" i="29"/>
  <c r="AC283" i="29"/>
  <c r="AF282" i="29"/>
  <c r="AE282" i="29"/>
  <c r="AD282" i="29"/>
  <c r="AC282" i="29"/>
  <c r="AF281" i="29"/>
  <c r="AE281" i="29"/>
  <c r="AD281" i="29"/>
  <c r="AC281" i="29"/>
  <c r="AF280" i="29"/>
  <c r="AE280" i="29"/>
  <c r="AD280" i="29"/>
  <c r="AC280" i="29"/>
  <c r="AF279" i="29"/>
  <c r="AE279" i="29"/>
  <c r="AD279" i="29"/>
  <c r="AC279" i="29"/>
  <c r="AF278" i="29"/>
  <c r="AE278" i="29"/>
  <c r="AD278" i="29"/>
  <c r="AC278" i="29"/>
  <c r="AF277" i="29"/>
  <c r="AE277" i="29"/>
  <c r="AD277" i="29"/>
  <c r="AC277" i="29"/>
  <c r="AF276" i="29"/>
  <c r="AE276" i="29"/>
  <c r="AD276" i="29"/>
  <c r="AC276" i="29"/>
  <c r="AF275" i="29"/>
  <c r="AE275" i="29"/>
  <c r="AD275" i="29"/>
  <c r="AC275" i="29"/>
  <c r="AF274" i="29"/>
  <c r="AE274" i="29"/>
  <c r="AD274" i="29"/>
  <c r="AC274" i="29"/>
  <c r="AF273" i="29"/>
  <c r="AE273" i="29"/>
  <c r="AD273" i="29"/>
  <c r="AC273" i="29"/>
  <c r="AF272" i="29"/>
  <c r="AE272" i="29"/>
  <c r="AD272" i="29"/>
  <c r="AC272" i="29"/>
  <c r="AF271" i="29"/>
  <c r="AE271" i="29"/>
  <c r="AD271" i="29"/>
  <c r="AC271" i="29"/>
  <c r="AF270" i="29"/>
  <c r="AE270" i="29"/>
  <c r="AD270" i="29"/>
  <c r="AC270" i="29"/>
  <c r="AF269" i="29"/>
  <c r="AE269" i="29"/>
  <c r="AD269" i="29"/>
  <c r="AC269" i="29"/>
  <c r="AF268" i="29"/>
  <c r="AE268" i="29"/>
  <c r="AD268" i="29"/>
  <c r="AC268" i="29"/>
  <c r="AF267" i="29"/>
  <c r="AE267" i="29"/>
  <c r="AD267" i="29"/>
  <c r="AC267" i="29"/>
  <c r="AF266" i="29"/>
  <c r="AE266" i="29"/>
  <c r="AD266" i="29"/>
  <c r="AC266" i="29"/>
  <c r="AF265" i="29"/>
  <c r="AE265" i="29"/>
  <c r="AD265" i="29"/>
  <c r="AC265" i="29"/>
  <c r="AF264" i="29"/>
  <c r="AE264" i="29"/>
  <c r="AD264" i="29"/>
  <c r="AC264" i="29"/>
  <c r="AF263" i="29"/>
  <c r="AE263" i="29"/>
  <c r="AD263" i="29"/>
  <c r="AC263" i="29"/>
  <c r="AF262" i="29"/>
  <c r="AE262" i="29"/>
  <c r="AD262" i="29"/>
  <c r="AC262" i="29"/>
  <c r="AF261" i="29"/>
  <c r="AE261" i="29"/>
  <c r="AD261" i="29"/>
  <c r="AC261" i="29"/>
  <c r="AF260" i="29"/>
  <c r="AE260" i="29"/>
  <c r="AD260" i="29"/>
  <c r="AC260" i="29"/>
  <c r="AF259" i="29"/>
  <c r="AE259" i="29"/>
  <c r="AD259" i="29"/>
  <c r="AC259" i="29"/>
  <c r="AF258" i="29"/>
  <c r="AE258" i="29"/>
  <c r="AD258" i="29"/>
  <c r="AC258" i="29"/>
  <c r="AF257" i="29"/>
  <c r="AE257" i="29"/>
  <c r="AD257" i="29"/>
  <c r="AC257" i="29"/>
  <c r="AF256" i="29"/>
  <c r="AE256" i="29"/>
  <c r="AD256" i="29"/>
  <c r="AC256" i="29"/>
  <c r="AF255" i="29"/>
  <c r="AE255" i="29"/>
  <c r="AD255" i="29"/>
  <c r="AC255" i="29"/>
  <c r="AF254" i="29"/>
  <c r="AE254" i="29"/>
  <c r="AD254" i="29"/>
  <c r="AC254" i="29"/>
  <c r="AF253" i="29"/>
  <c r="AE253" i="29"/>
  <c r="AD253" i="29"/>
  <c r="AC253" i="29"/>
  <c r="AF252" i="29"/>
  <c r="AE252" i="29"/>
  <c r="AD252" i="29"/>
  <c r="AC252" i="29"/>
  <c r="AF251" i="29"/>
  <c r="AE251" i="29"/>
  <c r="AD251" i="29"/>
  <c r="AC251" i="29"/>
  <c r="AF250" i="29"/>
  <c r="AE250" i="29"/>
  <c r="AD250" i="29"/>
  <c r="AC250" i="29"/>
  <c r="AF249" i="29"/>
  <c r="AE249" i="29"/>
  <c r="AD249" i="29"/>
  <c r="AC249" i="29"/>
  <c r="AF248" i="29"/>
  <c r="AE248" i="29"/>
  <c r="AD248" i="29"/>
  <c r="AC248" i="29"/>
  <c r="AF247" i="29"/>
  <c r="AE247" i="29"/>
  <c r="AD247" i="29"/>
  <c r="AC247" i="29"/>
  <c r="AF246" i="29"/>
  <c r="AE246" i="29"/>
  <c r="AD246" i="29"/>
  <c r="AC246" i="29"/>
  <c r="AF245" i="29"/>
  <c r="AE245" i="29"/>
  <c r="AD245" i="29"/>
  <c r="AC245" i="29"/>
  <c r="AF244" i="29"/>
  <c r="AE244" i="29"/>
  <c r="AD244" i="29"/>
  <c r="AC244" i="29"/>
  <c r="AF243" i="29"/>
  <c r="AE243" i="29"/>
  <c r="AD243" i="29"/>
  <c r="AC243" i="29"/>
  <c r="AF242" i="29"/>
  <c r="AE242" i="29"/>
  <c r="AD242" i="29"/>
  <c r="AC242" i="29"/>
  <c r="AF241" i="29"/>
  <c r="AE241" i="29"/>
  <c r="AD241" i="29"/>
  <c r="AC241" i="29"/>
  <c r="AF240" i="29"/>
  <c r="AE240" i="29"/>
  <c r="AD240" i="29"/>
  <c r="AC240" i="29"/>
  <c r="AF239" i="29"/>
  <c r="AE239" i="29"/>
  <c r="AD239" i="29"/>
  <c r="AC239" i="29"/>
  <c r="AF238" i="29"/>
  <c r="AE238" i="29"/>
  <c r="AD238" i="29"/>
  <c r="AC238" i="29"/>
  <c r="AF237" i="29"/>
  <c r="AE237" i="29"/>
  <c r="AD237" i="29"/>
  <c r="AC237" i="29"/>
  <c r="AF236" i="29"/>
  <c r="AE236" i="29"/>
  <c r="AD236" i="29"/>
  <c r="AC236" i="29"/>
  <c r="AF235" i="29"/>
  <c r="AE235" i="29"/>
  <c r="AD235" i="29"/>
  <c r="AC235" i="29"/>
  <c r="AF234" i="29"/>
  <c r="AE234" i="29"/>
  <c r="AD234" i="29"/>
  <c r="AC234" i="29"/>
  <c r="AF233" i="29"/>
  <c r="AE233" i="29"/>
  <c r="AD233" i="29"/>
  <c r="AC233" i="29"/>
  <c r="AF232" i="29"/>
  <c r="AE232" i="29"/>
  <c r="AD232" i="29"/>
  <c r="AC232" i="29"/>
  <c r="AF231" i="29"/>
  <c r="AE231" i="29"/>
  <c r="AD231" i="29"/>
  <c r="AC231" i="29"/>
  <c r="AF230" i="29"/>
  <c r="AE230" i="29"/>
  <c r="AD230" i="29"/>
  <c r="AC230" i="29"/>
  <c r="AF229" i="29"/>
  <c r="AE229" i="29"/>
  <c r="AD229" i="29"/>
  <c r="AC229" i="29"/>
  <c r="AF228" i="29"/>
  <c r="AE228" i="29"/>
  <c r="AD228" i="29"/>
  <c r="AC228" i="29"/>
  <c r="AF227" i="29"/>
  <c r="AE227" i="29"/>
  <c r="AD227" i="29"/>
  <c r="AC227" i="29"/>
  <c r="AF226" i="29"/>
  <c r="AE226" i="29"/>
  <c r="AD226" i="29"/>
  <c r="AC226" i="29"/>
  <c r="AF225" i="29"/>
  <c r="AE225" i="29"/>
  <c r="AD225" i="29"/>
  <c r="AC225" i="29"/>
  <c r="AF224" i="29"/>
  <c r="AE224" i="29"/>
  <c r="AD224" i="29"/>
  <c r="AC224" i="29"/>
  <c r="AF223" i="29"/>
  <c r="AE223" i="29"/>
  <c r="AD223" i="29"/>
  <c r="AC223" i="29"/>
  <c r="AF222" i="29"/>
  <c r="AE222" i="29"/>
  <c r="AD222" i="29"/>
  <c r="AC222" i="29"/>
  <c r="AF221" i="29"/>
  <c r="AE221" i="29"/>
  <c r="AD221" i="29"/>
  <c r="AC221" i="29"/>
  <c r="AF220" i="29"/>
  <c r="AE220" i="29"/>
  <c r="AD220" i="29"/>
  <c r="AC220" i="29"/>
  <c r="AF219" i="29"/>
  <c r="AE219" i="29"/>
  <c r="AD219" i="29"/>
  <c r="AC219" i="29"/>
  <c r="AF218" i="29"/>
  <c r="AE218" i="29"/>
  <c r="AD218" i="29"/>
  <c r="AC218" i="29"/>
  <c r="AF217" i="29"/>
  <c r="AE217" i="29"/>
  <c r="AD217" i="29"/>
  <c r="AC217" i="29"/>
  <c r="AF216" i="29"/>
  <c r="AE216" i="29"/>
  <c r="AD216" i="29"/>
  <c r="AC216" i="29"/>
  <c r="AF215" i="29"/>
  <c r="AE215" i="29"/>
  <c r="AD215" i="29"/>
  <c r="AC215" i="29"/>
  <c r="AF214" i="29"/>
  <c r="AE214" i="29"/>
  <c r="AD214" i="29"/>
  <c r="AC214" i="29"/>
  <c r="AF213" i="29"/>
  <c r="AE213" i="29"/>
  <c r="AD213" i="29"/>
  <c r="AC213" i="29"/>
  <c r="AF212" i="29"/>
  <c r="AE212" i="29"/>
  <c r="AD212" i="29"/>
  <c r="AC212" i="29"/>
  <c r="AF211" i="29"/>
  <c r="AE211" i="29"/>
  <c r="AD211" i="29"/>
  <c r="AC211" i="29"/>
  <c r="AF210" i="29"/>
  <c r="AE210" i="29"/>
  <c r="AD210" i="29"/>
  <c r="AC210" i="29"/>
  <c r="AF209" i="29"/>
  <c r="AE209" i="29"/>
  <c r="AD209" i="29"/>
  <c r="AC209" i="29"/>
  <c r="AF208" i="29"/>
  <c r="AE208" i="29"/>
  <c r="AD208" i="29"/>
  <c r="AC208" i="29"/>
  <c r="AF207" i="29"/>
  <c r="AE207" i="29"/>
  <c r="AD207" i="29"/>
  <c r="AC207" i="29"/>
  <c r="AF206" i="29"/>
  <c r="AE206" i="29"/>
  <c r="AD206" i="29"/>
  <c r="AC206" i="29"/>
  <c r="AF205" i="29"/>
  <c r="AE205" i="29"/>
  <c r="AD205" i="29"/>
  <c r="AC205" i="29"/>
  <c r="AF204" i="29"/>
  <c r="AE204" i="29"/>
  <c r="AD204" i="29"/>
  <c r="AC204" i="29"/>
  <c r="AF203" i="29"/>
  <c r="AE203" i="29"/>
  <c r="AD203" i="29"/>
  <c r="AC203" i="29"/>
  <c r="AF202" i="29"/>
  <c r="AE202" i="29"/>
  <c r="AD202" i="29"/>
  <c r="AC202" i="29"/>
  <c r="AF201" i="29"/>
  <c r="AE201" i="29"/>
  <c r="AD201" i="29"/>
  <c r="AC201" i="29"/>
  <c r="AF200" i="29"/>
  <c r="AE200" i="29"/>
  <c r="AD200" i="29"/>
  <c r="AC200" i="29"/>
  <c r="AF199" i="29"/>
  <c r="AE199" i="29"/>
  <c r="AD199" i="29"/>
  <c r="AC199" i="29"/>
  <c r="AF198" i="29"/>
  <c r="AE198" i="29"/>
  <c r="AD198" i="29"/>
  <c r="AC198" i="29"/>
  <c r="AF197" i="29"/>
  <c r="AE197" i="29"/>
  <c r="AD197" i="29"/>
  <c r="AC197" i="29"/>
  <c r="AF196" i="29"/>
  <c r="AE196" i="29"/>
  <c r="AD196" i="29"/>
  <c r="AC196" i="29"/>
  <c r="AF195" i="29"/>
  <c r="AE195" i="29"/>
  <c r="AD195" i="29"/>
  <c r="AC195" i="29"/>
  <c r="AF194" i="29"/>
  <c r="AE194" i="29"/>
  <c r="AD194" i="29"/>
  <c r="AC194" i="29"/>
  <c r="AF193" i="29"/>
  <c r="AE193" i="29"/>
  <c r="AD193" i="29"/>
  <c r="AC193" i="29"/>
  <c r="AF192" i="29"/>
  <c r="AE192" i="29"/>
  <c r="AD192" i="29"/>
  <c r="AC192" i="29"/>
  <c r="AF191" i="29"/>
  <c r="AE191" i="29"/>
  <c r="AD191" i="29"/>
  <c r="AC191" i="29"/>
  <c r="AF190" i="29"/>
  <c r="AE190" i="29"/>
  <c r="AD190" i="29"/>
  <c r="AC190" i="29"/>
  <c r="AF189" i="29"/>
  <c r="AE189" i="29"/>
  <c r="AD189" i="29"/>
  <c r="AC189" i="29"/>
  <c r="AF188" i="29"/>
  <c r="AE188" i="29"/>
  <c r="AD188" i="29"/>
  <c r="AC188" i="29"/>
  <c r="AF187" i="29"/>
  <c r="AE187" i="29"/>
  <c r="AD187" i="29"/>
  <c r="AC187" i="29"/>
  <c r="AF186" i="29"/>
  <c r="AE186" i="29"/>
  <c r="AD186" i="29"/>
  <c r="AC186" i="29"/>
  <c r="AF185" i="29"/>
  <c r="AE185" i="29"/>
  <c r="AD185" i="29"/>
  <c r="AC185" i="29"/>
  <c r="AF184" i="29"/>
  <c r="AE184" i="29"/>
  <c r="AD184" i="29"/>
  <c r="AC184" i="29"/>
  <c r="AF183" i="29"/>
  <c r="AE183" i="29"/>
  <c r="AD183" i="29"/>
  <c r="AC183" i="29"/>
  <c r="AF182" i="29"/>
  <c r="AE182" i="29"/>
  <c r="AD182" i="29"/>
  <c r="AC182" i="29"/>
  <c r="AF181" i="29"/>
  <c r="AE181" i="29"/>
  <c r="AD181" i="29"/>
  <c r="AC181" i="29"/>
  <c r="AF180" i="29"/>
  <c r="AE180" i="29"/>
  <c r="AD180" i="29"/>
  <c r="AC180" i="29"/>
  <c r="AF179" i="29"/>
  <c r="AE179" i="29"/>
  <c r="AD179" i="29"/>
  <c r="AC179" i="29"/>
  <c r="AF178" i="29"/>
  <c r="AE178" i="29"/>
  <c r="AD178" i="29"/>
  <c r="AC178" i="29"/>
  <c r="AF177" i="29"/>
  <c r="AE177" i="29"/>
  <c r="AD177" i="29"/>
  <c r="AC177" i="29"/>
  <c r="AF176" i="29"/>
  <c r="AE176" i="29"/>
  <c r="AD176" i="29"/>
  <c r="AC176" i="29"/>
  <c r="AF175" i="29"/>
  <c r="AE175" i="29"/>
  <c r="AD175" i="29"/>
  <c r="AC175" i="29"/>
  <c r="AF174" i="29"/>
  <c r="AE174" i="29"/>
  <c r="AD174" i="29"/>
  <c r="AC174" i="29"/>
  <c r="AF173" i="29"/>
  <c r="AE173" i="29"/>
  <c r="AD173" i="29"/>
  <c r="AC173" i="29"/>
  <c r="AF172" i="29"/>
  <c r="AE172" i="29"/>
  <c r="AD172" i="29"/>
  <c r="AC172" i="29"/>
  <c r="AF171" i="29"/>
  <c r="AE171" i="29"/>
  <c r="AD171" i="29"/>
  <c r="AC171" i="29"/>
  <c r="AF170" i="29"/>
  <c r="AE170" i="29"/>
  <c r="AD170" i="29"/>
  <c r="AC170" i="29"/>
  <c r="AF169" i="29"/>
  <c r="AE169" i="29"/>
  <c r="AD169" i="29"/>
  <c r="AC169" i="29"/>
  <c r="AF168" i="29"/>
  <c r="AE168" i="29"/>
  <c r="AD168" i="29"/>
  <c r="AC168" i="29"/>
  <c r="AF167" i="29"/>
  <c r="AE167" i="29"/>
  <c r="AD167" i="29"/>
  <c r="AC167" i="29"/>
  <c r="AF166" i="29"/>
  <c r="AE166" i="29"/>
  <c r="AD166" i="29"/>
  <c r="AC166" i="29"/>
  <c r="AF165" i="29"/>
  <c r="AE165" i="29"/>
  <c r="AD165" i="29"/>
  <c r="AC165" i="29"/>
  <c r="AF164" i="29"/>
  <c r="AE164" i="29"/>
  <c r="AD164" i="29"/>
  <c r="AC164" i="29"/>
  <c r="AF163" i="29"/>
  <c r="AE163" i="29"/>
  <c r="AD163" i="29"/>
  <c r="AC163" i="29"/>
  <c r="AF162" i="29"/>
  <c r="AE162" i="29"/>
  <c r="AD162" i="29"/>
  <c r="AC162" i="29"/>
  <c r="AF161" i="29"/>
  <c r="AE161" i="29"/>
  <c r="AD161" i="29"/>
  <c r="AC161" i="29"/>
  <c r="AF160" i="29"/>
  <c r="AE160" i="29"/>
  <c r="AD160" i="29"/>
  <c r="AC160" i="29"/>
  <c r="AF159" i="29"/>
  <c r="AE159" i="29"/>
  <c r="AD159" i="29"/>
  <c r="AC159" i="29"/>
  <c r="AF158" i="29"/>
  <c r="AE158" i="29"/>
  <c r="AD158" i="29"/>
  <c r="AC158" i="29"/>
  <c r="AF157" i="29"/>
  <c r="AE157" i="29"/>
  <c r="AD157" i="29"/>
  <c r="AC157" i="29"/>
  <c r="AF156" i="29"/>
  <c r="AE156" i="29"/>
  <c r="AD156" i="29"/>
  <c r="AC156" i="29"/>
  <c r="AF155" i="29"/>
  <c r="AE155" i="29"/>
  <c r="AD155" i="29"/>
  <c r="AC155" i="29"/>
  <c r="AF154" i="29"/>
  <c r="AE154" i="29"/>
  <c r="AD154" i="29"/>
  <c r="AC154" i="29"/>
  <c r="AF153" i="29"/>
  <c r="AE153" i="29"/>
  <c r="AD153" i="29"/>
  <c r="AC153" i="29"/>
  <c r="AF152" i="29"/>
  <c r="AE152" i="29"/>
  <c r="AD152" i="29"/>
  <c r="AC152" i="29"/>
  <c r="AF151" i="29"/>
  <c r="AE151" i="29"/>
  <c r="AD151" i="29"/>
  <c r="AC151" i="29"/>
  <c r="AF150" i="29"/>
  <c r="AE150" i="29"/>
  <c r="AD150" i="29"/>
  <c r="AC150" i="29"/>
  <c r="AF149" i="29"/>
  <c r="AE149" i="29"/>
  <c r="AD149" i="29"/>
  <c r="AC149" i="29"/>
  <c r="AF148" i="29"/>
  <c r="AE148" i="29"/>
  <c r="AD148" i="29"/>
  <c r="AC148" i="29"/>
  <c r="AF147" i="29"/>
  <c r="AE147" i="29"/>
  <c r="AD147" i="29"/>
  <c r="AC147" i="29"/>
  <c r="AF146" i="29"/>
  <c r="AE146" i="29"/>
  <c r="AD146" i="29"/>
  <c r="AC146" i="29"/>
  <c r="AF145" i="29"/>
  <c r="AE145" i="29"/>
  <c r="AD145" i="29"/>
  <c r="AC145" i="29"/>
  <c r="AF144" i="29"/>
  <c r="AE144" i="29"/>
  <c r="AD144" i="29"/>
  <c r="AC144" i="29"/>
  <c r="AF143" i="29"/>
  <c r="AE143" i="29"/>
  <c r="AD143" i="29"/>
  <c r="AC143" i="29"/>
  <c r="AF142" i="29"/>
  <c r="AE142" i="29"/>
  <c r="AD142" i="29"/>
  <c r="AC142" i="29"/>
  <c r="AF141" i="29"/>
  <c r="AE141" i="29"/>
  <c r="AD141" i="29"/>
  <c r="AC141" i="29"/>
  <c r="AF140" i="29"/>
  <c r="AE140" i="29"/>
  <c r="AD140" i="29"/>
  <c r="AC140" i="29"/>
  <c r="AF139" i="29"/>
  <c r="AE139" i="29"/>
  <c r="AD139" i="29"/>
  <c r="AC139" i="29"/>
  <c r="AF138" i="29"/>
  <c r="AE138" i="29"/>
  <c r="AD138" i="29"/>
  <c r="AC138" i="29"/>
  <c r="AF137" i="29"/>
  <c r="AE137" i="29"/>
  <c r="AD137" i="29"/>
  <c r="AC137" i="29"/>
  <c r="AF136" i="29"/>
  <c r="AE136" i="29"/>
  <c r="AD136" i="29"/>
  <c r="AC136" i="29"/>
  <c r="AF135" i="29"/>
  <c r="AE135" i="29"/>
  <c r="AD135" i="29"/>
  <c r="AC135" i="29"/>
  <c r="AF134" i="29"/>
  <c r="AE134" i="29"/>
  <c r="AD134" i="29"/>
  <c r="AC134" i="29"/>
  <c r="AF133" i="29"/>
  <c r="AE133" i="29"/>
  <c r="AD133" i="29"/>
  <c r="AC133" i="29"/>
  <c r="AF132" i="29"/>
  <c r="AE132" i="29"/>
  <c r="AD132" i="29"/>
  <c r="AC132" i="29"/>
  <c r="AF131" i="29"/>
  <c r="AE131" i="29"/>
  <c r="AD131" i="29"/>
  <c r="AC131" i="29"/>
  <c r="AF130" i="29"/>
  <c r="AE130" i="29"/>
  <c r="AD130" i="29"/>
  <c r="AC130" i="29"/>
  <c r="AF129" i="29"/>
  <c r="AE129" i="29"/>
  <c r="AD129" i="29"/>
  <c r="AC129" i="29"/>
  <c r="AF128" i="29"/>
  <c r="AE128" i="29"/>
  <c r="AD128" i="29"/>
  <c r="AC128" i="29"/>
  <c r="AF127" i="29"/>
  <c r="AE127" i="29"/>
  <c r="AD127" i="29"/>
  <c r="AC127" i="29"/>
  <c r="AF126" i="29"/>
  <c r="AE126" i="29"/>
  <c r="AD126" i="29"/>
  <c r="AC126" i="29"/>
  <c r="AF125" i="29"/>
  <c r="AE125" i="29"/>
  <c r="AD125" i="29"/>
  <c r="AC125" i="29"/>
  <c r="AF124" i="29"/>
  <c r="AE124" i="29"/>
  <c r="AD124" i="29"/>
  <c r="AC124" i="29"/>
  <c r="AF123" i="29"/>
  <c r="AE123" i="29"/>
  <c r="AD123" i="29"/>
  <c r="AC123" i="29"/>
  <c r="AF122" i="29"/>
  <c r="AE122" i="29"/>
  <c r="AD122" i="29"/>
  <c r="AC122" i="29"/>
  <c r="AF121" i="29"/>
  <c r="AE121" i="29"/>
  <c r="AD121" i="29"/>
  <c r="AC121" i="29"/>
  <c r="AF120" i="29"/>
  <c r="AE120" i="29"/>
  <c r="AD120" i="29"/>
  <c r="AC120" i="29"/>
  <c r="AF119" i="29"/>
  <c r="AE119" i="29"/>
  <c r="AD119" i="29"/>
  <c r="AC119" i="29"/>
  <c r="AF118" i="29"/>
  <c r="AE118" i="29"/>
  <c r="AD118" i="29"/>
  <c r="AC118" i="29"/>
  <c r="AF117" i="29"/>
  <c r="AE117" i="29"/>
  <c r="AD117" i="29"/>
  <c r="AC117" i="29"/>
  <c r="AF116" i="29"/>
  <c r="AE116" i="29"/>
  <c r="AD116" i="29"/>
  <c r="AC116" i="29"/>
  <c r="AF115" i="29"/>
  <c r="AE115" i="29"/>
  <c r="AD115" i="29"/>
  <c r="AC115" i="29"/>
  <c r="AF114" i="29"/>
  <c r="AE114" i="29"/>
  <c r="AD114" i="29"/>
  <c r="AC114" i="29"/>
  <c r="AF113" i="29"/>
  <c r="AE113" i="29"/>
  <c r="AD113" i="29"/>
  <c r="AC113" i="29"/>
  <c r="AF112" i="29"/>
  <c r="AE112" i="29"/>
  <c r="AD112" i="29"/>
  <c r="AC112" i="29"/>
  <c r="AF111" i="29"/>
  <c r="AE111" i="29"/>
  <c r="AD111" i="29"/>
  <c r="AC111" i="29"/>
  <c r="AF110" i="29"/>
  <c r="AE110" i="29"/>
  <c r="AD110" i="29"/>
  <c r="AC110" i="29"/>
  <c r="AF109" i="29"/>
  <c r="AE109" i="29"/>
  <c r="AD109" i="29"/>
  <c r="AC109" i="29"/>
  <c r="AF108" i="29"/>
  <c r="AE108" i="29"/>
  <c r="AD108" i="29"/>
  <c r="AC108" i="29"/>
  <c r="AF107" i="29"/>
  <c r="AE107" i="29"/>
  <c r="AD107" i="29"/>
  <c r="AC107" i="29"/>
  <c r="AF106" i="29"/>
  <c r="AE106" i="29"/>
  <c r="AD106" i="29"/>
  <c r="AC106" i="29"/>
  <c r="AF105" i="29"/>
  <c r="AE105" i="29"/>
  <c r="AD105" i="29"/>
  <c r="AC105" i="29"/>
  <c r="AF104" i="29"/>
  <c r="AE104" i="29"/>
  <c r="AD104" i="29"/>
  <c r="AC104" i="29"/>
  <c r="AF103" i="29"/>
  <c r="AE103" i="29"/>
  <c r="AD103" i="29"/>
  <c r="AC103" i="29"/>
  <c r="AF102" i="29"/>
  <c r="AE102" i="29"/>
  <c r="AD102" i="29"/>
  <c r="AC102" i="29"/>
  <c r="AF101" i="29"/>
  <c r="AE101" i="29"/>
  <c r="AD101" i="29"/>
  <c r="AC101" i="29"/>
  <c r="AF100" i="29"/>
  <c r="AE100" i="29"/>
  <c r="AD100" i="29"/>
  <c r="AC100" i="29"/>
  <c r="AF99" i="29"/>
  <c r="AE99" i="29"/>
  <c r="AD99" i="29"/>
  <c r="AC99" i="29"/>
  <c r="AF98" i="29"/>
  <c r="AE98" i="29"/>
  <c r="AD98" i="29"/>
  <c r="AC98" i="29"/>
  <c r="AF97" i="29"/>
  <c r="AE97" i="29"/>
  <c r="AD97" i="29"/>
  <c r="AC97" i="29"/>
  <c r="AF96" i="29"/>
  <c r="AE96" i="29"/>
  <c r="AD96" i="29"/>
  <c r="AC96" i="29"/>
  <c r="AF95" i="29"/>
  <c r="AE95" i="29"/>
  <c r="AD95" i="29"/>
  <c r="AC95" i="29"/>
  <c r="AF94" i="29"/>
  <c r="AE94" i="29"/>
  <c r="AD94" i="29"/>
  <c r="AC94" i="29"/>
  <c r="AF93" i="29"/>
  <c r="AE93" i="29"/>
  <c r="AD93" i="29"/>
  <c r="AC93" i="29"/>
  <c r="AF92" i="29"/>
  <c r="AE92" i="29"/>
  <c r="AD92" i="29"/>
  <c r="AC92" i="29"/>
  <c r="AF91" i="29"/>
  <c r="AE91" i="29"/>
  <c r="AD91" i="29"/>
  <c r="AC91" i="29"/>
  <c r="AF90" i="29"/>
  <c r="AE90" i="29"/>
  <c r="AD90" i="29"/>
  <c r="AC90" i="29"/>
  <c r="AF89" i="29"/>
  <c r="AE89" i="29"/>
  <c r="AD89" i="29"/>
  <c r="AC89" i="29"/>
  <c r="AF88" i="29"/>
  <c r="AE88" i="29"/>
  <c r="AD88" i="29"/>
  <c r="AC88" i="29"/>
  <c r="AF87" i="29"/>
  <c r="AE87" i="29"/>
  <c r="AD87" i="29"/>
  <c r="AC87" i="29"/>
  <c r="AF86" i="29"/>
  <c r="AE86" i="29"/>
  <c r="AD86" i="29"/>
  <c r="AC86" i="29"/>
  <c r="AF85" i="29"/>
  <c r="AE85" i="29"/>
  <c r="AD85" i="29"/>
  <c r="AC85" i="29"/>
  <c r="AF84" i="29"/>
  <c r="AE84" i="29"/>
  <c r="AD84" i="29"/>
  <c r="AC84" i="29"/>
  <c r="AF83" i="29"/>
  <c r="AE83" i="29"/>
  <c r="AD83" i="29"/>
  <c r="AC83" i="29"/>
  <c r="AF82" i="29"/>
  <c r="AE82" i="29"/>
  <c r="AD82" i="29"/>
  <c r="AC82" i="29"/>
  <c r="AF81" i="29"/>
  <c r="AE81" i="29"/>
  <c r="AD81" i="29"/>
  <c r="AC81" i="29"/>
  <c r="AF80" i="29"/>
  <c r="AE80" i="29"/>
  <c r="AD80" i="29"/>
  <c r="AC80" i="29"/>
  <c r="AF79" i="29"/>
  <c r="AE79" i="29"/>
  <c r="AD79" i="29"/>
  <c r="AC79" i="29"/>
  <c r="AF78" i="29"/>
  <c r="AE78" i="29"/>
  <c r="AD78" i="29"/>
  <c r="AC78" i="29"/>
  <c r="AF77" i="29"/>
  <c r="AE77" i="29"/>
  <c r="AD77" i="29"/>
  <c r="AC77" i="29"/>
  <c r="AF76" i="29"/>
  <c r="AE76" i="29"/>
  <c r="AD76" i="29"/>
  <c r="AC76" i="29"/>
  <c r="AF75" i="29"/>
  <c r="AE75" i="29"/>
  <c r="AD75" i="29"/>
  <c r="AC75" i="29"/>
  <c r="AF74" i="29"/>
  <c r="AE74" i="29"/>
  <c r="AD74" i="29"/>
  <c r="AC74" i="29"/>
  <c r="AF73" i="29"/>
  <c r="AE73" i="29"/>
  <c r="AD73" i="29"/>
  <c r="AC73" i="29"/>
  <c r="AF72" i="29"/>
  <c r="AE72" i="29"/>
  <c r="AD72" i="29"/>
  <c r="AC72" i="29"/>
  <c r="AF71" i="29"/>
  <c r="AE71" i="29"/>
  <c r="AD71" i="29"/>
  <c r="AC71" i="29"/>
  <c r="AF70" i="29"/>
  <c r="AE70" i="29"/>
  <c r="AD70" i="29"/>
  <c r="AC70" i="29"/>
  <c r="AF69" i="29"/>
  <c r="AE69" i="29"/>
  <c r="AD69" i="29"/>
  <c r="AC69" i="29"/>
  <c r="AF68" i="29"/>
  <c r="AE68" i="29"/>
  <c r="AD68" i="29"/>
  <c r="AC68" i="29"/>
  <c r="AF67" i="29"/>
  <c r="AE67" i="29"/>
  <c r="AD67" i="29"/>
  <c r="AC67" i="29"/>
  <c r="AF66" i="29"/>
  <c r="AE66" i="29"/>
  <c r="AD66" i="29"/>
  <c r="AC66" i="29"/>
  <c r="AF65" i="29"/>
  <c r="AE65" i="29"/>
  <c r="AD65" i="29"/>
  <c r="AC65" i="29"/>
  <c r="AF64" i="29"/>
  <c r="AE64" i="29"/>
  <c r="AD64" i="29"/>
  <c r="AC64" i="29"/>
  <c r="AF63" i="29"/>
  <c r="AE63" i="29"/>
  <c r="AD63" i="29"/>
  <c r="AC63" i="29"/>
  <c r="AF62" i="29"/>
  <c r="AE62" i="29"/>
  <c r="AD62" i="29"/>
  <c r="AC62" i="29"/>
  <c r="AF61" i="29"/>
  <c r="AE61" i="29"/>
  <c r="AD61" i="29"/>
  <c r="AC61" i="29"/>
  <c r="AF60" i="29"/>
  <c r="AE60" i="29"/>
  <c r="AD60" i="29"/>
  <c r="AC60" i="29"/>
  <c r="AF59" i="29"/>
  <c r="AE59" i="29"/>
  <c r="AD59" i="29"/>
  <c r="AC59" i="29"/>
  <c r="AF58" i="29"/>
  <c r="AE58" i="29"/>
  <c r="AD58" i="29"/>
  <c r="AC58" i="29"/>
  <c r="AF57" i="29"/>
  <c r="AE57" i="29"/>
  <c r="AD57" i="29"/>
  <c r="AC57" i="29"/>
  <c r="AF56" i="29"/>
  <c r="AE56" i="29"/>
  <c r="AD56" i="29"/>
  <c r="AC56" i="29"/>
  <c r="AF55" i="29"/>
  <c r="AE55" i="29"/>
  <c r="AD55" i="29"/>
  <c r="AC55" i="29"/>
  <c r="AF54" i="29"/>
  <c r="AE54" i="29"/>
  <c r="AD54" i="29"/>
  <c r="AC54" i="29"/>
  <c r="AF53" i="29"/>
  <c r="AE53" i="29"/>
  <c r="AD53" i="29"/>
  <c r="AC53" i="29"/>
  <c r="AF52" i="29"/>
  <c r="AE52" i="29"/>
  <c r="AD52" i="29"/>
  <c r="AC52" i="29"/>
  <c r="AF51" i="29"/>
  <c r="AE51" i="29"/>
  <c r="AD51" i="29"/>
  <c r="AC51" i="29"/>
  <c r="AF50" i="29"/>
  <c r="AE50" i="29"/>
  <c r="AD50" i="29"/>
  <c r="AC50" i="29"/>
  <c r="AF49" i="29"/>
  <c r="AE49" i="29"/>
  <c r="AD49" i="29"/>
  <c r="AC49" i="29"/>
  <c r="AF48" i="29"/>
  <c r="AE48" i="29"/>
  <c r="AD48" i="29"/>
  <c r="AC48" i="29"/>
  <c r="AF47" i="29"/>
  <c r="AE47" i="29"/>
  <c r="AD47" i="29"/>
  <c r="AC47" i="29"/>
  <c r="AF46" i="29"/>
  <c r="AE46" i="29"/>
  <c r="AD46" i="29"/>
  <c r="AC46" i="29"/>
  <c r="AF45" i="29"/>
  <c r="AE45" i="29"/>
  <c r="AD45" i="29"/>
  <c r="AC45" i="29"/>
  <c r="AF44" i="29"/>
  <c r="AE44" i="29"/>
  <c r="AD44" i="29"/>
  <c r="AC44" i="29"/>
  <c r="AF43" i="29"/>
  <c r="AE43" i="29"/>
  <c r="AD43" i="29"/>
  <c r="AC43" i="29"/>
  <c r="AF42" i="29"/>
  <c r="AE42" i="29"/>
  <c r="AD42" i="29"/>
  <c r="AC42" i="29"/>
  <c r="AF41" i="29"/>
  <c r="AE41" i="29"/>
  <c r="AD41" i="29"/>
  <c r="AC41" i="29"/>
  <c r="AF40" i="29"/>
  <c r="AE40" i="29"/>
  <c r="AD40" i="29"/>
  <c r="AC40" i="29"/>
  <c r="AF39" i="29"/>
  <c r="AE39" i="29"/>
  <c r="AD39" i="29"/>
  <c r="AC39" i="29"/>
  <c r="AF38" i="29"/>
  <c r="AE38" i="29"/>
  <c r="AD38" i="29"/>
  <c r="AC38" i="29"/>
  <c r="AF37" i="29"/>
  <c r="AE37" i="29"/>
  <c r="AD37" i="29"/>
  <c r="AC37" i="29"/>
  <c r="AF36" i="29"/>
  <c r="AE36" i="29"/>
  <c r="AD36" i="29"/>
  <c r="AC36" i="29"/>
  <c r="AF35" i="29"/>
  <c r="AE35" i="29"/>
  <c r="AD35" i="29"/>
  <c r="AC35" i="29"/>
  <c r="AF34" i="29"/>
  <c r="AE34" i="29"/>
  <c r="AD34" i="29"/>
  <c r="AC34" i="29"/>
  <c r="AF33" i="29"/>
  <c r="AE33" i="29"/>
  <c r="AD33" i="29"/>
  <c r="AC33" i="29"/>
  <c r="AF32" i="29"/>
  <c r="AE32" i="29"/>
  <c r="AD32" i="29"/>
  <c r="AC32" i="29"/>
  <c r="AF31" i="29"/>
  <c r="AE31" i="29"/>
  <c r="AD31" i="29"/>
  <c r="AC31" i="29"/>
  <c r="AF30" i="29"/>
  <c r="AE30" i="29"/>
  <c r="AD30" i="29"/>
  <c r="AC30" i="29"/>
  <c r="AF29" i="29"/>
  <c r="AE29" i="29"/>
  <c r="AD29" i="29"/>
  <c r="AC29" i="29"/>
  <c r="AF28" i="29"/>
  <c r="AE28" i="29"/>
  <c r="AD28" i="29"/>
  <c r="AC28" i="29"/>
  <c r="AF27" i="29"/>
  <c r="AE27" i="29"/>
  <c r="AD27" i="29"/>
  <c r="AC27" i="29"/>
  <c r="AF26" i="29"/>
  <c r="AE26" i="29"/>
  <c r="AD26" i="29"/>
  <c r="AC26" i="29"/>
  <c r="AF25" i="29"/>
  <c r="AE25" i="29"/>
  <c r="AD25" i="29"/>
  <c r="AC25" i="29"/>
  <c r="AF24" i="29"/>
  <c r="AE24" i="29"/>
  <c r="AD24" i="29"/>
  <c r="AC24" i="29"/>
  <c r="AF23" i="29"/>
  <c r="AE23" i="29"/>
  <c r="AD23" i="29"/>
  <c r="AC23" i="29"/>
  <c r="AF22" i="29"/>
  <c r="AE22" i="29"/>
  <c r="AD22" i="29"/>
  <c r="AC22" i="29"/>
  <c r="AF21" i="29"/>
  <c r="AE21" i="29"/>
  <c r="AD21" i="29"/>
  <c r="AC21" i="29"/>
  <c r="AF20" i="29"/>
  <c r="AE20" i="29"/>
  <c r="AD20" i="29"/>
  <c r="AC20" i="29"/>
  <c r="AF19" i="29"/>
  <c r="AE19" i="29"/>
  <c r="AD19" i="29"/>
  <c r="AC19" i="29"/>
  <c r="AF18" i="29"/>
  <c r="AE18" i="29"/>
  <c r="AD18" i="29"/>
  <c r="AC18" i="29"/>
  <c r="AF17" i="29"/>
  <c r="AE17" i="29"/>
  <c r="AD17" i="29"/>
  <c r="AC17" i="29"/>
  <c r="AF16" i="29"/>
  <c r="AE16" i="29"/>
  <c r="AD16" i="29"/>
  <c r="AC16" i="29"/>
  <c r="AF15" i="29"/>
  <c r="AE15" i="29"/>
  <c r="AD15" i="29"/>
  <c r="AC15" i="29"/>
  <c r="AF14" i="29"/>
  <c r="AE14" i="29"/>
  <c r="AD14" i="29"/>
  <c r="AC14" i="29"/>
  <c r="AF13" i="29"/>
  <c r="AE13" i="29"/>
  <c r="AD13" i="29"/>
  <c r="AC13" i="29"/>
  <c r="AF12" i="29"/>
  <c r="AE12" i="29"/>
  <c r="AD12" i="29"/>
  <c r="AC12" i="29"/>
  <c r="AF11" i="29"/>
  <c r="AE11" i="29"/>
  <c r="AD11" i="29"/>
  <c r="AC11" i="29"/>
  <c r="AF10" i="29"/>
  <c r="AE10" i="29"/>
  <c r="AD10" i="29"/>
  <c r="AC10" i="29"/>
  <c r="AF9" i="29"/>
  <c r="AE9" i="29"/>
  <c r="AD9" i="29"/>
  <c r="AC9" i="29"/>
  <c r="AF8" i="29"/>
  <c r="AE8" i="29"/>
  <c r="AD8" i="29"/>
  <c r="AC8" i="29"/>
  <c r="AF7" i="29"/>
  <c r="AE7" i="29"/>
  <c r="AD7" i="29"/>
  <c r="AC7" i="29"/>
  <c r="AF6" i="29"/>
  <c r="AE6" i="29"/>
  <c r="AD6" i="29"/>
  <c r="AC6" i="29"/>
  <c r="AF5" i="29"/>
  <c r="AE5" i="29"/>
  <c r="AD5" i="29"/>
  <c r="AC5" i="29"/>
  <c r="AF4" i="29"/>
  <c r="AE4" i="29"/>
  <c r="AD4" i="29"/>
  <c r="AC4" i="29"/>
  <c r="AF3" i="29"/>
  <c r="AE3" i="29"/>
  <c r="AD3" i="29"/>
  <c r="AC3" i="29"/>
  <c r="O4" i="29"/>
  <c r="H38" i="28"/>
  <c r="H37" i="28"/>
  <c r="H36" i="28"/>
  <c r="H34" i="28"/>
  <c r="H33" i="28"/>
  <c r="H32" i="28"/>
  <c r="I32" i="28" s="1"/>
  <c r="H30" i="28"/>
  <c r="H29" i="28"/>
  <c r="H28" i="28"/>
  <c r="H26" i="28"/>
  <c r="H25" i="28"/>
  <c r="H24" i="28"/>
  <c r="D14" i="28"/>
  <c r="D372" i="32" l="1"/>
  <c r="D380" i="32"/>
  <c r="C378" i="32"/>
  <c r="D378" i="32" s="1"/>
  <c r="C374" i="32"/>
  <c r="D374" i="32" s="1"/>
  <c r="D377" i="32"/>
  <c r="D373" i="32"/>
  <c r="D371" i="32"/>
  <c r="D370" i="32"/>
  <c r="C251" i="32"/>
  <c r="D251" i="32" s="1"/>
  <c r="P252" i="32"/>
  <c r="P253" i="32" s="1"/>
  <c r="P254" i="32" s="1"/>
  <c r="C252" i="32"/>
  <c r="C253" i="32"/>
  <c r="D253" i="32" s="1"/>
  <c r="D250" i="32"/>
  <c r="D252" i="32"/>
  <c r="D249" i="32"/>
  <c r="C245" i="32"/>
  <c r="C241" i="32"/>
  <c r="C237" i="32"/>
  <c r="C233" i="32"/>
  <c r="C229" i="32"/>
  <c r="C225" i="32"/>
  <c r="C221" i="32"/>
  <c r="C217" i="32"/>
  <c r="C209" i="32"/>
  <c r="C205" i="32"/>
  <c r="C201" i="32"/>
  <c r="C197" i="32"/>
  <c r="C193" i="32"/>
  <c r="C189" i="32"/>
  <c r="C185" i="32"/>
  <c r="C181" i="32"/>
  <c r="C177" i="32"/>
  <c r="C169" i="32"/>
  <c r="C165" i="32"/>
  <c r="D165" i="32" s="1"/>
  <c r="C161" i="32"/>
  <c r="D161" i="32" s="1"/>
  <c r="C157" i="32"/>
  <c r="C153" i="32"/>
  <c r="C149" i="32"/>
  <c r="C141" i="32"/>
  <c r="C137" i="32"/>
  <c r="C133" i="32"/>
  <c r="C129" i="32"/>
  <c r="D228" i="32"/>
  <c r="D192" i="32"/>
  <c r="D128" i="32"/>
  <c r="D164" i="32"/>
  <c r="D224" i="32"/>
  <c r="D160" i="32"/>
  <c r="D241" i="32"/>
  <c r="D229" i="32"/>
  <c r="D225" i="32"/>
  <c r="D209" i="32"/>
  <c r="D197" i="32"/>
  <c r="D193" i="32"/>
  <c r="D177" i="32"/>
  <c r="D133" i="32"/>
  <c r="D129" i="32"/>
  <c r="D132" i="32"/>
  <c r="D127" i="32"/>
  <c r="D208" i="32"/>
  <c r="D144" i="32"/>
  <c r="C244" i="32"/>
  <c r="D244" i="32" s="1"/>
  <c r="C236" i="32"/>
  <c r="D236" i="32" s="1"/>
  <c r="C232" i="32"/>
  <c r="D232" i="32" s="1"/>
  <c r="C220" i="32"/>
  <c r="D220" i="32" s="1"/>
  <c r="C216" i="32"/>
  <c r="D216" i="32" s="1"/>
  <c r="C212" i="32"/>
  <c r="D212" i="32" s="1"/>
  <c r="C204" i="32"/>
  <c r="D204" i="32" s="1"/>
  <c r="C200" i="32"/>
  <c r="D200" i="32" s="1"/>
  <c r="C188" i="32"/>
  <c r="D188" i="32" s="1"/>
  <c r="C184" i="32"/>
  <c r="D184" i="32" s="1"/>
  <c r="C180" i="32"/>
  <c r="D180" i="32" s="1"/>
  <c r="C172" i="32"/>
  <c r="D172" i="32" s="1"/>
  <c r="C168" i="32"/>
  <c r="D168" i="32" s="1"/>
  <c r="C156" i="32"/>
  <c r="D156" i="32" s="1"/>
  <c r="C152" i="32"/>
  <c r="D152" i="32" s="1"/>
  <c r="C148" i="32"/>
  <c r="D148" i="32" s="1"/>
  <c r="C140" i="32"/>
  <c r="D140" i="32" s="1"/>
  <c r="C136" i="32"/>
  <c r="D136" i="32" s="1"/>
  <c r="D248" i="32"/>
  <c r="C246" i="32"/>
  <c r="D246" i="32" s="1"/>
  <c r="C242" i="32"/>
  <c r="D242" i="32" s="1"/>
  <c r="C238" i="32"/>
  <c r="D238" i="32" s="1"/>
  <c r="C234" i="32"/>
  <c r="D234" i="32" s="1"/>
  <c r="C230" i="32"/>
  <c r="D230" i="32" s="1"/>
  <c r="C226" i="32"/>
  <c r="D226" i="32" s="1"/>
  <c r="C222" i="32"/>
  <c r="D222" i="32" s="1"/>
  <c r="C218" i="32"/>
  <c r="C214" i="32"/>
  <c r="D214" i="32" s="1"/>
  <c r="C210" i="32"/>
  <c r="D210" i="32" s="1"/>
  <c r="C206" i="32"/>
  <c r="D206" i="32" s="1"/>
  <c r="C202" i="32"/>
  <c r="D202" i="32" s="1"/>
  <c r="C198" i="32"/>
  <c r="D198" i="32" s="1"/>
  <c r="C194" i="32"/>
  <c r="D194" i="32" s="1"/>
  <c r="C190" i="32"/>
  <c r="D190" i="32" s="1"/>
  <c r="C186" i="32"/>
  <c r="D186" i="32" s="1"/>
  <c r="C182" i="32"/>
  <c r="C178" i="32"/>
  <c r="D178" i="32" s="1"/>
  <c r="C174" i="32"/>
  <c r="D174" i="32" s="1"/>
  <c r="C170" i="32"/>
  <c r="D170" i="32" s="1"/>
  <c r="C166" i="32"/>
  <c r="D166" i="32" s="1"/>
  <c r="C162" i="32"/>
  <c r="D162" i="32" s="1"/>
  <c r="C158" i="32"/>
  <c r="D158" i="32" s="1"/>
  <c r="C154" i="32"/>
  <c r="D154" i="32" s="1"/>
  <c r="C150" i="32"/>
  <c r="D150" i="32" s="1"/>
  <c r="C146" i="32"/>
  <c r="D146" i="32" s="1"/>
  <c r="C142" i="32"/>
  <c r="C138" i="32"/>
  <c r="D138" i="32" s="1"/>
  <c r="C134" i="32"/>
  <c r="D134" i="32" s="1"/>
  <c r="C130" i="32"/>
  <c r="D130" i="32" s="1"/>
  <c r="C125" i="32"/>
  <c r="D125" i="32" s="1"/>
  <c r="AM3" i="31"/>
  <c r="AN3" i="31"/>
  <c r="AF3" i="31" s="1"/>
  <c r="AL3" i="31"/>
  <c r="AC4" i="31"/>
  <c r="R3" i="31"/>
  <c r="O4" i="31"/>
  <c r="H369" i="31"/>
  <c r="Z247" i="29"/>
  <c r="Z3" i="29"/>
  <c r="Y3" i="29"/>
  <c r="Z124" i="29"/>
  <c r="X125" i="29" s="1"/>
  <c r="W125" i="29" s="1"/>
  <c r="Z368" i="29"/>
  <c r="X369" i="29" s="1"/>
  <c r="W369" i="29" s="1"/>
  <c r="H4" i="29"/>
  <c r="X4" i="29" s="1"/>
  <c r="P4" i="29" s="1"/>
  <c r="V248" i="29"/>
  <c r="I30" i="28"/>
  <c r="I33" i="28"/>
  <c r="I34" i="28"/>
  <c r="I26" i="28"/>
  <c r="I28" i="28"/>
  <c r="I36" i="28"/>
  <c r="I24" i="28"/>
  <c r="I25" i="28"/>
  <c r="I29" i="28"/>
  <c r="I37" i="28"/>
  <c r="I38" i="28"/>
  <c r="D379" i="32" l="1"/>
  <c r="D375" i="32"/>
  <c r="C254" i="32"/>
  <c r="D254" i="32" s="1"/>
  <c r="P255" i="32"/>
  <c r="D142" i="32"/>
  <c r="D182" i="32"/>
  <c r="D218" i="32"/>
  <c r="D191" i="32"/>
  <c r="D135" i="32"/>
  <c r="D223" i="32"/>
  <c r="D126" i="32"/>
  <c r="D159" i="32"/>
  <c r="D187" i="32"/>
  <c r="D151" i="32"/>
  <c r="D189" i="32"/>
  <c r="D157" i="32"/>
  <c r="D199" i="32"/>
  <c r="D185" i="32"/>
  <c r="D167" i="32"/>
  <c r="D139" i="32"/>
  <c r="D131" i="32"/>
  <c r="D169" i="32"/>
  <c r="D179" i="32"/>
  <c r="D203" i="32"/>
  <c r="D211" i="32"/>
  <c r="D171" i="32"/>
  <c r="D173" i="32"/>
  <c r="D243" i="32"/>
  <c r="D247" i="32"/>
  <c r="D153" i="32"/>
  <c r="D147" i="32"/>
  <c r="D201" i="32"/>
  <c r="D231" i="32"/>
  <c r="D213" i="32"/>
  <c r="D195" i="32"/>
  <c r="D155" i="32"/>
  <c r="D143" i="32"/>
  <c r="D221" i="32"/>
  <c r="D149" i="32"/>
  <c r="D235" i="32"/>
  <c r="D215" i="32"/>
  <c r="D175" i="32"/>
  <c r="D163" i="32"/>
  <c r="D233" i="32"/>
  <c r="D205" i="32"/>
  <c r="D137" i="32"/>
  <c r="D239" i="32"/>
  <c r="D219" i="32"/>
  <c r="D183" i="32"/>
  <c r="D227" i="32"/>
  <c r="D245" i="32"/>
  <c r="D237" i="32"/>
  <c r="D217" i="32"/>
  <c r="D141" i="32"/>
  <c r="D181" i="32"/>
  <c r="D207" i="32"/>
  <c r="D3" i="31"/>
  <c r="Y3" i="31"/>
  <c r="K3" i="31"/>
  <c r="AO3" i="31"/>
  <c r="AP3" i="31" s="1"/>
  <c r="I4" i="31"/>
  <c r="P4" i="31"/>
  <c r="W4" i="31"/>
  <c r="I369" i="29"/>
  <c r="P369" i="29"/>
  <c r="O370" i="29" s="1"/>
  <c r="I125" i="29"/>
  <c r="P125" i="29"/>
  <c r="Y4" i="29"/>
  <c r="I4" i="29"/>
  <c r="X248" i="29"/>
  <c r="V370" i="29"/>
  <c r="AA3" i="29"/>
  <c r="AB3" i="29" s="1"/>
  <c r="X3" i="29"/>
  <c r="C255" i="32" l="1"/>
  <c r="D255" i="32" s="1"/>
  <c r="P256" i="32"/>
  <c r="AC5" i="31"/>
  <c r="AJ5" i="31"/>
  <c r="O5" i="31"/>
  <c r="V5" i="31"/>
  <c r="H5" i="31"/>
  <c r="P248" i="29"/>
  <c r="O249" i="29" s="1"/>
  <c r="W248" i="29"/>
  <c r="V249" i="29" s="1"/>
  <c r="I248" i="29"/>
  <c r="H249" i="29" s="1"/>
  <c r="Z369" i="29"/>
  <c r="O126" i="29"/>
  <c r="V5" i="29"/>
  <c r="V126" i="29"/>
  <c r="O5" i="29"/>
  <c r="H370" i="29"/>
  <c r="P257" i="32" l="1"/>
  <c r="C256" i="32"/>
  <c r="D256" i="32" s="1"/>
  <c r="AN4" i="31"/>
  <c r="R4" i="31" s="1"/>
  <c r="Z248" i="29"/>
  <c r="X249" i="29" s="1"/>
  <c r="W249" i="29" s="1"/>
  <c r="X370" i="29"/>
  <c r="W370" i="29" s="1"/>
  <c r="Z125" i="29"/>
  <c r="Z4" i="29"/>
  <c r="AA4" i="29" s="1"/>
  <c r="AB4" i="29" s="1"/>
  <c r="H126" i="29"/>
  <c r="H5" i="29"/>
  <c r="P258" i="32" l="1"/>
  <c r="C257" i="32"/>
  <c r="D257" i="32" s="1"/>
  <c r="AO4" i="31"/>
  <c r="AP4" i="31" s="1"/>
  <c r="K4" i="31"/>
  <c r="Y4" i="31"/>
  <c r="D4" i="31"/>
  <c r="AF4" i="31"/>
  <c r="X126" i="29"/>
  <c r="W126" i="29" s="1"/>
  <c r="V127" i="29" s="1"/>
  <c r="I249" i="29"/>
  <c r="P249" i="29"/>
  <c r="O250" i="29" s="1"/>
  <c r="P126" i="29"/>
  <c r="O127" i="29" s="1"/>
  <c r="I370" i="29"/>
  <c r="P370" i="29"/>
  <c r="O371" i="29" s="1"/>
  <c r="X5" i="29"/>
  <c r="P5" i="29" s="1"/>
  <c r="V371" i="29"/>
  <c r="V250" i="29"/>
  <c r="P259" i="32" l="1"/>
  <c r="C258" i="32"/>
  <c r="D258" i="32" s="1"/>
  <c r="AM5" i="31"/>
  <c r="AK5" i="31"/>
  <c r="AD5" i="31"/>
  <c r="I5" i="31"/>
  <c r="W5" i="31"/>
  <c r="V6" i="31" s="1"/>
  <c r="P5" i="31"/>
  <c r="I126" i="29"/>
  <c r="H127" i="29" s="1"/>
  <c r="Y5" i="29"/>
  <c r="I5" i="29"/>
  <c r="V6" i="29"/>
  <c r="O6" i="29"/>
  <c r="Z249" i="29"/>
  <c r="H6" i="29"/>
  <c r="Z370" i="29"/>
  <c r="Z126" i="29"/>
  <c r="H250" i="29"/>
  <c r="H371" i="29"/>
  <c r="C259" i="32" l="1"/>
  <c r="D259" i="32" s="1"/>
  <c r="P260" i="32"/>
  <c r="AN5" i="31"/>
  <c r="H6" i="31"/>
  <c r="O6" i="31"/>
  <c r="AC6" i="31"/>
  <c r="X371" i="29"/>
  <c r="W371" i="29" s="1"/>
  <c r="Z5" i="29"/>
  <c r="X6" i="29" s="1"/>
  <c r="X250" i="29"/>
  <c r="W250" i="29" s="1"/>
  <c r="X127" i="29"/>
  <c r="W127" i="29" s="1"/>
  <c r="AA5" i="29"/>
  <c r="AB5" i="29" s="1"/>
  <c r="P261" i="32" l="1"/>
  <c r="C260" i="32"/>
  <c r="D260" i="32" s="1"/>
  <c r="AJ6" i="31"/>
  <c r="AL6" i="31" s="1"/>
  <c r="K5" i="31"/>
  <c r="AO5" i="31"/>
  <c r="AP5" i="31" s="1"/>
  <c r="D5" i="31"/>
  <c r="Y5" i="31"/>
  <c r="R5" i="31"/>
  <c r="AF5" i="31"/>
  <c r="P6" i="29"/>
  <c r="O7" i="29" s="1"/>
  <c r="W6" i="29"/>
  <c r="I127" i="29"/>
  <c r="P127" i="29"/>
  <c r="O128" i="29" s="1"/>
  <c r="I250" i="29"/>
  <c r="P250" i="29"/>
  <c r="O251" i="29" s="1"/>
  <c r="I371" i="29"/>
  <c r="P371" i="29"/>
  <c r="O372" i="29" s="1"/>
  <c r="Y6" i="29"/>
  <c r="I6" i="29"/>
  <c r="V7" i="29"/>
  <c r="V251" i="29"/>
  <c r="V128" i="29"/>
  <c r="V372" i="29"/>
  <c r="P262" i="32" l="1"/>
  <c r="C261" i="32"/>
  <c r="D261" i="32" s="1"/>
  <c r="AK6" i="31"/>
  <c r="AM6" i="31"/>
  <c r="W6" i="31"/>
  <c r="V7" i="31" s="1"/>
  <c r="AD6" i="31"/>
  <c r="P6" i="31"/>
  <c r="AJ7" i="31" s="1"/>
  <c r="I6" i="31"/>
  <c r="Z127" i="29"/>
  <c r="Z6" i="29"/>
  <c r="Z371" i="29"/>
  <c r="Z250" i="29"/>
  <c r="H128" i="29"/>
  <c r="H372" i="29"/>
  <c r="H251" i="29"/>
  <c r="H7" i="29"/>
  <c r="P263" i="32" l="1"/>
  <c r="C262" i="32"/>
  <c r="D262" i="32" s="1"/>
  <c r="O7" i="31"/>
  <c r="H7" i="31"/>
  <c r="X251" i="29"/>
  <c r="W251" i="29" s="1"/>
  <c r="X372" i="29"/>
  <c r="W372" i="29" s="1"/>
  <c r="X128" i="29"/>
  <c r="W128" i="29" s="1"/>
  <c r="X7" i="29"/>
  <c r="AA6" i="29"/>
  <c r="AB6" i="29" s="1"/>
  <c r="C263" i="32" l="1"/>
  <c r="D263" i="32" s="1"/>
  <c r="P264" i="32"/>
  <c r="AN6" i="31"/>
  <c r="AC7" i="31"/>
  <c r="P7" i="29"/>
  <c r="W7" i="29"/>
  <c r="I372" i="29"/>
  <c r="P372" i="29"/>
  <c r="O373" i="29" s="1"/>
  <c r="I128" i="29"/>
  <c r="P128" i="29"/>
  <c r="O129" i="29" s="1"/>
  <c r="I251" i="29"/>
  <c r="P251" i="29"/>
  <c r="O252" i="29" s="1"/>
  <c r="Y7" i="29"/>
  <c r="I7" i="29"/>
  <c r="O8" i="29"/>
  <c r="V8" i="29"/>
  <c r="V129" i="29"/>
  <c r="V252" i="29"/>
  <c r="V373" i="29"/>
  <c r="P265" i="32" l="1"/>
  <c r="C264" i="32"/>
  <c r="D264" i="32" s="1"/>
  <c r="AO6" i="31"/>
  <c r="AP6" i="31" s="1"/>
  <c r="AL7" i="31"/>
  <c r="K6" i="31"/>
  <c r="D6" i="31"/>
  <c r="AF6" i="31"/>
  <c r="R6" i="31"/>
  <c r="Y6" i="31"/>
  <c r="Z372" i="29"/>
  <c r="Z251" i="29"/>
  <c r="Z128" i="29"/>
  <c r="Z7" i="29"/>
  <c r="H252" i="29"/>
  <c r="H373" i="29"/>
  <c r="H129" i="29"/>
  <c r="H8" i="29"/>
  <c r="X8" i="29" s="1"/>
  <c r="P266" i="32" l="1"/>
  <c r="C265" i="32"/>
  <c r="D265" i="32" s="1"/>
  <c r="AK7" i="31"/>
  <c r="AM7" i="31"/>
  <c r="P7" i="31"/>
  <c r="O8" i="31" s="1"/>
  <c r="AJ8" i="31"/>
  <c r="W7" i="31"/>
  <c r="V8" i="31" s="1"/>
  <c r="AD7" i="31"/>
  <c r="AC8" i="31" s="1"/>
  <c r="I7" i="31"/>
  <c r="X129" i="29"/>
  <c r="W129" i="29" s="1"/>
  <c r="X252" i="29"/>
  <c r="W252" i="29" s="1"/>
  <c r="P8" i="29"/>
  <c r="W8" i="29"/>
  <c r="Y8" i="29"/>
  <c r="I8" i="29"/>
  <c r="X373" i="29"/>
  <c r="W373" i="29" s="1"/>
  <c r="AA7" i="29"/>
  <c r="AB7" i="29" s="1"/>
  <c r="P267" i="32" l="1"/>
  <c r="C266" i="32"/>
  <c r="D266" i="32" s="1"/>
  <c r="AN7" i="31"/>
  <c r="H8" i="31"/>
  <c r="D7" i="31"/>
  <c r="K7" i="31"/>
  <c r="AO7" i="31"/>
  <c r="AP7" i="31" s="1"/>
  <c r="R7" i="31"/>
  <c r="AF7" i="31"/>
  <c r="I129" i="29"/>
  <c r="P129" i="29"/>
  <c r="O130" i="29" s="1"/>
  <c r="P252" i="29"/>
  <c r="O253" i="29" s="1"/>
  <c r="I252" i="29"/>
  <c r="I373" i="29"/>
  <c r="P373" i="29"/>
  <c r="O374" i="29" s="1"/>
  <c r="O9" i="29"/>
  <c r="V130" i="29"/>
  <c r="V9" i="29"/>
  <c r="V253" i="29"/>
  <c r="V374" i="29"/>
  <c r="C267" i="32" l="1"/>
  <c r="D267" i="32" s="1"/>
  <c r="P268" i="32"/>
  <c r="Y7" i="31"/>
  <c r="AL8" i="31"/>
  <c r="AK8" i="31" s="1"/>
  <c r="I8" i="31"/>
  <c r="H9" i="31" s="1"/>
  <c r="W8" i="31"/>
  <c r="V9" i="31" s="1"/>
  <c r="AD8" i="31"/>
  <c r="P8" i="31"/>
  <c r="Z8" i="29"/>
  <c r="Z373" i="29"/>
  <c r="Z252" i="29"/>
  <c r="Z129" i="29"/>
  <c r="H253" i="29"/>
  <c r="H9" i="29"/>
  <c r="H130" i="29"/>
  <c r="X130" i="29"/>
  <c r="W130" i="29" s="1"/>
  <c r="H374" i="29"/>
  <c r="P269" i="32" l="1"/>
  <c r="C268" i="32"/>
  <c r="D268" i="32" s="1"/>
  <c r="AJ9" i="31"/>
  <c r="AM8" i="31"/>
  <c r="O9" i="31"/>
  <c r="AN8" i="31"/>
  <c r="AF8" i="31" s="1"/>
  <c r="AC9" i="31"/>
  <c r="Y8" i="31"/>
  <c r="R8" i="31"/>
  <c r="K8" i="31"/>
  <c r="I130" i="29"/>
  <c r="P130" i="29"/>
  <c r="X374" i="29"/>
  <c r="W374" i="29" s="1"/>
  <c r="X9" i="29"/>
  <c r="X253" i="29"/>
  <c r="W253" i="29" s="1"/>
  <c r="AA8" i="29"/>
  <c r="AB8" i="29" s="1"/>
  <c r="P270" i="32" l="1"/>
  <c r="C269" i="32"/>
  <c r="D269" i="32" s="1"/>
  <c r="D8" i="31"/>
  <c r="AL9" i="31"/>
  <c r="AO8" i="31"/>
  <c r="AP8" i="31" s="1"/>
  <c r="I9" i="31"/>
  <c r="P9" i="31"/>
  <c r="P9" i="29"/>
  <c r="W9" i="29"/>
  <c r="I253" i="29"/>
  <c r="P253" i="29"/>
  <c r="O254" i="29" s="1"/>
  <c r="I374" i="29"/>
  <c r="P374" i="29"/>
  <c r="O375" i="29" s="1"/>
  <c r="Y9" i="29"/>
  <c r="I9" i="29"/>
  <c r="O131" i="29"/>
  <c r="O10" i="29"/>
  <c r="V131" i="29"/>
  <c r="V10" i="29"/>
  <c r="V254" i="29"/>
  <c r="V375" i="29"/>
  <c r="C270" i="32" l="1"/>
  <c r="D270" i="32" s="1"/>
  <c r="P271" i="32"/>
  <c r="AK9" i="31"/>
  <c r="AJ10" i="31" s="1"/>
  <c r="AM9" i="31"/>
  <c r="W9" i="31"/>
  <c r="V10" i="31" s="1"/>
  <c r="AD9" i="31"/>
  <c r="O10" i="31"/>
  <c r="H10" i="31"/>
  <c r="Z130" i="29"/>
  <c r="Z374" i="29"/>
  <c r="Z253" i="29"/>
  <c r="Z9" i="29"/>
  <c r="H10" i="29"/>
  <c r="H375" i="29"/>
  <c r="H254" i="29"/>
  <c r="H131" i="29"/>
  <c r="C271" i="32" l="1"/>
  <c r="D271" i="32" s="1"/>
  <c r="P272" i="32"/>
  <c r="AN9" i="31"/>
  <c r="AC10" i="31"/>
  <c r="X375" i="29"/>
  <c r="W375" i="29" s="1"/>
  <c r="X131" i="29"/>
  <c r="W131" i="29" s="1"/>
  <c r="X254" i="29"/>
  <c r="W254" i="29" s="1"/>
  <c r="X10" i="29"/>
  <c r="AA9" i="29"/>
  <c r="AB9" i="29" s="1"/>
  <c r="P273" i="32" l="1"/>
  <c r="C272" i="32"/>
  <c r="K9" i="31"/>
  <c r="AL10" i="31"/>
  <c r="D9" i="31"/>
  <c r="AO9" i="31"/>
  <c r="AP9" i="31" s="1"/>
  <c r="R9" i="31"/>
  <c r="W10" i="31"/>
  <c r="Y9" i="31"/>
  <c r="AF9" i="31"/>
  <c r="AD10" i="31"/>
  <c r="I10" i="31"/>
  <c r="P375" i="29"/>
  <c r="O376" i="29" s="1"/>
  <c r="I375" i="29"/>
  <c r="P10" i="29"/>
  <c r="O11" i="29" s="1"/>
  <c r="W10" i="29"/>
  <c r="I254" i="29"/>
  <c r="P254" i="29"/>
  <c r="O255" i="29" s="1"/>
  <c r="I131" i="29"/>
  <c r="P131" i="29"/>
  <c r="O132" i="29" s="1"/>
  <c r="Y10" i="29"/>
  <c r="I10" i="29"/>
  <c r="V255" i="29"/>
  <c r="V11" i="29"/>
  <c r="V376" i="29"/>
  <c r="V132" i="29"/>
  <c r="P274" i="32" l="1"/>
  <c r="C273" i="32"/>
  <c r="D273" i="32" s="1"/>
  <c r="D272" i="32"/>
  <c r="AK10" i="31"/>
  <c r="AJ11" i="31" s="1"/>
  <c r="AM10" i="31"/>
  <c r="P10" i="31"/>
  <c r="V11" i="31"/>
  <c r="H11" i="31"/>
  <c r="Z375" i="29"/>
  <c r="Z131" i="29"/>
  <c r="Z10" i="29"/>
  <c r="Z254" i="29"/>
  <c r="H132" i="29"/>
  <c r="H376" i="29"/>
  <c r="H255" i="29"/>
  <c r="H11" i="29"/>
  <c r="X11" i="29" s="1"/>
  <c r="P275" i="32" l="1"/>
  <c r="C274" i="32"/>
  <c r="D274" i="32" s="1"/>
  <c r="AN10" i="31"/>
  <c r="O11" i="31"/>
  <c r="AC11" i="31"/>
  <c r="AF10" i="31"/>
  <c r="D10" i="31"/>
  <c r="K10" i="31"/>
  <c r="AO10" i="31"/>
  <c r="AP10" i="31" s="1"/>
  <c r="R10" i="31"/>
  <c r="P11" i="29"/>
  <c r="W11" i="29"/>
  <c r="X376" i="29"/>
  <c r="W376" i="29" s="1"/>
  <c r="Y11" i="29"/>
  <c r="I11" i="29"/>
  <c r="X255" i="29"/>
  <c r="W255" i="29" s="1"/>
  <c r="X132" i="29"/>
  <c r="W132" i="29" s="1"/>
  <c r="AA10" i="29"/>
  <c r="AB10" i="29" s="1"/>
  <c r="C275" i="32" l="1"/>
  <c r="D275" i="32" s="1"/>
  <c r="P276" i="32"/>
  <c r="Y10" i="31"/>
  <c r="AL11" i="31"/>
  <c r="AK11" i="31" s="1"/>
  <c r="AM11" i="31"/>
  <c r="W11" i="31"/>
  <c r="AD11" i="31"/>
  <c r="I11" i="31"/>
  <c r="P11" i="31"/>
  <c r="I376" i="29"/>
  <c r="P376" i="29"/>
  <c r="I132" i="29"/>
  <c r="P132" i="29"/>
  <c r="O133" i="29" s="1"/>
  <c r="I255" i="29"/>
  <c r="P255" i="29"/>
  <c r="O256" i="29" s="1"/>
  <c r="O377" i="29"/>
  <c r="O12" i="29"/>
  <c r="V133" i="29"/>
  <c r="V377" i="29"/>
  <c r="V256" i="29"/>
  <c r="V12" i="29"/>
  <c r="P277" i="32" l="1"/>
  <c r="C276" i="32"/>
  <c r="AC12" i="31"/>
  <c r="AJ12" i="31"/>
  <c r="H12" i="31"/>
  <c r="V12" i="31"/>
  <c r="O12" i="31"/>
  <c r="Z255" i="29"/>
  <c r="Z132" i="29"/>
  <c r="Z11" i="29"/>
  <c r="Z376" i="29"/>
  <c r="H256" i="29"/>
  <c r="H12" i="29"/>
  <c r="H133" i="29"/>
  <c r="H377" i="29"/>
  <c r="X377" i="29" s="1"/>
  <c r="W377" i="29" s="1"/>
  <c r="D276" i="32" l="1"/>
  <c r="P278" i="32"/>
  <c r="C277" i="32"/>
  <c r="D277" i="32" s="1"/>
  <c r="AN11" i="31"/>
  <c r="I377" i="29"/>
  <c r="P377" i="29"/>
  <c r="X12" i="29"/>
  <c r="X133" i="29"/>
  <c r="W133" i="29" s="1"/>
  <c r="X256" i="29"/>
  <c r="W256" i="29" s="1"/>
  <c r="AA11" i="29"/>
  <c r="AB11" i="29" s="1"/>
  <c r="P279" i="32" l="1"/>
  <c r="C278" i="32"/>
  <c r="D278" i="32" s="1"/>
  <c r="R11" i="31"/>
  <c r="AL12" i="31"/>
  <c r="D11" i="31"/>
  <c r="AO11" i="31"/>
  <c r="AP11" i="31" s="1"/>
  <c r="Y11" i="31"/>
  <c r="K11" i="31"/>
  <c r="AF11" i="31"/>
  <c r="P12" i="29"/>
  <c r="O13" i="29" s="1"/>
  <c r="W12" i="29"/>
  <c r="I256" i="29"/>
  <c r="P256" i="29"/>
  <c r="O257" i="29" s="1"/>
  <c r="I133" i="29"/>
  <c r="P133" i="29"/>
  <c r="O134" i="29" s="1"/>
  <c r="Y12" i="29"/>
  <c r="I12" i="29"/>
  <c r="O378" i="29"/>
  <c r="V378" i="29"/>
  <c r="V257" i="29"/>
  <c r="V134" i="29"/>
  <c r="V13" i="29"/>
  <c r="P280" i="32" l="1"/>
  <c r="C279" i="32"/>
  <c r="D279" i="32" s="1"/>
  <c r="AK12" i="31"/>
  <c r="AM12" i="31"/>
  <c r="W12" i="31"/>
  <c r="V13" i="31" s="1"/>
  <c r="AD12" i="31"/>
  <c r="I12" i="31"/>
  <c r="P12" i="31"/>
  <c r="Z12" i="29"/>
  <c r="Z256" i="29"/>
  <c r="Z133" i="29"/>
  <c r="Z377" i="29"/>
  <c r="H13" i="29"/>
  <c r="H257" i="29"/>
  <c r="H134" i="29"/>
  <c r="H378" i="29"/>
  <c r="P281" i="32" l="1"/>
  <c r="C280" i="32"/>
  <c r="D280" i="32" s="1"/>
  <c r="AJ13" i="31"/>
  <c r="O13" i="31"/>
  <c r="H13" i="31"/>
  <c r="AC13" i="31"/>
  <c r="X257" i="29"/>
  <c r="W257" i="29" s="1"/>
  <c r="X378" i="29"/>
  <c r="W378" i="29" s="1"/>
  <c r="X134" i="29"/>
  <c r="W134" i="29" s="1"/>
  <c r="X13" i="29"/>
  <c r="AA12" i="29"/>
  <c r="AB12" i="29" s="1"/>
  <c r="P282" i="32" l="1"/>
  <c r="C281" i="32"/>
  <c r="D281" i="32" s="1"/>
  <c r="AN12" i="31"/>
  <c r="I257" i="29"/>
  <c r="P257" i="29"/>
  <c r="O258" i="29" s="1"/>
  <c r="P13" i="29"/>
  <c r="O14" i="29" s="1"/>
  <c r="W13" i="29"/>
  <c r="I134" i="29"/>
  <c r="P134" i="29"/>
  <c r="O135" i="29" s="1"/>
  <c r="I378" i="29"/>
  <c r="P378" i="29"/>
  <c r="O379" i="29" s="1"/>
  <c r="Y13" i="29"/>
  <c r="I13" i="29"/>
  <c r="V135" i="29"/>
  <c r="V14" i="29"/>
  <c r="V258" i="29"/>
  <c r="V379" i="29"/>
  <c r="P283" i="32" l="1"/>
  <c r="C282" i="32"/>
  <c r="D282" i="32" s="1"/>
  <c r="R12" i="31"/>
  <c r="AL13" i="31"/>
  <c r="AO12" i="31"/>
  <c r="AP12" i="31" s="1"/>
  <c r="D12" i="31"/>
  <c r="K12" i="31"/>
  <c r="Y12" i="31"/>
  <c r="AF12" i="31"/>
  <c r="Z378" i="29"/>
  <c r="Z257" i="29"/>
  <c r="Z13" i="29"/>
  <c r="Z134" i="29"/>
  <c r="H14" i="29"/>
  <c r="X14" i="29" s="1"/>
  <c r="H135" i="29"/>
  <c r="X135" i="29" s="1"/>
  <c r="W135" i="29" s="1"/>
  <c r="H379" i="29"/>
  <c r="H258" i="29"/>
  <c r="C283" i="32" l="1"/>
  <c r="D283" i="32" s="1"/>
  <c r="P284" i="32"/>
  <c r="AK13" i="31"/>
  <c r="AM13" i="31"/>
  <c r="AD13" i="31"/>
  <c r="W13" i="31"/>
  <c r="V14" i="31" s="1"/>
  <c r="I13" i="31"/>
  <c r="P13" i="31"/>
  <c r="P14" i="29"/>
  <c r="W14" i="29"/>
  <c r="I135" i="29"/>
  <c r="P135" i="29"/>
  <c r="Y14" i="29"/>
  <c r="I14" i="29"/>
  <c r="X258" i="29"/>
  <c r="W258" i="29" s="1"/>
  <c r="X379" i="29"/>
  <c r="W379" i="29" s="1"/>
  <c r="AA13" i="29"/>
  <c r="AB13" i="29" s="1"/>
  <c r="P285" i="32" l="1"/>
  <c r="C284" i="32"/>
  <c r="D284" i="32" s="1"/>
  <c r="O14" i="31"/>
  <c r="H14" i="31"/>
  <c r="I258" i="29"/>
  <c r="P258" i="29"/>
  <c r="O259" i="29" s="1"/>
  <c r="I379" i="29"/>
  <c r="P379" i="29"/>
  <c r="O380" i="29" s="1"/>
  <c r="O15" i="29"/>
  <c r="O136" i="29"/>
  <c r="V380" i="29"/>
  <c r="V259" i="29"/>
  <c r="V15" i="29"/>
  <c r="V136" i="29"/>
  <c r="P286" i="32" l="1"/>
  <c r="C285" i="32"/>
  <c r="D285" i="32" s="1"/>
  <c r="AJ14" i="31"/>
  <c r="AN13" i="31"/>
  <c r="AL14" i="31" s="1"/>
  <c r="AC14" i="31"/>
  <c r="Z14" i="29"/>
  <c r="Z379" i="29"/>
  <c r="Z135" i="29"/>
  <c r="Z258" i="29"/>
  <c r="H380" i="29"/>
  <c r="H136" i="29"/>
  <c r="H259" i="29"/>
  <c r="X259" i="29" s="1"/>
  <c r="W259" i="29" s="1"/>
  <c r="H15" i="29"/>
  <c r="C286" i="32" l="1"/>
  <c r="D286" i="32" s="1"/>
  <c r="P287" i="32"/>
  <c r="Y13" i="31"/>
  <c r="AO13" i="31"/>
  <c r="AP13" i="31" s="1"/>
  <c r="D13" i="31"/>
  <c r="K13" i="31"/>
  <c r="R13" i="31"/>
  <c r="AF13" i="31"/>
  <c r="X380" i="29"/>
  <c r="W380" i="29" s="1"/>
  <c r="I259" i="29"/>
  <c r="P259" i="29"/>
  <c r="X136" i="29"/>
  <c r="W136" i="29" s="1"/>
  <c r="X15" i="29"/>
  <c r="AA14" i="29"/>
  <c r="AB14" i="29" s="1"/>
  <c r="C287" i="32" l="1"/>
  <c r="D287" i="32" s="1"/>
  <c r="P288" i="32"/>
  <c r="AK14" i="31"/>
  <c r="AM14" i="31"/>
  <c r="AD14" i="31"/>
  <c r="W14" i="31"/>
  <c r="V15" i="31" s="1"/>
  <c r="I14" i="31"/>
  <c r="P14" i="31"/>
  <c r="I380" i="29"/>
  <c r="P380" i="29"/>
  <c r="P15" i="29"/>
  <c r="O16" i="29" s="1"/>
  <c r="W15" i="29"/>
  <c r="I136" i="29"/>
  <c r="P136" i="29"/>
  <c r="O137" i="29" s="1"/>
  <c r="Y15" i="29"/>
  <c r="I15" i="29"/>
  <c r="O260" i="29"/>
  <c r="V260" i="29"/>
  <c r="V137" i="29"/>
  <c r="V16" i="29"/>
  <c r="P289" i="32" l="1"/>
  <c r="C288" i="32"/>
  <c r="D288" i="32" s="1"/>
  <c r="O15" i="31"/>
  <c r="H15" i="31"/>
  <c r="Z136" i="29"/>
  <c r="Z259" i="29"/>
  <c r="Z15" i="29"/>
  <c r="Z380" i="29"/>
  <c r="H260" i="29"/>
  <c r="H137" i="29"/>
  <c r="H16" i="29"/>
  <c r="P290" i="32" l="1"/>
  <c r="C289" i="32"/>
  <c r="D289" i="32" s="1"/>
  <c r="AN14" i="31"/>
  <c r="AC15" i="31"/>
  <c r="AJ15" i="31"/>
  <c r="X16" i="29"/>
  <c r="W16" i="29" s="1"/>
  <c r="X137" i="29"/>
  <c r="W137" i="29" s="1"/>
  <c r="X260" i="29"/>
  <c r="W260" i="29" s="1"/>
  <c r="AA15" i="29"/>
  <c r="AB15" i="29" s="1"/>
  <c r="P291" i="32" l="1"/>
  <c r="C290" i="32"/>
  <c r="D290" i="32" s="1"/>
  <c r="Y14" i="31"/>
  <c r="AL15" i="31"/>
  <c r="AF14" i="31"/>
  <c r="R14" i="31"/>
  <c r="AO14" i="31"/>
  <c r="AP14" i="31" s="1"/>
  <c r="D14" i="31"/>
  <c r="K14" i="31"/>
  <c r="Y16" i="29"/>
  <c r="P16" i="29"/>
  <c r="O17" i="29" s="1"/>
  <c r="I137" i="29"/>
  <c r="P137" i="29"/>
  <c r="O138" i="29" s="1"/>
  <c r="I260" i="29"/>
  <c r="P260" i="29"/>
  <c r="O261" i="29" s="1"/>
  <c r="I16" i="29"/>
  <c r="V261" i="29"/>
  <c r="V17" i="29"/>
  <c r="V138" i="29"/>
  <c r="C291" i="32" l="1"/>
  <c r="D291" i="32" s="1"/>
  <c r="P292" i="32"/>
  <c r="AK15" i="31"/>
  <c r="AM15" i="31"/>
  <c r="AD15" i="31"/>
  <c r="W15" i="31"/>
  <c r="P15" i="31"/>
  <c r="I15" i="31"/>
  <c r="Z260" i="29"/>
  <c r="Z137" i="29"/>
  <c r="Z16" i="29"/>
  <c r="H261" i="29"/>
  <c r="H17" i="29"/>
  <c r="H138" i="29"/>
  <c r="X138" i="29" s="1"/>
  <c r="W138" i="29" s="1"/>
  <c r="P293" i="32" l="1"/>
  <c r="C292" i="32"/>
  <c r="D292" i="32" s="1"/>
  <c r="H16" i="31"/>
  <c r="O16" i="31"/>
  <c r="V16" i="31"/>
  <c r="I138" i="29"/>
  <c r="P138" i="29"/>
  <c r="X17" i="29"/>
  <c r="X261" i="29"/>
  <c r="W261" i="29" s="1"/>
  <c r="AA16" i="29"/>
  <c r="AB16" i="29" s="1"/>
  <c r="P294" i="32" l="1"/>
  <c r="C293" i="32"/>
  <c r="D293" i="32" s="1"/>
  <c r="AJ16" i="31"/>
  <c r="AN15" i="31"/>
  <c r="AL16" i="31" s="1"/>
  <c r="AC16" i="31"/>
  <c r="P17" i="29"/>
  <c r="O18" i="29" s="1"/>
  <c r="W17" i="29"/>
  <c r="I261" i="29"/>
  <c r="P261" i="29"/>
  <c r="O262" i="29" s="1"/>
  <c r="Y17" i="29"/>
  <c r="I17" i="29"/>
  <c r="O139" i="29"/>
  <c r="V262" i="29"/>
  <c r="V139" i="29"/>
  <c r="V18" i="29"/>
  <c r="P295" i="32" l="1"/>
  <c r="C294" i="32"/>
  <c r="D294" i="32" s="1"/>
  <c r="Y15" i="31"/>
  <c r="AO15" i="31"/>
  <c r="AP15" i="31" s="1"/>
  <c r="R15" i="31"/>
  <c r="D15" i="31"/>
  <c r="K15" i="31"/>
  <c r="AF15" i="31"/>
  <c r="Z138" i="29"/>
  <c r="Z261" i="29"/>
  <c r="Z17" i="29"/>
  <c r="H139" i="29"/>
  <c r="H262" i="29"/>
  <c r="H18" i="29"/>
  <c r="X18" i="29" s="1"/>
  <c r="C295" i="32" l="1"/>
  <c r="D295" i="32" s="1"/>
  <c r="P296" i="32"/>
  <c r="AK16" i="31"/>
  <c r="AM16" i="31"/>
  <c r="AD16" i="31"/>
  <c r="W16" i="31"/>
  <c r="I16" i="31"/>
  <c r="P16" i="31"/>
  <c r="P18" i="29"/>
  <c r="W18" i="29"/>
  <c r="Y18" i="29"/>
  <c r="I18" i="29"/>
  <c r="X262" i="29"/>
  <c r="W262" i="29" s="1"/>
  <c r="X139" i="29"/>
  <c r="W139" i="29" s="1"/>
  <c r="AA17" i="29"/>
  <c r="AB17" i="29" s="1"/>
  <c r="P297" i="32" l="1"/>
  <c r="C296" i="32"/>
  <c r="D296" i="32" s="1"/>
  <c r="O17" i="31"/>
  <c r="H17" i="31"/>
  <c r="V17" i="31"/>
  <c r="I139" i="29"/>
  <c r="P139" i="29"/>
  <c r="O140" i="29" s="1"/>
  <c r="I262" i="29"/>
  <c r="P262" i="29"/>
  <c r="O263" i="29" s="1"/>
  <c r="O19" i="29"/>
  <c r="V140" i="29"/>
  <c r="V263" i="29"/>
  <c r="V19" i="29"/>
  <c r="P298" i="32" l="1"/>
  <c r="C297" i="32"/>
  <c r="D297" i="32" s="1"/>
  <c r="AN16" i="31"/>
  <c r="AC17" i="31"/>
  <c r="AJ17" i="31"/>
  <c r="Z18" i="29"/>
  <c r="Z139" i="29"/>
  <c r="Z262" i="29"/>
  <c r="H19" i="29"/>
  <c r="H263" i="29"/>
  <c r="H140" i="29"/>
  <c r="X140" i="29" s="1"/>
  <c r="W140" i="29" s="1"/>
  <c r="P299" i="32" l="1"/>
  <c r="C298" i="32"/>
  <c r="D298" i="32" s="1"/>
  <c r="Y16" i="31"/>
  <c r="AL17" i="31"/>
  <c r="AF16" i="31"/>
  <c r="K16" i="31"/>
  <c r="AO16" i="31"/>
  <c r="AP16" i="31" s="1"/>
  <c r="D16" i="31"/>
  <c r="R16" i="31"/>
  <c r="I140" i="29"/>
  <c r="P140" i="29"/>
  <c r="X263" i="29"/>
  <c r="W263" i="29" s="1"/>
  <c r="X19" i="29"/>
  <c r="AA18" i="29"/>
  <c r="AB18" i="29" s="1"/>
  <c r="C299" i="32" l="1"/>
  <c r="D299" i="32" s="1"/>
  <c r="P300" i="32"/>
  <c r="AK17" i="31"/>
  <c r="AM17" i="31"/>
  <c r="AD17" i="31"/>
  <c r="W17" i="31"/>
  <c r="P17" i="31"/>
  <c r="I17" i="31"/>
  <c r="P19" i="29"/>
  <c r="W19" i="29"/>
  <c r="I263" i="29"/>
  <c r="P263" i="29"/>
  <c r="O264" i="29" s="1"/>
  <c r="Y19" i="29"/>
  <c r="I19" i="29"/>
  <c r="O20" i="29"/>
  <c r="O141" i="29"/>
  <c r="V264" i="29"/>
  <c r="V20" i="29"/>
  <c r="V141" i="29"/>
  <c r="P301" i="32" l="1"/>
  <c r="C300" i="32"/>
  <c r="D300" i="32" s="1"/>
  <c r="H18" i="31"/>
  <c r="O18" i="31"/>
  <c r="V18" i="31"/>
  <c r="Z263" i="29"/>
  <c r="Z140" i="29"/>
  <c r="Z19" i="29"/>
  <c r="H20" i="29"/>
  <c r="H264" i="29"/>
  <c r="H141" i="29"/>
  <c r="P302" i="32" l="1"/>
  <c r="C301" i="32"/>
  <c r="D301" i="32" s="1"/>
  <c r="AJ18" i="31"/>
  <c r="AN17" i="31"/>
  <c r="AL18" i="31" s="1"/>
  <c r="AC18" i="31"/>
  <c r="X264" i="29"/>
  <c r="W264" i="29" s="1"/>
  <c r="X141" i="29"/>
  <c r="W141" i="29" s="1"/>
  <c r="X20" i="29"/>
  <c r="AA19" i="29"/>
  <c r="AB19" i="29" s="1"/>
  <c r="C302" i="32" l="1"/>
  <c r="D302" i="32" s="1"/>
  <c r="P303" i="32"/>
  <c r="D17" i="31"/>
  <c r="AO17" i="31"/>
  <c r="AP17" i="31" s="1"/>
  <c r="K17" i="31"/>
  <c r="R17" i="31"/>
  <c r="AF17" i="31"/>
  <c r="Y17" i="31"/>
  <c r="P20" i="29"/>
  <c r="W20" i="29"/>
  <c r="V21" i="29" s="1"/>
  <c r="I264" i="29"/>
  <c r="P264" i="29"/>
  <c r="O265" i="29" s="1"/>
  <c r="I141" i="29"/>
  <c r="P141" i="29"/>
  <c r="O142" i="29" s="1"/>
  <c r="Y20" i="29"/>
  <c r="I20" i="29"/>
  <c r="O21" i="29"/>
  <c r="V265" i="29"/>
  <c r="V142" i="29"/>
  <c r="C303" i="32" l="1"/>
  <c r="D303" i="32" s="1"/>
  <c r="P304" i="32"/>
  <c r="AK18" i="31"/>
  <c r="AM18" i="31"/>
  <c r="AD18" i="31"/>
  <c r="W18" i="31"/>
  <c r="P18" i="31"/>
  <c r="I18" i="31"/>
  <c r="Z264" i="29"/>
  <c r="Z141" i="29"/>
  <c r="Z20" i="29"/>
  <c r="H265" i="29"/>
  <c r="H142" i="29"/>
  <c r="X142" i="29" s="1"/>
  <c r="W142" i="29" s="1"/>
  <c r="H21" i="29"/>
  <c r="P305" i="32" l="1"/>
  <c r="C304" i="32"/>
  <c r="D304" i="32" s="1"/>
  <c r="H19" i="31"/>
  <c r="O19" i="31"/>
  <c r="V19" i="31"/>
  <c r="I142" i="29"/>
  <c r="P142" i="29"/>
  <c r="X21" i="29"/>
  <c r="X265" i="29"/>
  <c r="W265" i="29" s="1"/>
  <c r="AA20" i="29"/>
  <c r="AB20" i="29" s="1"/>
  <c r="P306" i="32" l="1"/>
  <c r="C305" i="32"/>
  <c r="D305" i="32" s="1"/>
  <c r="AJ19" i="31"/>
  <c r="AN18" i="31"/>
  <c r="AL19" i="31" s="1"/>
  <c r="AC19" i="31"/>
  <c r="P21" i="29"/>
  <c r="W21" i="29"/>
  <c r="I265" i="29"/>
  <c r="P265" i="29"/>
  <c r="O266" i="29" s="1"/>
  <c r="Y21" i="29"/>
  <c r="I21" i="29"/>
  <c r="O22" i="29"/>
  <c r="O143" i="29"/>
  <c r="V143" i="29"/>
  <c r="V266" i="29"/>
  <c r="V22" i="29"/>
  <c r="P307" i="32" l="1"/>
  <c r="C306" i="32"/>
  <c r="D306" i="32" s="1"/>
  <c r="D18" i="31"/>
  <c r="AO18" i="31"/>
  <c r="AP18" i="31" s="1"/>
  <c r="K18" i="31"/>
  <c r="R18" i="31"/>
  <c r="AF18" i="31"/>
  <c r="Y18" i="31"/>
  <c r="Z142" i="29"/>
  <c r="Z21" i="29"/>
  <c r="Z265" i="29"/>
  <c r="H143" i="29"/>
  <c r="H22" i="29"/>
  <c r="X22" i="29" s="1"/>
  <c r="H266" i="29"/>
  <c r="X266" i="29" s="1"/>
  <c r="W266" i="29" s="1"/>
  <c r="P308" i="32" l="1"/>
  <c r="C307" i="32"/>
  <c r="D307" i="32" s="1"/>
  <c r="AK19" i="31"/>
  <c r="AM19" i="31"/>
  <c r="AD19" i="31"/>
  <c r="W19" i="31"/>
  <c r="P19" i="31"/>
  <c r="I19" i="31"/>
  <c r="P22" i="29"/>
  <c r="W22" i="29"/>
  <c r="I266" i="29"/>
  <c r="P266" i="29"/>
  <c r="Y22" i="29"/>
  <c r="I22" i="29"/>
  <c r="X143" i="29"/>
  <c r="W143" i="29" s="1"/>
  <c r="AA21" i="29"/>
  <c r="AB21" i="29" s="1"/>
  <c r="P309" i="32" l="1"/>
  <c r="C308" i="32"/>
  <c r="D308" i="32" s="1"/>
  <c r="H20" i="31"/>
  <c r="O20" i="31"/>
  <c r="V20" i="31"/>
  <c r="I143" i="29"/>
  <c r="P143" i="29"/>
  <c r="O144" i="29" s="1"/>
  <c r="O23" i="29"/>
  <c r="O267" i="29"/>
  <c r="V267" i="29"/>
  <c r="V144" i="29"/>
  <c r="V23" i="29"/>
  <c r="P310" i="32" l="1"/>
  <c r="C309" i="32"/>
  <c r="D309" i="32" s="1"/>
  <c r="AJ20" i="31"/>
  <c r="AN19" i="31"/>
  <c r="AL20" i="31" s="1"/>
  <c r="AC20" i="31"/>
  <c r="Z143" i="29"/>
  <c r="Z266" i="29"/>
  <c r="Z22" i="29"/>
  <c r="H144" i="29"/>
  <c r="H267" i="29"/>
  <c r="H23" i="29"/>
  <c r="P311" i="32" l="1"/>
  <c r="C310" i="32"/>
  <c r="D310" i="32" s="1"/>
  <c r="AO19" i="31"/>
  <c r="AP19" i="31" s="1"/>
  <c r="K19" i="31"/>
  <c r="D19" i="31"/>
  <c r="R19" i="31"/>
  <c r="AF19" i="31"/>
  <c r="Y19" i="31"/>
  <c r="X23" i="29"/>
  <c r="X144" i="29"/>
  <c r="W144" i="29" s="1"/>
  <c r="X267" i="29"/>
  <c r="W267" i="29" s="1"/>
  <c r="AA22" i="29"/>
  <c r="AB22" i="29" s="1"/>
  <c r="C311" i="32" l="1"/>
  <c r="D311" i="32" s="1"/>
  <c r="P312" i="32"/>
  <c r="AK20" i="31"/>
  <c r="AM20" i="31"/>
  <c r="AD20" i="31"/>
  <c r="W20" i="31"/>
  <c r="P20" i="31"/>
  <c r="I20" i="31"/>
  <c r="P23" i="29"/>
  <c r="W23" i="29"/>
  <c r="I144" i="29"/>
  <c r="P144" i="29"/>
  <c r="O145" i="29" s="1"/>
  <c r="I267" i="29"/>
  <c r="P267" i="29"/>
  <c r="O268" i="29" s="1"/>
  <c r="Y23" i="29"/>
  <c r="I23" i="29"/>
  <c r="O24" i="29"/>
  <c r="V268" i="29"/>
  <c r="V145" i="29"/>
  <c r="V24" i="29"/>
  <c r="P313" i="32" l="1"/>
  <c r="C312" i="32"/>
  <c r="D312" i="32" s="1"/>
  <c r="H21" i="31"/>
  <c r="O21" i="31"/>
  <c r="V21" i="31"/>
  <c r="Z144" i="29"/>
  <c r="Z267" i="29"/>
  <c r="Z23" i="29"/>
  <c r="H24" i="29"/>
  <c r="H145" i="29"/>
  <c r="H268" i="29"/>
  <c r="X268" i="29" s="1"/>
  <c r="W268" i="29" s="1"/>
  <c r="P314" i="32" l="1"/>
  <c r="C313" i="32"/>
  <c r="D313" i="32" s="1"/>
  <c r="AJ21" i="31"/>
  <c r="AN20" i="31"/>
  <c r="AL21" i="31" s="1"/>
  <c r="AC21" i="31"/>
  <c r="I268" i="29"/>
  <c r="P268" i="29"/>
  <c r="X145" i="29"/>
  <c r="W145" i="29" s="1"/>
  <c r="X24" i="29"/>
  <c r="AA23" i="29"/>
  <c r="AB23" i="29" s="1"/>
  <c r="C314" i="32" l="1"/>
  <c r="D314" i="32" s="1"/>
  <c r="P315" i="32"/>
  <c r="Y20" i="31"/>
  <c r="AO20" i="31"/>
  <c r="AP20" i="31" s="1"/>
  <c r="D20" i="31"/>
  <c r="K20" i="31"/>
  <c r="R20" i="31"/>
  <c r="AF20" i="31"/>
  <c r="P24" i="29"/>
  <c r="W24" i="29"/>
  <c r="V25" i="29" s="1"/>
  <c r="I145" i="29"/>
  <c r="P145" i="29"/>
  <c r="O146" i="29" s="1"/>
  <c r="Y24" i="29"/>
  <c r="I24" i="29"/>
  <c r="O25" i="29"/>
  <c r="O269" i="29"/>
  <c r="V269" i="29"/>
  <c r="V146" i="29"/>
  <c r="C315" i="32" l="1"/>
  <c r="D315" i="32" s="1"/>
  <c r="P316" i="32"/>
  <c r="AK21" i="31"/>
  <c r="AM21" i="31"/>
  <c r="AD21" i="31"/>
  <c r="W21" i="31"/>
  <c r="I21" i="31"/>
  <c r="P21" i="31"/>
  <c r="Z145" i="29"/>
  <c r="Z24" i="29"/>
  <c r="Z268" i="29"/>
  <c r="H269" i="29"/>
  <c r="H25" i="29"/>
  <c r="H146" i="29"/>
  <c r="P317" i="32" l="1"/>
  <c r="C316" i="32"/>
  <c r="D316" i="32" s="1"/>
  <c r="O22" i="31"/>
  <c r="H22" i="31"/>
  <c r="V22" i="31"/>
  <c r="X146" i="29"/>
  <c r="W146" i="29" s="1"/>
  <c r="X269" i="29"/>
  <c r="W269" i="29" s="1"/>
  <c r="X25" i="29"/>
  <c r="AA24" i="29"/>
  <c r="AB24" i="29" s="1"/>
  <c r="P318" i="32" l="1"/>
  <c r="C317" i="32"/>
  <c r="D317" i="32" s="1"/>
  <c r="AN21" i="31"/>
  <c r="AC22" i="31"/>
  <c r="AJ22" i="31"/>
  <c r="P25" i="29"/>
  <c r="W25" i="29"/>
  <c r="I146" i="29"/>
  <c r="P146" i="29"/>
  <c r="O147" i="29" s="1"/>
  <c r="I269" i="29"/>
  <c r="P269" i="29"/>
  <c r="O270" i="29" s="1"/>
  <c r="Y25" i="29"/>
  <c r="I25" i="29"/>
  <c r="V147" i="29"/>
  <c r="V270" i="29"/>
  <c r="V26" i="29"/>
  <c r="C318" i="32" l="1"/>
  <c r="D318" i="32" s="1"/>
  <c r="P319" i="32"/>
  <c r="AF21" i="31"/>
  <c r="AL22" i="31"/>
  <c r="Y21" i="31"/>
  <c r="AO21" i="31"/>
  <c r="AP21" i="31" s="1"/>
  <c r="D21" i="31"/>
  <c r="R21" i="31"/>
  <c r="K21" i="31"/>
  <c r="Z146" i="29"/>
  <c r="Z269" i="29"/>
  <c r="Z25" i="29"/>
  <c r="O26" i="29"/>
  <c r="H147" i="29"/>
  <c r="H26" i="29"/>
  <c r="H270" i="29"/>
  <c r="C319" i="32" l="1"/>
  <c r="D319" i="32" s="1"/>
  <c r="P320" i="32"/>
  <c r="AK22" i="31"/>
  <c r="AM22" i="31"/>
  <c r="AD22" i="31"/>
  <c r="W22" i="31"/>
  <c r="I22" i="31"/>
  <c r="P22" i="31"/>
  <c r="X270" i="29"/>
  <c r="W270" i="29" s="1"/>
  <c r="X26" i="29"/>
  <c r="X147" i="29"/>
  <c r="W147" i="29" s="1"/>
  <c r="AA25" i="29"/>
  <c r="AB25" i="29" s="1"/>
  <c r="P321" i="32" l="1"/>
  <c r="C320" i="32"/>
  <c r="D320" i="32" s="1"/>
  <c r="O23" i="31"/>
  <c r="H23" i="31"/>
  <c r="V23" i="31"/>
  <c r="P26" i="29"/>
  <c r="O27" i="29" s="1"/>
  <c r="W26" i="29"/>
  <c r="I147" i="29"/>
  <c r="P147" i="29"/>
  <c r="O148" i="29" s="1"/>
  <c r="I270" i="29"/>
  <c r="P270" i="29"/>
  <c r="O271" i="29" s="1"/>
  <c r="Y26" i="29"/>
  <c r="I26" i="29"/>
  <c r="V148" i="29"/>
  <c r="V271" i="29"/>
  <c r="V27" i="29"/>
  <c r="P322" i="32" l="1"/>
  <c r="C321" i="32"/>
  <c r="D321" i="32" s="1"/>
  <c r="AN22" i="31"/>
  <c r="AC23" i="31"/>
  <c r="AJ23" i="31"/>
  <c r="Z147" i="29"/>
  <c r="Z26" i="29"/>
  <c r="Z270" i="29"/>
  <c r="H27" i="29"/>
  <c r="H148" i="29"/>
  <c r="H271" i="29"/>
  <c r="P323" i="32" l="1"/>
  <c r="C322" i="32"/>
  <c r="D322" i="32" s="1"/>
  <c r="AF22" i="31"/>
  <c r="AL23" i="31"/>
  <c r="Y22" i="31"/>
  <c r="AO22" i="31"/>
  <c r="AP22" i="31" s="1"/>
  <c r="K22" i="31"/>
  <c r="D22" i="31"/>
  <c r="R22" i="31"/>
  <c r="X148" i="29"/>
  <c r="W148" i="29" s="1"/>
  <c r="X27" i="29"/>
  <c r="X271" i="29"/>
  <c r="W271" i="29" s="1"/>
  <c r="AA26" i="29"/>
  <c r="AB26" i="29" s="1"/>
  <c r="P324" i="32" l="1"/>
  <c r="C323" i="32"/>
  <c r="D323" i="32" s="1"/>
  <c r="AK23" i="31"/>
  <c r="AM23" i="31"/>
  <c r="AD23" i="31"/>
  <c r="W23" i="31"/>
  <c r="P23" i="31"/>
  <c r="I23" i="31"/>
  <c r="P27" i="29"/>
  <c r="W27" i="29"/>
  <c r="V28" i="29" s="1"/>
  <c r="I271" i="29"/>
  <c r="P271" i="29"/>
  <c r="O272" i="29" s="1"/>
  <c r="I148" i="29"/>
  <c r="P148" i="29"/>
  <c r="O149" i="29" s="1"/>
  <c r="Y27" i="29"/>
  <c r="I27" i="29"/>
  <c r="O28" i="29"/>
  <c r="V149" i="29"/>
  <c r="V272" i="29"/>
  <c r="P325" i="32" l="1"/>
  <c r="C324" i="32"/>
  <c r="D324" i="32" s="1"/>
  <c r="H24" i="31"/>
  <c r="O24" i="31"/>
  <c r="V24" i="31"/>
  <c r="Z27" i="29"/>
  <c r="Z148" i="29"/>
  <c r="Z271" i="29"/>
  <c r="H272" i="29"/>
  <c r="H28" i="29"/>
  <c r="H149" i="29"/>
  <c r="P326" i="32" l="1"/>
  <c r="C325" i="32"/>
  <c r="D325" i="32" s="1"/>
  <c r="AJ24" i="31"/>
  <c r="AN23" i="31"/>
  <c r="AC24" i="31"/>
  <c r="X149" i="29"/>
  <c r="W149" i="29" s="1"/>
  <c r="X28" i="29"/>
  <c r="X272" i="29"/>
  <c r="W272" i="29" s="1"/>
  <c r="AA27" i="29"/>
  <c r="AB27" i="29" s="1"/>
  <c r="C326" i="32" l="1"/>
  <c r="D326" i="32" s="1"/>
  <c r="P327" i="32"/>
  <c r="AF23" i="31"/>
  <c r="AL24" i="31"/>
  <c r="Y23" i="31"/>
  <c r="AO23" i="31"/>
  <c r="AP23" i="31" s="1"/>
  <c r="R23" i="31"/>
  <c r="D23" i="31"/>
  <c r="K23" i="31"/>
  <c r="P28" i="29"/>
  <c r="W28" i="29"/>
  <c r="I149" i="29"/>
  <c r="P149" i="29"/>
  <c r="O150" i="29" s="1"/>
  <c r="I272" i="29"/>
  <c r="P272" i="29"/>
  <c r="O273" i="29" s="1"/>
  <c r="Y28" i="29"/>
  <c r="I28" i="29"/>
  <c r="O29" i="29"/>
  <c r="V273" i="29"/>
  <c r="V150" i="29"/>
  <c r="V29" i="29"/>
  <c r="P328" i="32" l="1"/>
  <c r="C327" i="32"/>
  <c r="D327" i="32" s="1"/>
  <c r="AK24" i="31"/>
  <c r="AM24" i="31"/>
  <c r="AD24" i="31"/>
  <c r="W24" i="31"/>
  <c r="P24" i="31"/>
  <c r="I24" i="31"/>
  <c r="Z272" i="29"/>
  <c r="Z28" i="29"/>
  <c r="Z149" i="29"/>
  <c r="H273" i="29"/>
  <c r="H29" i="29"/>
  <c r="H150" i="29"/>
  <c r="P329" i="32" l="1"/>
  <c r="C328" i="32"/>
  <c r="D328" i="32" s="1"/>
  <c r="H25" i="31"/>
  <c r="O25" i="31"/>
  <c r="V25" i="31"/>
  <c r="X29" i="29"/>
  <c r="X273" i="29"/>
  <c r="W273" i="29" s="1"/>
  <c r="X150" i="29"/>
  <c r="W150" i="29" s="1"/>
  <c r="AA28" i="29"/>
  <c r="AB28" i="29" s="1"/>
  <c r="P330" i="32" l="1"/>
  <c r="C329" i="32"/>
  <c r="D329" i="32" s="1"/>
  <c r="AJ25" i="31"/>
  <c r="AN24" i="31"/>
  <c r="AC25" i="31"/>
  <c r="P29" i="29"/>
  <c r="W29" i="29"/>
  <c r="I150" i="29"/>
  <c r="P150" i="29"/>
  <c r="O151" i="29" s="1"/>
  <c r="I273" i="29"/>
  <c r="P273" i="29"/>
  <c r="O274" i="29" s="1"/>
  <c r="Y29" i="29"/>
  <c r="I29" i="29"/>
  <c r="O30" i="29"/>
  <c r="V151" i="29"/>
  <c r="V274" i="29"/>
  <c r="V30" i="29"/>
  <c r="C330" i="32" l="1"/>
  <c r="D330" i="32" s="1"/>
  <c r="P331" i="32"/>
  <c r="AF24" i="31"/>
  <c r="AL25" i="31"/>
  <c r="Y24" i="31"/>
  <c r="D24" i="31"/>
  <c r="AO24" i="31"/>
  <c r="AP24" i="31" s="1"/>
  <c r="K24" i="31"/>
  <c r="R24" i="31"/>
  <c r="Z150" i="29"/>
  <c r="Z29" i="29"/>
  <c r="Z273" i="29"/>
  <c r="H30" i="29"/>
  <c r="H151" i="29"/>
  <c r="H274" i="29"/>
  <c r="C331" i="32" l="1"/>
  <c r="D331" i="32" s="1"/>
  <c r="P332" i="32"/>
  <c r="AK25" i="31"/>
  <c r="AM25" i="31"/>
  <c r="AD25" i="31"/>
  <c r="W25" i="31"/>
  <c r="P25" i="31"/>
  <c r="I25" i="31"/>
  <c r="X274" i="29"/>
  <c r="W274" i="29" s="1"/>
  <c r="X151" i="29"/>
  <c r="W151" i="29" s="1"/>
  <c r="X30" i="29"/>
  <c r="W30" i="29" s="1"/>
  <c r="AA29" i="29"/>
  <c r="AB29" i="29" s="1"/>
  <c r="P333" i="32" l="1"/>
  <c r="C332" i="32"/>
  <c r="D332" i="32" s="1"/>
  <c r="H26" i="31"/>
  <c r="O26" i="31"/>
  <c r="V26" i="31"/>
  <c r="I274" i="29"/>
  <c r="P274" i="29"/>
  <c r="O275" i="29" s="1"/>
  <c r="I30" i="29"/>
  <c r="P30" i="29"/>
  <c r="O31" i="29" s="1"/>
  <c r="I151" i="29"/>
  <c r="P151" i="29"/>
  <c r="O152" i="29" s="1"/>
  <c r="V152" i="29"/>
  <c r="V275" i="29"/>
  <c r="V31" i="29"/>
  <c r="P334" i="32" l="1"/>
  <c r="C333" i="32"/>
  <c r="D333" i="32" s="1"/>
  <c r="AJ26" i="31"/>
  <c r="AN25" i="31"/>
  <c r="AC26" i="31"/>
  <c r="Y30" i="29"/>
  <c r="Z151" i="29"/>
  <c r="Z30" i="29"/>
  <c r="Z274" i="29"/>
  <c r="H152" i="29"/>
  <c r="H31" i="29"/>
  <c r="X31" i="29" s="1"/>
  <c r="W31" i="29" s="1"/>
  <c r="H275" i="29"/>
  <c r="C334" i="32" l="1"/>
  <c r="D334" i="32" s="1"/>
  <c r="P335" i="32"/>
  <c r="Y25" i="31"/>
  <c r="AL26" i="31"/>
  <c r="D25" i="31"/>
  <c r="AO25" i="31"/>
  <c r="AP25" i="31" s="1"/>
  <c r="R25" i="31"/>
  <c r="K25" i="31"/>
  <c r="AF25" i="31"/>
  <c r="I31" i="29"/>
  <c r="P31" i="29"/>
  <c r="X275" i="29"/>
  <c r="W275" i="29" s="1"/>
  <c r="X152" i="29"/>
  <c r="W152" i="29" s="1"/>
  <c r="AA30" i="29"/>
  <c r="AB30" i="29" s="1"/>
  <c r="C335" i="32" l="1"/>
  <c r="D335" i="32" s="1"/>
  <c r="P336" i="32"/>
  <c r="AK26" i="31"/>
  <c r="AM26" i="31"/>
  <c r="AD26" i="31"/>
  <c r="W26" i="31"/>
  <c r="V27" i="31" s="1"/>
  <c r="I26" i="31"/>
  <c r="P26" i="31"/>
  <c r="I152" i="29"/>
  <c r="P152" i="29"/>
  <c r="O153" i="29" s="1"/>
  <c r="I275" i="29"/>
  <c r="P275" i="29"/>
  <c r="O276" i="29" s="1"/>
  <c r="O32" i="29"/>
  <c r="V276" i="29"/>
  <c r="V153" i="29"/>
  <c r="V32" i="29"/>
  <c r="P337" i="32" l="1"/>
  <c r="C336" i="32"/>
  <c r="D336" i="32" s="1"/>
  <c r="O27" i="31"/>
  <c r="H27" i="31"/>
  <c r="Y31" i="29"/>
  <c r="Z275" i="29"/>
  <c r="Z152" i="29"/>
  <c r="Z31" i="29"/>
  <c r="H153" i="29"/>
  <c r="H276" i="29"/>
  <c r="H32" i="29"/>
  <c r="P338" i="32" l="1"/>
  <c r="C337" i="32"/>
  <c r="D337" i="32" s="1"/>
  <c r="AN26" i="31"/>
  <c r="AC27" i="31"/>
  <c r="AJ27" i="31"/>
  <c r="X32" i="29"/>
  <c r="X276" i="29"/>
  <c r="W276" i="29" s="1"/>
  <c r="X153" i="29"/>
  <c r="W153" i="29" s="1"/>
  <c r="AA31" i="29"/>
  <c r="AB31" i="29" s="1"/>
  <c r="P339" i="32" l="1"/>
  <c r="C338" i="32"/>
  <c r="D338" i="32" s="1"/>
  <c r="AF26" i="31"/>
  <c r="AL27" i="31"/>
  <c r="Y26" i="31"/>
  <c r="R26" i="31"/>
  <c r="AO26" i="31"/>
  <c r="AP26" i="31" s="1"/>
  <c r="K26" i="31"/>
  <c r="D26" i="31"/>
  <c r="P32" i="29"/>
  <c r="W32" i="29"/>
  <c r="I153" i="29"/>
  <c r="P153" i="29"/>
  <c r="O154" i="29" s="1"/>
  <c r="I276" i="29"/>
  <c r="P276" i="29"/>
  <c r="O277" i="29" s="1"/>
  <c r="Y32" i="29"/>
  <c r="I32" i="29"/>
  <c r="O33" i="29"/>
  <c r="V154" i="29"/>
  <c r="V277" i="29"/>
  <c r="V33" i="29"/>
  <c r="P340" i="32" l="1"/>
  <c r="C339" i="32"/>
  <c r="D339" i="32" s="1"/>
  <c r="AK27" i="31"/>
  <c r="AM27" i="31"/>
  <c r="AD27" i="31"/>
  <c r="W27" i="31"/>
  <c r="I27" i="31"/>
  <c r="P27" i="31"/>
  <c r="Z153" i="29"/>
  <c r="Z32" i="29"/>
  <c r="Z276" i="29"/>
  <c r="H33" i="29"/>
  <c r="H154" i="29"/>
  <c r="H277" i="29"/>
  <c r="P341" i="32" l="1"/>
  <c r="C340" i="32"/>
  <c r="D340" i="32" s="1"/>
  <c r="O28" i="31"/>
  <c r="H28" i="31"/>
  <c r="V28" i="31"/>
  <c r="X154" i="29"/>
  <c r="W154" i="29" s="1"/>
  <c r="X277" i="29"/>
  <c r="W277" i="29" s="1"/>
  <c r="X33" i="29"/>
  <c r="AA32" i="29"/>
  <c r="AB32" i="29" s="1"/>
  <c r="P342" i="32" l="1"/>
  <c r="C341" i="32"/>
  <c r="D341" i="32" s="1"/>
  <c r="AN27" i="31"/>
  <c r="AC28" i="31"/>
  <c r="AJ28" i="31"/>
  <c r="P33" i="29"/>
  <c r="W33" i="29"/>
  <c r="I154" i="29"/>
  <c r="P154" i="29"/>
  <c r="O155" i="29" s="1"/>
  <c r="I277" i="29"/>
  <c r="P277" i="29"/>
  <c r="O278" i="29" s="1"/>
  <c r="Y33" i="29"/>
  <c r="I33" i="29"/>
  <c r="O34" i="29"/>
  <c r="V155" i="29"/>
  <c r="V34" i="29"/>
  <c r="V278" i="29"/>
  <c r="P343" i="32" l="1"/>
  <c r="C342" i="32"/>
  <c r="D342" i="32" s="1"/>
  <c r="AF27" i="31"/>
  <c r="AL28" i="31"/>
  <c r="Y27" i="31"/>
  <c r="AO27" i="31"/>
  <c r="AP27" i="31" s="1"/>
  <c r="R27" i="31"/>
  <c r="K27" i="31"/>
  <c r="D27" i="31"/>
  <c r="Z154" i="29"/>
  <c r="Z33" i="29"/>
  <c r="Z277" i="29"/>
  <c r="H155" i="29"/>
  <c r="H278" i="29"/>
  <c r="H34" i="29"/>
  <c r="X34" i="29" s="1"/>
  <c r="C343" i="32" l="1"/>
  <c r="D343" i="32" s="1"/>
  <c r="P344" i="32"/>
  <c r="AK28" i="31"/>
  <c r="AM28" i="31"/>
  <c r="AD28" i="31"/>
  <c r="W28" i="31"/>
  <c r="P28" i="31"/>
  <c r="I28" i="31"/>
  <c r="P34" i="29"/>
  <c r="W34" i="29"/>
  <c r="Y34" i="29"/>
  <c r="I34" i="29"/>
  <c r="X278" i="29"/>
  <c r="W278" i="29" s="1"/>
  <c r="X155" i="29"/>
  <c r="W155" i="29" s="1"/>
  <c r="AA33" i="29"/>
  <c r="AB33" i="29" s="1"/>
  <c r="P345" i="32" l="1"/>
  <c r="C344" i="32"/>
  <c r="D344" i="32" s="1"/>
  <c r="H29" i="31"/>
  <c r="O29" i="31"/>
  <c r="V29" i="31"/>
  <c r="I155" i="29"/>
  <c r="P155" i="29"/>
  <c r="O156" i="29" s="1"/>
  <c r="I278" i="29"/>
  <c r="P278" i="29"/>
  <c r="O279" i="29" s="1"/>
  <c r="O35" i="29"/>
  <c r="V279" i="29"/>
  <c r="V156" i="29"/>
  <c r="V35" i="29"/>
  <c r="P346" i="32" l="1"/>
  <c r="C345" i="32"/>
  <c r="D345" i="32" s="1"/>
  <c r="AJ29" i="31"/>
  <c r="AN28" i="31"/>
  <c r="AC29" i="31"/>
  <c r="Z155" i="29"/>
  <c r="Z278" i="29"/>
  <c r="Z34" i="29"/>
  <c r="H279" i="29"/>
  <c r="H35" i="29"/>
  <c r="H156" i="29"/>
  <c r="C346" i="32" l="1"/>
  <c r="D346" i="32" s="1"/>
  <c r="P347" i="32"/>
  <c r="Y28" i="31"/>
  <c r="AL29" i="31"/>
  <c r="AO28" i="31"/>
  <c r="AP28" i="31" s="1"/>
  <c r="R28" i="31"/>
  <c r="D28" i="31"/>
  <c r="K28" i="31"/>
  <c r="AF28" i="31"/>
  <c r="X156" i="29"/>
  <c r="W156" i="29" s="1"/>
  <c r="X35" i="29"/>
  <c r="X279" i="29"/>
  <c r="W279" i="29" s="1"/>
  <c r="AA34" i="29"/>
  <c r="AB34" i="29" s="1"/>
  <c r="C347" i="32" l="1"/>
  <c r="D347" i="32" s="1"/>
  <c r="P348" i="32"/>
  <c r="AK29" i="31"/>
  <c r="AM29" i="31"/>
  <c r="AD29" i="31"/>
  <c r="W29" i="31"/>
  <c r="P29" i="31"/>
  <c r="I29" i="31"/>
  <c r="P35" i="29"/>
  <c r="W35" i="29"/>
  <c r="V36" i="29" s="1"/>
  <c r="I156" i="29"/>
  <c r="P156" i="29"/>
  <c r="O157" i="29" s="1"/>
  <c r="I279" i="29"/>
  <c r="P279" i="29"/>
  <c r="O280" i="29" s="1"/>
  <c r="Y35" i="29"/>
  <c r="I35" i="29"/>
  <c r="O36" i="29"/>
  <c r="V280" i="29"/>
  <c r="V157" i="29"/>
  <c r="P349" i="32" l="1"/>
  <c r="C348" i="32"/>
  <c r="D348" i="32" s="1"/>
  <c r="H30" i="31"/>
  <c r="O30" i="31"/>
  <c r="V30" i="31"/>
  <c r="Z35" i="29"/>
  <c r="Z279" i="29"/>
  <c r="Z156" i="29"/>
  <c r="H36" i="29"/>
  <c r="H280" i="29"/>
  <c r="H157" i="29"/>
  <c r="P350" i="32" l="1"/>
  <c r="C349" i="32"/>
  <c r="D349" i="32" s="1"/>
  <c r="AN29" i="31"/>
  <c r="AC30" i="31"/>
  <c r="AJ30" i="31"/>
  <c r="X280" i="29"/>
  <c r="W280" i="29" s="1"/>
  <c r="I280" i="29"/>
  <c r="X157" i="29"/>
  <c r="W157" i="29" s="1"/>
  <c r="X36" i="29"/>
  <c r="AA35" i="29"/>
  <c r="AB35" i="29" s="1"/>
  <c r="C350" i="32" l="1"/>
  <c r="D350" i="32" s="1"/>
  <c r="P351" i="32"/>
  <c r="Y29" i="31"/>
  <c r="AL30" i="31"/>
  <c r="AF29" i="31"/>
  <c r="AO29" i="31"/>
  <c r="AP29" i="31" s="1"/>
  <c r="D29" i="31"/>
  <c r="K29" i="31"/>
  <c r="R29" i="31"/>
  <c r="P280" i="29"/>
  <c r="P36" i="29"/>
  <c r="W36" i="29"/>
  <c r="V37" i="29" s="1"/>
  <c r="I157" i="29"/>
  <c r="P157" i="29"/>
  <c r="O158" i="29" s="1"/>
  <c r="Y36" i="29"/>
  <c r="I36" i="29"/>
  <c r="O281" i="29"/>
  <c r="O37" i="29"/>
  <c r="V281" i="29"/>
  <c r="V158" i="29"/>
  <c r="C351" i="32" l="1"/>
  <c r="D351" i="32" s="1"/>
  <c r="P352" i="32"/>
  <c r="AK30" i="31"/>
  <c r="AD30" i="31"/>
  <c r="W30" i="31"/>
  <c r="P30" i="31"/>
  <c r="I30" i="31"/>
  <c r="Z36" i="29"/>
  <c r="Z280" i="29"/>
  <c r="Z157" i="29"/>
  <c r="H37" i="29"/>
  <c r="H158" i="29"/>
  <c r="H281" i="29"/>
  <c r="P353" i="32" l="1"/>
  <c r="C352" i="32"/>
  <c r="D352" i="32" s="1"/>
  <c r="AM30" i="31"/>
  <c r="H31" i="31"/>
  <c r="O31" i="31"/>
  <c r="V31" i="31"/>
  <c r="X158" i="29"/>
  <c r="W158" i="29" s="1"/>
  <c r="X281" i="29"/>
  <c r="W281" i="29" s="1"/>
  <c r="X37" i="29"/>
  <c r="AA36" i="29"/>
  <c r="AB36" i="29" s="1"/>
  <c r="P354" i="32" l="1"/>
  <c r="C353" i="32"/>
  <c r="D353" i="32" s="1"/>
  <c r="AN30" i="31"/>
  <c r="AC31" i="31"/>
  <c r="AJ31" i="31"/>
  <c r="P37" i="29"/>
  <c r="W37" i="29"/>
  <c r="I158" i="29"/>
  <c r="P158" i="29"/>
  <c r="O159" i="29" s="1"/>
  <c r="I281" i="29"/>
  <c r="P281" i="29"/>
  <c r="O282" i="29" s="1"/>
  <c r="Y37" i="29"/>
  <c r="I37" i="29"/>
  <c r="O38" i="29"/>
  <c r="V159" i="29"/>
  <c r="V38" i="29"/>
  <c r="V282" i="29"/>
  <c r="P355" i="32" l="1"/>
  <c r="C354" i="32"/>
  <c r="D354" i="32" s="1"/>
  <c r="AF30" i="31"/>
  <c r="AL31" i="31"/>
  <c r="Y30" i="31"/>
  <c r="AO30" i="31"/>
  <c r="AP30" i="31" s="1"/>
  <c r="R30" i="31"/>
  <c r="D30" i="31"/>
  <c r="K30" i="31"/>
  <c r="Z158" i="29"/>
  <c r="Z281" i="29"/>
  <c r="Z37" i="29"/>
  <c r="H159" i="29"/>
  <c r="H282" i="29"/>
  <c r="X282" i="29" s="1"/>
  <c r="W282" i="29" s="1"/>
  <c r="H38" i="29"/>
  <c r="P356" i="32" l="1"/>
  <c r="C355" i="32"/>
  <c r="D355" i="32" s="1"/>
  <c r="AK31" i="31"/>
  <c r="AD31" i="31"/>
  <c r="W31" i="31"/>
  <c r="I31" i="31"/>
  <c r="AM31" i="31" s="1"/>
  <c r="P31" i="31"/>
  <c r="I282" i="29"/>
  <c r="P282" i="29"/>
  <c r="X38" i="29"/>
  <c r="W38" i="29" s="1"/>
  <c r="X159" i="29"/>
  <c r="W159" i="29" s="1"/>
  <c r="AA37" i="29"/>
  <c r="AB37" i="29" s="1"/>
  <c r="P357" i="32" l="1"/>
  <c r="C356" i="32"/>
  <c r="D356" i="32" s="1"/>
  <c r="O32" i="31"/>
  <c r="H32" i="31"/>
  <c r="V32" i="31"/>
  <c r="Y38" i="29"/>
  <c r="P38" i="29"/>
  <c r="O39" i="29" s="1"/>
  <c r="I159" i="29"/>
  <c r="P159" i="29"/>
  <c r="O160" i="29" s="1"/>
  <c r="I38" i="29"/>
  <c r="O283" i="29"/>
  <c r="V283" i="29"/>
  <c r="V160" i="29"/>
  <c r="V39" i="29"/>
  <c r="P358" i="32" l="1"/>
  <c r="C357" i="32"/>
  <c r="D357" i="32" s="1"/>
  <c r="AN31" i="31"/>
  <c r="AC32" i="31"/>
  <c r="AJ32" i="31"/>
  <c r="Z159" i="29"/>
  <c r="Z282" i="29"/>
  <c r="Z38" i="29"/>
  <c r="H283" i="29"/>
  <c r="H160" i="29"/>
  <c r="H39" i="29"/>
  <c r="X39" i="29" s="1"/>
  <c r="P359" i="32" l="1"/>
  <c r="C358" i="32"/>
  <c r="Y31" i="31"/>
  <c r="AL32" i="31"/>
  <c r="AF31" i="31"/>
  <c r="AO31" i="31"/>
  <c r="AP31" i="31" s="1"/>
  <c r="K31" i="31"/>
  <c r="R31" i="31"/>
  <c r="D31" i="31"/>
  <c r="P39" i="29"/>
  <c r="W39" i="29"/>
  <c r="Y39" i="29"/>
  <c r="I39" i="29"/>
  <c r="X160" i="29"/>
  <c r="W160" i="29" s="1"/>
  <c r="X283" i="29"/>
  <c r="W283" i="29" s="1"/>
  <c r="AA38" i="29"/>
  <c r="AB38" i="29" s="1"/>
  <c r="D358" i="32" l="1"/>
  <c r="C359" i="32"/>
  <c r="D359" i="32" s="1"/>
  <c r="P360" i="32"/>
  <c r="AK32" i="31"/>
  <c r="AM32" i="31"/>
  <c r="AD32" i="31"/>
  <c r="W32" i="31"/>
  <c r="P32" i="31"/>
  <c r="I32" i="31"/>
  <c r="I283" i="29"/>
  <c r="P283" i="29"/>
  <c r="O284" i="29" s="1"/>
  <c r="I160" i="29"/>
  <c r="P160" i="29"/>
  <c r="O161" i="29" s="1"/>
  <c r="O40" i="29"/>
  <c r="V284" i="29"/>
  <c r="V161" i="29"/>
  <c r="V40" i="29"/>
  <c r="P361" i="32" l="1"/>
  <c r="C360" i="32"/>
  <c r="D360" i="32" s="1"/>
  <c r="H33" i="31"/>
  <c r="O33" i="31"/>
  <c r="V33" i="31"/>
  <c r="Z160" i="29"/>
  <c r="Z283" i="29"/>
  <c r="Z39" i="29"/>
  <c r="H284" i="29"/>
  <c r="H40" i="29"/>
  <c r="H161" i="29"/>
  <c r="P362" i="32" l="1"/>
  <c r="C361" i="32"/>
  <c r="D361" i="32" s="1"/>
  <c r="AJ33" i="31"/>
  <c r="AN32" i="31"/>
  <c r="AC33" i="31"/>
  <c r="X40" i="29"/>
  <c r="X284" i="29"/>
  <c r="W284" i="29" s="1"/>
  <c r="X161" i="29"/>
  <c r="W161" i="29" s="1"/>
  <c r="AA39" i="29"/>
  <c r="AB39" i="29" s="1"/>
  <c r="C362" i="32" l="1"/>
  <c r="D362" i="32" s="1"/>
  <c r="P363" i="32"/>
  <c r="Y32" i="31"/>
  <c r="AL33" i="31"/>
  <c r="AO32" i="31"/>
  <c r="AP32" i="31" s="1"/>
  <c r="D32" i="31"/>
  <c r="K32" i="31"/>
  <c r="R32" i="31"/>
  <c r="AF32" i="31"/>
  <c r="P40" i="29"/>
  <c r="O41" i="29" s="1"/>
  <c r="W40" i="29"/>
  <c r="I161" i="29"/>
  <c r="P161" i="29"/>
  <c r="O162" i="29" s="1"/>
  <c r="I284" i="29"/>
  <c r="P284" i="29"/>
  <c r="O285" i="29" s="1"/>
  <c r="Y40" i="29"/>
  <c r="I40" i="29"/>
  <c r="V162" i="29"/>
  <c r="V41" i="29"/>
  <c r="V285" i="29"/>
  <c r="C363" i="32" l="1"/>
  <c r="D363" i="32" s="1"/>
  <c r="P364" i="32"/>
  <c r="AK33" i="31"/>
  <c r="AM33" i="31"/>
  <c r="AD33" i="31"/>
  <c r="W33" i="31"/>
  <c r="P33" i="31"/>
  <c r="I33" i="31"/>
  <c r="Z161" i="29"/>
  <c r="Z284" i="29"/>
  <c r="Z40" i="29"/>
  <c r="H41" i="29"/>
  <c r="H162" i="29"/>
  <c r="H285" i="29"/>
  <c r="P365" i="32" l="1"/>
  <c r="C364" i="32"/>
  <c r="D364" i="32" s="1"/>
  <c r="O34" i="31"/>
  <c r="H34" i="31"/>
  <c r="V34" i="31"/>
  <c r="X162" i="29"/>
  <c r="W162" i="29" s="1"/>
  <c r="X285" i="29"/>
  <c r="W285" i="29" s="1"/>
  <c r="X41" i="29"/>
  <c r="AA40" i="29"/>
  <c r="AB40" i="29" s="1"/>
  <c r="P366" i="32" l="1"/>
  <c r="C365" i="32"/>
  <c r="D365" i="32" s="1"/>
  <c r="AN33" i="31"/>
  <c r="AC34" i="31"/>
  <c r="AJ34" i="31"/>
  <c r="P41" i="29"/>
  <c r="W41" i="29"/>
  <c r="I162" i="29"/>
  <c r="P162" i="29"/>
  <c r="O163" i="29" s="1"/>
  <c r="I285" i="29"/>
  <c r="P285" i="29"/>
  <c r="O286" i="29" s="1"/>
  <c r="Y41" i="29"/>
  <c r="I41" i="29"/>
  <c r="O42" i="29"/>
  <c r="V286" i="29"/>
  <c r="V42" i="29"/>
  <c r="V163" i="29"/>
  <c r="C366" i="32" l="1"/>
  <c r="D366" i="32" s="1"/>
  <c r="P367" i="32"/>
  <c r="AF33" i="31"/>
  <c r="AL34" i="31"/>
  <c r="Y33" i="31"/>
  <c r="AO33" i="31"/>
  <c r="AP33" i="31" s="1"/>
  <c r="D33" i="31"/>
  <c r="R33" i="31"/>
  <c r="K33" i="31"/>
  <c r="Z162" i="29"/>
  <c r="Z285" i="29"/>
  <c r="Z41" i="29"/>
  <c r="H163" i="29"/>
  <c r="H286" i="29"/>
  <c r="H42" i="29"/>
  <c r="C367" i="32" l="1"/>
  <c r="D367" i="32" s="1"/>
  <c r="P368" i="32"/>
  <c r="C368" i="32" s="1"/>
  <c r="AK34" i="31"/>
  <c r="AM34" i="31"/>
  <c r="AD34" i="31"/>
  <c r="W34" i="31"/>
  <c r="I34" i="31"/>
  <c r="P34" i="31"/>
  <c r="X286" i="29"/>
  <c r="W286" i="29" s="1"/>
  <c r="X42" i="29"/>
  <c r="X163" i="29"/>
  <c r="W163" i="29" s="1"/>
  <c r="AA41" i="29"/>
  <c r="AB41" i="29" s="1"/>
  <c r="D368" i="32" l="1"/>
  <c r="D369" i="32"/>
  <c r="O35" i="31"/>
  <c r="H35" i="31"/>
  <c r="V35" i="31"/>
  <c r="P42" i="29"/>
  <c r="O43" i="29" s="1"/>
  <c r="W42" i="29"/>
  <c r="I163" i="29"/>
  <c r="P163" i="29"/>
  <c r="O164" i="29" s="1"/>
  <c r="I286" i="29"/>
  <c r="P286" i="29"/>
  <c r="O287" i="29" s="1"/>
  <c r="Y42" i="29"/>
  <c r="I42" i="29"/>
  <c r="V164" i="29"/>
  <c r="V287" i="29"/>
  <c r="V43" i="29"/>
  <c r="AN34" i="31" l="1"/>
  <c r="AC35" i="31"/>
  <c r="AJ35" i="31"/>
  <c r="Z286" i="29"/>
  <c r="Z163" i="29"/>
  <c r="Z42" i="29"/>
  <c r="H43" i="29"/>
  <c r="H287" i="29"/>
  <c r="H164" i="29"/>
  <c r="X164" i="29" s="1"/>
  <c r="W164" i="29" s="1"/>
  <c r="Y34" i="31" l="1"/>
  <c r="AL35" i="31"/>
  <c r="AF34" i="31"/>
  <c r="D34" i="31"/>
  <c r="AO34" i="31"/>
  <c r="AP34" i="31" s="1"/>
  <c r="K34" i="31"/>
  <c r="R34" i="31"/>
  <c r="I164" i="29"/>
  <c r="P164" i="29"/>
  <c r="X287" i="29"/>
  <c r="W287" i="29" s="1"/>
  <c r="X43" i="29"/>
  <c r="AA42" i="29"/>
  <c r="AB42" i="29" s="1"/>
  <c r="AK35" i="31" l="1"/>
  <c r="AM35" i="31"/>
  <c r="AD35" i="31"/>
  <c r="W35" i="31"/>
  <c r="I35" i="31"/>
  <c r="P35" i="31"/>
  <c r="P43" i="29"/>
  <c r="W43" i="29"/>
  <c r="I287" i="29"/>
  <c r="P287" i="29"/>
  <c r="O288" i="29" s="1"/>
  <c r="Y43" i="29"/>
  <c r="I43" i="29"/>
  <c r="O165" i="29"/>
  <c r="O44" i="29"/>
  <c r="V44" i="29"/>
  <c r="V288" i="29"/>
  <c r="V165" i="29"/>
  <c r="O36" i="31" l="1"/>
  <c r="H36" i="31"/>
  <c r="V36" i="31"/>
  <c r="Z287" i="29"/>
  <c r="Z43" i="29"/>
  <c r="Z164" i="29"/>
  <c r="H44" i="29"/>
  <c r="H288" i="29"/>
  <c r="H165" i="29"/>
  <c r="AN35" i="31" l="1"/>
  <c r="AC36" i="31"/>
  <c r="AJ36" i="31"/>
  <c r="X288" i="29"/>
  <c r="W288" i="29" s="1"/>
  <c r="X165" i="29"/>
  <c r="W165" i="29" s="1"/>
  <c r="X44" i="29"/>
  <c r="AA43" i="29"/>
  <c r="AB43" i="29" s="1"/>
  <c r="Y35" i="31" l="1"/>
  <c r="AL36" i="31"/>
  <c r="AF35" i="31"/>
  <c r="K35" i="31"/>
  <c r="AO35" i="31"/>
  <c r="AP35" i="31" s="1"/>
  <c r="D35" i="31"/>
  <c r="R35" i="31"/>
  <c r="P44" i="29"/>
  <c r="W44" i="29"/>
  <c r="I288" i="29"/>
  <c r="P288" i="29"/>
  <c r="O289" i="29" s="1"/>
  <c r="I165" i="29"/>
  <c r="P165" i="29"/>
  <c r="O166" i="29" s="1"/>
  <c r="Y44" i="29"/>
  <c r="I44" i="29"/>
  <c r="O45" i="29"/>
  <c r="V45" i="29"/>
  <c r="V289" i="29"/>
  <c r="V166" i="29"/>
  <c r="AK36" i="31" l="1"/>
  <c r="AM36" i="31"/>
  <c r="AD36" i="31"/>
  <c r="W36" i="31"/>
  <c r="P36" i="31"/>
  <c r="I36" i="31"/>
  <c r="Z165" i="29"/>
  <c r="Z44" i="29"/>
  <c r="Z288" i="29"/>
  <c r="H166" i="29"/>
  <c r="H289" i="29"/>
  <c r="H45" i="29"/>
  <c r="X45" i="29" s="1"/>
  <c r="O37" i="31" l="1"/>
  <c r="H37" i="31"/>
  <c r="V37" i="31"/>
  <c r="P45" i="29"/>
  <c r="W45" i="29"/>
  <c r="Y45" i="29"/>
  <c r="I45" i="29"/>
  <c r="X166" i="29"/>
  <c r="W166" i="29" s="1"/>
  <c r="X289" i="29"/>
  <c r="W289" i="29" s="1"/>
  <c r="AA44" i="29"/>
  <c r="AB44" i="29" s="1"/>
  <c r="AN36" i="31" l="1"/>
  <c r="AC37" i="31"/>
  <c r="AJ37" i="31"/>
  <c r="I166" i="29"/>
  <c r="P166" i="29"/>
  <c r="O167" i="29" s="1"/>
  <c r="I289" i="29"/>
  <c r="P289" i="29"/>
  <c r="O290" i="29" s="1"/>
  <c r="O46" i="29"/>
  <c r="V290" i="29"/>
  <c r="V167" i="29"/>
  <c r="V46" i="29"/>
  <c r="Y36" i="31" l="1"/>
  <c r="AL37" i="31"/>
  <c r="AF36" i="31"/>
  <c r="AO36" i="31"/>
  <c r="AP36" i="31" s="1"/>
  <c r="K36" i="31"/>
  <c r="D36" i="31"/>
  <c r="R36" i="31"/>
  <c r="Z289" i="29"/>
  <c r="Z45" i="29"/>
  <c r="Z166" i="29"/>
  <c r="H167" i="29"/>
  <c r="H46" i="29"/>
  <c r="X46" i="29" s="1"/>
  <c r="H290" i="29"/>
  <c r="AK37" i="31" l="1"/>
  <c r="AM37" i="31"/>
  <c r="AD37" i="31"/>
  <c r="W37" i="31"/>
  <c r="P37" i="31"/>
  <c r="I37" i="31"/>
  <c r="P46" i="29"/>
  <c r="W46" i="29"/>
  <c r="Y46" i="29"/>
  <c r="I46" i="29"/>
  <c r="X167" i="29"/>
  <c r="W167" i="29" s="1"/>
  <c r="X290" i="29"/>
  <c r="W290" i="29" s="1"/>
  <c r="AA45" i="29"/>
  <c r="AB45" i="29" s="1"/>
  <c r="AJ38" i="31" l="1"/>
  <c r="O38" i="31"/>
  <c r="H38" i="31"/>
  <c r="V38" i="31"/>
  <c r="I167" i="29"/>
  <c r="P167" i="29"/>
  <c r="O168" i="29" s="1"/>
  <c r="I290" i="29"/>
  <c r="P290" i="29"/>
  <c r="O291" i="29" s="1"/>
  <c r="O47" i="29"/>
  <c r="V168" i="29"/>
  <c r="V47" i="29"/>
  <c r="V291" i="29"/>
  <c r="AN37" i="31" l="1"/>
  <c r="AC38" i="31"/>
  <c r="Z46" i="29"/>
  <c r="Z167" i="29"/>
  <c r="Z290" i="29"/>
  <c r="H168" i="29"/>
  <c r="H47" i="29"/>
  <c r="H291" i="29"/>
  <c r="Y37" i="31" l="1"/>
  <c r="AL38" i="31"/>
  <c r="AF37" i="31"/>
  <c r="AO37" i="31"/>
  <c r="AP37" i="31" s="1"/>
  <c r="R37" i="31"/>
  <c r="K37" i="31"/>
  <c r="D37" i="31"/>
  <c r="X47" i="29"/>
  <c r="X168" i="29"/>
  <c r="W168" i="29" s="1"/>
  <c r="X291" i="29"/>
  <c r="W291" i="29" s="1"/>
  <c r="AA46" i="29"/>
  <c r="AB46" i="29" s="1"/>
  <c r="AK38" i="31" l="1"/>
  <c r="AM38" i="31"/>
  <c r="AD38" i="31"/>
  <c r="W38" i="31"/>
  <c r="I38" i="31"/>
  <c r="P38" i="31"/>
  <c r="P47" i="29"/>
  <c r="O48" i="29" s="1"/>
  <c r="W47" i="29"/>
  <c r="I291" i="29"/>
  <c r="P291" i="29"/>
  <c r="O292" i="29" s="1"/>
  <c r="I168" i="29"/>
  <c r="P168" i="29"/>
  <c r="O169" i="29" s="1"/>
  <c r="Y47" i="29"/>
  <c r="I47" i="29"/>
  <c r="V48" i="29"/>
  <c r="V169" i="29"/>
  <c r="V292" i="29"/>
  <c r="O39" i="31" l="1"/>
  <c r="H39" i="31"/>
  <c r="V39" i="31"/>
  <c r="Z168" i="29"/>
  <c r="Z47" i="29"/>
  <c r="Z291" i="29"/>
  <c r="H48" i="29"/>
  <c r="X48" i="29" s="1"/>
  <c r="H169" i="29"/>
  <c r="H292" i="29"/>
  <c r="AN38" i="31" l="1"/>
  <c r="AC39" i="31"/>
  <c r="AJ39" i="31"/>
  <c r="X292" i="29"/>
  <c r="W292" i="29" s="1"/>
  <c r="P48" i="29"/>
  <c r="W48" i="29"/>
  <c r="I292" i="29"/>
  <c r="P292" i="29"/>
  <c r="Y48" i="29"/>
  <c r="I48" i="29"/>
  <c r="X169" i="29"/>
  <c r="W169" i="29" s="1"/>
  <c r="AA47" i="29"/>
  <c r="AB47" i="29" s="1"/>
  <c r="Y38" i="31" l="1"/>
  <c r="AL39" i="31"/>
  <c r="AF38" i="31"/>
  <c r="K38" i="31"/>
  <c r="AO38" i="31"/>
  <c r="AP38" i="31" s="1"/>
  <c r="D38" i="31"/>
  <c r="R38" i="31"/>
  <c r="I169" i="29"/>
  <c r="P169" i="29"/>
  <c r="O170" i="29" s="1"/>
  <c r="O293" i="29"/>
  <c r="O49" i="29"/>
  <c r="V170" i="29"/>
  <c r="V49" i="29"/>
  <c r="V293" i="29"/>
  <c r="AK39" i="31" l="1"/>
  <c r="AM39" i="31"/>
  <c r="AD39" i="31"/>
  <c r="W39" i="31"/>
  <c r="I39" i="31"/>
  <c r="P39" i="31"/>
  <c r="Z169" i="29"/>
  <c r="Z292" i="29"/>
  <c r="Z48" i="29"/>
  <c r="H49" i="29"/>
  <c r="H170" i="29"/>
  <c r="H293" i="29"/>
  <c r="O40" i="31" l="1"/>
  <c r="H40" i="31"/>
  <c r="V40" i="31"/>
  <c r="X170" i="29"/>
  <c r="W170" i="29" s="1"/>
  <c r="X293" i="29"/>
  <c r="W293" i="29" s="1"/>
  <c r="X49" i="29"/>
  <c r="AA48" i="29"/>
  <c r="AB48" i="29" s="1"/>
  <c r="AN39" i="31" l="1"/>
  <c r="AC40" i="31"/>
  <c r="Y39" i="31"/>
  <c r="AJ40" i="31"/>
  <c r="AF39" i="31"/>
  <c r="P49" i="29"/>
  <c r="O50" i="29" s="1"/>
  <c r="W49" i="29"/>
  <c r="I170" i="29"/>
  <c r="P170" i="29"/>
  <c r="O171" i="29" s="1"/>
  <c r="I293" i="29"/>
  <c r="P293" i="29"/>
  <c r="O294" i="29" s="1"/>
  <c r="Y49" i="29"/>
  <c r="I49" i="29"/>
  <c r="V294" i="29"/>
  <c r="V50" i="29"/>
  <c r="V171" i="29"/>
  <c r="AL40" i="31" l="1"/>
  <c r="AO39" i="31"/>
  <c r="AP39" i="31" s="1"/>
  <c r="R39" i="31"/>
  <c r="K39" i="31"/>
  <c r="D39" i="31"/>
  <c r="Z293" i="29"/>
  <c r="Z170" i="29"/>
  <c r="Z49" i="29"/>
  <c r="H294" i="29"/>
  <c r="H171" i="29"/>
  <c r="H50" i="29"/>
  <c r="X50" i="29" s="1"/>
  <c r="AK40" i="31" l="1"/>
  <c r="AM40" i="31"/>
  <c r="AD40" i="31"/>
  <c r="W40" i="31"/>
  <c r="V41" i="31" s="1"/>
  <c r="P40" i="31"/>
  <c r="I40" i="31"/>
  <c r="P50" i="29"/>
  <c r="W50" i="29"/>
  <c r="X171" i="29"/>
  <c r="W171" i="29" s="1"/>
  <c r="Y50" i="29"/>
  <c r="I50" i="29"/>
  <c r="X294" i="29"/>
  <c r="W294" i="29" s="1"/>
  <c r="AA49" i="29"/>
  <c r="AB49" i="29" s="1"/>
  <c r="H41" i="31" l="1"/>
  <c r="O41" i="31"/>
  <c r="I294" i="29"/>
  <c r="P294" i="29"/>
  <c r="O295" i="29" s="1"/>
  <c r="I171" i="29"/>
  <c r="P171" i="29"/>
  <c r="O172" i="29" s="1"/>
  <c r="O51" i="29"/>
  <c r="V295" i="29"/>
  <c r="V172" i="29"/>
  <c r="V51" i="29"/>
  <c r="AJ41" i="31" l="1"/>
  <c r="AN40" i="31"/>
  <c r="AC41" i="31"/>
  <c r="Z171" i="29"/>
  <c r="Z294" i="29"/>
  <c r="Z50" i="29"/>
  <c r="H295" i="29"/>
  <c r="H51" i="29"/>
  <c r="H172" i="29"/>
  <c r="Y40" i="31" l="1"/>
  <c r="AL41" i="31"/>
  <c r="R40" i="31"/>
  <c r="AO40" i="31"/>
  <c r="AP40" i="31" s="1"/>
  <c r="D40" i="31"/>
  <c r="K40" i="31"/>
  <c r="AF40" i="31"/>
  <c r="X172" i="29"/>
  <c r="W172" i="29" s="1"/>
  <c r="X295" i="29"/>
  <c r="W295" i="29" s="1"/>
  <c r="X51" i="29"/>
  <c r="AA50" i="29"/>
  <c r="AB50" i="29" s="1"/>
  <c r="AK41" i="31" l="1"/>
  <c r="AM41" i="31"/>
  <c r="AD41" i="31"/>
  <c r="W41" i="31"/>
  <c r="I41" i="31"/>
  <c r="P41" i="31"/>
  <c r="P51" i="29"/>
  <c r="W51" i="29"/>
  <c r="I295" i="29"/>
  <c r="P295" i="29"/>
  <c r="O296" i="29" s="1"/>
  <c r="I172" i="29"/>
  <c r="P172" i="29"/>
  <c r="O173" i="29" s="1"/>
  <c r="Y51" i="29"/>
  <c r="I51" i="29"/>
  <c r="O52" i="29"/>
  <c r="V296" i="29"/>
  <c r="V52" i="29"/>
  <c r="V173" i="29"/>
  <c r="H42" i="31" l="1"/>
  <c r="O42" i="31"/>
  <c r="V42" i="31"/>
  <c r="Z295" i="29"/>
  <c r="Z172" i="29"/>
  <c r="Z51" i="29"/>
  <c r="H296" i="29"/>
  <c r="H52" i="29"/>
  <c r="H173" i="29"/>
  <c r="AJ42" i="31" l="1"/>
  <c r="AN41" i="31"/>
  <c r="AC42" i="31"/>
  <c r="X173" i="29"/>
  <c r="W173" i="29" s="1"/>
  <c r="I173" i="29"/>
  <c r="P173" i="29"/>
  <c r="X52" i="29"/>
  <c r="X296" i="29"/>
  <c r="W296" i="29" s="1"/>
  <c r="AA51" i="29"/>
  <c r="AB51" i="29" s="1"/>
  <c r="Y41" i="31" l="1"/>
  <c r="AL42" i="31"/>
  <c r="K41" i="31"/>
  <c r="AO41" i="31"/>
  <c r="AP41" i="31" s="1"/>
  <c r="D41" i="31"/>
  <c r="R41" i="31"/>
  <c r="AF41" i="31"/>
  <c r="P52" i="29"/>
  <c r="W52" i="29"/>
  <c r="I296" i="29"/>
  <c r="P296" i="29"/>
  <c r="O297" i="29" s="1"/>
  <c r="Y52" i="29"/>
  <c r="I52" i="29"/>
  <c r="O53" i="29"/>
  <c r="O174" i="29"/>
  <c r="V174" i="29"/>
  <c r="V297" i="29"/>
  <c r="V53" i="29"/>
  <c r="AK42" i="31" l="1"/>
  <c r="AM42" i="31"/>
  <c r="AD42" i="31"/>
  <c r="W42" i="31"/>
  <c r="P42" i="31"/>
  <c r="I42" i="31"/>
  <c r="Z173" i="29"/>
  <c r="Z52" i="29"/>
  <c r="Z296" i="29"/>
  <c r="H53" i="29"/>
  <c r="H174" i="29"/>
  <c r="H297" i="29"/>
  <c r="H43" i="31" l="1"/>
  <c r="O43" i="31"/>
  <c r="V43" i="31"/>
  <c r="X297" i="29"/>
  <c r="W297" i="29" s="1"/>
  <c r="X53" i="29"/>
  <c r="X174" i="29"/>
  <c r="W174" i="29" s="1"/>
  <c r="AA52" i="29"/>
  <c r="AB52" i="29" s="1"/>
  <c r="AJ43" i="31" l="1"/>
  <c r="AN42" i="31"/>
  <c r="AC43" i="31"/>
  <c r="P297" i="29"/>
  <c r="O298" i="29" s="1"/>
  <c r="I297" i="29"/>
  <c r="P53" i="29"/>
  <c r="W53" i="29"/>
  <c r="I174" i="29"/>
  <c r="P174" i="29"/>
  <c r="O175" i="29" s="1"/>
  <c r="Y53" i="29"/>
  <c r="I53" i="29"/>
  <c r="O54" i="29"/>
  <c r="V175" i="29"/>
  <c r="V54" i="29"/>
  <c r="V298" i="29"/>
  <c r="Y42" i="31" l="1"/>
  <c r="AL43" i="31"/>
  <c r="D42" i="31"/>
  <c r="AO42" i="31"/>
  <c r="AP42" i="31" s="1"/>
  <c r="R42" i="31"/>
  <c r="K42" i="31"/>
  <c r="AF42" i="31"/>
  <c r="Z174" i="29"/>
  <c r="Z297" i="29"/>
  <c r="Z53" i="29"/>
  <c r="H54" i="29"/>
  <c r="H298" i="29"/>
  <c r="H175" i="29"/>
  <c r="AK43" i="31" l="1"/>
  <c r="AM43" i="31"/>
  <c r="AD43" i="31"/>
  <c r="W43" i="31"/>
  <c r="V44" i="31" s="1"/>
  <c r="I43" i="31"/>
  <c r="P43" i="31"/>
  <c r="X298" i="29"/>
  <c r="W298" i="29" s="1"/>
  <c r="X54" i="29"/>
  <c r="X175" i="29"/>
  <c r="W175" i="29" s="1"/>
  <c r="AA53" i="29"/>
  <c r="AB53" i="29" s="1"/>
  <c r="O44" i="31" l="1"/>
  <c r="H44" i="31"/>
  <c r="P54" i="29"/>
  <c r="O55" i="29" s="1"/>
  <c r="W54" i="29"/>
  <c r="I175" i="29"/>
  <c r="P175" i="29"/>
  <c r="O176" i="29" s="1"/>
  <c r="I298" i="29"/>
  <c r="P298" i="29"/>
  <c r="O299" i="29" s="1"/>
  <c r="Y54" i="29"/>
  <c r="I54" i="29"/>
  <c r="V176" i="29"/>
  <c r="V299" i="29"/>
  <c r="V55" i="29"/>
  <c r="AN43" i="31" l="1"/>
  <c r="AL44" i="31" s="1"/>
  <c r="AC44" i="31"/>
  <c r="AJ44" i="31"/>
  <c r="Z298" i="29"/>
  <c r="Z175" i="29"/>
  <c r="Z54" i="29"/>
  <c r="H299" i="29"/>
  <c r="H176" i="29"/>
  <c r="X176" i="29" s="1"/>
  <c r="W176" i="29" s="1"/>
  <c r="H55" i="29"/>
  <c r="X55" i="29" s="1"/>
  <c r="R43" i="31" l="1"/>
  <c r="AO43" i="31"/>
  <c r="AP43" i="31" s="1"/>
  <c r="K43" i="31"/>
  <c r="D43" i="31"/>
  <c r="AF43" i="31"/>
  <c r="Y43" i="31"/>
  <c r="P55" i="29"/>
  <c r="W55" i="29"/>
  <c r="I176" i="29"/>
  <c r="P176" i="29"/>
  <c r="Y55" i="29"/>
  <c r="I55" i="29"/>
  <c r="X299" i="29"/>
  <c r="W299" i="29" s="1"/>
  <c r="AA54" i="29"/>
  <c r="AB54" i="29" s="1"/>
  <c r="AK44" i="31" l="1"/>
  <c r="AM44" i="31"/>
  <c r="AD44" i="31"/>
  <c r="W44" i="31"/>
  <c r="I44" i="31"/>
  <c r="P44" i="31"/>
  <c r="I299" i="29"/>
  <c r="P299" i="29"/>
  <c r="O300" i="29" s="1"/>
  <c r="O56" i="29"/>
  <c r="O177" i="29"/>
  <c r="V177" i="29"/>
  <c r="V300" i="29"/>
  <c r="V56" i="29"/>
  <c r="V45" i="31" l="1"/>
  <c r="O45" i="31"/>
  <c r="H45" i="31"/>
  <c r="Z176" i="29"/>
  <c r="Z55" i="29"/>
  <c r="Z299" i="29"/>
  <c r="H56" i="29"/>
  <c r="H300" i="29"/>
  <c r="H177" i="29"/>
  <c r="AN44" i="31" l="1"/>
  <c r="AC45" i="31"/>
  <c r="AJ45" i="31"/>
  <c r="X300" i="29"/>
  <c r="W300" i="29" s="1"/>
  <c r="X177" i="29"/>
  <c r="W177" i="29" s="1"/>
  <c r="X56" i="29"/>
  <c r="AA55" i="29"/>
  <c r="AB55" i="29" s="1"/>
  <c r="AL45" i="31" l="1"/>
  <c r="Y44" i="31"/>
  <c r="AO44" i="31"/>
  <c r="AP44" i="31" s="1"/>
  <c r="R44" i="31"/>
  <c r="K44" i="31"/>
  <c r="D44" i="31"/>
  <c r="AF44" i="31"/>
  <c r="P56" i="29"/>
  <c r="O57" i="29" s="1"/>
  <c r="W56" i="29"/>
  <c r="I177" i="29"/>
  <c r="P177" i="29"/>
  <c r="O178" i="29" s="1"/>
  <c r="I300" i="29"/>
  <c r="P300" i="29"/>
  <c r="O301" i="29" s="1"/>
  <c r="Y56" i="29"/>
  <c r="I56" i="29"/>
  <c r="V57" i="29"/>
  <c r="V301" i="29"/>
  <c r="V178" i="29"/>
  <c r="AK45" i="31" l="1"/>
  <c r="AM45" i="31"/>
  <c r="AD45" i="31"/>
  <c r="W45" i="31"/>
  <c r="P45" i="31"/>
  <c r="I45" i="31"/>
  <c r="Z56" i="29"/>
  <c r="Z177" i="29"/>
  <c r="Z300" i="29"/>
  <c r="H57" i="29"/>
  <c r="H178" i="29"/>
  <c r="H301" i="29"/>
  <c r="X301" i="29" s="1"/>
  <c r="W301" i="29" s="1"/>
  <c r="V46" i="31" l="1"/>
  <c r="H46" i="31"/>
  <c r="O46" i="31"/>
  <c r="I301" i="29"/>
  <c r="P301" i="29"/>
  <c r="X178" i="29"/>
  <c r="W178" i="29" s="1"/>
  <c r="X57" i="29"/>
  <c r="AA56" i="29"/>
  <c r="AB56" i="29" s="1"/>
  <c r="AJ46" i="31" l="1"/>
  <c r="AN45" i="31"/>
  <c r="AC46" i="31"/>
  <c r="P57" i="29"/>
  <c r="W57" i="29"/>
  <c r="I178" i="29"/>
  <c r="P178" i="29"/>
  <c r="O179" i="29" s="1"/>
  <c r="Y57" i="29"/>
  <c r="I57" i="29"/>
  <c r="O58" i="29"/>
  <c r="O302" i="29"/>
  <c r="V58" i="29"/>
  <c r="V302" i="29"/>
  <c r="V179" i="29"/>
  <c r="Y45" i="31" l="1"/>
  <c r="AL46" i="31"/>
  <c r="K45" i="31"/>
  <c r="AO45" i="31"/>
  <c r="AP45" i="31" s="1"/>
  <c r="R45" i="31"/>
  <c r="D45" i="31"/>
  <c r="AF45" i="31"/>
  <c r="Z178" i="29"/>
  <c r="Z57" i="29"/>
  <c r="Z301" i="29"/>
  <c r="H302" i="29"/>
  <c r="H58" i="29"/>
  <c r="H179" i="29"/>
  <c r="AK46" i="31" l="1"/>
  <c r="AM46" i="31"/>
  <c r="AD46" i="31"/>
  <c r="W46" i="31"/>
  <c r="V47" i="31" s="1"/>
  <c r="I46" i="31"/>
  <c r="P46" i="31"/>
  <c r="X58" i="29"/>
  <c r="X179" i="29"/>
  <c r="W179" i="29" s="1"/>
  <c r="X302" i="29"/>
  <c r="W302" i="29" s="1"/>
  <c r="AA57" i="29"/>
  <c r="AB57" i="29" s="1"/>
  <c r="O47" i="31" l="1"/>
  <c r="H47" i="31"/>
  <c r="P58" i="29"/>
  <c r="O59" i="29" s="1"/>
  <c r="W58" i="29"/>
  <c r="V59" i="29" s="1"/>
  <c r="I179" i="29"/>
  <c r="P179" i="29"/>
  <c r="O180" i="29" s="1"/>
  <c r="I302" i="29"/>
  <c r="P302" i="29"/>
  <c r="O303" i="29" s="1"/>
  <c r="Y58" i="29"/>
  <c r="I58" i="29"/>
  <c r="V303" i="29"/>
  <c r="V180" i="29"/>
  <c r="AN46" i="31" l="1"/>
  <c r="AC47" i="31"/>
  <c r="AJ47" i="31"/>
  <c r="Z58" i="29"/>
  <c r="Z179" i="29"/>
  <c r="Z302" i="29"/>
  <c r="H303" i="29"/>
  <c r="H59" i="29"/>
  <c r="H180" i="29"/>
  <c r="Y46" i="31" l="1"/>
  <c r="AL47" i="31"/>
  <c r="AF46" i="31"/>
  <c r="R46" i="31"/>
  <c r="AO46" i="31"/>
  <c r="AP46" i="31" s="1"/>
  <c r="K46" i="31"/>
  <c r="D46" i="31"/>
  <c r="X180" i="29"/>
  <c r="W180" i="29" s="1"/>
  <c r="X59" i="29"/>
  <c r="X303" i="29"/>
  <c r="W303" i="29" s="1"/>
  <c r="AA58" i="29"/>
  <c r="AB58" i="29" s="1"/>
  <c r="AK47" i="31" l="1"/>
  <c r="AM47" i="31"/>
  <c r="AD47" i="31"/>
  <c r="W47" i="31"/>
  <c r="I47" i="31"/>
  <c r="P47" i="31"/>
  <c r="P59" i="29"/>
  <c r="W59" i="29"/>
  <c r="I303" i="29"/>
  <c r="P303" i="29"/>
  <c r="O304" i="29" s="1"/>
  <c r="I180" i="29"/>
  <c r="P180" i="29"/>
  <c r="O181" i="29" s="1"/>
  <c r="Y59" i="29"/>
  <c r="I59" i="29"/>
  <c r="O60" i="29"/>
  <c r="V304" i="29"/>
  <c r="V60" i="29"/>
  <c r="V181" i="29"/>
  <c r="O48" i="31" l="1"/>
  <c r="H48" i="31"/>
  <c r="V48" i="31"/>
  <c r="Z180" i="29"/>
  <c r="Z303" i="29"/>
  <c r="Z59" i="29"/>
  <c r="H304" i="29"/>
  <c r="H181" i="29"/>
  <c r="H60" i="29"/>
  <c r="X60" i="29" s="1"/>
  <c r="AN47" i="31" l="1"/>
  <c r="AC48" i="31"/>
  <c r="AJ48" i="31"/>
  <c r="P60" i="29"/>
  <c r="W60" i="29"/>
  <c r="X181" i="29"/>
  <c r="W181" i="29" s="1"/>
  <c r="Y60" i="29"/>
  <c r="I60" i="29"/>
  <c r="X304" i="29"/>
  <c r="W304" i="29" s="1"/>
  <c r="AA59" i="29"/>
  <c r="AB59" i="29" s="1"/>
  <c r="AF47" i="31" l="1"/>
  <c r="AL48" i="31"/>
  <c r="Y47" i="31"/>
  <c r="K47" i="31"/>
  <c r="AO47" i="31"/>
  <c r="AP47" i="31" s="1"/>
  <c r="D47" i="31"/>
  <c r="R47" i="31"/>
  <c r="I181" i="29"/>
  <c r="P181" i="29"/>
  <c r="O182" i="29" s="1"/>
  <c r="I304" i="29"/>
  <c r="P304" i="29"/>
  <c r="O305" i="29" s="1"/>
  <c r="O61" i="29"/>
  <c r="V182" i="29"/>
  <c r="V61" i="29"/>
  <c r="V305" i="29"/>
  <c r="AK48" i="31" l="1"/>
  <c r="AM48" i="31"/>
  <c r="AD48" i="31"/>
  <c r="W48" i="31"/>
  <c r="I48" i="31"/>
  <c r="P48" i="31"/>
  <c r="Z304" i="29"/>
  <c r="Z181" i="29"/>
  <c r="Z60" i="29"/>
  <c r="H61" i="29"/>
  <c r="H182" i="29"/>
  <c r="H305" i="29"/>
  <c r="O49" i="31" l="1"/>
  <c r="H49" i="31"/>
  <c r="V49" i="31"/>
  <c r="X305" i="29"/>
  <c r="W305" i="29" s="1"/>
  <c r="X182" i="29"/>
  <c r="W182" i="29" s="1"/>
  <c r="X61" i="29"/>
  <c r="AA60" i="29"/>
  <c r="AB60" i="29" s="1"/>
  <c r="AN48" i="31" l="1"/>
  <c r="AC49" i="31"/>
  <c r="AJ49" i="31"/>
  <c r="P305" i="29"/>
  <c r="O306" i="29" s="1"/>
  <c r="I305" i="29"/>
  <c r="P61" i="29"/>
  <c r="O62" i="29" s="1"/>
  <c r="W61" i="29"/>
  <c r="I182" i="29"/>
  <c r="P182" i="29"/>
  <c r="O183" i="29" s="1"/>
  <c r="Y61" i="29"/>
  <c r="I61" i="29"/>
  <c r="V183" i="29"/>
  <c r="V62" i="29"/>
  <c r="V306" i="29"/>
  <c r="Y48" i="31" l="1"/>
  <c r="AL49" i="31"/>
  <c r="AF48" i="31"/>
  <c r="K48" i="31"/>
  <c r="AO48" i="31"/>
  <c r="AP48" i="31" s="1"/>
  <c r="R48" i="31"/>
  <c r="D48" i="31"/>
  <c r="Z182" i="29"/>
  <c r="Z305" i="29"/>
  <c r="Z61" i="29"/>
  <c r="H62" i="29"/>
  <c r="H306" i="29"/>
  <c r="H183" i="29"/>
  <c r="AK49" i="31" l="1"/>
  <c r="AM49" i="31"/>
  <c r="AD49" i="31"/>
  <c r="W49" i="31"/>
  <c r="P49" i="31"/>
  <c r="I49" i="31"/>
  <c r="X62" i="29"/>
  <c r="X183" i="29"/>
  <c r="W183" i="29" s="1"/>
  <c r="X306" i="29"/>
  <c r="W306" i="29" s="1"/>
  <c r="AA61" i="29"/>
  <c r="AB61" i="29" s="1"/>
  <c r="H50" i="31" l="1"/>
  <c r="O50" i="31"/>
  <c r="V50" i="31"/>
  <c r="P62" i="29"/>
  <c r="W62" i="29"/>
  <c r="I306" i="29"/>
  <c r="P306" i="29"/>
  <c r="O307" i="29" s="1"/>
  <c r="I183" i="29"/>
  <c r="P183" i="29"/>
  <c r="O184" i="29" s="1"/>
  <c r="Y62" i="29"/>
  <c r="I62" i="29"/>
  <c r="O63" i="29"/>
  <c r="V63" i="29"/>
  <c r="V307" i="29"/>
  <c r="V184" i="29"/>
  <c r="AJ50" i="31" l="1"/>
  <c r="AN49" i="31"/>
  <c r="AC50" i="31"/>
  <c r="Z62" i="29"/>
  <c r="Z306" i="29"/>
  <c r="Z183" i="29"/>
  <c r="H63" i="29"/>
  <c r="H307" i="29"/>
  <c r="H184" i="29"/>
  <c r="X184" i="29" s="1"/>
  <c r="W184" i="29" s="1"/>
  <c r="Y49" i="31" l="1"/>
  <c r="AL50" i="31"/>
  <c r="D49" i="31"/>
  <c r="AO49" i="31"/>
  <c r="AP49" i="31" s="1"/>
  <c r="K49" i="31"/>
  <c r="R49" i="31"/>
  <c r="AF49" i="31"/>
  <c r="I184" i="29"/>
  <c r="P184" i="29"/>
  <c r="X63" i="29"/>
  <c r="X307" i="29"/>
  <c r="W307" i="29" s="1"/>
  <c r="AA62" i="29"/>
  <c r="AB62" i="29" s="1"/>
  <c r="AK50" i="31" l="1"/>
  <c r="AM50" i="31"/>
  <c r="AD50" i="31"/>
  <c r="W50" i="31"/>
  <c r="V51" i="31" s="1"/>
  <c r="I50" i="31"/>
  <c r="P50" i="31"/>
  <c r="I63" i="29"/>
  <c r="W63" i="29"/>
  <c r="I307" i="29"/>
  <c r="P307" i="29"/>
  <c r="O308" i="29" s="1"/>
  <c r="Y63" i="29"/>
  <c r="P63" i="29"/>
  <c r="O64" i="29" s="1"/>
  <c r="O185" i="29"/>
  <c r="V64" i="29"/>
  <c r="V308" i="29"/>
  <c r="V185" i="29"/>
  <c r="O51" i="31" l="1"/>
  <c r="H51" i="31"/>
  <c r="Z184" i="29"/>
  <c r="Z63" i="29"/>
  <c r="Z307" i="29"/>
  <c r="H64" i="29"/>
  <c r="H185" i="29"/>
  <c r="H308" i="29"/>
  <c r="AN50" i="31" l="1"/>
  <c r="AC51" i="31"/>
  <c r="AJ51" i="31"/>
  <c r="X308" i="29"/>
  <c r="W308" i="29" s="1"/>
  <c r="X185" i="29"/>
  <c r="W185" i="29" s="1"/>
  <c r="X64" i="29"/>
  <c r="AA63" i="29"/>
  <c r="AB63" i="29" s="1"/>
  <c r="Y50" i="31" l="1"/>
  <c r="AL51" i="31"/>
  <c r="AF50" i="31"/>
  <c r="R50" i="31"/>
  <c r="AO50" i="31"/>
  <c r="AP50" i="31" s="1"/>
  <c r="K50" i="31"/>
  <c r="D50" i="31"/>
  <c r="P64" i="29"/>
  <c r="O65" i="29" s="1"/>
  <c r="W64" i="29"/>
  <c r="I185" i="29"/>
  <c r="P185" i="29"/>
  <c r="O186" i="29" s="1"/>
  <c r="I308" i="29"/>
  <c r="P308" i="29"/>
  <c r="O309" i="29" s="1"/>
  <c r="Y64" i="29"/>
  <c r="I64" i="29"/>
  <c r="V309" i="29"/>
  <c r="V65" i="29"/>
  <c r="V186" i="29"/>
  <c r="AK51" i="31" l="1"/>
  <c r="AM51" i="31"/>
  <c r="AD51" i="31"/>
  <c r="W51" i="31"/>
  <c r="P51" i="31"/>
  <c r="I51" i="31"/>
  <c r="Z308" i="29"/>
  <c r="Z185" i="29"/>
  <c r="Z64" i="29"/>
  <c r="H309" i="29"/>
  <c r="H186" i="29"/>
  <c r="X186" i="29" s="1"/>
  <c r="W186" i="29" s="1"/>
  <c r="H65" i="29"/>
  <c r="X65" i="29" s="1"/>
  <c r="H52" i="31" l="1"/>
  <c r="O52" i="31"/>
  <c r="V52" i="31"/>
  <c r="P65" i="29"/>
  <c r="W65" i="29"/>
  <c r="I186" i="29"/>
  <c r="P186" i="29"/>
  <c r="Y65" i="29"/>
  <c r="I65" i="29"/>
  <c r="X309" i="29"/>
  <c r="W309" i="29" s="1"/>
  <c r="AA64" i="29"/>
  <c r="AB64" i="29" s="1"/>
  <c r="AJ52" i="31" l="1"/>
  <c r="AN51" i="31"/>
  <c r="AC52" i="31"/>
  <c r="I309" i="29"/>
  <c r="P309" i="29"/>
  <c r="O310" i="29" s="1"/>
  <c r="O187" i="29"/>
  <c r="O66" i="29"/>
  <c r="V187" i="29"/>
  <c r="V310" i="29"/>
  <c r="V66" i="29"/>
  <c r="Y51" i="31" l="1"/>
  <c r="AL52" i="31"/>
  <c r="AO51" i="31"/>
  <c r="AP51" i="31" s="1"/>
  <c r="D51" i="31"/>
  <c r="K51" i="31"/>
  <c r="R51" i="31"/>
  <c r="AF51" i="31"/>
  <c r="Z186" i="29"/>
  <c r="Z65" i="29"/>
  <c r="Z309" i="29"/>
  <c r="H187" i="29"/>
  <c r="H310" i="29"/>
  <c r="H66" i="29"/>
  <c r="AK52" i="31" l="1"/>
  <c r="AM52" i="31"/>
  <c r="AD52" i="31"/>
  <c r="W52" i="31"/>
  <c r="I52" i="31"/>
  <c r="P52" i="31"/>
  <c r="X310" i="29"/>
  <c r="W310" i="29" s="1"/>
  <c r="X66" i="29"/>
  <c r="X187" i="29"/>
  <c r="W187" i="29" s="1"/>
  <c r="AA65" i="29"/>
  <c r="AB65" i="29" s="1"/>
  <c r="O53" i="31" l="1"/>
  <c r="H53" i="31"/>
  <c r="V53" i="31"/>
  <c r="P66" i="29"/>
  <c r="W66" i="29"/>
  <c r="I187" i="29"/>
  <c r="P187" i="29"/>
  <c r="O188" i="29" s="1"/>
  <c r="I310" i="29"/>
  <c r="P310" i="29"/>
  <c r="O311" i="29" s="1"/>
  <c r="Y66" i="29"/>
  <c r="I66" i="29"/>
  <c r="O67" i="29"/>
  <c r="V188" i="29"/>
  <c r="V67" i="29"/>
  <c r="V311" i="29"/>
  <c r="AN52" i="31" l="1"/>
  <c r="AC53" i="31"/>
  <c r="AJ53" i="31"/>
  <c r="Z66" i="29"/>
  <c r="Z310" i="29"/>
  <c r="Z187" i="29"/>
  <c r="H188" i="29"/>
  <c r="H67" i="29"/>
  <c r="H311" i="29"/>
  <c r="X311" i="29" s="1"/>
  <c r="W311" i="29" s="1"/>
  <c r="Y52" i="31" l="1"/>
  <c r="AL53" i="31"/>
  <c r="AF52" i="31"/>
  <c r="D52" i="31"/>
  <c r="AO52" i="31"/>
  <c r="AP52" i="31" s="1"/>
  <c r="K52" i="31"/>
  <c r="R52" i="31"/>
  <c r="I311" i="29"/>
  <c r="P311" i="29"/>
  <c r="X67" i="29"/>
  <c r="X188" i="29"/>
  <c r="W188" i="29" s="1"/>
  <c r="AA66" i="29"/>
  <c r="AB66" i="29" s="1"/>
  <c r="AK53" i="31" l="1"/>
  <c r="AM53" i="31"/>
  <c r="AD53" i="31"/>
  <c r="W53" i="31"/>
  <c r="I53" i="31"/>
  <c r="P53" i="31"/>
  <c r="P67" i="29"/>
  <c r="W67" i="29"/>
  <c r="I188" i="29"/>
  <c r="P188" i="29"/>
  <c r="O189" i="29" s="1"/>
  <c r="Y67" i="29"/>
  <c r="I67" i="29"/>
  <c r="O68" i="29"/>
  <c r="O312" i="29"/>
  <c r="V68" i="29"/>
  <c r="V312" i="29"/>
  <c r="V189" i="29"/>
  <c r="V54" i="31" l="1"/>
  <c r="H54" i="31"/>
  <c r="O54" i="31"/>
  <c r="Z67" i="29"/>
  <c r="Z188" i="29"/>
  <c r="Z311" i="29"/>
  <c r="H68" i="29"/>
  <c r="H189" i="29"/>
  <c r="H312" i="29"/>
  <c r="AJ54" i="31" l="1"/>
  <c r="AN53" i="31"/>
  <c r="AC54" i="31"/>
  <c r="X312" i="29"/>
  <c r="W312" i="29" s="1"/>
  <c r="X68" i="29"/>
  <c r="X189" i="29"/>
  <c r="W189" i="29" s="1"/>
  <c r="AA67" i="29"/>
  <c r="AB67" i="29" s="1"/>
  <c r="Y53" i="31" l="1"/>
  <c r="AL54" i="31"/>
  <c r="AO53" i="31"/>
  <c r="AP53" i="31" s="1"/>
  <c r="R53" i="31"/>
  <c r="D53" i="31"/>
  <c r="K53" i="31"/>
  <c r="AF53" i="31"/>
  <c r="P312" i="29"/>
  <c r="I312" i="29"/>
  <c r="P68" i="29"/>
  <c r="W68" i="29"/>
  <c r="I189" i="29"/>
  <c r="P189" i="29"/>
  <c r="O190" i="29" s="1"/>
  <c r="Y68" i="29"/>
  <c r="I68" i="29"/>
  <c r="O69" i="29"/>
  <c r="O313" i="29"/>
  <c r="V69" i="29"/>
  <c r="V313" i="29"/>
  <c r="V190" i="29"/>
  <c r="AK54" i="31" l="1"/>
  <c r="AM54" i="31"/>
  <c r="AD54" i="31"/>
  <c r="W54" i="31"/>
  <c r="P54" i="31"/>
  <c r="I54" i="31"/>
  <c r="Z68" i="29"/>
  <c r="Z189" i="29"/>
  <c r="Z312" i="29"/>
  <c r="H313" i="29"/>
  <c r="H69" i="29"/>
  <c r="H190" i="29"/>
  <c r="V55" i="31" l="1"/>
  <c r="H55" i="31"/>
  <c r="O55" i="31"/>
  <c r="X69" i="29"/>
  <c r="X313" i="29"/>
  <c r="W313" i="29" s="1"/>
  <c r="X190" i="29"/>
  <c r="W190" i="29" s="1"/>
  <c r="AA68" i="29"/>
  <c r="AB68" i="29" s="1"/>
  <c r="AJ55" i="31" l="1"/>
  <c r="AN54" i="31"/>
  <c r="AC55" i="31"/>
  <c r="P69" i="29"/>
  <c r="O70" i="29" s="1"/>
  <c r="W69" i="29"/>
  <c r="I190" i="29"/>
  <c r="P190" i="29"/>
  <c r="O191" i="29" s="1"/>
  <c r="I313" i="29"/>
  <c r="P313" i="29"/>
  <c r="O314" i="29" s="1"/>
  <c r="Y69" i="29"/>
  <c r="I69" i="29"/>
  <c r="V70" i="29"/>
  <c r="V314" i="29"/>
  <c r="V191" i="29"/>
  <c r="Y54" i="31" l="1"/>
  <c r="AL55" i="31"/>
  <c r="AO54" i="31"/>
  <c r="AP54" i="31" s="1"/>
  <c r="K54" i="31"/>
  <c r="R54" i="31"/>
  <c r="D54" i="31"/>
  <c r="AF54" i="31"/>
  <c r="Z190" i="29"/>
  <c r="Z69" i="29"/>
  <c r="Z313" i="29"/>
  <c r="H191" i="29"/>
  <c r="H70" i="29"/>
  <c r="H314" i="29"/>
  <c r="AK55" i="31" l="1"/>
  <c r="AM55" i="31"/>
  <c r="AD55" i="31"/>
  <c r="W55" i="31"/>
  <c r="I55" i="31"/>
  <c r="P55" i="31"/>
  <c r="X314" i="29"/>
  <c r="W314" i="29" s="1"/>
  <c r="P314" i="29"/>
  <c r="X70" i="29"/>
  <c r="X191" i="29"/>
  <c r="W191" i="29" s="1"/>
  <c r="AA69" i="29"/>
  <c r="AB69" i="29" s="1"/>
  <c r="O56" i="31" l="1"/>
  <c r="H56" i="31"/>
  <c r="V56" i="31"/>
  <c r="I314" i="29"/>
  <c r="P70" i="29"/>
  <c r="O71" i="29" s="1"/>
  <c r="W70" i="29"/>
  <c r="I191" i="29"/>
  <c r="P191" i="29"/>
  <c r="O192" i="29" s="1"/>
  <c r="Y70" i="29"/>
  <c r="I70" i="29"/>
  <c r="O315" i="29"/>
  <c r="V192" i="29"/>
  <c r="V71" i="29"/>
  <c r="V315" i="29"/>
  <c r="AN55" i="31" l="1"/>
  <c r="AC56" i="31"/>
  <c r="AJ56" i="31"/>
  <c r="Z191" i="29"/>
  <c r="Z314" i="29"/>
  <c r="Z70" i="29"/>
  <c r="H71" i="29"/>
  <c r="H315" i="29"/>
  <c r="H192" i="29"/>
  <c r="AF55" i="31" l="1"/>
  <c r="AL56" i="31"/>
  <c r="AO55" i="31"/>
  <c r="AP55" i="31" s="1"/>
  <c r="K55" i="31"/>
  <c r="D55" i="31"/>
  <c r="R55" i="31"/>
  <c r="Y55" i="31"/>
  <c r="X315" i="29"/>
  <c r="W315" i="29" s="1"/>
  <c r="X192" i="29"/>
  <c r="W192" i="29" s="1"/>
  <c r="X71" i="29"/>
  <c r="AA70" i="29"/>
  <c r="AB70" i="29" s="1"/>
  <c r="AK56" i="31" l="1"/>
  <c r="AM56" i="31"/>
  <c r="AD56" i="31"/>
  <c r="W56" i="31"/>
  <c r="P56" i="31"/>
  <c r="I56" i="31"/>
  <c r="P71" i="29"/>
  <c r="W71" i="29"/>
  <c r="I192" i="29"/>
  <c r="P192" i="29"/>
  <c r="O193" i="29" s="1"/>
  <c r="I315" i="29"/>
  <c r="P315" i="29"/>
  <c r="O316" i="29" s="1"/>
  <c r="Y71" i="29"/>
  <c r="I71" i="29"/>
  <c r="O72" i="29"/>
  <c r="V193" i="29"/>
  <c r="V72" i="29"/>
  <c r="V316" i="29"/>
  <c r="O57" i="31" l="1"/>
  <c r="V57" i="31"/>
  <c r="H57" i="31"/>
  <c r="Z71" i="29"/>
  <c r="Z192" i="29"/>
  <c r="Z315" i="29"/>
  <c r="H72" i="29"/>
  <c r="H193" i="29"/>
  <c r="H316" i="29"/>
  <c r="X316" i="29" s="1"/>
  <c r="W316" i="29" s="1"/>
  <c r="AN56" i="31" l="1"/>
  <c r="AC57" i="31"/>
  <c r="AJ57" i="31"/>
  <c r="I316" i="29"/>
  <c r="P316" i="29"/>
  <c r="X193" i="29"/>
  <c r="W193" i="29" s="1"/>
  <c r="X72" i="29"/>
  <c r="AA71" i="29"/>
  <c r="AB71" i="29" s="1"/>
  <c r="AL57" i="31" l="1"/>
  <c r="AO56" i="31"/>
  <c r="AP56" i="31" s="1"/>
  <c r="K56" i="31"/>
  <c r="R56" i="31"/>
  <c r="D56" i="31"/>
  <c r="AF56" i="31"/>
  <c r="Y56" i="31"/>
  <c r="P72" i="29"/>
  <c r="W72" i="29"/>
  <c r="V73" i="29" s="1"/>
  <c r="I193" i="29"/>
  <c r="P193" i="29"/>
  <c r="O194" i="29" s="1"/>
  <c r="Y72" i="29"/>
  <c r="I72" i="29"/>
  <c r="O73" i="29"/>
  <c r="O317" i="29"/>
  <c r="V194" i="29"/>
  <c r="V317" i="29"/>
  <c r="AK57" i="31" l="1"/>
  <c r="AM57" i="31"/>
  <c r="AD57" i="31"/>
  <c r="W57" i="31"/>
  <c r="I57" i="31"/>
  <c r="P57" i="31"/>
  <c r="Z316" i="29"/>
  <c r="Z193" i="29"/>
  <c r="Z72" i="29"/>
  <c r="H194" i="29"/>
  <c r="H317" i="29"/>
  <c r="H73" i="29"/>
  <c r="O58" i="31" l="1"/>
  <c r="H58" i="31"/>
  <c r="V58" i="31"/>
  <c r="X194" i="29"/>
  <c r="W194" i="29" s="1"/>
  <c r="I194" i="29"/>
  <c r="P194" i="29"/>
  <c r="X317" i="29"/>
  <c r="W317" i="29" s="1"/>
  <c r="X73" i="29"/>
  <c r="AA72" i="29"/>
  <c r="AB72" i="29" s="1"/>
  <c r="AN57" i="31" l="1"/>
  <c r="AC58" i="31"/>
  <c r="AJ58" i="31"/>
  <c r="P73" i="29"/>
  <c r="W73" i="29"/>
  <c r="I317" i="29"/>
  <c r="P317" i="29"/>
  <c r="O318" i="29" s="1"/>
  <c r="Y73" i="29"/>
  <c r="I73" i="29"/>
  <c r="O195" i="29"/>
  <c r="O74" i="29"/>
  <c r="V318" i="29"/>
  <c r="V195" i="29"/>
  <c r="V74" i="29"/>
  <c r="Y57" i="31" l="1"/>
  <c r="AL58" i="31"/>
  <c r="AF57" i="31"/>
  <c r="D57" i="31"/>
  <c r="AO57" i="31"/>
  <c r="AP57" i="31" s="1"/>
  <c r="K57" i="31"/>
  <c r="R57" i="31"/>
  <c r="Z317" i="29"/>
  <c r="Z194" i="29"/>
  <c r="Z73" i="29"/>
  <c r="H318" i="29"/>
  <c r="H74" i="29"/>
  <c r="H195" i="29"/>
  <c r="AK58" i="31" l="1"/>
  <c r="AM58" i="31"/>
  <c r="AD58" i="31"/>
  <c r="W58" i="31"/>
  <c r="P58" i="31"/>
  <c r="I58" i="31"/>
  <c r="X74" i="29"/>
  <c r="X195" i="29"/>
  <c r="W195" i="29" s="1"/>
  <c r="X318" i="29"/>
  <c r="W318" i="29" s="1"/>
  <c r="AA73" i="29"/>
  <c r="AB73" i="29" s="1"/>
  <c r="H59" i="31" l="1"/>
  <c r="O59" i="31"/>
  <c r="V59" i="31"/>
  <c r="P74" i="29"/>
  <c r="W74" i="29"/>
  <c r="I318" i="29"/>
  <c r="P318" i="29"/>
  <c r="O319" i="29" s="1"/>
  <c r="I195" i="29"/>
  <c r="P195" i="29"/>
  <c r="O196" i="29" s="1"/>
  <c r="Y74" i="29"/>
  <c r="I74" i="29"/>
  <c r="O75" i="29"/>
  <c r="V196" i="29"/>
  <c r="V75" i="29"/>
  <c r="V319" i="29"/>
  <c r="AJ59" i="31" l="1"/>
  <c r="AN58" i="31"/>
  <c r="AC59" i="31"/>
  <c r="Z318" i="29"/>
  <c r="Z195" i="29"/>
  <c r="Z74" i="29"/>
  <c r="H319" i="29"/>
  <c r="H196" i="29"/>
  <c r="H75" i="29"/>
  <c r="X75" i="29" s="1"/>
  <c r="W75" i="29" s="1"/>
  <c r="Y58" i="31" l="1"/>
  <c r="AL59" i="31"/>
  <c r="AO58" i="31"/>
  <c r="AP58" i="31" s="1"/>
  <c r="D58" i="31"/>
  <c r="R58" i="31"/>
  <c r="K58" i="31"/>
  <c r="AF58" i="31"/>
  <c r="X319" i="29"/>
  <c r="W319" i="29" s="1"/>
  <c r="I75" i="29"/>
  <c r="P75" i="29"/>
  <c r="X196" i="29"/>
  <c r="W196" i="29" s="1"/>
  <c r="AA74" i="29"/>
  <c r="AB74" i="29" s="1"/>
  <c r="AK59" i="31" l="1"/>
  <c r="AM59" i="31"/>
  <c r="AD59" i="31"/>
  <c r="W59" i="31"/>
  <c r="P59" i="31"/>
  <c r="I59" i="31"/>
  <c r="P319" i="29"/>
  <c r="O320" i="29" s="1"/>
  <c r="I319" i="29"/>
  <c r="I196" i="29"/>
  <c r="P196" i="29"/>
  <c r="O197" i="29" s="1"/>
  <c r="O76" i="29"/>
  <c r="V197" i="29"/>
  <c r="V76" i="29"/>
  <c r="V320" i="29"/>
  <c r="O60" i="31" l="1"/>
  <c r="H60" i="31"/>
  <c r="V60" i="31"/>
  <c r="Z196" i="29"/>
  <c r="Y75" i="29"/>
  <c r="Z319" i="29"/>
  <c r="Z75" i="29"/>
  <c r="H320" i="29"/>
  <c r="H197" i="29"/>
  <c r="X197" i="29" s="1"/>
  <c r="W197" i="29" s="1"/>
  <c r="H76" i="29"/>
  <c r="AN59" i="31" l="1"/>
  <c r="AC60" i="31"/>
  <c r="AJ60" i="31"/>
  <c r="I197" i="29"/>
  <c r="P197" i="29"/>
  <c r="X320" i="29"/>
  <c r="W320" i="29" s="1"/>
  <c r="X76" i="29"/>
  <c r="AA75" i="29"/>
  <c r="AB75" i="29" s="1"/>
  <c r="Y59" i="31" l="1"/>
  <c r="AL60" i="31"/>
  <c r="AF59" i="31"/>
  <c r="K59" i="31"/>
  <c r="AO59" i="31"/>
  <c r="AP59" i="31" s="1"/>
  <c r="D59" i="31"/>
  <c r="R59" i="31"/>
  <c r="P76" i="29"/>
  <c r="W76" i="29"/>
  <c r="I320" i="29"/>
  <c r="P320" i="29"/>
  <c r="O321" i="29" s="1"/>
  <c r="Y76" i="29"/>
  <c r="I76" i="29"/>
  <c r="O198" i="29"/>
  <c r="O77" i="29"/>
  <c r="V77" i="29"/>
  <c r="V198" i="29"/>
  <c r="V321" i="29"/>
  <c r="AK60" i="31" l="1"/>
  <c r="AM60" i="31"/>
  <c r="AD60" i="31"/>
  <c r="W60" i="31"/>
  <c r="I60" i="31"/>
  <c r="P60" i="31"/>
  <c r="Z197" i="29"/>
  <c r="Z76" i="29"/>
  <c r="Z320" i="29"/>
  <c r="H77" i="29"/>
  <c r="H321" i="29"/>
  <c r="H198" i="29"/>
  <c r="O61" i="31" l="1"/>
  <c r="H61" i="31"/>
  <c r="V61" i="31"/>
  <c r="X321" i="29"/>
  <c r="W321" i="29" s="1"/>
  <c r="X198" i="29"/>
  <c r="W198" i="29" s="1"/>
  <c r="X77" i="29"/>
  <c r="AA76" i="29"/>
  <c r="AB76" i="29" s="1"/>
  <c r="AN60" i="31" l="1"/>
  <c r="AC61" i="31"/>
  <c r="AJ61" i="31"/>
  <c r="P77" i="29"/>
  <c r="W77" i="29"/>
  <c r="I198" i="29"/>
  <c r="P198" i="29"/>
  <c r="O199" i="29" s="1"/>
  <c r="I321" i="29"/>
  <c r="P321" i="29"/>
  <c r="O322" i="29" s="1"/>
  <c r="Y77" i="29"/>
  <c r="I77" i="29"/>
  <c r="O78" i="29"/>
  <c r="V322" i="29"/>
  <c r="V78" i="29"/>
  <c r="V199" i="29"/>
  <c r="Y60" i="31" l="1"/>
  <c r="AL61" i="31"/>
  <c r="AF60" i="31"/>
  <c r="AO60" i="31"/>
  <c r="AP60" i="31" s="1"/>
  <c r="D60" i="31"/>
  <c r="K60" i="31"/>
  <c r="R60" i="31"/>
  <c r="Z77" i="29"/>
  <c r="Z321" i="29"/>
  <c r="Z198" i="29"/>
  <c r="H199" i="29"/>
  <c r="H78" i="29"/>
  <c r="H322" i="29"/>
  <c r="AK61" i="31" l="1"/>
  <c r="AM61" i="31"/>
  <c r="AD61" i="31"/>
  <c r="W61" i="31"/>
  <c r="I61" i="31"/>
  <c r="P61" i="31"/>
  <c r="X322" i="29"/>
  <c r="W322" i="29" s="1"/>
  <c r="X78" i="29"/>
  <c r="X199" i="29"/>
  <c r="W199" i="29" s="1"/>
  <c r="AA77" i="29"/>
  <c r="AB77" i="29" s="1"/>
  <c r="O62" i="31" l="1"/>
  <c r="H62" i="31"/>
  <c r="V62" i="31"/>
  <c r="P78" i="29"/>
  <c r="W78" i="29"/>
  <c r="I199" i="29"/>
  <c r="P199" i="29"/>
  <c r="O200" i="29" s="1"/>
  <c r="I322" i="29"/>
  <c r="P322" i="29"/>
  <c r="O323" i="29" s="1"/>
  <c r="Y78" i="29"/>
  <c r="I78" i="29"/>
  <c r="O79" i="29"/>
  <c r="V323" i="29"/>
  <c r="V200" i="29"/>
  <c r="V79" i="29"/>
  <c r="AN61" i="31" l="1"/>
  <c r="AC62" i="31"/>
  <c r="AJ62" i="31"/>
  <c r="Z199" i="29"/>
  <c r="Z78" i="29"/>
  <c r="Z322" i="29"/>
  <c r="H79" i="29"/>
  <c r="H323" i="29"/>
  <c r="H200" i="29"/>
  <c r="AF61" i="31" l="1"/>
  <c r="AL62" i="31"/>
  <c r="Y61" i="31"/>
  <c r="D61" i="31"/>
  <c r="AO61" i="31"/>
  <c r="AP61" i="31" s="1"/>
  <c r="R61" i="31"/>
  <c r="K61" i="31"/>
  <c r="X200" i="29"/>
  <c r="W200" i="29" s="1"/>
  <c r="X323" i="29"/>
  <c r="W323" i="29" s="1"/>
  <c r="X79" i="29"/>
  <c r="AA78" i="29"/>
  <c r="AB78" i="29" s="1"/>
  <c r="AK62" i="31" l="1"/>
  <c r="AM62" i="31"/>
  <c r="AD62" i="31"/>
  <c r="W62" i="31"/>
  <c r="P62" i="31"/>
  <c r="I62" i="31"/>
  <c r="P79" i="29"/>
  <c r="W79" i="29"/>
  <c r="I323" i="29"/>
  <c r="P323" i="29"/>
  <c r="O324" i="29" s="1"/>
  <c r="I200" i="29"/>
  <c r="P200" i="29"/>
  <c r="O201" i="29" s="1"/>
  <c r="Y79" i="29"/>
  <c r="I79" i="29"/>
  <c r="O80" i="29"/>
  <c r="V201" i="29"/>
  <c r="V80" i="29"/>
  <c r="V324" i="29"/>
  <c r="H63" i="31" l="1"/>
  <c r="O63" i="31"/>
  <c r="V63" i="31"/>
  <c r="Z79" i="29"/>
  <c r="Z200" i="29"/>
  <c r="Z323" i="29"/>
  <c r="H201" i="29"/>
  <c r="H80" i="29"/>
  <c r="H324" i="29"/>
  <c r="X324" i="29" s="1"/>
  <c r="W324" i="29" s="1"/>
  <c r="AJ63" i="31" l="1"/>
  <c r="AN62" i="31"/>
  <c r="AC63" i="31"/>
  <c r="I324" i="29"/>
  <c r="P324" i="29"/>
  <c r="X80" i="29"/>
  <c r="X201" i="29"/>
  <c r="W201" i="29" s="1"/>
  <c r="AA79" i="29"/>
  <c r="AB79" i="29" s="1"/>
  <c r="Y62" i="31" l="1"/>
  <c r="AL63" i="31"/>
  <c r="K62" i="31"/>
  <c r="AO62" i="31"/>
  <c r="AP62" i="31" s="1"/>
  <c r="D62" i="31"/>
  <c r="R62" i="31"/>
  <c r="AF62" i="31"/>
  <c r="P80" i="29"/>
  <c r="W80" i="29"/>
  <c r="I201" i="29"/>
  <c r="P201" i="29"/>
  <c r="O202" i="29" s="1"/>
  <c r="Y80" i="29"/>
  <c r="I80" i="29"/>
  <c r="O81" i="29"/>
  <c r="O325" i="29"/>
  <c r="V81" i="29"/>
  <c r="V325" i="29"/>
  <c r="V202" i="29"/>
  <c r="AK63" i="31" l="1"/>
  <c r="AM63" i="31"/>
  <c r="AD63" i="31"/>
  <c r="W63" i="31"/>
  <c r="I63" i="31"/>
  <c r="P63" i="31"/>
  <c r="Z80" i="29"/>
  <c r="Z201" i="29"/>
  <c r="Z324" i="29"/>
  <c r="H81" i="29"/>
  <c r="X81" i="29" s="1"/>
  <c r="H202" i="29"/>
  <c r="H325" i="29"/>
  <c r="O64" i="31" l="1"/>
  <c r="H64" i="31"/>
  <c r="V64" i="31"/>
  <c r="P81" i="29"/>
  <c r="W81" i="29"/>
  <c r="X325" i="29"/>
  <c r="W325" i="29" s="1"/>
  <c r="Y81" i="29"/>
  <c r="I81" i="29"/>
  <c r="X202" i="29"/>
  <c r="W202" i="29" s="1"/>
  <c r="AA80" i="29"/>
  <c r="AB80" i="29" s="1"/>
  <c r="AN63" i="31" l="1"/>
  <c r="AC64" i="31"/>
  <c r="AJ64" i="31"/>
  <c r="I202" i="29"/>
  <c r="P202" i="29"/>
  <c r="O203" i="29" s="1"/>
  <c r="I325" i="29"/>
  <c r="P325" i="29"/>
  <c r="O326" i="29" s="1"/>
  <c r="O82" i="29"/>
  <c r="V326" i="29"/>
  <c r="V82" i="29"/>
  <c r="V203" i="29"/>
  <c r="Y63" i="31" l="1"/>
  <c r="AL64" i="31"/>
  <c r="AF63" i="31"/>
  <c r="AO63" i="31"/>
  <c r="AP63" i="31" s="1"/>
  <c r="K63" i="31"/>
  <c r="D63" i="31"/>
  <c r="R63" i="31"/>
  <c r="Z81" i="29"/>
  <c r="Z325" i="29"/>
  <c r="Z202" i="29"/>
  <c r="H82" i="29"/>
  <c r="H326" i="29"/>
  <c r="H203" i="29"/>
  <c r="AK64" i="31" l="1"/>
  <c r="AM64" i="31"/>
  <c r="AD64" i="31"/>
  <c r="W64" i="31"/>
  <c r="I64" i="31"/>
  <c r="P64" i="31"/>
  <c r="X82" i="29"/>
  <c r="Y82" i="29" s="1"/>
  <c r="I82" i="29"/>
  <c r="X326" i="29"/>
  <c r="W326" i="29" s="1"/>
  <c r="X203" i="29"/>
  <c r="W203" i="29" s="1"/>
  <c r="AA81" i="29"/>
  <c r="AB81" i="29" s="1"/>
  <c r="O65" i="31" l="1"/>
  <c r="H65" i="31"/>
  <c r="V65" i="31"/>
  <c r="P82" i="29"/>
  <c r="W82" i="29"/>
  <c r="V83" i="29" s="1"/>
  <c r="I326" i="29"/>
  <c r="P326" i="29"/>
  <c r="O327" i="29" s="1"/>
  <c r="I203" i="29"/>
  <c r="P203" i="29"/>
  <c r="O204" i="29" s="1"/>
  <c r="O83" i="29"/>
  <c r="V327" i="29"/>
  <c r="V204" i="29"/>
  <c r="AN64" i="31" l="1"/>
  <c r="AC65" i="31"/>
  <c r="AJ65" i="31"/>
  <c r="Z82" i="29"/>
  <c r="Z326" i="29"/>
  <c r="Z203" i="29"/>
  <c r="H204" i="29"/>
  <c r="H327" i="29"/>
  <c r="H83" i="29"/>
  <c r="Y64" i="31" l="1"/>
  <c r="AL65" i="31"/>
  <c r="AF64" i="31"/>
  <c r="AO64" i="31"/>
  <c r="AP64" i="31" s="1"/>
  <c r="R64" i="31"/>
  <c r="K64" i="31"/>
  <c r="D64" i="31"/>
  <c r="X83" i="29"/>
  <c r="X204" i="29"/>
  <c r="W204" i="29" s="1"/>
  <c r="X327" i="29"/>
  <c r="W327" i="29" s="1"/>
  <c r="AA82" i="29"/>
  <c r="AB82" i="29" s="1"/>
  <c r="AK65" i="31" l="1"/>
  <c r="AM65" i="31"/>
  <c r="AD65" i="31"/>
  <c r="W65" i="31"/>
  <c r="I65" i="31"/>
  <c r="P65" i="31"/>
  <c r="P83" i="29"/>
  <c r="O84" i="29" s="1"/>
  <c r="W83" i="29"/>
  <c r="I327" i="29"/>
  <c r="P327" i="29"/>
  <c r="O328" i="29" s="1"/>
  <c r="I204" i="29"/>
  <c r="P204" i="29"/>
  <c r="O205" i="29" s="1"/>
  <c r="Y83" i="29"/>
  <c r="I83" i="29"/>
  <c r="V205" i="29"/>
  <c r="V84" i="29"/>
  <c r="V328" i="29"/>
  <c r="O66" i="31" l="1"/>
  <c r="H66" i="31"/>
  <c r="V66" i="31"/>
  <c r="Z327" i="29"/>
  <c r="Z83" i="29"/>
  <c r="Z204" i="29"/>
  <c r="H205" i="29"/>
  <c r="H328" i="29"/>
  <c r="H84" i="29"/>
  <c r="AN65" i="31" l="1"/>
  <c r="AC66" i="31"/>
  <c r="AJ66" i="31"/>
  <c r="X328" i="29"/>
  <c r="W328" i="29" s="1"/>
  <c r="X205" i="29"/>
  <c r="W205" i="29" s="1"/>
  <c r="X84" i="29"/>
  <c r="AA83" i="29"/>
  <c r="AB83" i="29" s="1"/>
  <c r="AL66" i="31" l="1"/>
  <c r="AO65" i="31"/>
  <c r="AP65" i="31" s="1"/>
  <c r="R65" i="31"/>
  <c r="K65" i="31"/>
  <c r="D65" i="31"/>
  <c r="AF65" i="31"/>
  <c r="Y65" i="31"/>
  <c r="P328" i="29"/>
  <c r="O329" i="29" s="1"/>
  <c r="I328" i="29"/>
  <c r="P84" i="29"/>
  <c r="W84" i="29"/>
  <c r="I205" i="29"/>
  <c r="P205" i="29"/>
  <c r="O206" i="29" s="1"/>
  <c r="Y84" i="29"/>
  <c r="I84" i="29"/>
  <c r="O85" i="29"/>
  <c r="V206" i="29"/>
  <c r="V85" i="29"/>
  <c r="V329" i="29"/>
  <c r="AK66" i="31" l="1"/>
  <c r="AM66" i="31"/>
  <c r="AD66" i="31"/>
  <c r="W66" i="31"/>
  <c r="P66" i="31"/>
  <c r="I66" i="31"/>
  <c r="Z84" i="29"/>
  <c r="Z205" i="29"/>
  <c r="Z328" i="29"/>
  <c r="H206" i="29"/>
  <c r="H329" i="29"/>
  <c r="H85" i="29"/>
  <c r="V67" i="31" l="1"/>
  <c r="H67" i="31"/>
  <c r="O67" i="31"/>
  <c r="X329" i="29"/>
  <c r="W329" i="29" s="1"/>
  <c r="X206" i="29"/>
  <c r="W206" i="29" s="1"/>
  <c r="X85" i="29"/>
  <c r="AA84" i="29"/>
  <c r="AB84" i="29" s="1"/>
  <c r="AJ67" i="31" l="1"/>
  <c r="AN66" i="31"/>
  <c r="AC67" i="31"/>
  <c r="P85" i="29"/>
  <c r="W85" i="29"/>
  <c r="I206" i="29"/>
  <c r="P206" i="29"/>
  <c r="O207" i="29" s="1"/>
  <c r="I329" i="29"/>
  <c r="P329" i="29"/>
  <c r="O330" i="29" s="1"/>
  <c r="Y85" i="29"/>
  <c r="I85" i="29"/>
  <c r="O86" i="29"/>
  <c r="V86" i="29"/>
  <c r="V207" i="29"/>
  <c r="V330" i="29"/>
  <c r="Y66" i="31" l="1"/>
  <c r="AL67" i="31"/>
  <c r="K66" i="31"/>
  <c r="AO66" i="31"/>
  <c r="AP66" i="31" s="1"/>
  <c r="R66" i="31"/>
  <c r="D66" i="31"/>
  <c r="AF66" i="31"/>
  <c r="Z206" i="29"/>
  <c r="Z85" i="29"/>
  <c r="Z329" i="29"/>
  <c r="H207" i="29"/>
  <c r="H330" i="29"/>
  <c r="H86" i="29"/>
  <c r="AK67" i="31" l="1"/>
  <c r="AM67" i="31"/>
  <c r="AD67" i="31"/>
  <c r="W67" i="31"/>
  <c r="I67" i="31"/>
  <c r="P67" i="31"/>
  <c r="X86" i="29"/>
  <c r="X330" i="29"/>
  <c r="W330" i="29" s="1"/>
  <c r="X207" i="29"/>
  <c r="W207" i="29" s="1"/>
  <c r="AA85" i="29"/>
  <c r="AB85" i="29" s="1"/>
  <c r="O68" i="31" l="1"/>
  <c r="H68" i="31"/>
  <c r="V68" i="31"/>
  <c r="P86" i="29"/>
  <c r="W86" i="29"/>
  <c r="V87" i="29" s="1"/>
  <c r="I207" i="29"/>
  <c r="P207" i="29"/>
  <c r="O208" i="29" s="1"/>
  <c r="I330" i="29"/>
  <c r="P330" i="29"/>
  <c r="O331" i="29" s="1"/>
  <c r="Y86" i="29"/>
  <c r="I86" i="29"/>
  <c r="O87" i="29"/>
  <c r="V208" i="29"/>
  <c r="V331" i="29"/>
  <c r="AN67" i="31" l="1"/>
  <c r="AC68" i="31"/>
  <c r="AJ68" i="31"/>
  <c r="Z207" i="29"/>
  <c r="Z86" i="29"/>
  <c r="Z330" i="29"/>
  <c r="H87" i="29"/>
  <c r="H331" i="29"/>
  <c r="H208" i="29"/>
  <c r="AL68" i="31" l="1"/>
  <c r="AO67" i="31"/>
  <c r="AP67" i="31" s="1"/>
  <c r="K67" i="31"/>
  <c r="D67" i="31"/>
  <c r="R67" i="31"/>
  <c r="AF67" i="31"/>
  <c r="Y67" i="31"/>
  <c r="X331" i="29"/>
  <c r="W331" i="29" s="1"/>
  <c r="X208" i="29"/>
  <c r="W208" i="29" s="1"/>
  <c r="X87" i="29"/>
  <c r="AA86" i="29"/>
  <c r="AB86" i="29" s="1"/>
  <c r="AK68" i="31" l="1"/>
  <c r="AM68" i="31"/>
  <c r="AD68" i="31"/>
  <c r="W68" i="31"/>
  <c r="P68" i="31"/>
  <c r="I68" i="31"/>
  <c r="P87" i="29"/>
  <c r="W87" i="29"/>
  <c r="I208" i="29"/>
  <c r="P208" i="29"/>
  <c r="O209" i="29" s="1"/>
  <c r="I331" i="29"/>
  <c r="P331" i="29"/>
  <c r="O332" i="29" s="1"/>
  <c r="Y87" i="29"/>
  <c r="I87" i="29"/>
  <c r="V88" i="29"/>
  <c r="V332" i="29"/>
  <c r="V209" i="29"/>
  <c r="O88" i="29"/>
  <c r="V69" i="31" l="1"/>
  <c r="H69" i="31"/>
  <c r="O69" i="31"/>
  <c r="Z87" i="29"/>
  <c r="Z208" i="29"/>
  <c r="Z331" i="29"/>
  <c r="H332" i="29"/>
  <c r="H209" i="29"/>
  <c r="H88" i="29"/>
  <c r="AJ69" i="31" l="1"/>
  <c r="AN68" i="31"/>
  <c r="AL69" i="31" s="1"/>
  <c r="AC69" i="31"/>
  <c r="X88" i="29"/>
  <c r="X332" i="29"/>
  <c r="W332" i="29" s="1"/>
  <c r="X209" i="29"/>
  <c r="W209" i="29" s="1"/>
  <c r="AA87" i="29"/>
  <c r="AB87" i="29" s="1"/>
  <c r="AO68" i="31" l="1"/>
  <c r="AP68" i="31" s="1"/>
  <c r="R68" i="31"/>
  <c r="D68" i="31"/>
  <c r="K68" i="31"/>
  <c r="AF68" i="31"/>
  <c r="Y68" i="31"/>
  <c r="P88" i="29"/>
  <c r="W88" i="29"/>
  <c r="I209" i="29"/>
  <c r="P209" i="29"/>
  <c r="O210" i="29" s="1"/>
  <c r="I332" i="29"/>
  <c r="P332" i="29"/>
  <c r="O333" i="29" s="1"/>
  <c r="Y88" i="29"/>
  <c r="I88" i="29"/>
  <c r="O89" i="29"/>
  <c r="V210" i="29"/>
  <c r="V89" i="29"/>
  <c r="V333" i="29"/>
  <c r="AK69" i="31" l="1"/>
  <c r="AM69" i="31"/>
  <c r="AD69" i="31"/>
  <c r="W69" i="31"/>
  <c r="I69" i="31"/>
  <c r="P69" i="31"/>
  <c r="Z209" i="29"/>
  <c r="Z332" i="29"/>
  <c r="Z88" i="29"/>
  <c r="H89" i="29"/>
  <c r="H333" i="29"/>
  <c r="H210" i="29"/>
  <c r="O70" i="31" l="1"/>
  <c r="H70" i="31"/>
  <c r="V70" i="31"/>
  <c r="X210" i="29"/>
  <c r="W210" i="29" s="1"/>
  <c r="X333" i="29"/>
  <c r="W333" i="29" s="1"/>
  <c r="X89" i="29"/>
  <c r="AA88" i="29"/>
  <c r="AB88" i="29" s="1"/>
  <c r="AN69" i="31" l="1"/>
  <c r="AC70" i="31"/>
  <c r="AJ70" i="31"/>
  <c r="P89" i="29"/>
  <c r="W89" i="29"/>
  <c r="I333" i="29"/>
  <c r="P333" i="29"/>
  <c r="O334" i="29" s="1"/>
  <c r="I210" i="29"/>
  <c r="P210" i="29"/>
  <c r="O211" i="29" s="1"/>
  <c r="Y89" i="29"/>
  <c r="I89" i="29"/>
  <c r="O90" i="29"/>
  <c r="V334" i="29"/>
  <c r="V211" i="29"/>
  <c r="V90" i="29"/>
  <c r="Y69" i="31" l="1"/>
  <c r="AL70" i="31"/>
  <c r="AF69" i="31"/>
  <c r="AO69" i="31"/>
  <c r="AP69" i="31" s="1"/>
  <c r="R69" i="31"/>
  <c r="K69" i="31"/>
  <c r="D69" i="31"/>
  <c r="Z210" i="29"/>
  <c r="Z89" i="29"/>
  <c r="Z333" i="29"/>
  <c r="H90" i="29"/>
  <c r="H211" i="29"/>
  <c r="H334" i="29"/>
  <c r="AK70" i="31" l="1"/>
  <c r="AM70" i="31"/>
  <c r="AD70" i="31"/>
  <c r="W70" i="31"/>
  <c r="I70" i="31"/>
  <c r="P70" i="31"/>
  <c r="X334" i="29"/>
  <c r="P334" i="29" s="1"/>
  <c r="X90" i="29"/>
  <c r="X211" i="29"/>
  <c r="W211" i="29" s="1"/>
  <c r="AA89" i="29"/>
  <c r="AB89" i="29" s="1"/>
  <c r="O71" i="31" l="1"/>
  <c r="H71" i="31"/>
  <c r="V71" i="31"/>
  <c r="P90" i="29"/>
  <c r="W90" i="29"/>
  <c r="I334" i="29"/>
  <c r="W334" i="29"/>
  <c r="V335" i="29" s="1"/>
  <c r="I211" i="29"/>
  <c r="P211" i="29"/>
  <c r="O212" i="29" s="1"/>
  <c r="Y90" i="29"/>
  <c r="I90" i="29"/>
  <c r="O91" i="29"/>
  <c r="O335" i="29"/>
  <c r="V91" i="29"/>
  <c r="V212" i="29"/>
  <c r="AN70" i="31" l="1"/>
  <c r="AC71" i="31"/>
  <c r="AJ71" i="31"/>
  <c r="Z211" i="29"/>
  <c r="Z90" i="29"/>
  <c r="Z334" i="29"/>
  <c r="H335" i="29"/>
  <c r="H91" i="29"/>
  <c r="H212" i="29"/>
  <c r="AF70" i="31" l="1"/>
  <c r="AL71" i="31"/>
  <c r="AO70" i="31"/>
  <c r="AP70" i="31" s="1"/>
  <c r="D70" i="31"/>
  <c r="K70" i="31"/>
  <c r="R70" i="31"/>
  <c r="Y70" i="31"/>
  <c r="X212" i="29"/>
  <c r="W212" i="29" s="1"/>
  <c r="X335" i="29"/>
  <c r="W335" i="29" s="1"/>
  <c r="X91" i="29"/>
  <c r="AA90" i="29"/>
  <c r="AB90" i="29" s="1"/>
  <c r="AK71" i="31" l="1"/>
  <c r="AM71" i="31"/>
  <c r="AD71" i="31"/>
  <c r="W71" i="31"/>
  <c r="I71" i="31"/>
  <c r="P71" i="31"/>
  <c r="P91" i="29"/>
  <c r="W91" i="29"/>
  <c r="I335" i="29"/>
  <c r="P335" i="29"/>
  <c r="O336" i="29" s="1"/>
  <c r="I212" i="29"/>
  <c r="P212" i="29"/>
  <c r="O213" i="29" s="1"/>
  <c r="Y91" i="29"/>
  <c r="I91" i="29"/>
  <c r="O92" i="29"/>
  <c r="V336" i="29"/>
  <c r="V92" i="29"/>
  <c r="V213" i="29"/>
  <c r="V72" i="31" l="1"/>
  <c r="O72" i="31"/>
  <c r="H72" i="31"/>
  <c r="Z91" i="29"/>
  <c r="Z335" i="29"/>
  <c r="Z212" i="29"/>
  <c r="H92" i="29"/>
  <c r="H336" i="29"/>
  <c r="H213" i="29"/>
  <c r="AN71" i="31" l="1"/>
  <c r="AC72" i="31"/>
  <c r="AJ72" i="31"/>
  <c r="X213" i="29"/>
  <c r="W213" i="29" s="1"/>
  <c r="X336" i="29"/>
  <c r="W336" i="29" s="1"/>
  <c r="X92" i="29"/>
  <c r="AA91" i="29"/>
  <c r="AB91" i="29" s="1"/>
  <c r="Y71" i="31" l="1"/>
  <c r="AL72" i="31"/>
  <c r="AF71" i="31"/>
  <c r="D71" i="31"/>
  <c r="AO71" i="31"/>
  <c r="AP71" i="31" s="1"/>
  <c r="R71" i="31"/>
  <c r="K71" i="31"/>
  <c r="P92" i="29"/>
  <c r="O93" i="29" s="1"/>
  <c r="W92" i="29"/>
  <c r="I336" i="29"/>
  <c r="P336" i="29"/>
  <c r="O337" i="29" s="1"/>
  <c r="I213" i="29"/>
  <c r="P213" i="29"/>
  <c r="O214" i="29" s="1"/>
  <c r="Y92" i="29"/>
  <c r="I92" i="29"/>
  <c r="V337" i="29"/>
  <c r="V93" i="29"/>
  <c r="V214" i="29"/>
  <c r="AK72" i="31" l="1"/>
  <c r="AM72" i="31"/>
  <c r="AD72" i="31"/>
  <c r="W72" i="31"/>
  <c r="P72" i="31"/>
  <c r="I72" i="31"/>
  <c r="Z92" i="29"/>
  <c r="Z336" i="29"/>
  <c r="Z213" i="29"/>
  <c r="H93" i="29"/>
  <c r="H337" i="29"/>
  <c r="H214" i="29"/>
  <c r="H73" i="31" l="1"/>
  <c r="O73" i="31"/>
  <c r="V73" i="31"/>
  <c r="X214" i="29"/>
  <c r="W214" i="29" s="1"/>
  <c r="X337" i="29"/>
  <c r="W337" i="29" s="1"/>
  <c r="X93" i="29"/>
  <c r="W93" i="29" s="1"/>
  <c r="AA92" i="29"/>
  <c r="AB92" i="29" s="1"/>
  <c r="AJ73" i="31" l="1"/>
  <c r="AN72" i="31"/>
  <c r="AC73" i="31"/>
  <c r="P214" i="29"/>
  <c r="O215" i="29" s="1"/>
  <c r="I214" i="29"/>
  <c r="I337" i="29"/>
  <c r="P337" i="29"/>
  <c r="O338" i="29" s="1"/>
  <c r="I93" i="29"/>
  <c r="P93" i="29"/>
  <c r="O94" i="29" s="1"/>
  <c r="V94" i="29"/>
  <c r="V215" i="29"/>
  <c r="V338" i="29"/>
  <c r="AF72" i="31" l="1"/>
  <c r="AL73" i="31"/>
  <c r="Y72" i="31"/>
  <c r="D72" i="31"/>
  <c r="AO72" i="31"/>
  <c r="AP72" i="31" s="1"/>
  <c r="K72" i="31"/>
  <c r="R72" i="31"/>
  <c r="Y93" i="29"/>
  <c r="Z214" i="29"/>
  <c r="Z93" i="29"/>
  <c r="Z337" i="29"/>
  <c r="H215" i="29"/>
  <c r="H94" i="29"/>
  <c r="H338" i="29"/>
  <c r="AK73" i="31" l="1"/>
  <c r="AM73" i="31"/>
  <c r="AD73" i="31"/>
  <c r="W73" i="31"/>
  <c r="I73" i="31"/>
  <c r="P73" i="31"/>
  <c r="X94" i="29"/>
  <c r="W94" i="29" s="1"/>
  <c r="X338" i="29"/>
  <c r="W338" i="29" s="1"/>
  <c r="X215" i="29"/>
  <c r="W215" i="29" s="1"/>
  <c r="AA93" i="29"/>
  <c r="AB93" i="29" s="1"/>
  <c r="O74" i="31" l="1"/>
  <c r="H74" i="31"/>
  <c r="V74" i="31"/>
  <c r="I94" i="29"/>
  <c r="I215" i="29"/>
  <c r="P215" i="29"/>
  <c r="O216" i="29" s="1"/>
  <c r="I338" i="29"/>
  <c r="P338" i="29"/>
  <c r="O339" i="29" s="1"/>
  <c r="Y94" i="29"/>
  <c r="P94" i="29"/>
  <c r="O95" i="29" s="1"/>
  <c r="V216" i="29"/>
  <c r="V95" i="29"/>
  <c r="V339" i="29"/>
  <c r="AN73" i="31" l="1"/>
  <c r="AC74" i="31"/>
  <c r="AJ74" i="31"/>
  <c r="Z94" i="29"/>
  <c r="Z215" i="29"/>
  <c r="Z338" i="29"/>
  <c r="H95" i="29"/>
  <c r="H339" i="29"/>
  <c r="H216" i="29"/>
  <c r="X216" i="29" s="1"/>
  <c r="W216" i="29" s="1"/>
  <c r="Y73" i="31" l="1"/>
  <c r="AL74" i="31"/>
  <c r="AF73" i="31"/>
  <c r="AO73" i="31"/>
  <c r="AP73" i="31" s="1"/>
  <c r="K73" i="31"/>
  <c r="D73" i="31"/>
  <c r="R73" i="31"/>
  <c r="I216" i="29"/>
  <c r="P216" i="29"/>
  <c r="X339" i="29"/>
  <c r="W339" i="29" s="1"/>
  <c r="X95" i="29"/>
  <c r="AA94" i="29"/>
  <c r="AB94" i="29" s="1"/>
  <c r="AK74" i="31" l="1"/>
  <c r="AM74" i="31"/>
  <c r="AD74" i="31"/>
  <c r="W74" i="31"/>
  <c r="I74" i="31"/>
  <c r="P74" i="31"/>
  <c r="P95" i="29"/>
  <c r="W95" i="29"/>
  <c r="I339" i="29"/>
  <c r="P339" i="29"/>
  <c r="O340" i="29" s="1"/>
  <c r="Y95" i="29"/>
  <c r="I95" i="29"/>
  <c r="O96" i="29"/>
  <c r="O217" i="29"/>
  <c r="V96" i="29"/>
  <c r="V340" i="29"/>
  <c r="V217" i="29"/>
  <c r="O75" i="31" l="1"/>
  <c r="H75" i="31"/>
  <c r="V75" i="31"/>
  <c r="Z339" i="29"/>
  <c r="Z95" i="29"/>
  <c r="Z216" i="29"/>
  <c r="H217" i="29"/>
  <c r="H96" i="29"/>
  <c r="H340" i="29"/>
  <c r="AN74" i="31" l="1"/>
  <c r="AC75" i="31"/>
  <c r="AJ75" i="31"/>
  <c r="X340" i="29"/>
  <c r="W340" i="29" s="1"/>
  <c r="X96" i="29"/>
  <c r="X217" i="29"/>
  <c r="W217" i="29" s="1"/>
  <c r="AA95" i="29"/>
  <c r="AB95" i="29" s="1"/>
  <c r="Y74" i="31" l="1"/>
  <c r="AL75" i="31"/>
  <c r="AF74" i="31"/>
  <c r="K74" i="31"/>
  <c r="AO74" i="31"/>
  <c r="AP74" i="31" s="1"/>
  <c r="D74" i="31"/>
  <c r="R74" i="31"/>
  <c r="P340" i="29"/>
  <c r="I340" i="29"/>
  <c r="P96" i="29"/>
  <c r="W96" i="29"/>
  <c r="I217" i="29"/>
  <c r="P217" i="29"/>
  <c r="O218" i="29" s="1"/>
  <c r="Y96" i="29"/>
  <c r="I96" i="29"/>
  <c r="O97" i="29"/>
  <c r="O341" i="29"/>
  <c r="V218" i="29"/>
  <c r="V97" i="29"/>
  <c r="V341" i="29"/>
  <c r="AK75" i="31" l="1"/>
  <c r="AD75" i="31"/>
  <c r="W75" i="31"/>
  <c r="I75" i="31"/>
  <c r="P75" i="31"/>
  <c r="Z217" i="29"/>
  <c r="Z340" i="29"/>
  <c r="Z96" i="29"/>
  <c r="H218" i="29"/>
  <c r="H97" i="29"/>
  <c r="H341" i="29"/>
  <c r="AM75" i="31" l="1"/>
  <c r="O76" i="31"/>
  <c r="H76" i="31"/>
  <c r="V76" i="31"/>
  <c r="X341" i="29"/>
  <c r="W341" i="29" s="1"/>
  <c r="X97" i="29"/>
  <c r="X218" i="29"/>
  <c r="W218" i="29" s="1"/>
  <c r="AA96" i="29"/>
  <c r="AB96" i="29" s="1"/>
  <c r="AN75" i="31" l="1"/>
  <c r="AC76" i="31"/>
  <c r="AJ76" i="31"/>
  <c r="P341" i="29"/>
  <c r="I341" i="29"/>
  <c r="P97" i="29"/>
  <c r="W97" i="29"/>
  <c r="I218" i="29"/>
  <c r="P218" i="29"/>
  <c r="O219" i="29" s="1"/>
  <c r="Y97" i="29"/>
  <c r="I97" i="29"/>
  <c r="O342" i="29"/>
  <c r="O98" i="29"/>
  <c r="V342" i="29"/>
  <c r="V219" i="29"/>
  <c r="V98" i="29"/>
  <c r="Y75" i="31" l="1"/>
  <c r="AL76" i="31"/>
  <c r="AF75" i="31"/>
  <c r="K75" i="31"/>
  <c r="AO75" i="31"/>
  <c r="AP75" i="31" s="1"/>
  <c r="D75" i="31"/>
  <c r="R75" i="31"/>
  <c r="Z341" i="29"/>
  <c r="Z97" i="29"/>
  <c r="Z218" i="29"/>
  <c r="H219" i="29"/>
  <c r="H98" i="29"/>
  <c r="X98" i="29"/>
  <c r="H342" i="29"/>
  <c r="AK76" i="31" l="1"/>
  <c r="AM76" i="31"/>
  <c r="AD76" i="31"/>
  <c r="W76" i="31"/>
  <c r="P76" i="31"/>
  <c r="I76" i="31"/>
  <c r="P98" i="29"/>
  <c r="W98" i="29"/>
  <c r="Y98" i="29"/>
  <c r="I98" i="29"/>
  <c r="X342" i="29"/>
  <c r="W342" i="29" s="1"/>
  <c r="X219" i="29"/>
  <c r="W219" i="29" s="1"/>
  <c r="AA97" i="29"/>
  <c r="AB97" i="29" s="1"/>
  <c r="H77" i="31" l="1"/>
  <c r="O77" i="31"/>
  <c r="V77" i="31"/>
  <c r="I342" i="29"/>
  <c r="P342" i="29"/>
  <c r="O343" i="29" s="1"/>
  <c r="I219" i="29"/>
  <c r="P219" i="29"/>
  <c r="O220" i="29" s="1"/>
  <c r="O99" i="29"/>
  <c r="V343" i="29"/>
  <c r="V220" i="29"/>
  <c r="V99" i="29"/>
  <c r="AJ77" i="31" l="1"/>
  <c r="AN76" i="31"/>
  <c r="AL77" i="31" s="1"/>
  <c r="AC77" i="31"/>
  <c r="Z342" i="29"/>
  <c r="Z98" i="29"/>
  <c r="Z219" i="29"/>
  <c r="H220" i="29"/>
  <c r="H99" i="29"/>
  <c r="H343" i="29"/>
  <c r="D76" i="31" l="1"/>
  <c r="AO76" i="31"/>
  <c r="AP76" i="31" s="1"/>
  <c r="K76" i="31"/>
  <c r="R76" i="31"/>
  <c r="AF76" i="31"/>
  <c r="Y76" i="31"/>
  <c r="X99" i="29"/>
  <c r="X343" i="29"/>
  <c r="W343" i="29" s="1"/>
  <c r="X220" i="29"/>
  <c r="W220" i="29" s="1"/>
  <c r="AA98" i="29"/>
  <c r="AB98" i="29" s="1"/>
  <c r="AK77" i="31" l="1"/>
  <c r="AM77" i="31"/>
  <c r="AD77" i="31"/>
  <c r="W77" i="31"/>
  <c r="V78" i="31" s="1"/>
  <c r="I77" i="31"/>
  <c r="P77" i="31"/>
  <c r="P99" i="29"/>
  <c r="W99" i="29"/>
  <c r="I220" i="29"/>
  <c r="P220" i="29"/>
  <c r="O221" i="29" s="1"/>
  <c r="I343" i="29"/>
  <c r="P343" i="29"/>
  <c r="O344" i="29" s="1"/>
  <c r="Y99" i="29"/>
  <c r="I99" i="29"/>
  <c r="O100" i="29"/>
  <c r="V221" i="29"/>
  <c r="V100" i="29"/>
  <c r="V344" i="29"/>
  <c r="O78" i="31" l="1"/>
  <c r="H78" i="31"/>
  <c r="Z343" i="29"/>
  <c r="Z220" i="29"/>
  <c r="Z99" i="29"/>
  <c r="H344" i="29"/>
  <c r="H221" i="29"/>
  <c r="H100" i="29"/>
  <c r="AN77" i="31" l="1"/>
  <c r="AC78" i="31"/>
  <c r="AJ78" i="31"/>
  <c r="X344" i="29"/>
  <c r="W344" i="29" s="1"/>
  <c r="X100" i="29"/>
  <c r="X221" i="29"/>
  <c r="W221" i="29" s="1"/>
  <c r="AA99" i="29"/>
  <c r="AB99" i="29" s="1"/>
  <c r="Y77" i="31" l="1"/>
  <c r="AL78" i="31"/>
  <c r="AF77" i="31"/>
  <c r="R77" i="31"/>
  <c r="AO77" i="31"/>
  <c r="AP77" i="31" s="1"/>
  <c r="D77" i="31"/>
  <c r="K77" i="31"/>
  <c r="P100" i="29"/>
  <c r="O101" i="29" s="1"/>
  <c r="W100" i="29"/>
  <c r="I221" i="29"/>
  <c r="P221" i="29"/>
  <c r="O222" i="29" s="1"/>
  <c r="I344" i="29"/>
  <c r="P344" i="29"/>
  <c r="O345" i="29" s="1"/>
  <c r="Y100" i="29"/>
  <c r="I100" i="29"/>
  <c r="V222" i="29"/>
  <c r="V101" i="29"/>
  <c r="V345" i="29"/>
  <c r="AK78" i="31" l="1"/>
  <c r="AM78" i="31"/>
  <c r="AD78" i="31"/>
  <c r="W78" i="31"/>
  <c r="P78" i="31"/>
  <c r="I78" i="31"/>
  <c r="Z344" i="29"/>
  <c r="Z221" i="29"/>
  <c r="Z100" i="29"/>
  <c r="H222" i="29"/>
  <c r="H345" i="29"/>
  <c r="H101" i="29"/>
  <c r="H79" i="31" l="1"/>
  <c r="O79" i="31"/>
  <c r="V79" i="31"/>
  <c r="X101" i="29"/>
  <c r="X345" i="29"/>
  <c r="W345" i="29" s="1"/>
  <c r="X222" i="29"/>
  <c r="W222" i="29" s="1"/>
  <c r="AA100" i="29"/>
  <c r="AB100" i="29" s="1"/>
  <c r="AJ79" i="31" l="1"/>
  <c r="AN78" i="31"/>
  <c r="AC79" i="31"/>
  <c r="P101" i="29"/>
  <c r="W101" i="29"/>
  <c r="I222" i="29"/>
  <c r="P222" i="29"/>
  <c r="O223" i="29" s="1"/>
  <c r="I345" i="29"/>
  <c r="P345" i="29"/>
  <c r="O346" i="29" s="1"/>
  <c r="Y101" i="29"/>
  <c r="I101" i="29"/>
  <c r="O102" i="29"/>
  <c r="V223" i="29"/>
  <c r="V102" i="29"/>
  <c r="V346" i="29"/>
  <c r="Y78" i="31" l="1"/>
  <c r="AL79" i="31"/>
  <c r="AO78" i="31"/>
  <c r="AP78" i="31" s="1"/>
  <c r="D78" i="31"/>
  <c r="K78" i="31"/>
  <c r="R78" i="31"/>
  <c r="AF78" i="31"/>
  <c r="Z345" i="29"/>
  <c r="Z222" i="29"/>
  <c r="Z101" i="29"/>
  <c r="H223" i="29"/>
  <c r="H346" i="29"/>
  <c r="H102" i="29"/>
  <c r="AK79" i="31" l="1"/>
  <c r="AM79" i="31"/>
  <c r="AD79" i="31"/>
  <c r="W79" i="31"/>
  <c r="I79" i="31"/>
  <c r="P79" i="31"/>
  <c r="X223" i="29"/>
  <c r="W223" i="29" s="1"/>
  <c r="X102" i="29"/>
  <c r="X346" i="29"/>
  <c r="W346" i="29" s="1"/>
  <c r="AA101" i="29"/>
  <c r="AB101" i="29" s="1"/>
  <c r="O80" i="31" l="1"/>
  <c r="H80" i="31"/>
  <c r="V80" i="31"/>
  <c r="P102" i="29"/>
  <c r="W102" i="29"/>
  <c r="I346" i="29"/>
  <c r="P346" i="29"/>
  <c r="O347" i="29" s="1"/>
  <c r="I223" i="29"/>
  <c r="P223" i="29"/>
  <c r="O224" i="29" s="1"/>
  <c r="Y102" i="29"/>
  <c r="I102" i="29"/>
  <c r="O103" i="29"/>
  <c r="V224" i="29"/>
  <c r="V347" i="29"/>
  <c r="V103" i="29"/>
  <c r="AN79" i="31" l="1"/>
  <c r="AC80" i="31"/>
  <c r="AJ80" i="31"/>
  <c r="Z223" i="29"/>
  <c r="Z102" i="29"/>
  <c r="Z346" i="29"/>
  <c r="H103" i="29"/>
  <c r="H347" i="29"/>
  <c r="H224" i="29"/>
  <c r="Y79" i="31" l="1"/>
  <c r="AL80" i="31"/>
  <c r="AF79" i="31"/>
  <c r="K79" i="31"/>
  <c r="AO79" i="31"/>
  <c r="AP79" i="31" s="1"/>
  <c r="D79" i="31"/>
  <c r="R79" i="31"/>
  <c r="X224" i="29"/>
  <c r="W224" i="29" s="1"/>
  <c r="X347" i="29"/>
  <c r="W347" i="29" s="1"/>
  <c r="X103" i="29"/>
  <c r="AA102" i="29"/>
  <c r="AB102" i="29" s="1"/>
  <c r="AK80" i="31" l="1"/>
  <c r="AM80" i="31"/>
  <c r="AD80" i="31"/>
  <c r="W80" i="31"/>
  <c r="P80" i="31"/>
  <c r="I80" i="31"/>
  <c r="P224" i="29"/>
  <c r="O225" i="29" s="1"/>
  <c r="I224" i="29"/>
  <c r="P103" i="29"/>
  <c r="O104" i="29" s="1"/>
  <c r="W103" i="29"/>
  <c r="I347" i="29"/>
  <c r="P347" i="29"/>
  <c r="O348" i="29" s="1"/>
  <c r="Y103" i="29"/>
  <c r="I103" i="29"/>
  <c r="V104" i="29"/>
  <c r="V348" i="29"/>
  <c r="V225" i="29"/>
  <c r="H81" i="31" l="1"/>
  <c r="O81" i="31"/>
  <c r="V81" i="31"/>
  <c r="Z347" i="29"/>
  <c r="Z224" i="29"/>
  <c r="Z103" i="29"/>
  <c r="H348" i="29"/>
  <c r="H104" i="29"/>
  <c r="H225" i="29"/>
  <c r="AJ81" i="31" l="1"/>
  <c r="AN80" i="31"/>
  <c r="AC81" i="31"/>
  <c r="X225" i="29"/>
  <c r="W225" i="29" s="1"/>
  <c r="X348" i="29"/>
  <c r="W348" i="29" s="1"/>
  <c r="X104" i="29"/>
  <c r="AA103" i="29"/>
  <c r="AB103" i="29" s="1"/>
  <c r="Y80" i="31" l="1"/>
  <c r="AL81" i="31"/>
  <c r="D80" i="31"/>
  <c r="AO80" i="31"/>
  <c r="AP80" i="31" s="1"/>
  <c r="K80" i="31"/>
  <c r="R80" i="31"/>
  <c r="AF80" i="31"/>
  <c r="I225" i="29"/>
  <c r="P348" i="29"/>
  <c r="O349" i="29" s="1"/>
  <c r="P225" i="29"/>
  <c r="O226" i="29" s="1"/>
  <c r="I348" i="29"/>
  <c r="P104" i="29"/>
  <c r="W104" i="29"/>
  <c r="V105" i="29" s="1"/>
  <c r="Y104" i="29"/>
  <c r="I104" i="29"/>
  <c r="O105" i="29"/>
  <c r="V349" i="29"/>
  <c r="V226" i="29"/>
  <c r="AK81" i="31" l="1"/>
  <c r="AM81" i="31"/>
  <c r="AD81" i="31"/>
  <c r="W81" i="31"/>
  <c r="P81" i="31"/>
  <c r="I81" i="31"/>
  <c r="Z104" i="29"/>
  <c r="Z348" i="29"/>
  <c r="Z225" i="29"/>
  <c r="H105" i="29"/>
  <c r="H349" i="29"/>
  <c r="H226" i="29"/>
  <c r="H82" i="31" l="1"/>
  <c r="O82" i="31"/>
  <c r="V82" i="31"/>
  <c r="X226" i="29"/>
  <c r="W226" i="29" s="1"/>
  <c r="X349" i="29"/>
  <c r="W349" i="29" s="1"/>
  <c r="X105" i="29"/>
  <c r="AA104" i="29"/>
  <c r="AB104" i="29" s="1"/>
  <c r="AJ82" i="31" l="1"/>
  <c r="AN81" i="31"/>
  <c r="AC82" i="31"/>
  <c r="P105" i="29"/>
  <c r="W105" i="29"/>
  <c r="V106" i="29" s="1"/>
  <c r="I349" i="29"/>
  <c r="P349" i="29"/>
  <c r="O350" i="29" s="1"/>
  <c r="I226" i="29"/>
  <c r="P226" i="29"/>
  <c r="O227" i="29" s="1"/>
  <c r="Y105" i="29"/>
  <c r="I105" i="29"/>
  <c r="O106" i="29"/>
  <c r="V227" i="29"/>
  <c r="V350" i="29"/>
  <c r="Y81" i="31" l="1"/>
  <c r="AL82" i="31"/>
  <c r="AO81" i="31"/>
  <c r="AP81" i="31" s="1"/>
  <c r="D81" i="31"/>
  <c r="K81" i="31"/>
  <c r="R81" i="31"/>
  <c r="AF81" i="31"/>
  <c r="Z226" i="29"/>
  <c r="Z105" i="29"/>
  <c r="Z349" i="29"/>
  <c r="H350" i="29"/>
  <c r="H106" i="29"/>
  <c r="H227" i="29"/>
  <c r="AK82" i="31" l="1"/>
  <c r="AM82" i="31"/>
  <c r="AD82" i="31"/>
  <c r="W82" i="31"/>
  <c r="I82" i="31"/>
  <c r="P82" i="31"/>
  <c r="X227" i="29"/>
  <c r="W227" i="29" s="1"/>
  <c r="X350" i="29"/>
  <c r="W350" i="29" s="1"/>
  <c r="X106" i="29"/>
  <c r="AA105" i="29"/>
  <c r="AB105" i="29" s="1"/>
  <c r="O83" i="31" l="1"/>
  <c r="H83" i="31"/>
  <c r="V83" i="31"/>
  <c r="P106" i="29"/>
  <c r="W106" i="29"/>
  <c r="I350" i="29"/>
  <c r="P350" i="29"/>
  <c r="O351" i="29" s="1"/>
  <c r="I227" i="29"/>
  <c r="P227" i="29"/>
  <c r="O228" i="29" s="1"/>
  <c r="Y106" i="29"/>
  <c r="I106" i="29"/>
  <c r="O107" i="29"/>
  <c r="V107" i="29"/>
  <c r="V351" i="29"/>
  <c r="V228" i="29"/>
  <c r="AN82" i="31" l="1"/>
  <c r="AC83" i="31"/>
  <c r="AJ83" i="31"/>
  <c r="Z350" i="29"/>
  <c r="Z106" i="29"/>
  <c r="Z227" i="29"/>
  <c r="H107" i="29"/>
  <c r="H351" i="29"/>
  <c r="H228" i="29"/>
  <c r="AF82" i="31" l="1"/>
  <c r="AL83" i="31"/>
  <c r="Y82" i="31"/>
  <c r="AO82" i="31"/>
  <c r="AP82" i="31" s="1"/>
  <c r="K82" i="31"/>
  <c r="D82" i="31"/>
  <c r="R82" i="31"/>
  <c r="X351" i="29"/>
  <c r="W351" i="29" s="1"/>
  <c r="X107" i="29"/>
  <c r="X228" i="29"/>
  <c r="W228" i="29" s="1"/>
  <c r="AA106" i="29"/>
  <c r="AB106" i="29" s="1"/>
  <c r="AK83" i="31" l="1"/>
  <c r="AM83" i="31"/>
  <c r="AD83" i="31"/>
  <c r="W83" i="31"/>
  <c r="P83" i="31"/>
  <c r="I83" i="31"/>
  <c r="P351" i="29"/>
  <c r="O352" i="29" s="1"/>
  <c r="I351" i="29"/>
  <c r="P107" i="29"/>
  <c r="W107" i="29"/>
  <c r="V108" i="29" s="1"/>
  <c r="I228" i="29"/>
  <c r="P228" i="29"/>
  <c r="O229" i="29" s="1"/>
  <c r="Y107" i="29"/>
  <c r="I107" i="29"/>
  <c r="O108" i="29"/>
  <c r="V352" i="29"/>
  <c r="V229" i="29"/>
  <c r="H84" i="31" l="1"/>
  <c r="O84" i="31"/>
  <c r="V84" i="31"/>
  <c r="Z228" i="29"/>
  <c r="Z351" i="29"/>
  <c r="Z107" i="29"/>
  <c r="H229" i="29"/>
  <c r="H108" i="29"/>
  <c r="H352" i="29"/>
  <c r="AJ84" i="31" l="1"/>
  <c r="AN83" i="31"/>
  <c r="AC84" i="31"/>
  <c r="X229" i="29"/>
  <c r="W229" i="29" s="1"/>
  <c r="X108" i="29"/>
  <c r="W108" i="29" s="1"/>
  <c r="X352" i="29"/>
  <c r="W352" i="29" s="1"/>
  <c r="AA107" i="29"/>
  <c r="AB107" i="29" s="1"/>
  <c r="Y83" i="31" l="1"/>
  <c r="AL84" i="31"/>
  <c r="AO83" i="31"/>
  <c r="AP83" i="31" s="1"/>
  <c r="K83" i="31"/>
  <c r="D83" i="31"/>
  <c r="R83" i="31"/>
  <c r="AF83" i="31"/>
  <c r="I229" i="29"/>
  <c r="P229" i="29"/>
  <c r="O230" i="29" s="1"/>
  <c r="Y108" i="29"/>
  <c r="P108" i="29"/>
  <c r="I352" i="29"/>
  <c r="P352" i="29"/>
  <c r="O353" i="29" s="1"/>
  <c r="I108" i="29"/>
  <c r="O109" i="29"/>
  <c r="V353" i="29"/>
  <c r="V109" i="29"/>
  <c r="V230" i="29"/>
  <c r="AK84" i="31" l="1"/>
  <c r="AM84" i="31"/>
  <c r="AD84" i="31"/>
  <c r="W84" i="31"/>
  <c r="P84" i="31"/>
  <c r="I84" i="31"/>
  <c r="Z352" i="29"/>
  <c r="Z229" i="29"/>
  <c r="Z108" i="29"/>
  <c r="H230" i="29"/>
  <c r="H109" i="29"/>
  <c r="H353" i="29"/>
  <c r="H85" i="31" l="1"/>
  <c r="O85" i="31"/>
  <c r="V85" i="31"/>
  <c r="X230" i="29"/>
  <c r="W230" i="29" s="1"/>
  <c r="X353" i="29"/>
  <c r="W353" i="29" s="1"/>
  <c r="X109" i="29"/>
  <c r="AA108" i="29"/>
  <c r="AB108" i="29" s="1"/>
  <c r="AJ85" i="31" l="1"/>
  <c r="AN84" i="31"/>
  <c r="AC85" i="31"/>
  <c r="P109" i="29"/>
  <c r="W109" i="29"/>
  <c r="I353" i="29"/>
  <c r="P353" i="29"/>
  <c r="O354" i="29" s="1"/>
  <c r="I230" i="29"/>
  <c r="P230" i="29"/>
  <c r="O231" i="29" s="1"/>
  <c r="Y109" i="29"/>
  <c r="I109" i="29"/>
  <c r="O110" i="29"/>
  <c r="V231" i="29"/>
  <c r="V354" i="29"/>
  <c r="V110" i="29"/>
  <c r="Y84" i="31" l="1"/>
  <c r="AL85" i="31"/>
  <c r="D84" i="31"/>
  <c r="AO84" i="31"/>
  <c r="AP84" i="31" s="1"/>
  <c r="K84" i="31"/>
  <c r="R84" i="31"/>
  <c r="AF84" i="31"/>
  <c r="Z353" i="29"/>
  <c r="Z109" i="29"/>
  <c r="Z230" i="29"/>
  <c r="H231" i="29"/>
  <c r="H354" i="29"/>
  <c r="H110" i="29"/>
  <c r="X110" i="29" s="1"/>
  <c r="AK85" i="31" l="1"/>
  <c r="AM85" i="31"/>
  <c r="AD85" i="31"/>
  <c r="W85" i="31"/>
  <c r="I85" i="31"/>
  <c r="P85" i="31"/>
  <c r="X354" i="29"/>
  <c r="W354" i="29" s="1"/>
  <c r="P110" i="29"/>
  <c r="W110" i="29"/>
  <c r="Y110" i="29"/>
  <c r="I110" i="29"/>
  <c r="X231" i="29"/>
  <c r="W231" i="29" s="1"/>
  <c r="AA109" i="29"/>
  <c r="AB109" i="29" s="1"/>
  <c r="O86" i="31" l="1"/>
  <c r="H86" i="31"/>
  <c r="V86" i="31"/>
  <c r="P354" i="29"/>
  <c r="O355" i="29" s="1"/>
  <c r="I354" i="29"/>
  <c r="I231" i="29"/>
  <c r="P231" i="29"/>
  <c r="O232" i="29" s="1"/>
  <c r="O111" i="29"/>
  <c r="V232" i="29"/>
  <c r="V355" i="29"/>
  <c r="V111" i="29"/>
  <c r="AN85" i="31" l="1"/>
  <c r="AC86" i="31"/>
  <c r="AJ86" i="31"/>
  <c r="Z231" i="29"/>
  <c r="Z110" i="29"/>
  <c r="Z354" i="29"/>
  <c r="H355" i="29"/>
  <c r="H111" i="29"/>
  <c r="H232" i="29"/>
  <c r="AF85" i="31" l="1"/>
  <c r="AL86" i="31"/>
  <c r="Y85" i="31"/>
  <c r="K85" i="31"/>
  <c r="AO85" i="31"/>
  <c r="AP85" i="31" s="1"/>
  <c r="D85" i="31"/>
  <c r="R85" i="31"/>
  <c r="X232" i="29"/>
  <c r="W232" i="29" s="1"/>
  <c r="X355" i="29"/>
  <c r="W355" i="29" s="1"/>
  <c r="X111" i="29"/>
  <c r="AA110" i="29"/>
  <c r="AB110" i="29" s="1"/>
  <c r="AK86" i="31" l="1"/>
  <c r="AM86" i="31"/>
  <c r="AD86" i="31"/>
  <c r="W86" i="31"/>
  <c r="V87" i="31" s="1"/>
  <c r="I86" i="31"/>
  <c r="P86" i="31"/>
  <c r="I232" i="29"/>
  <c r="P232" i="29"/>
  <c r="O233" i="29" s="1"/>
  <c r="P111" i="29"/>
  <c r="W111" i="29"/>
  <c r="V112" i="29" s="1"/>
  <c r="I355" i="29"/>
  <c r="P355" i="29"/>
  <c r="O356" i="29" s="1"/>
  <c r="Y111" i="29"/>
  <c r="I111" i="29"/>
  <c r="O112" i="29"/>
  <c r="V233" i="29"/>
  <c r="V356" i="29"/>
  <c r="O87" i="31" l="1"/>
  <c r="H87" i="31"/>
  <c r="Z232" i="29"/>
  <c r="Z355" i="29"/>
  <c r="Z111" i="29"/>
  <c r="H112" i="29"/>
  <c r="H233" i="29"/>
  <c r="H356" i="29"/>
  <c r="AN86" i="31" l="1"/>
  <c r="AC87" i="31"/>
  <c r="AJ87" i="31"/>
  <c r="X356" i="29"/>
  <c r="W356" i="29" s="1"/>
  <c r="X233" i="29"/>
  <c r="W233" i="29" s="1"/>
  <c r="X112" i="29"/>
  <c r="AA111" i="29"/>
  <c r="AB111" i="29" s="1"/>
  <c r="Y86" i="31" l="1"/>
  <c r="AL87" i="31"/>
  <c r="AF86" i="31"/>
  <c r="R86" i="31"/>
  <c r="AO86" i="31"/>
  <c r="AP86" i="31" s="1"/>
  <c r="D86" i="31"/>
  <c r="K86" i="31"/>
  <c r="P356" i="29"/>
  <c r="O357" i="29" s="1"/>
  <c r="I356" i="29"/>
  <c r="P112" i="29"/>
  <c r="W112" i="29"/>
  <c r="I233" i="29"/>
  <c r="P233" i="29"/>
  <c r="O234" i="29" s="1"/>
  <c r="Y112" i="29"/>
  <c r="I112" i="29"/>
  <c r="O113" i="29"/>
  <c r="V357" i="29"/>
  <c r="V113" i="29"/>
  <c r="V234" i="29"/>
  <c r="AK87" i="31" l="1"/>
  <c r="AM87" i="31"/>
  <c r="AD87" i="31"/>
  <c r="W87" i="31"/>
  <c r="I87" i="31"/>
  <c r="P87" i="31"/>
  <c r="Z112" i="29"/>
  <c r="Z356" i="29"/>
  <c r="Z233" i="29"/>
  <c r="H113" i="29"/>
  <c r="H234" i="29"/>
  <c r="H357" i="29"/>
  <c r="O88" i="31" l="1"/>
  <c r="H88" i="31"/>
  <c r="V88" i="31"/>
  <c r="X357" i="29"/>
  <c r="W357" i="29" s="1"/>
  <c r="X113" i="29"/>
  <c r="W113" i="29" s="1"/>
  <c r="X234" i="29"/>
  <c r="W234" i="29" s="1"/>
  <c r="AA112" i="29"/>
  <c r="AB112" i="29" s="1"/>
  <c r="AJ88" i="31" l="1"/>
  <c r="AN87" i="31"/>
  <c r="AC88" i="31"/>
  <c r="P357" i="29"/>
  <c r="O358" i="29" s="1"/>
  <c r="I357" i="29"/>
  <c r="Y113" i="29"/>
  <c r="P113" i="29"/>
  <c r="I234" i="29"/>
  <c r="P234" i="29"/>
  <c r="O235" i="29" s="1"/>
  <c r="I113" i="29"/>
  <c r="O114" i="29"/>
  <c r="V235" i="29"/>
  <c r="V114" i="29"/>
  <c r="V358" i="29"/>
  <c r="AL88" i="31" l="1"/>
  <c r="Y87" i="31"/>
  <c r="AO87" i="31"/>
  <c r="AP87" i="31" s="1"/>
  <c r="K87" i="31"/>
  <c r="D87" i="31"/>
  <c r="R87" i="31"/>
  <c r="AF87" i="31"/>
  <c r="Z113" i="29"/>
  <c r="Z234" i="29"/>
  <c r="Z357" i="29"/>
  <c r="H114" i="29"/>
  <c r="H235" i="29"/>
  <c r="X235" i="29" s="1"/>
  <c r="W235" i="29" s="1"/>
  <c r="H358" i="29"/>
  <c r="X358" i="29" s="1"/>
  <c r="W358" i="29" s="1"/>
  <c r="AK88" i="31" l="1"/>
  <c r="AM88" i="31"/>
  <c r="AD88" i="31"/>
  <c r="W88" i="31"/>
  <c r="I88" i="31"/>
  <c r="P88" i="31"/>
  <c r="I358" i="29"/>
  <c r="P358" i="29"/>
  <c r="I235" i="29"/>
  <c r="P235" i="29"/>
  <c r="X114" i="29"/>
  <c r="AA113" i="29"/>
  <c r="AB113" i="29" s="1"/>
  <c r="O89" i="31" l="1"/>
  <c r="H89" i="31"/>
  <c r="V89" i="31"/>
  <c r="P114" i="29"/>
  <c r="O115" i="29" s="1"/>
  <c r="W114" i="29"/>
  <c r="Y114" i="29"/>
  <c r="I114" i="29"/>
  <c r="O359" i="29"/>
  <c r="O236" i="29"/>
  <c r="V236" i="29"/>
  <c r="V359" i="29"/>
  <c r="V115" i="29"/>
  <c r="AN88" i="31" l="1"/>
  <c r="AC89" i="31"/>
  <c r="AJ89" i="31"/>
  <c r="Z114" i="29"/>
  <c r="Z235" i="29"/>
  <c r="Z358" i="29"/>
  <c r="H115" i="29"/>
  <c r="H236" i="29"/>
  <c r="H359" i="29"/>
  <c r="X359" i="29" s="1"/>
  <c r="W359" i="29" s="1"/>
  <c r="Y88" i="31" l="1"/>
  <c r="AL89" i="31"/>
  <c r="AF88" i="31"/>
  <c r="AO88" i="31"/>
  <c r="AP88" i="31" s="1"/>
  <c r="K88" i="31"/>
  <c r="D88" i="31"/>
  <c r="R88" i="31"/>
  <c r="I359" i="29"/>
  <c r="P359" i="29"/>
  <c r="X236" i="29"/>
  <c r="W236" i="29" s="1"/>
  <c r="X115" i="29"/>
  <c r="AA114" i="29"/>
  <c r="AB114" i="29" s="1"/>
  <c r="AK89" i="31" l="1"/>
  <c r="AM89" i="31"/>
  <c r="AD89" i="31"/>
  <c r="W89" i="31"/>
  <c r="I89" i="31"/>
  <c r="P89" i="31"/>
  <c r="P115" i="29"/>
  <c r="W115" i="29"/>
  <c r="I236" i="29"/>
  <c r="P236" i="29"/>
  <c r="O237" i="29" s="1"/>
  <c r="Y115" i="29"/>
  <c r="I115" i="29"/>
  <c r="O360" i="29"/>
  <c r="O116" i="29"/>
  <c r="V360" i="29"/>
  <c r="V116" i="29"/>
  <c r="V237" i="29"/>
  <c r="O90" i="31" l="1"/>
  <c r="H90" i="31"/>
  <c r="V90" i="31"/>
  <c r="Z236" i="29"/>
  <c r="Z359" i="29"/>
  <c r="Z115" i="29"/>
  <c r="H360" i="29"/>
  <c r="H116" i="29"/>
  <c r="H237" i="29"/>
  <c r="AN89" i="31" l="1"/>
  <c r="AC90" i="31"/>
  <c r="AJ90" i="31"/>
  <c r="X360" i="29"/>
  <c r="W360" i="29" s="1"/>
  <c r="X237" i="29"/>
  <c r="W237" i="29" s="1"/>
  <c r="X116" i="29"/>
  <c r="AA115" i="29"/>
  <c r="AB115" i="29" s="1"/>
  <c r="Y89" i="31" l="1"/>
  <c r="AL90" i="31"/>
  <c r="AF89" i="31"/>
  <c r="AO89" i="31"/>
  <c r="AP89" i="31" s="1"/>
  <c r="D89" i="31"/>
  <c r="K89" i="31"/>
  <c r="R89" i="31"/>
  <c r="P116" i="29"/>
  <c r="W116" i="29"/>
  <c r="I237" i="29"/>
  <c r="P237" i="29"/>
  <c r="O238" i="29" s="1"/>
  <c r="I360" i="29"/>
  <c r="P360" i="29"/>
  <c r="O361" i="29" s="1"/>
  <c r="Y116" i="29"/>
  <c r="I116" i="29"/>
  <c r="O117" i="29"/>
  <c r="V117" i="29"/>
  <c r="V361" i="29"/>
  <c r="V238" i="29"/>
  <c r="AK90" i="31" l="1"/>
  <c r="AM90" i="31"/>
  <c r="AD90" i="31"/>
  <c r="W90" i="31"/>
  <c r="I90" i="31"/>
  <c r="P90" i="31"/>
  <c r="Z237" i="29"/>
  <c r="Z116" i="29"/>
  <c r="Z360" i="29"/>
  <c r="H361" i="29"/>
  <c r="H238" i="29"/>
  <c r="H117" i="29"/>
  <c r="X117" i="29" s="1"/>
  <c r="O91" i="31" l="1"/>
  <c r="H91" i="31"/>
  <c r="V91" i="31"/>
  <c r="P117" i="29"/>
  <c r="W117" i="29"/>
  <c r="X238" i="29"/>
  <c r="W238" i="29" s="1"/>
  <c r="Y117" i="29"/>
  <c r="I117" i="29"/>
  <c r="X361" i="29"/>
  <c r="W361" i="29" s="1"/>
  <c r="AA116" i="29"/>
  <c r="AB116" i="29" s="1"/>
  <c r="AN90" i="31" l="1"/>
  <c r="AC91" i="31"/>
  <c r="AJ91" i="31"/>
  <c r="I361" i="29"/>
  <c r="P361" i="29"/>
  <c r="O362" i="29" s="1"/>
  <c r="I238" i="29"/>
  <c r="P238" i="29"/>
  <c r="O239" i="29" s="1"/>
  <c r="O118" i="29"/>
  <c r="V362" i="29"/>
  <c r="V239" i="29"/>
  <c r="V118" i="29"/>
  <c r="Y90" i="31" l="1"/>
  <c r="AL91" i="31"/>
  <c r="AF90" i="31"/>
  <c r="K90" i="31"/>
  <c r="AO90" i="31"/>
  <c r="AP90" i="31" s="1"/>
  <c r="D90" i="31"/>
  <c r="R90" i="31"/>
  <c r="Z117" i="29"/>
  <c r="Z238" i="29"/>
  <c r="Z361" i="29"/>
  <c r="H239" i="29"/>
  <c r="H362" i="29"/>
  <c r="H118" i="29"/>
  <c r="AK91" i="31" l="1"/>
  <c r="AM91" i="31"/>
  <c r="AD91" i="31"/>
  <c r="W91" i="31"/>
  <c r="I91" i="31"/>
  <c r="P91" i="31"/>
  <c r="X118" i="29"/>
  <c r="W118" i="29" s="1"/>
  <c r="X362" i="29"/>
  <c r="W362" i="29" s="1"/>
  <c r="X239" i="29"/>
  <c r="W239" i="29" s="1"/>
  <c r="AA117" i="29"/>
  <c r="AB117" i="29" s="1"/>
  <c r="O92" i="31" l="1"/>
  <c r="H92" i="31"/>
  <c r="V92" i="31"/>
  <c r="I239" i="29"/>
  <c r="P239" i="29"/>
  <c r="O240" i="29" s="1"/>
  <c r="I362" i="29"/>
  <c r="P362" i="29"/>
  <c r="O363" i="29" s="1"/>
  <c r="Y118" i="29"/>
  <c r="P118" i="29"/>
  <c r="O119" i="29" s="1"/>
  <c r="I118" i="29"/>
  <c r="V240" i="29"/>
  <c r="V119" i="29"/>
  <c r="V363" i="29"/>
  <c r="AN91" i="31" l="1"/>
  <c r="AC92" i="31"/>
  <c r="AJ92" i="31"/>
  <c r="Z362" i="29"/>
  <c r="Z239" i="29"/>
  <c r="Z118" i="29"/>
  <c r="H240" i="29"/>
  <c r="H119" i="29"/>
  <c r="H363" i="29"/>
  <c r="Y91" i="31" l="1"/>
  <c r="AL92" i="31"/>
  <c r="AF91" i="31"/>
  <c r="AO91" i="31"/>
  <c r="AP91" i="31" s="1"/>
  <c r="K91" i="31"/>
  <c r="D91" i="31"/>
  <c r="R91" i="31"/>
  <c r="X363" i="29"/>
  <c r="W363" i="29" s="1"/>
  <c r="X119" i="29"/>
  <c r="X240" i="29"/>
  <c r="W240" i="29" s="1"/>
  <c r="AA118" i="29"/>
  <c r="AB118" i="29" s="1"/>
  <c r="AK92" i="31" l="1"/>
  <c r="AM92" i="31"/>
  <c r="AD92" i="31"/>
  <c r="W92" i="31"/>
  <c r="V93" i="31" s="1"/>
  <c r="P92" i="31"/>
  <c r="I92" i="31"/>
  <c r="P119" i="29"/>
  <c r="W119" i="29"/>
  <c r="V120" i="29" s="1"/>
  <c r="I240" i="29"/>
  <c r="P240" i="29"/>
  <c r="O241" i="29" s="1"/>
  <c r="I363" i="29"/>
  <c r="P363" i="29"/>
  <c r="O364" i="29" s="1"/>
  <c r="Y119" i="29"/>
  <c r="I119" i="29"/>
  <c r="O120" i="29"/>
  <c r="V241" i="29"/>
  <c r="V364" i="29"/>
  <c r="H93" i="31" l="1"/>
  <c r="O93" i="31"/>
  <c r="Z363" i="29"/>
  <c r="Z119" i="29"/>
  <c r="Z240" i="29"/>
  <c r="H241" i="29"/>
  <c r="H120" i="29"/>
  <c r="H364" i="29"/>
  <c r="AJ93" i="31" l="1"/>
  <c r="AN92" i="31"/>
  <c r="AC93" i="31"/>
  <c r="X364" i="29"/>
  <c r="W364" i="29" s="1"/>
  <c r="X120" i="29"/>
  <c r="X241" i="29"/>
  <c r="W241" i="29" s="1"/>
  <c r="AA119" i="29"/>
  <c r="AB119" i="29" s="1"/>
  <c r="Y92" i="31" l="1"/>
  <c r="AL93" i="31"/>
  <c r="R92" i="31"/>
  <c r="AO92" i="31"/>
  <c r="AP92" i="31" s="1"/>
  <c r="D92" i="31"/>
  <c r="K92" i="31"/>
  <c r="AF92" i="31"/>
  <c r="P120" i="29"/>
  <c r="W120" i="29"/>
  <c r="I241" i="29"/>
  <c r="P241" i="29"/>
  <c r="O242" i="29" s="1"/>
  <c r="I364" i="29"/>
  <c r="P364" i="29"/>
  <c r="O365" i="29" s="1"/>
  <c r="Y120" i="29"/>
  <c r="I120" i="29"/>
  <c r="O121" i="29"/>
  <c r="V242" i="29"/>
  <c r="V365" i="29"/>
  <c r="V121" i="29"/>
  <c r="AK93" i="31" l="1"/>
  <c r="AD93" i="31"/>
  <c r="W93" i="31"/>
  <c r="I93" i="31"/>
  <c r="AM93" i="31" s="1"/>
  <c r="P93" i="31"/>
  <c r="Z120" i="29"/>
  <c r="Z241" i="29"/>
  <c r="Z364" i="29"/>
  <c r="H365" i="29"/>
  <c r="H242" i="29"/>
  <c r="H121" i="29"/>
  <c r="O94" i="31" l="1"/>
  <c r="H94" i="31"/>
  <c r="V94" i="31"/>
  <c r="X242" i="29"/>
  <c r="W242" i="29" s="1"/>
  <c r="X365" i="29"/>
  <c r="W365" i="29" s="1"/>
  <c r="X121" i="29"/>
  <c r="AA120" i="29"/>
  <c r="AB120" i="29" s="1"/>
  <c r="AN93" i="31" l="1"/>
  <c r="AC94" i="31"/>
  <c r="AJ94" i="31"/>
  <c r="P121" i="29"/>
  <c r="W121" i="29"/>
  <c r="I365" i="29"/>
  <c r="P365" i="29"/>
  <c r="O366" i="29" s="1"/>
  <c r="I242" i="29"/>
  <c r="P242" i="29"/>
  <c r="O243" i="29" s="1"/>
  <c r="Y121" i="29"/>
  <c r="I121" i="29"/>
  <c r="O122" i="29"/>
  <c r="V122" i="29"/>
  <c r="V366" i="29"/>
  <c r="V243" i="29"/>
  <c r="Y93" i="31" l="1"/>
  <c r="AL94" i="31"/>
  <c r="AF93" i="31"/>
  <c r="AO93" i="31"/>
  <c r="AP93" i="31" s="1"/>
  <c r="K93" i="31"/>
  <c r="D93" i="31"/>
  <c r="R93" i="31"/>
  <c r="Z121" i="29"/>
  <c r="Z242" i="29"/>
  <c r="Z365" i="29"/>
  <c r="H243" i="29"/>
  <c r="H366" i="29"/>
  <c r="H122" i="29"/>
  <c r="AK94" i="31" l="1"/>
  <c r="AM94" i="31"/>
  <c r="AD94" i="31"/>
  <c r="W94" i="31"/>
  <c r="I94" i="31"/>
  <c r="P94" i="31"/>
  <c r="X243" i="29"/>
  <c r="W243" i="29" s="1"/>
  <c r="X122" i="29"/>
  <c r="X366" i="29"/>
  <c r="W366" i="29" s="1"/>
  <c r="AA121" i="29"/>
  <c r="AB121" i="29" s="1"/>
  <c r="O95" i="31" l="1"/>
  <c r="H95" i="31"/>
  <c r="V95" i="31"/>
  <c r="P122" i="29"/>
  <c r="W122" i="29"/>
  <c r="V123" i="29" s="1"/>
  <c r="I366" i="29"/>
  <c r="P366" i="29"/>
  <c r="O367" i="29" s="1"/>
  <c r="I243" i="29"/>
  <c r="P243" i="29"/>
  <c r="O244" i="29" s="1"/>
  <c r="Y122" i="29"/>
  <c r="I122" i="29"/>
  <c r="O123" i="29"/>
  <c r="V367" i="29"/>
  <c r="V244" i="29"/>
  <c r="AN94" i="31" l="1"/>
  <c r="AC95" i="31"/>
  <c r="AJ95" i="31"/>
  <c r="Z366" i="29"/>
  <c r="Z243" i="29"/>
  <c r="Z122" i="29"/>
  <c r="H244" i="29"/>
  <c r="H123" i="29"/>
  <c r="H367" i="29"/>
  <c r="Y94" i="31" l="1"/>
  <c r="AL95" i="31"/>
  <c r="AF94" i="31"/>
  <c r="K94" i="31"/>
  <c r="AO94" i="31"/>
  <c r="AP94" i="31" s="1"/>
  <c r="D94" i="31"/>
  <c r="R94" i="31"/>
  <c r="X244" i="29"/>
  <c r="W244" i="29" s="1"/>
  <c r="X367" i="29"/>
  <c r="W367" i="29" s="1"/>
  <c r="X123" i="29"/>
  <c r="AA122" i="29"/>
  <c r="AB122" i="29" s="1"/>
  <c r="AK95" i="31" l="1"/>
  <c r="AM95" i="31"/>
  <c r="AD95" i="31"/>
  <c r="W95" i="31"/>
  <c r="P95" i="31"/>
  <c r="I95" i="31"/>
  <c r="P123" i="29"/>
  <c r="W123" i="29"/>
  <c r="I367" i="29"/>
  <c r="P367" i="29"/>
  <c r="O368" i="29" s="1"/>
  <c r="I244" i="29"/>
  <c r="P244" i="29"/>
  <c r="O245" i="29" s="1"/>
  <c r="Y123" i="29"/>
  <c r="I123" i="29"/>
  <c r="O124" i="29"/>
  <c r="V124" i="29"/>
  <c r="V245" i="29"/>
  <c r="V368" i="29"/>
  <c r="H96" i="31" l="1"/>
  <c r="O96" i="31"/>
  <c r="V96" i="31"/>
  <c r="Z367" i="29"/>
  <c r="Z123" i="29"/>
  <c r="Z244" i="29"/>
  <c r="H245" i="29"/>
  <c r="H124" i="29"/>
  <c r="H368" i="29"/>
  <c r="AJ96" i="31" l="1"/>
  <c r="AN95" i="31"/>
  <c r="AC96" i="31"/>
  <c r="X368" i="29"/>
  <c r="X124" i="29"/>
  <c r="Y124" i="29" s="1"/>
  <c r="Y125" i="29" s="1"/>
  <c r="Y126" i="29" s="1"/>
  <c r="Y127" i="29" s="1"/>
  <c r="Y128" i="29" s="1"/>
  <c r="Y129" i="29" s="1"/>
  <c r="Y130" i="29" s="1"/>
  <c r="Y131" i="29" s="1"/>
  <c r="Y132" i="29" s="1"/>
  <c r="Y133" i="29" s="1"/>
  <c r="Y134" i="29" s="1"/>
  <c r="Y135" i="29" s="1"/>
  <c r="Y136" i="29" s="1"/>
  <c r="Y137" i="29" s="1"/>
  <c r="Y138" i="29" s="1"/>
  <c r="Y139" i="29" s="1"/>
  <c r="Y140" i="29" s="1"/>
  <c r="Y141" i="29" s="1"/>
  <c r="Y142" i="29" s="1"/>
  <c r="Y143" i="29" s="1"/>
  <c r="Y144" i="29" s="1"/>
  <c r="Y145" i="29" s="1"/>
  <c r="Y146" i="29" s="1"/>
  <c r="Y147" i="29" s="1"/>
  <c r="Y148" i="29" s="1"/>
  <c r="Y149" i="29" s="1"/>
  <c r="Y150" i="29" s="1"/>
  <c r="Y151" i="29" s="1"/>
  <c r="Y152" i="29" s="1"/>
  <c r="Y153" i="29" s="1"/>
  <c r="Y154" i="29" s="1"/>
  <c r="Y155" i="29" s="1"/>
  <c r="Y156" i="29" s="1"/>
  <c r="Y157" i="29" s="1"/>
  <c r="Y158" i="29" s="1"/>
  <c r="Y159" i="29" s="1"/>
  <c r="Y160" i="29" s="1"/>
  <c r="Y161" i="29" s="1"/>
  <c r="Y162" i="29" s="1"/>
  <c r="Y163" i="29" s="1"/>
  <c r="Y164" i="29" s="1"/>
  <c r="Y165" i="29" s="1"/>
  <c r="Y166" i="29" s="1"/>
  <c r="Y167" i="29" s="1"/>
  <c r="Y168" i="29" s="1"/>
  <c r="Y169" i="29" s="1"/>
  <c r="Y170" i="29" s="1"/>
  <c r="Y171" i="29" s="1"/>
  <c r="Y172" i="29" s="1"/>
  <c r="Y173" i="29" s="1"/>
  <c r="Y174" i="29" s="1"/>
  <c r="Y175" i="29" s="1"/>
  <c r="Y176" i="29" s="1"/>
  <c r="Y177" i="29" s="1"/>
  <c r="Y178" i="29" s="1"/>
  <c r="Y179" i="29" s="1"/>
  <c r="Y180" i="29" s="1"/>
  <c r="Y181" i="29" s="1"/>
  <c r="Y182" i="29" s="1"/>
  <c r="Y183" i="29" s="1"/>
  <c r="Y184" i="29" s="1"/>
  <c r="Y185" i="29" s="1"/>
  <c r="Y186" i="29" s="1"/>
  <c r="Y187" i="29" s="1"/>
  <c r="Y188" i="29" s="1"/>
  <c r="Y189" i="29" s="1"/>
  <c r="Y190" i="29" s="1"/>
  <c r="Y191" i="29" s="1"/>
  <c r="Y192" i="29" s="1"/>
  <c r="Y193" i="29" s="1"/>
  <c r="Y194" i="29" s="1"/>
  <c r="Y195" i="29" s="1"/>
  <c r="Y196" i="29" s="1"/>
  <c r="Y197" i="29" s="1"/>
  <c r="Y198" i="29" s="1"/>
  <c r="Y199" i="29" s="1"/>
  <c r="Y200" i="29" s="1"/>
  <c r="Y201" i="29" s="1"/>
  <c r="Y202" i="29" s="1"/>
  <c r="Y203" i="29" s="1"/>
  <c r="Y204" i="29" s="1"/>
  <c r="Y205" i="29" s="1"/>
  <c r="Y206" i="29" s="1"/>
  <c r="Y207" i="29" s="1"/>
  <c r="Y208" i="29" s="1"/>
  <c r="Y209" i="29" s="1"/>
  <c r="Y210" i="29" s="1"/>
  <c r="Y211" i="29" s="1"/>
  <c r="Y212" i="29" s="1"/>
  <c r="Y213" i="29" s="1"/>
  <c r="Y214" i="29" s="1"/>
  <c r="Y215" i="29" s="1"/>
  <c r="Y216" i="29" s="1"/>
  <c r="Y217" i="29" s="1"/>
  <c r="Y218" i="29" s="1"/>
  <c r="Y219" i="29" s="1"/>
  <c r="Y220" i="29" s="1"/>
  <c r="Y221" i="29" s="1"/>
  <c r="Y222" i="29" s="1"/>
  <c r="Y223" i="29" s="1"/>
  <c r="Y224" i="29" s="1"/>
  <c r="Y225" i="29" s="1"/>
  <c r="Y226" i="29" s="1"/>
  <c r="Y227" i="29" s="1"/>
  <c r="Y228" i="29" s="1"/>
  <c r="Y229" i="29" s="1"/>
  <c r="Y230" i="29" s="1"/>
  <c r="Y231" i="29" s="1"/>
  <c r="Y232" i="29" s="1"/>
  <c r="Y233" i="29" s="1"/>
  <c r="Y234" i="29" s="1"/>
  <c r="Y235" i="29" s="1"/>
  <c r="Y236" i="29" s="1"/>
  <c r="Y237" i="29" s="1"/>
  <c r="Y238" i="29" s="1"/>
  <c r="Y239" i="29" s="1"/>
  <c r="Y240" i="29" s="1"/>
  <c r="Y241" i="29" s="1"/>
  <c r="Y242" i="29" s="1"/>
  <c r="Y243" i="29" s="1"/>
  <c r="Y244" i="29" s="1"/>
  <c r="X245" i="29"/>
  <c r="W245" i="29" s="1"/>
  <c r="AA123" i="29"/>
  <c r="AB123" i="29" s="1"/>
  <c r="AF95" i="31" l="1"/>
  <c r="AL96" i="31"/>
  <c r="Y95" i="31"/>
  <c r="K95" i="31"/>
  <c r="AO95" i="31"/>
  <c r="AP95" i="31" s="1"/>
  <c r="D95" i="31"/>
  <c r="R95" i="31"/>
  <c r="I245" i="29"/>
  <c r="P245" i="29"/>
  <c r="O246" i="29" s="1"/>
  <c r="V246" i="29"/>
  <c r="AA124" i="29"/>
  <c r="AB124" i="29" s="1"/>
  <c r="AK96" i="31" l="1"/>
  <c r="AM96" i="31"/>
  <c r="AD96" i="31"/>
  <c r="W96" i="31"/>
  <c r="I96" i="31"/>
  <c r="P96" i="31"/>
  <c r="Y245" i="29"/>
  <c r="Z245" i="29"/>
  <c r="AA125" i="29"/>
  <c r="AB125" i="29" s="1"/>
  <c r="H246" i="29"/>
  <c r="X246" i="29" s="1"/>
  <c r="O97" i="31" l="1"/>
  <c r="H97" i="31"/>
  <c r="V97" i="31"/>
  <c r="P246" i="29"/>
  <c r="W246" i="29"/>
  <c r="Y246" i="29"/>
  <c r="I246" i="29"/>
  <c r="AA126" i="29"/>
  <c r="AB126" i="29" s="1"/>
  <c r="AN96" i="31" l="1"/>
  <c r="AC97" i="31"/>
  <c r="AJ97" i="31"/>
  <c r="O247" i="29"/>
  <c r="V247" i="29"/>
  <c r="AA127" i="29"/>
  <c r="AB127" i="29" s="1"/>
  <c r="AF96" i="31" l="1"/>
  <c r="AL97" i="31"/>
  <c r="Y96" i="31"/>
  <c r="AO96" i="31"/>
  <c r="AP96" i="31" s="1"/>
  <c r="R96" i="31"/>
  <c r="K96" i="31"/>
  <c r="D96" i="31"/>
  <c r="Z246" i="29"/>
  <c r="H247" i="29"/>
  <c r="AA128" i="29"/>
  <c r="AB128" i="29" s="1"/>
  <c r="AK97" i="31" l="1"/>
  <c r="AM97" i="31"/>
  <c r="AD97" i="31"/>
  <c r="W97" i="31"/>
  <c r="I97" i="31"/>
  <c r="P97" i="31"/>
  <c r="X247" i="29"/>
  <c r="Y247" i="29" s="1"/>
  <c r="Y248" i="29" s="1"/>
  <c r="Y249" i="29" s="1"/>
  <c r="Y250" i="29" s="1"/>
  <c r="Y251" i="29" s="1"/>
  <c r="Y252" i="29" s="1"/>
  <c r="Y253" i="29" s="1"/>
  <c r="Y254" i="29" s="1"/>
  <c r="Y255" i="29" s="1"/>
  <c r="Y256" i="29" s="1"/>
  <c r="Y257" i="29" s="1"/>
  <c r="Y258" i="29" s="1"/>
  <c r="Y259" i="29" s="1"/>
  <c r="Y260" i="29" s="1"/>
  <c r="Y261" i="29" s="1"/>
  <c r="Y262" i="29" s="1"/>
  <c r="Y263" i="29" s="1"/>
  <c r="Y264" i="29" s="1"/>
  <c r="Y265" i="29" s="1"/>
  <c r="Y266" i="29" s="1"/>
  <c r="Y267" i="29" s="1"/>
  <c r="Y268" i="29" s="1"/>
  <c r="Y269" i="29" s="1"/>
  <c r="Y270" i="29" s="1"/>
  <c r="Y271" i="29" s="1"/>
  <c r="Y272" i="29" s="1"/>
  <c r="Y273" i="29" s="1"/>
  <c r="Y274" i="29" s="1"/>
  <c r="Y275" i="29" s="1"/>
  <c r="Y276" i="29" s="1"/>
  <c r="Y277" i="29" s="1"/>
  <c r="Y278" i="29" s="1"/>
  <c r="Y279" i="29" s="1"/>
  <c r="Y280" i="29" s="1"/>
  <c r="Y281" i="29" s="1"/>
  <c r="Y282" i="29" s="1"/>
  <c r="Y283" i="29" s="1"/>
  <c r="Y284" i="29" s="1"/>
  <c r="Y285" i="29" s="1"/>
  <c r="Y286" i="29" s="1"/>
  <c r="Y287" i="29" s="1"/>
  <c r="Y288" i="29" s="1"/>
  <c r="Y289" i="29" s="1"/>
  <c r="Y290" i="29" s="1"/>
  <c r="Y291" i="29" s="1"/>
  <c r="Y292" i="29" s="1"/>
  <c r="Y293" i="29" s="1"/>
  <c r="Y294" i="29" s="1"/>
  <c r="Y295" i="29" s="1"/>
  <c r="Y296" i="29" s="1"/>
  <c r="Y297" i="29" s="1"/>
  <c r="Y298" i="29" s="1"/>
  <c r="Y299" i="29" s="1"/>
  <c r="Y300" i="29" s="1"/>
  <c r="Y301" i="29" s="1"/>
  <c r="Y302" i="29" s="1"/>
  <c r="Y303" i="29" s="1"/>
  <c r="Y304" i="29" s="1"/>
  <c r="Y305" i="29" s="1"/>
  <c r="Y306" i="29" s="1"/>
  <c r="Y307" i="29" s="1"/>
  <c r="Y308" i="29" s="1"/>
  <c r="Y309" i="29" s="1"/>
  <c r="Y310" i="29" s="1"/>
  <c r="Y311" i="29" s="1"/>
  <c r="Y312" i="29" s="1"/>
  <c r="Y313" i="29" s="1"/>
  <c r="Y314" i="29" s="1"/>
  <c r="Y315" i="29" s="1"/>
  <c r="Y316" i="29" s="1"/>
  <c r="Y317" i="29" s="1"/>
  <c r="Y318" i="29" s="1"/>
  <c r="Y319" i="29" s="1"/>
  <c r="Y320" i="29" s="1"/>
  <c r="Y321" i="29" s="1"/>
  <c r="Y322" i="29" s="1"/>
  <c r="Y323" i="29" s="1"/>
  <c r="Y324" i="29" s="1"/>
  <c r="Y325" i="29" s="1"/>
  <c r="Y326" i="29" s="1"/>
  <c r="Y327" i="29" s="1"/>
  <c r="Y328" i="29" s="1"/>
  <c r="Y329" i="29" s="1"/>
  <c r="Y330" i="29" s="1"/>
  <c r="Y331" i="29" s="1"/>
  <c r="Y332" i="29" s="1"/>
  <c r="Y333" i="29" s="1"/>
  <c r="Y334" i="29" s="1"/>
  <c r="Y335" i="29" s="1"/>
  <c r="Y336" i="29" s="1"/>
  <c r="Y337" i="29" s="1"/>
  <c r="Y338" i="29" s="1"/>
  <c r="Y339" i="29" s="1"/>
  <c r="Y340" i="29" s="1"/>
  <c r="Y341" i="29" s="1"/>
  <c r="Y342" i="29" s="1"/>
  <c r="Y343" i="29" s="1"/>
  <c r="Y344" i="29" s="1"/>
  <c r="Y345" i="29" s="1"/>
  <c r="Y346" i="29" s="1"/>
  <c r="Y347" i="29" s="1"/>
  <c r="Y348" i="29" s="1"/>
  <c r="Y349" i="29" s="1"/>
  <c r="Y350" i="29" s="1"/>
  <c r="Y351" i="29" s="1"/>
  <c r="Y352" i="29" s="1"/>
  <c r="Y353" i="29" s="1"/>
  <c r="Y354" i="29" s="1"/>
  <c r="Y355" i="29" s="1"/>
  <c r="Y356" i="29" s="1"/>
  <c r="Y357" i="29" s="1"/>
  <c r="Y358" i="29" s="1"/>
  <c r="Y359" i="29" s="1"/>
  <c r="Y360" i="29" s="1"/>
  <c r="Y361" i="29" s="1"/>
  <c r="Y362" i="29" s="1"/>
  <c r="Y363" i="29" s="1"/>
  <c r="Y364" i="29" s="1"/>
  <c r="Y365" i="29" s="1"/>
  <c r="Y366" i="29" s="1"/>
  <c r="Y367" i="29" s="1"/>
  <c r="Y368" i="29" s="1"/>
  <c r="Y369" i="29" s="1"/>
  <c r="Y370" i="29" s="1"/>
  <c r="Y371" i="29" s="1"/>
  <c r="Y372" i="29" s="1"/>
  <c r="Y373" i="29" s="1"/>
  <c r="Y374" i="29" s="1"/>
  <c r="Y375" i="29" s="1"/>
  <c r="Y376" i="29" s="1"/>
  <c r="Y377" i="29" s="1"/>
  <c r="Y378" i="29" s="1"/>
  <c r="Y379" i="29" s="1"/>
  <c r="Y380" i="29" s="1"/>
  <c r="AA129" i="29"/>
  <c r="AB129" i="29" s="1"/>
  <c r="O98" i="31" l="1"/>
  <c r="H98" i="31"/>
  <c r="V98" i="31"/>
  <c r="AA130" i="29"/>
  <c r="AB130" i="29" s="1"/>
  <c r="AN97" i="31" l="1"/>
  <c r="AC98" i="31"/>
  <c r="AJ98" i="31"/>
  <c r="AA131" i="29"/>
  <c r="AB131" i="29" s="1"/>
  <c r="AF97" i="31" l="1"/>
  <c r="AL98" i="31"/>
  <c r="Y97" i="31"/>
  <c r="D97" i="31"/>
  <c r="AO97" i="31"/>
  <c r="AP97" i="31" s="1"/>
  <c r="R97" i="31"/>
  <c r="K97" i="31"/>
  <c r="AA132" i="29"/>
  <c r="AB132" i="29" s="1"/>
  <c r="AK98" i="31" l="1"/>
  <c r="AM98" i="31"/>
  <c r="AD98" i="31"/>
  <c r="W98" i="31"/>
  <c r="P98" i="31"/>
  <c r="I98" i="31"/>
  <c r="AA133" i="29"/>
  <c r="AB133" i="29" s="1"/>
  <c r="H99" i="31" l="1"/>
  <c r="O99" i="31"/>
  <c r="V99" i="31"/>
  <c r="AA134" i="29"/>
  <c r="AB134" i="29" s="1"/>
  <c r="AJ99" i="31" l="1"/>
  <c r="AN98" i="31"/>
  <c r="AC99" i="31"/>
  <c r="AA135" i="29"/>
  <c r="AB135" i="29" s="1"/>
  <c r="Y98" i="31" l="1"/>
  <c r="AL99" i="31"/>
  <c r="AO98" i="31"/>
  <c r="AP98" i="31" s="1"/>
  <c r="D98" i="31"/>
  <c r="K98" i="31"/>
  <c r="R98" i="31"/>
  <c r="AF98" i="31"/>
  <c r="AA136" i="29"/>
  <c r="AB136" i="29" s="1"/>
  <c r="AK99" i="31" l="1"/>
  <c r="AM99" i="31"/>
  <c r="AD99" i="31"/>
  <c r="W99" i="31"/>
  <c r="I99" i="31"/>
  <c r="P99" i="31"/>
  <c r="AA137" i="29"/>
  <c r="AB137" i="29" s="1"/>
  <c r="V100" i="31" l="1"/>
  <c r="O100" i="31"/>
  <c r="H100" i="31"/>
  <c r="AA138" i="29"/>
  <c r="AB138" i="29" s="1"/>
  <c r="AJ100" i="31" l="1"/>
  <c r="AN99" i="31"/>
  <c r="AC100" i="31"/>
  <c r="AA139" i="29"/>
  <c r="AB139" i="29" s="1"/>
  <c r="AL100" i="31" l="1"/>
  <c r="Y99" i="31"/>
  <c r="AO99" i="31"/>
  <c r="AP99" i="31" s="1"/>
  <c r="R99" i="31"/>
  <c r="K99" i="31"/>
  <c r="D99" i="31"/>
  <c r="AF99" i="31"/>
  <c r="AA140" i="29"/>
  <c r="AB140" i="29" s="1"/>
  <c r="AK100" i="31" l="1"/>
  <c r="AM100" i="31"/>
  <c r="AD100" i="31"/>
  <c r="W100" i="31"/>
  <c r="I100" i="31"/>
  <c r="P100" i="31"/>
  <c r="AA141" i="29"/>
  <c r="AB141" i="29" s="1"/>
  <c r="O101" i="31" l="1"/>
  <c r="H101" i="31"/>
  <c r="V101" i="31"/>
  <c r="AA142" i="29"/>
  <c r="AB142" i="29" s="1"/>
  <c r="AN100" i="31" l="1"/>
  <c r="AC101" i="31"/>
  <c r="AJ101" i="31"/>
  <c r="AA143" i="29"/>
  <c r="AB143" i="29" s="1"/>
  <c r="AF100" i="31" l="1"/>
  <c r="AL101" i="31"/>
  <c r="Y100" i="31"/>
  <c r="D100" i="31"/>
  <c r="AO100" i="31"/>
  <c r="AP100" i="31" s="1"/>
  <c r="R100" i="31"/>
  <c r="K100" i="31"/>
  <c r="AA144" i="29"/>
  <c r="AB144" i="29" s="1"/>
  <c r="AK101" i="31" l="1"/>
  <c r="AM101" i="31"/>
  <c r="AD101" i="31"/>
  <c r="W101" i="31"/>
  <c r="I101" i="31"/>
  <c r="P101" i="31"/>
  <c r="AA145" i="29"/>
  <c r="AB145" i="29" s="1"/>
  <c r="V102" i="31" l="1"/>
  <c r="O102" i="31"/>
  <c r="H102" i="31"/>
  <c r="AA146" i="29"/>
  <c r="AB146" i="29" s="1"/>
  <c r="AN101" i="31" l="1"/>
  <c r="AL102" i="31" s="1"/>
  <c r="AC102" i="31"/>
  <c r="AJ102" i="31"/>
  <c r="AA147" i="29"/>
  <c r="AB147" i="29" s="1"/>
  <c r="AO101" i="31" l="1"/>
  <c r="AP101" i="31" s="1"/>
  <c r="R101" i="31"/>
  <c r="K101" i="31"/>
  <c r="D101" i="31"/>
  <c r="AF101" i="31"/>
  <c r="Y101" i="31"/>
  <c r="AA148" i="29"/>
  <c r="AB148" i="29" s="1"/>
  <c r="AK102" i="31" l="1"/>
  <c r="AM102" i="31"/>
  <c r="AD102" i="31"/>
  <c r="W102" i="31"/>
  <c r="P102" i="31"/>
  <c r="I102" i="31"/>
  <c r="AA149" i="29"/>
  <c r="AB149" i="29" s="1"/>
  <c r="V103" i="31" l="1"/>
  <c r="H103" i="31"/>
  <c r="O103" i="31"/>
  <c r="AA150" i="29"/>
  <c r="AB150" i="29" s="1"/>
  <c r="AJ103" i="31" l="1"/>
  <c r="AN102" i="31"/>
  <c r="AL103" i="31" s="1"/>
  <c r="AC103" i="31"/>
  <c r="AA151" i="29"/>
  <c r="AB151" i="29" s="1"/>
  <c r="AO102" i="31" l="1"/>
  <c r="AP102" i="31" s="1"/>
  <c r="R102" i="31"/>
  <c r="D102" i="31"/>
  <c r="K102" i="31"/>
  <c r="AF102" i="31"/>
  <c r="Y102" i="31"/>
  <c r="AA152" i="29"/>
  <c r="AB152" i="29" s="1"/>
  <c r="AK103" i="31" l="1"/>
  <c r="AM103" i="31"/>
  <c r="AD103" i="31"/>
  <c r="W103" i="31"/>
  <c r="I103" i="31"/>
  <c r="P103" i="31"/>
  <c r="AA153" i="29"/>
  <c r="AB153" i="29" s="1"/>
  <c r="V104" i="31" l="1"/>
  <c r="O104" i="31"/>
  <c r="H104" i="31"/>
  <c r="AA154" i="29"/>
  <c r="AB154" i="29" s="1"/>
  <c r="AJ104" i="31" l="1"/>
  <c r="AN103" i="31"/>
  <c r="AC104" i="31"/>
  <c r="AA155" i="29"/>
  <c r="AB155" i="29" s="1"/>
  <c r="Y103" i="31" l="1"/>
  <c r="AL104" i="31"/>
  <c r="AO103" i="31"/>
  <c r="AP103" i="31" s="1"/>
  <c r="R103" i="31"/>
  <c r="D103" i="31"/>
  <c r="K103" i="31"/>
  <c r="AF103" i="31"/>
  <c r="AA156" i="29"/>
  <c r="AB156" i="29" s="1"/>
  <c r="AK104" i="31" l="1"/>
  <c r="AM104" i="31"/>
  <c r="AD104" i="31"/>
  <c r="W104" i="31"/>
  <c r="P104" i="31"/>
  <c r="I104" i="31"/>
  <c r="AA157" i="29"/>
  <c r="AB157" i="29" s="1"/>
  <c r="V105" i="31" l="1"/>
  <c r="H105" i="31"/>
  <c r="O105" i="31"/>
  <c r="AA158" i="29"/>
  <c r="AB158" i="29" s="1"/>
  <c r="AJ105" i="31" l="1"/>
  <c r="AN104" i="31"/>
  <c r="AC105" i="31"/>
  <c r="Y104" i="31"/>
  <c r="AA159" i="29"/>
  <c r="AB159" i="29" s="1"/>
  <c r="AL105" i="31" l="1"/>
  <c r="D104" i="31"/>
  <c r="AO104" i="31"/>
  <c r="AP104" i="31" s="1"/>
  <c r="R104" i="31"/>
  <c r="K104" i="31"/>
  <c r="AF104" i="31"/>
  <c r="AA160" i="29"/>
  <c r="AB160" i="29" s="1"/>
  <c r="AK105" i="31" l="1"/>
  <c r="AM105" i="31"/>
  <c r="AD105" i="31"/>
  <c r="W105" i="31"/>
  <c r="I105" i="31"/>
  <c r="P105" i="31"/>
  <c r="AA161" i="29"/>
  <c r="AB161" i="29" s="1"/>
  <c r="V106" i="31" l="1"/>
  <c r="O106" i="31"/>
  <c r="H106" i="31"/>
  <c r="AA162" i="29"/>
  <c r="AB162" i="29" s="1"/>
  <c r="AN105" i="31" l="1"/>
  <c r="AC106" i="31"/>
  <c r="AJ106" i="31"/>
  <c r="AA163" i="29"/>
  <c r="AB163" i="29" s="1"/>
  <c r="AL106" i="31" l="1"/>
  <c r="K105" i="31"/>
  <c r="AO105" i="31"/>
  <c r="AP105" i="31" s="1"/>
  <c r="R105" i="31"/>
  <c r="D105" i="31"/>
  <c r="AF105" i="31"/>
  <c r="Y105" i="31"/>
  <c r="AA164" i="29"/>
  <c r="AB164" i="29" s="1"/>
  <c r="AK106" i="31" l="1"/>
  <c r="AM106" i="31"/>
  <c r="AD106" i="31"/>
  <c r="W106" i="31"/>
  <c r="I106" i="31"/>
  <c r="P106" i="31"/>
  <c r="AA165" i="29"/>
  <c r="AB165" i="29" s="1"/>
  <c r="V107" i="31" l="1"/>
  <c r="O107" i="31"/>
  <c r="H107" i="31"/>
  <c r="AA166" i="29"/>
  <c r="AB166" i="29" s="1"/>
  <c r="AN106" i="31" l="1"/>
  <c r="AL107" i="31" s="1"/>
  <c r="AC107" i="31"/>
  <c r="AJ107" i="31"/>
  <c r="AA167" i="29"/>
  <c r="AB167" i="29" s="1"/>
  <c r="AO106" i="31" l="1"/>
  <c r="AP106" i="31" s="1"/>
  <c r="R106" i="31"/>
  <c r="K106" i="31"/>
  <c r="D106" i="31"/>
  <c r="AF106" i="31"/>
  <c r="Y106" i="31"/>
  <c r="AA168" i="29"/>
  <c r="AB168" i="29" s="1"/>
  <c r="AK107" i="31" l="1"/>
  <c r="AM107" i="31"/>
  <c r="AD107" i="31"/>
  <c r="W107" i="31"/>
  <c r="I107" i="31"/>
  <c r="P107" i="31"/>
  <c r="AA169" i="29"/>
  <c r="AB169" i="29" s="1"/>
  <c r="V108" i="31" l="1"/>
  <c r="O108" i="31"/>
  <c r="H108" i="31"/>
  <c r="AA170" i="29"/>
  <c r="AB170" i="29" s="1"/>
  <c r="AN107" i="31" l="1"/>
  <c r="AC108" i="31"/>
  <c r="AJ108" i="31"/>
  <c r="AA171" i="29"/>
  <c r="AB171" i="29" s="1"/>
  <c r="AF107" i="31" l="1"/>
  <c r="AL108" i="31"/>
  <c r="Y107" i="31"/>
  <c r="AO107" i="31"/>
  <c r="AP107" i="31" s="1"/>
  <c r="R107" i="31"/>
  <c r="K107" i="31"/>
  <c r="D107" i="31"/>
  <c r="AA172" i="29"/>
  <c r="AB172" i="29" s="1"/>
  <c r="AK108" i="31" l="1"/>
  <c r="AM108" i="31"/>
  <c r="AD108" i="31"/>
  <c r="W108" i="31"/>
  <c r="P108" i="31"/>
  <c r="I108" i="31"/>
  <c r="AA173" i="29"/>
  <c r="AB173" i="29" s="1"/>
  <c r="V109" i="31" l="1"/>
  <c r="H109" i="31"/>
  <c r="O109" i="31"/>
  <c r="AA174" i="29"/>
  <c r="AB174" i="29" s="1"/>
  <c r="AJ109" i="31" l="1"/>
  <c r="AN108" i="31"/>
  <c r="AC109" i="31"/>
  <c r="AA175" i="29"/>
  <c r="AB175" i="29" s="1"/>
  <c r="Y108" i="31" l="1"/>
  <c r="AL109" i="31"/>
  <c r="AO108" i="31"/>
  <c r="AP108" i="31" s="1"/>
  <c r="R108" i="31"/>
  <c r="D108" i="31"/>
  <c r="K108" i="31"/>
  <c r="AF108" i="31"/>
  <c r="AA176" i="29"/>
  <c r="AB176" i="29" s="1"/>
  <c r="AK109" i="31" l="1"/>
  <c r="AM109" i="31"/>
  <c r="AD109" i="31"/>
  <c r="W109" i="31"/>
  <c r="I109" i="31"/>
  <c r="P109" i="31"/>
  <c r="AA177" i="29"/>
  <c r="AB177" i="29" s="1"/>
  <c r="V110" i="31" l="1"/>
  <c r="O110" i="31"/>
  <c r="H110" i="31"/>
  <c r="AA178" i="29"/>
  <c r="AB178" i="29" s="1"/>
  <c r="AN109" i="31" l="1"/>
  <c r="AC110" i="31"/>
  <c r="AJ110" i="31"/>
  <c r="AA179" i="29"/>
  <c r="AB179" i="29" s="1"/>
  <c r="AL110" i="31" l="1"/>
  <c r="AO109" i="31"/>
  <c r="AP109" i="31" s="1"/>
  <c r="R109" i="31"/>
  <c r="K109" i="31"/>
  <c r="D109" i="31"/>
  <c r="AF109" i="31"/>
  <c r="Y109" i="31"/>
  <c r="AA180" i="29"/>
  <c r="AB180" i="29" s="1"/>
  <c r="AK110" i="31" l="1"/>
  <c r="AM110" i="31"/>
  <c r="AD110" i="31"/>
  <c r="W110" i="31"/>
  <c r="P110" i="31"/>
  <c r="I110" i="31"/>
  <c r="AA181" i="29"/>
  <c r="AB181" i="29" s="1"/>
  <c r="H111" i="31" l="1"/>
  <c r="O111" i="31"/>
  <c r="V111" i="31"/>
  <c r="AA182" i="29"/>
  <c r="AB182" i="29" s="1"/>
  <c r="AJ111" i="31" l="1"/>
  <c r="AN110" i="31"/>
  <c r="AC111" i="31"/>
  <c r="AA183" i="29"/>
  <c r="AB183" i="29" s="1"/>
  <c r="AF110" i="31" l="1"/>
  <c r="AL111" i="31"/>
  <c r="Y110" i="31"/>
  <c r="AO110" i="31"/>
  <c r="AP110" i="31" s="1"/>
  <c r="D110" i="31"/>
  <c r="K110" i="31"/>
  <c r="R110" i="31"/>
  <c r="AA184" i="29"/>
  <c r="AB184" i="29" s="1"/>
  <c r="AK111" i="31" l="1"/>
  <c r="AM111" i="31"/>
  <c r="AD111" i="31"/>
  <c r="W111" i="31"/>
  <c r="I111" i="31"/>
  <c r="P111" i="31"/>
  <c r="AA185" i="29"/>
  <c r="AB185" i="29" s="1"/>
  <c r="H112" i="31" l="1"/>
  <c r="AJ112" i="31"/>
  <c r="O112" i="31"/>
  <c r="V112" i="31"/>
  <c r="AA186" i="29"/>
  <c r="AB186" i="29" s="1"/>
  <c r="AN111" i="31" l="1"/>
  <c r="AC112" i="31"/>
  <c r="AA187" i="29"/>
  <c r="AB187" i="29" s="1"/>
  <c r="Y111" i="31" l="1"/>
  <c r="AL112" i="31"/>
  <c r="AF111" i="31"/>
  <c r="AO111" i="31"/>
  <c r="AP111" i="31" s="1"/>
  <c r="R111" i="31"/>
  <c r="D111" i="31"/>
  <c r="K111" i="31"/>
  <c r="AA188" i="29"/>
  <c r="AB188" i="29" s="1"/>
  <c r="AK112" i="31" l="1"/>
  <c r="AM112" i="31"/>
  <c r="AD112" i="31"/>
  <c r="W112" i="31"/>
  <c r="I112" i="31"/>
  <c r="P112" i="31"/>
  <c r="AA189" i="29"/>
  <c r="AB189" i="29" s="1"/>
  <c r="O113" i="31" l="1"/>
  <c r="H113" i="31"/>
  <c r="V113" i="31"/>
  <c r="AA190" i="29"/>
  <c r="AB190" i="29" s="1"/>
  <c r="AN112" i="31" l="1"/>
  <c r="AC113" i="31"/>
  <c r="AJ113" i="31"/>
  <c r="AA191" i="29"/>
  <c r="AB191" i="29" s="1"/>
  <c r="AL113" i="31" l="1"/>
  <c r="AO112" i="31"/>
  <c r="AP112" i="31" s="1"/>
  <c r="K112" i="31"/>
  <c r="D112" i="31"/>
  <c r="R112" i="31"/>
  <c r="AF112" i="31"/>
  <c r="Y112" i="31"/>
  <c r="AA192" i="29"/>
  <c r="AB192" i="29" s="1"/>
  <c r="AK113" i="31" l="1"/>
  <c r="AM113" i="31"/>
  <c r="AD113" i="31"/>
  <c r="W113" i="31"/>
  <c r="I113" i="31"/>
  <c r="P113" i="31"/>
  <c r="AA193" i="29"/>
  <c r="AB193" i="29" s="1"/>
  <c r="V114" i="31" l="1"/>
  <c r="O114" i="31"/>
  <c r="H114" i="31"/>
  <c r="AA194" i="29"/>
  <c r="AB194" i="29" s="1"/>
  <c r="AN113" i="31" l="1"/>
  <c r="AC114" i="31"/>
  <c r="AJ114" i="31"/>
  <c r="AA195" i="29"/>
  <c r="AB195" i="29" s="1"/>
  <c r="AL114" i="31" l="1"/>
  <c r="D113" i="31"/>
  <c r="AO113" i="31"/>
  <c r="AP113" i="31" s="1"/>
  <c r="R113" i="31"/>
  <c r="K113" i="31"/>
  <c r="AF113" i="31"/>
  <c r="Y113" i="31"/>
  <c r="AA196" i="29"/>
  <c r="AB196" i="29" s="1"/>
  <c r="AK114" i="31" l="1"/>
  <c r="AM114" i="31"/>
  <c r="AD114" i="31"/>
  <c r="W114" i="31"/>
  <c r="I114" i="31"/>
  <c r="P114" i="31"/>
  <c r="AA197" i="29"/>
  <c r="AB197" i="29" s="1"/>
  <c r="V115" i="31" l="1"/>
  <c r="O115" i="31"/>
  <c r="H115" i="31"/>
  <c r="AA198" i="29"/>
  <c r="AB198" i="29" s="1"/>
  <c r="AN114" i="31" l="1"/>
  <c r="AC115" i="31"/>
  <c r="AJ115" i="31"/>
  <c r="AA199" i="29"/>
  <c r="AB199" i="29" s="1"/>
  <c r="AF114" i="31" l="1"/>
  <c r="AL115" i="31"/>
  <c r="Y114" i="31"/>
  <c r="AO114" i="31"/>
  <c r="AP114" i="31" s="1"/>
  <c r="R114" i="31"/>
  <c r="D114" i="31"/>
  <c r="K114" i="31"/>
  <c r="AA200" i="29"/>
  <c r="AB200" i="29" s="1"/>
  <c r="AK115" i="31" l="1"/>
  <c r="AM115" i="31"/>
  <c r="AD115" i="31"/>
  <c r="W115" i="31"/>
  <c r="I115" i="31"/>
  <c r="P115" i="31"/>
  <c r="AA201" i="29"/>
  <c r="AB201" i="29" s="1"/>
  <c r="V116" i="31" l="1"/>
  <c r="O116" i="31"/>
  <c r="H116" i="31"/>
  <c r="AA202" i="29"/>
  <c r="AB202" i="29" s="1"/>
  <c r="AN115" i="31" l="1"/>
  <c r="AC116" i="31"/>
  <c r="AJ116" i="31"/>
  <c r="AA203" i="29"/>
  <c r="AB203" i="29" s="1"/>
  <c r="AL116" i="31" l="1"/>
  <c r="AO115" i="31"/>
  <c r="AP115" i="31" s="1"/>
  <c r="R115" i="31"/>
  <c r="K115" i="31"/>
  <c r="D115" i="31"/>
  <c r="AF115" i="31"/>
  <c r="Y115" i="31"/>
  <c r="AA204" i="29"/>
  <c r="AB204" i="29" s="1"/>
  <c r="AK116" i="31" l="1"/>
  <c r="AM116" i="31"/>
  <c r="AD116" i="31"/>
  <c r="W116" i="31"/>
  <c r="I116" i="31"/>
  <c r="P116" i="31"/>
  <c r="AA205" i="29"/>
  <c r="AB205" i="29" s="1"/>
  <c r="O117" i="31" l="1"/>
  <c r="V117" i="31"/>
  <c r="H117" i="31"/>
  <c r="AA206" i="29"/>
  <c r="AB206" i="29" s="1"/>
  <c r="AN116" i="31" l="1"/>
  <c r="AL117" i="31" s="1"/>
  <c r="AC117" i="31"/>
  <c r="AJ117" i="31"/>
  <c r="AA207" i="29"/>
  <c r="AB207" i="29" s="1"/>
  <c r="AO116" i="31" l="1"/>
  <c r="AP116" i="31" s="1"/>
  <c r="K116" i="31"/>
  <c r="D116" i="31"/>
  <c r="R116" i="31"/>
  <c r="AF116" i="31"/>
  <c r="Y116" i="31"/>
  <c r="AA208" i="29"/>
  <c r="AB208" i="29" s="1"/>
  <c r="AK117" i="31" l="1"/>
  <c r="AM117" i="31"/>
  <c r="AD117" i="31"/>
  <c r="W117" i="31"/>
  <c r="P117" i="31"/>
  <c r="I117" i="31"/>
  <c r="AA209" i="29"/>
  <c r="AB209" i="29" s="1"/>
  <c r="V118" i="31" l="1"/>
  <c r="H118" i="31"/>
  <c r="O118" i="31"/>
  <c r="AA210" i="29"/>
  <c r="AB210" i="29" s="1"/>
  <c r="AN117" i="31" l="1"/>
  <c r="AL118" i="31" s="1"/>
  <c r="AC118" i="31"/>
  <c r="AJ118" i="31"/>
  <c r="AA211" i="29"/>
  <c r="AB211" i="29" s="1"/>
  <c r="Y117" i="31" l="1"/>
  <c r="AO117" i="31"/>
  <c r="AP117" i="31" s="1"/>
  <c r="D117" i="31"/>
  <c r="K117" i="31"/>
  <c r="R117" i="31"/>
  <c r="AF117" i="31"/>
  <c r="AA212" i="29"/>
  <c r="AB212" i="29" s="1"/>
  <c r="AK118" i="31" l="1"/>
  <c r="AM118" i="31"/>
  <c r="AD118" i="31"/>
  <c r="W118" i="31"/>
  <c r="I118" i="31"/>
  <c r="P118" i="31"/>
  <c r="AA213" i="29"/>
  <c r="AB213" i="29" s="1"/>
  <c r="V119" i="31" l="1"/>
  <c r="O119" i="31"/>
  <c r="H119" i="31"/>
  <c r="AA214" i="29"/>
  <c r="AB214" i="29" s="1"/>
  <c r="AN118" i="31" l="1"/>
  <c r="AL119" i="31" s="1"/>
  <c r="AC119" i="31"/>
  <c r="AJ119" i="31"/>
  <c r="AA215" i="29"/>
  <c r="AB215" i="29" s="1"/>
  <c r="D118" i="31" l="1"/>
  <c r="AO118" i="31"/>
  <c r="AP118" i="31" s="1"/>
  <c r="R118" i="31"/>
  <c r="K118" i="31"/>
  <c r="AF118" i="31"/>
  <c r="Y118" i="31"/>
  <c r="AA216" i="29"/>
  <c r="AB216" i="29" s="1"/>
  <c r="AK119" i="31" l="1"/>
  <c r="AM119" i="31"/>
  <c r="AD119" i="31"/>
  <c r="W119" i="31"/>
  <c r="P119" i="31"/>
  <c r="I119" i="31"/>
  <c r="AA217" i="29"/>
  <c r="AB217" i="29" s="1"/>
  <c r="V120" i="31" l="1"/>
  <c r="H120" i="31"/>
  <c r="O120" i="31"/>
  <c r="AA218" i="29"/>
  <c r="AB218" i="29" s="1"/>
  <c r="AJ120" i="31" l="1"/>
  <c r="AN119" i="31"/>
  <c r="AC120" i="31"/>
  <c r="AA219" i="29"/>
  <c r="AB219" i="29" s="1"/>
  <c r="Y119" i="31" l="1"/>
  <c r="AL120" i="31"/>
  <c r="AO119" i="31"/>
  <c r="AP119" i="31" s="1"/>
  <c r="R119" i="31"/>
  <c r="D119" i="31"/>
  <c r="K119" i="31"/>
  <c r="AF119" i="31"/>
  <c r="AA220" i="29"/>
  <c r="AB220" i="29" s="1"/>
  <c r="AK120" i="31" l="1"/>
  <c r="AM120" i="31"/>
  <c r="AD120" i="31"/>
  <c r="W120" i="31"/>
  <c r="P120" i="31"/>
  <c r="I120" i="31"/>
  <c r="AA221" i="29"/>
  <c r="AB221" i="29" s="1"/>
  <c r="V121" i="31" l="1"/>
  <c r="H121" i="31"/>
  <c r="O121" i="31"/>
  <c r="AA222" i="29"/>
  <c r="AB222" i="29" s="1"/>
  <c r="AJ121" i="31" l="1"/>
  <c r="AN120" i="31"/>
  <c r="AC121" i="31"/>
  <c r="AA223" i="29"/>
  <c r="AB223" i="29" s="1"/>
  <c r="Y120" i="31" l="1"/>
  <c r="AL121" i="31"/>
  <c r="AO120" i="31"/>
  <c r="AP120" i="31" s="1"/>
  <c r="R120" i="31"/>
  <c r="K120" i="31"/>
  <c r="D120" i="31"/>
  <c r="AF120" i="31"/>
  <c r="AA224" i="29"/>
  <c r="AB224" i="29" s="1"/>
  <c r="AK121" i="31" l="1"/>
  <c r="AM121" i="31"/>
  <c r="AD121" i="31"/>
  <c r="W121" i="31"/>
  <c r="I121" i="31"/>
  <c r="P121" i="31"/>
  <c r="AA225" i="29"/>
  <c r="AB225" i="29" s="1"/>
  <c r="V122" i="31" l="1"/>
  <c r="O122" i="31"/>
  <c r="H122" i="31"/>
  <c r="AC122" i="31"/>
  <c r="AA226" i="29"/>
  <c r="AB226" i="29" s="1"/>
  <c r="AN121" i="31" l="1"/>
  <c r="AJ122" i="31"/>
  <c r="AA227" i="29"/>
  <c r="AB227" i="29" s="1"/>
  <c r="AF121" i="31" l="1"/>
  <c r="AL122" i="31"/>
  <c r="Y121" i="31"/>
  <c r="AO121" i="31"/>
  <c r="AP121" i="31" s="1"/>
  <c r="R121" i="31"/>
  <c r="K121" i="31"/>
  <c r="D121" i="31"/>
  <c r="AA228" i="29"/>
  <c r="AB228" i="29" s="1"/>
  <c r="AK122" i="31" l="1"/>
  <c r="AM122" i="31"/>
  <c r="AD122" i="31"/>
  <c r="W122" i="31"/>
  <c r="I122" i="31"/>
  <c r="P122" i="31"/>
  <c r="AA229" i="29"/>
  <c r="AB229" i="29" s="1"/>
  <c r="O123" i="31" l="1"/>
  <c r="V123" i="31"/>
  <c r="H123" i="31"/>
  <c r="AA230" i="29"/>
  <c r="AB230" i="29" s="1"/>
  <c r="AC123" i="31" l="1"/>
  <c r="AN122" i="31"/>
  <c r="AJ123" i="31"/>
  <c r="AA231" i="29"/>
  <c r="AB231" i="29" s="1"/>
  <c r="AF122" i="31" l="1"/>
  <c r="AL123" i="31"/>
  <c r="AO122" i="31"/>
  <c r="AP122" i="31" s="1"/>
  <c r="K122" i="31"/>
  <c r="D122" i="31"/>
  <c r="R122" i="31"/>
  <c r="Y122" i="31"/>
  <c r="AA232" i="29"/>
  <c r="AB232" i="29" s="1"/>
  <c r="AK123" i="31" l="1"/>
  <c r="AM123" i="31"/>
  <c r="AD123" i="31"/>
  <c r="W123" i="31"/>
  <c r="I123" i="31"/>
  <c r="P123" i="31"/>
  <c r="AA233" i="29"/>
  <c r="AB233" i="29" s="1"/>
  <c r="V124" i="31" l="1"/>
  <c r="AJ124" i="31"/>
  <c r="O124" i="31"/>
  <c r="AN123" i="31"/>
  <c r="H124" i="31"/>
  <c r="AA234" i="29"/>
  <c r="AB234" i="29" s="1"/>
  <c r="AF123" i="31" l="1"/>
  <c r="AO123" i="31"/>
  <c r="AP123" i="31" s="1"/>
  <c r="R123" i="31"/>
  <c r="D123" i="31"/>
  <c r="K123" i="31"/>
  <c r="AC124" i="31"/>
  <c r="AL124" i="31" s="1"/>
  <c r="AM124" i="31" s="1"/>
  <c r="Y123" i="31"/>
  <c r="AJ125" i="31"/>
  <c r="AA235" i="29"/>
  <c r="AB235" i="29" s="1"/>
  <c r="AN124" i="31" l="1"/>
  <c r="AC125" i="31"/>
  <c r="AA236" i="29"/>
  <c r="AB236" i="29" s="1"/>
  <c r="AL125" i="31" l="1"/>
  <c r="Y124" i="31"/>
  <c r="R124" i="31"/>
  <c r="K124" i="31"/>
  <c r="D124" i="31"/>
  <c r="AF124" i="31"/>
  <c r="AO124" i="31"/>
  <c r="AP124" i="31" s="1"/>
  <c r="AA237" i="29"/>
  <c r="AB237" i="29" s="1"/>
  <c r="AK125" i="31" l="1"/>
  <c r="AM125" i="31"/>
  <c r="AD125" i="31"/>
  <c r="W125" i="31"/>
  <c r="I125" i="31"/>
  <c r="P125" i="31"/>
  <c r="AA238" i="29"/>
  <c r="AB238" i="29" s="1"/>
  <c r="V126" i="31" l="1"/>
  <c r="O126" i="31"/>
  <c r="H126" i="31"/>
  <c r="AA239" i="29"/>
  <c r="AB239" i="29" s="1"/>
  <c r="AC126" i="31" l="1"/>
  <c r="AN125" i="31"/>
  <c r="AJ126" i="31"/>
  <c r="AA240" i="29"/>
  <c r="AB240" i="29" s="1"/>
  <c r="AF125" i="31" l="1"/>
  <c r="AL126" i="31"/>
  <c r="AO125" i="31"/>
  <c r="AP125" i="31" s="1"/>
  <c r="R125" i="31"/>
  <c r="D125" i="31"/>
  <c r="K125" i="31"/>
  <c r="Y125" i="31"/>
  <c r="AA241" i="29"/>
  <c r="AB241" i="29" s="1"/>
  <c r="AK126" i="31" l="1"/>
  <c r="AM126" i="31"/>
  <c r="AD126" i="31"/>
  <c r="W126" i="31"/>
  <c r="I126" i="31"/>
  <c r="P126" i="31"/>
  <c r="AA242" i="29"/>
  <c r="AB242" i="29" s="1"/>
  <c r="V127" i="31" l="1"/>
  <c r="O127" i="31"/>
  <c r="H127" i="31"/>
  <c r="AC127" i="31"/>
  <c r="AA243" i="29"/>
  <c r="AB243" i="29" s="1"/>
  <c r="AJ127" i="31" l="1"/>
  <c r="AN126" i="31"/>
  <c r="AL127" i="31" s="1"/>
  <c r="AA244" i="29"/>
  <c r="AB244" i="29" s="1"/>
  <c r="Y126" i="31" l="1"/>
  <c r="AO126" i="31"/>
  <c r="AP126" i="31" s="1"/>
  <c r="D126" i="31"/>
  <c r="K126" i="31"/>
  <c r="R126" i="31"/>
  <c r="AF126" i="31"/>
  <c r="AA245" i="29"/>
  <c r="AB245" i="29" s="1"/>
  <c r="AK127" i="31" l="1"/>
  <c r="AM127" i="31"/>
  <c r="AD127" i="31"/>
  <c r="W127" i="31"/>
  <c r="P127" i="31"/>
  <c r="I127" i="31"/>
  <c r="AA246" i="29"/>
  <c r="AB246" i="29" s="1"/>
  <c r="V128" i="31" l="1"/>
  <c r="H128" i="31"/>
  <c r="AN127" i="31"/>
  <c r="O128" i="31"/>
  <c r="AA247" i="29"/>
  <c r="AB247" i="29" s="1"/>
  <c r="AO127" i="31" l="1"/>
  <c r="AP127" i="31" s="1"/>
  <c r="R127" i="31"/>
  <c r="D127" i="31"/>
  <c r="K127" i="31"/>
  <c r="AJ128" i="31"/>
  <c r="AF127" i="31"/>
  <c r="AC128" i="31"/>
  <c r="AL128" i="31" s="1"/>
  <c r="AM128" i="31" s="1"/>
  <c r="Y127" i="31"/>
  <c r="AA248" i="29"/>
  <c r="AB248" i="29" s="1"/>
  <c r="AK128" i="31" l="1"/>
  <c r="AD128" i="31"/>
  <c r="W128" i="31"/>
  <c r="P128" i="31"/>
  <c r="I128" i="31"/>
  <c r="AA249" i="29"/>
  <c r="AB249" i="29" s="1"/>
  <c r="V129" i="31" l="1"/>
  <c r="H129" i="31"/>
  <c r="O129" i="31"/>
  <c r="AA250" i="29"/>
  <c r="AB250" i="29" s="1"/>
  <c r="AJ129" i="31" l="1"/>
  <c r="AN128" i="31"/>
  <c r="AC129" i="31"/>
  <c r="AA251" i="29"/>
  <c r="AB251" i="29" s="1"/>
  <c r="Y128" i="31" l="1"/>
  <c r="AL129" i="31"/>
  <c r="AO128" i="31"/>
  <c r="AP128" i="31" s="1"/>
  <c r="D128" i="31"/>
  <c r="R128" i="31"/>
  <c r="K128" i="31"/>
  <c r="AF128" i="31"/>
  <c r="AA252" i="29"/>
  <c r="AB252" i="29" s="1"/>
  <c r="AK129" i="31" l="1"/>
  <c r="AM129" i="31"/>
  <c r="AD129" i="31"/>
  <c r="W129" i="31"/>
  <c r="I129" i="31"/>
  <c r="P129" i="31"/>
  <c r="AA253" i="29"/>
  <c r="AB253" i="29" s="1"/>
  <c r="V130" i="31" l="1"/>
  <c r="O130" i="31"/>
  <c r="H130" i="31"/>
  <c r="AA254" i="29"/>
  <c r="AB254" i="29" s="1"/>
  <c r="AC130" i="31" l="1"/>
  <c r="AN129" i="31"/>
  <c r="AJ130" i="31"/>
  <c r="AA255" i="29"/>
  <c r="AB255" i="29" s="1"/>
  <c r="AF129" i="31" l="1"/>
  <c r="AL130" i="31"/>
  <c r="AO129" i="31"/>
  <c r="AP129" i="31" s="1"/>
  <c r="R129" i="31"/>
  <c r="K129" i="31"/>
  <c r="D129" i="31"/>
  <c r="Y129" i="31"/>
  <c r="AA256" i="29"/>
  <c r="AB256" i="29" s="1"/>
  <c r="AK130" i="31" l="1"/>
  <c r="AM130" i="31"/>
  <c r="AD130" i="31"/>
  <c r="W130" i="31"/>
  <c r="P130" i="31"/>
  <c r="I130" i="31"/>
  <c r="AA257" i="29"/>
  <c r="AB257" i="29" s="1"/>
  <c r="V131" i="31" l="1"/>
  <c r="H131" i="31"/>
  <c r="O131" i="31"/>
  <c r="AA258" i="29"/>
  <c r="AB258" i="29" s="1"/>
  <c r="AN130" i="31" l="1"/>
  <c r="AJ131" i="31"/>
  <c r="AC131" i="31"/>
  <c r="AA259" i="29"/>
  <c r="AB259" i="29" s="1"/>
  <c r="AL131" i="31" l="1"/>
  <c r="AM131" i="31" s="1"/>
  <c r="AF130" i="31"/>
  <c r="K130" i="31"/>
  <c r="AO130" i="31"/>
  <c r="AP130" i="31" s="1"/>
  <c r="D130" i="31"/>
  <c r="R130" i="31"/>
  <c r="Y130" i="31"/>
  <c r="AA260" i="29"/>
  <c r="AB260" i="29" s="1"/>
  <c r="I131" i="31" l="1"/>
  <c r="AD131" i="31"/>
  <c r="P131" i="31"/>
  <c r="W131" i="31"/>
  <c r="V132" i="31" s="1"/>
  <c r="AK131" i="31"/>
  <c r="H132" i="31"/>
  <c r="O132" i="31"/>
  <c r="AA261" i="29"/>
  <c r="AB261" i="29" s="1"/>
  <c r="AN131" i="31" l="1"/>
  <c r="K131" i="31"/>
  <c r="AO131" i="31"/>
  <c r="AP131" i="31" s="1"/>
  <c r="D131" i="31"/>
  <c r="R131" i="31"/>
  <c r="AJ132" i="31"/>
  <c r="AF131" i="31"/>
  <c r="AC132" i="31"/>
  <c r="Y131" i="31"/>
  <c r="AA262" i="29"/>
  <c r="AB262" i="29" s="1"/>
  <c r="AL132" i="31" l="1"/>
  <c r="AM132" i="31" s="1"/>
  <c r="AD132" i="31"/>
  <c r="W132" i="31"/>
  <c r="I132" i="31"/>
  <c r="P132" i="31"/>
  <c r="AA263" i="29"/>
  <c r="AB263" i="29" s="1"/>
  <c r="AK132" i="31" l="1"/>
  <c r="O133" i="31"/>
  <c r="H133" i="31"/>
  <c r="V133" i="31"/>
  <c r="AA264" i="29"/>
  <c r="AB264" i="29" s="1"/>
  <c r="AC133" i="31" l="1"/>
  <c r="AN132" i="31"/>
  <c r="AJ133" i="31"/>
  <c r="AA265" i="29"/>
  <c r="AB265" i="29" s="1"/>
  <c r="Y132" i="31" l="1"/>
  <c r="AL133" i="31"/>
  <c r="AF132" i="31"/>
  <c r="D132" i="31"/>
  <c r="AO132" i="31"/>
  <c r="AP132" i="31" s="1"/>
  <c r="K132" i="31"/>
  <c r="R132" i="31"/>
  <c r="AA266" i="29"/>
  <c r="AB266" i="29" s="1"/>
  <c r="AK133" i="31" l="1"/>
  <c r="AM133" i="31"/>
  <c r="AD133" i="31"/>
  <c r="W133" i="31"/>
  <c r="P133" i="31"/>
  <c r="I133" i="31"/>
  <c r="AA267" i="29"/>
  <c r="AB267" i="29" s="1"/>
  <c r="H134" i="31" l="1"/>
  <c r="O134" i="31"/>
  <c r="V134" i="31"/>
  <c r="AA268" i="29"/>
  <c r="AB268" i="29" s="1"/>
  <c r="AJ134" i="31" l="1"/>
  <c r="AN133" i="31"/>
  <c r="AC134" i="31"/>
  <c r="AA269" i="29"/>
  <c r="AB269" i="29" s="1"/>
  <c r="AF133" i="31" l="1"/>
  <c r="AL134" i="31"/>
  <c r="Y133" i="31"/>
  <c r="AO133" i="31"/>
  <c r="AP133" i="31" s="1"/>
  <c r="K133" i="31"/>
  <c r="R133" i="31"/>
  <c r="D133" i="31"/>
  <c r="AA270" i="29"/>
  <c r="AB270" i="29" s="1"/>
  <c r="AK134" i="31" l="1"/>
  <c r="AM134" i="31"/>
  <c r="AD134" i="31"/>
  <c r="W134" i="31"/>
  <c r="I134" i="31"/>
  <c r="P134" i="31"/>
  <c r="AA271" i="29"/>
  <c r="AB271" i="29" s="1"/>
  <c r="H135" i="31" l="1"/>
  <c r="AN134" i="31"/>
  <c r="O135" i="31"/>
  <c r="V135" i="31"/>
  <c r="AA272" i="29"/>
  <c r="AB272" i="29" s="1"/>
  <c r="AO134" i="31" l="1"/>
  <c r="AP134" i="31" s="1"/>
  <c r="R134" i="31"/>
  <c r="D134" i="31"/>
  <c r="K134" i="31"/>
  <c r="AC135" i="31"/>
  <c r="AL135" i="31" s="1"/>
  <c r="AM135" i="31" s="1"/>
  <c r="Y134" i="31"/>
  <c r="AJ135" i="31"/>
  <c r="AF134" i="31"/>
  <c r="AA273" i="29"/>
  <c r="AB273" i="29" s="1"/>
  <c r="AK135" i="31" l="1"/>
  <c r="AD135" i="31"/>
  <c r="W135" i="31"/>
  <c r="P135" i="31"/>
  <c r="I135" i="31"/>
  <c r="AA274" i="29"/>
  <c r="AB274" i="29" s="1"/>
  <c r="H136" i="31" l="1"/>
  <c r="AJ136" i="31"/>
  <c r="O136" i="31"/>
  <c r="V136" i="31"/>
  <c r="AA275" i="29"/>
  <c r="AB275" i="29" s="1"/>
  <c r="AN135" i="31" l="1"/>
  <c r="AC136" i="31"/>
  <c r="AA276" i="29"/>
  <c r="AB276" i="29" s="1"/>
  <c r="Y135" i="31" l="1"/>
  <c r="AL136" i="31"/>
  <c r="AF135" i="31"/>
  <c r="AO135" i="31"/>
  <c r="AP135" i="31" s="1"/>
  <c r="R135" i="31"/>
  <c r="K135" i="31"/>
  <c r="D135" i="31"/>
  <c r="AA277" i="29"/>
  <c r="AB277" i="29" s="1"/>
  <c r="AK136" i="31" l="1"/>
  <c r="AM136" i="31"/>
  <c r="AD136" i="31"/>
  <c r="W136" i="31"/>
  <c r="P136" i="31"/>
  <c r="I136" i="31"/>
  <c r="AA278" i="29"/>
  <c r="AB278" i="29" s="1"/>
  <c r="H137" i="31" l="1"/>
  <c r="O137" i="31"/>
  <c r="V137" i="31"/>
  <c r="AA279" i="29"/>
  <c r="AB279" i="29" s="1"/>
  <c r="AJ137" i="31" l="1"/>
  <c r="AN136" i="31"/>
  <c r="AL137" i="31" s="1"/>
  <c r="AC137" i="31"/>
  <c r="AA280" i="29"/>
  <c r="AB280" i="29" s="1"/>
  <c r="AO136" i="31" l="1"/>
  <c r="AP136" i="31" s="1"/>
  <c r="R136" i="31"/>
  <c r="D136" i="31"/>
  <c r="K136" i="31"/>
  <c r="Y136" i="31"/>
  <c r="AF136" i="31"/>
  <c r="AA281" i="29"/>
  <c r="AB281" i="29" s="1"/>
  <c r="AK137" i="31" l="1"/>
  <c r="AM137" i="31"/>
  <c r="AD137" i="31"/>
  <c r="W137" i="31"/>
  <c r="P137" i="31"/>
  <c r="I137" i="31"/>
  <c r="AA282" i="29"/>
  <c r="AB282" i="29" s="1"/>
  <c r="AC138" i="31" l="1"/>
  <c r="H138" i="31"/>
  <c r="O138" i="31"/>
  <c r="V138" i="31"/>
  <c r="AA283" i="29"/>
  <c r="AB283" i="29" s="1"/>
  <c r="AJ138" i="31" l="1"/>
  <c r="AN137" i="31"/>
  <c r="AL138" i="31" s="1"/>
  <c r="AA284" i="29"/>
  <c r="AB284" i="29" s="1"/>
  <c r="Y137" i="31" l="1"/>
  <c r="AO137" i="31"/>
  <c r="AP137" i="31" s="1"/>
  <c r="R137" i="31"/>
  <c r="D137" i="31"/>
  <c r="K137" i="31"/>
  <c r="AF137" i="31"/>
  <c r="AA285" i="29"/>
  <c r="AB285" i="29" s="1"/>
  <c r="AK138" i="31" l="1"/>
  <c r="AM138" i="31"/>
  <c r="AD138" i="31"/>
  <c r="W138" i="31"/>
  <c r="P138" i="31"/>
  <c r="I138" i="31"/>
  <c r="AA286" i="29"/>
  <c r="AB286" i="29" s="1"/>
  <c r="H139" i="31" l="1"/>
  <c r="AC139" i="31"/>
  <c r="O139" i="31"/>
  <c r="V139" i="31"/>
  <c r="AA287" i="29"/>
  <c r="AB287" i="29" s="1"/>
  <c r="AJ139" i="31" l="1"/>
  <c r="AN138" i="31"/>
  <c r="AL139" i="31" s="1"/>
  <c r="AA288" i="29"/>
  <c r="AB288" i="29" s="1"/>
  <c r="Y138" i="31" l="1"/>
  <c r="AO138" i="31"/>
  <c r="AP138" i="31" s="1"/>
  <c r="R138" i="31"/>
  <c r="D138" i="31"/>
  <c r="K138" i="31"/>
  <c r="AF138" i="31"/>
  <c r="AA289" i="29"/>
  <c r="AB289" i="29" s="1"/>
  <c r="AK139" i="31" l="1"/>
  <c r="AM139" i="31"/>
  <c r="AD139" i="31"/>
  <c r="W139" i="31"/>
  <c r="P139" i="31"/>
  <c r="I139" i="31"/>
  <c r="AA290" i="29"/>
  <c r="AB290" i="29" s="1"/>
  <c r="H140" i="31" l="1"/>
  <c r="AJ140" i="31"/>
  <c r="O140" i="31"/>
  <c r="V140" i="31"/>
  <c r="AA291" i="29"/>
  <c r="AB291" i="29" s="1"/>
  <c r="AN139" i="31" l="1"/>
  <c r="AC140" i="31"/>
  <c r="AA292" i="29"/>
  <c r="AB292" i="29" s="1"/>
  <c r="AF139" i="31" l="1"/>
  <c r="AL140" i="31"/>
  <c r="Y139" i="31"/>
  <c r="D139" i="31"/>
  <c r="K139" i="31"/>
  <c r="R139" i="31"/>
  <c r="AO139" i="31"/>
  <c r="AP139" i="31" s="1"/>
  <c r="AA293" i="29"/>
  <c r="AB293" i="29" s="1"/>
  <c r="AK140" i="31" l="1"/>
  <c r="AM140" i="31"/>
  <c r="P140" i="31"/>
  <c r="AD140" i="31"/>
  <c r="W140" i="31"/>
  <c r="V141" i="31" s="1"/>
  <c r="I140" i="31"/>
  <c r="O141" i="31"/>
  <c r="AA294" i="29"/>
  <c r="AB294" i="29" s="1"/>
  <c r="AN140" i="31" l="1"/>
  <c r="H141" i="31"/>
  <c r="AJ141" i="31"/>
  <c r="AC141" i="31"/>
  <c r="AA295" i="29"/>
  <c r="AB295" i="29" s="1"/>
  <c r="AL141" i="31" l="1"/>
  <c r="K140" i="31"/>
  <c r="D140" i="31"/>
  <c r="R140" i="31"/>
  <c r="AF140" i="31"/>
  <c r="AO140" i="31"/>
  <c r="AP140" i="31" s="1"/>
  <c r="Y140" i="31"/>
  <c r="AA296" i="29"/>
  <c r="AB296" i="29" s="1"/>
  <c r="AK141" i="31" l="1"/>
  <c r="AM141" i="31"/>
  <c r="AD141" i="31"/>
  <c r="I141" i="31"/>
  <c r="H142" i="31" s="1"/>
  <c r="P141" i="31"/>
  <c r="W141" i="31"/>
  <c r="V142" i="31" s="1"/>
  <c r="AA297" i="29"/>
  <c r="AB297" i="29" s="1"/>
  <c r="AC142" i="31" l="1"/>
  <c r="O142" i="31"/>
  <c r="AN141" i="31"/>
  <c r="AJ142" i="31"/>
  <c r="AA298" i="29"/>
  <c r="AB298" i="29" s="1"/>
  <c r="AF141" i="31" l="1"/>
  <c r="AL142" i="31"/>
  <c r="Y141" i="31"/>
  <c r="AO141" i="31"/>
  <c r="AP141" i="31" s="1"/>
  <c r="R141" i="31"/>
  <c r="K141" i="31"/>
  <c r="D141" i="31"/>
  <c r="AA299" i="29"/>
  <c r="AB299" i="29" s="1"/>
  <c r="AK142" i="31" l="1"/>
  <c r="AM142" i="31"/>
  <c r="AD142" i="31"/>
  <c r="W142" i="31"/>
  <c r="I142" i="31"/>
  <c r="P142" i="31"/>
  <c r="AA300" i="29"/>
  <c r="AB300" i="29" s="1"/>
  <c r="AJ143" i="31" l="1"/>
  <c r="O143" i="31"/>
  <c r="H143" i="31"/>
  <c r="V143" i="31"/>
  <c r="AA301" i="29"/>
  <c r="AB301" i="29" s="1"/>
  <c r="AN142" i="31" l="1"/>
  <c r="AC143" i="31"/>
  <c r="AA302" i="29"/>
  <c r="AB302" i="29" s="1"/>
  <c r="AF142" i="31" l="1"/>
  <c r="AL143" i="31"/>
  <c r="Y142" i="31"/>
  <c r="D142" i="31"/>
  <c r="K142" i="31"/>
  <c r="R142" i="31"/>
  <c r="AO142" i="31"/>
  <c r="AP142" i="31" s="1"/>
  <c r="AA303" i="29"/>
  <c r="AB303" i="29" s="1"/>
  <c r="AK143" i="31" l="1"/>
  <c r="AM143" i="31"/>
  <c r="W143" i="31"/>
  <c r="V144" i="31" s="1"/>
  <c r="I143" i="31"/>
  <c r="H144" i="31" s="1"/>
  <c r="AD143" i="31"/>
  <c r="P143" i="31"/>
  <c r="AJ144" i="31" s="1"/>
  <c r="AA304" i="29"/>
  <c r="AB304" i="29" s="1"/>
  <c r="O144" i="31" l="1"/>
  <c r="AN143" i="31"/>
  <c r="D143" i="31"/>
  <c r="AC144" i="31"/>
  <c r="Y143" i="31"/>
  <c r="AA305" i="29"/>
  <c r="AB305" i="29" s="1"/>
  <c r="AF143" i="31" l="1"/>
  <c r="AL144" i="31"/>
  <c r="R143" i="31"/>
  <c r="K143" i="31"/>
  <c r="AO143" i="31"/>
  <c r="AP143" i="31" s="1"/>
  <c r="P144" i="31"/>
  <c r="AA306" i="29"/>
  <c r="AB306" i="29" s="1"/>
  <c r="AK144" i="31" l="1"/>
  <c r="AM144" i="31"/>
  <c r="W144" i="31"/>
  <c r="V145" i="31" s="1"/>
  <c r="AD144" i="31"/>
  <c r="I144" i="31"/>
  <c r="O145" i="31"/>
  <c r="AA307" i="29"/>
  <c r="AB307" i="29" s="1"/>
  <c r="H145" i="31" l="1"/>
  <c r="AN144" i="31"/>
  <c r="AC145" i="31"/>
  <c r="AJ145" i="31"/>
  <c r="AA308" i="29"/>
  <c r="AB308" i="29" s="1"/>
  <c r="AO144" i="31" l="1"/>
  <c r="AP144" i="31" s="1"/>
  <c r="AL145" i="31"/>
  <c r="I145" i="31" s="1"/>
  <c r="Y144" i="31"/>
  <c r="D144" i="31"/>
  <c r="K144" i="31"/>
  <c r="R144" i="31"/>
  <c r="AF144" i="31"/>
  <c r="W145" i="31"/>
  <c r="AA309" i="29"/>
  <c r="AB309" i="29" s="1"/>
  <c r="AK145" i="31" l="1"/>
  <c r="AM145" i="31"/>
  <c r="AD145" i="31"/>
  <c r="P145" i="31"/>
  <c r="H146" i="31"/>
  <c r="V146" i="31"/>
  <c r="AA310" i="29"/>
  <c r="AB310" i="29" s="1"/>
  <c r="AJ146" i="31" l="1"/>
  <c r="O146" i="31"/>
  <c r="AC146" i="31"/>
  <c r="AN145" i="31"/>
  <c r="AL146" i="31" s="1"/>
  <c r="AA311" i="29"/>
  <c r="AB311" i="29" s="1"/>
  <c r="AF145" i="31" l="1"/>
  <c r="AO145" i="31"/>
  <c r="AP145" i="31" s="1"/>
  <c r="R145" i="31"/>
  <c r="D145" i="31"/>
  <c r="K145" i="31"/>
  <c r="Y145" i="31"/>
  <c r="AA312" i="29"/>
  <c r="AB312" i="29" s="1"/>
  <c r="AK146" i="31" l="1"/>
  <c r="AM146" i="31"/>
  <c r="AD146" i="31"/>
  <c r="W146" i="31"/>
  <c r="I146" i="31"/>
  <c r="P146" i="31"/>
  <c r="AA313" i="29"/>
  <c r="AB313" i="29" s="1"/>
  <c r="AJ147" i="31" l="1"/>
  <c r="O147" i="31"/>
  <c r="H147" i="31"/>
  <c r="V147" i="31"/>
  <c r="AA314" i="29"/>
  <c r="AB314" i="29" s="1"/>
  <c r="AN146" i="31" l="1"/>
  <c r="AC147" i="31"/>
  <c r="AA315" i="29"/>
  <c r="AB315" i="29" s="1"/>
  <c r="AF146" i="31" l="1"/>
  <c r="AL147" i="31"/>
  <c r="Y146" i="31"/>
  <c r="D146" i="31"/>
  <c r="R146" i="31"/>
  <c r="AO146" i="31"/>
  <c r="AP146" i="31" s="1"/>
  <c r="K146" i="31"/>
  <c r="AA316" i="29"/>
  <c r="AB316" i="29" s="1"/>
  <c r="AK147" i="31" l="1"/>
  <c r="AM147" i="31"/>
  <c r="AD147" i="31"/>
  <c r="P147" i="31"/>
  <c r="W147" i="31"/>
  <c r="V148" i="31" s="1"/>
  <c r="I147" i="31"/>
  <c r="AA317" i="29"/>
  <c r="AB317" i="29" s="1"/>
  <c r="O148" i="31" l="1"/>
  <c r="H148" i="31"/>
  <c r="AN147" i="31"/>
  <c r="AC148" i="31"/>
  <c r="AJ148" i="31"/>
  <c r="AA318" i="29"/>
  <c r="AB318" i="29" s="1"/>
  <c r="Y147" i="31" l="1"/>
  <c r="AL148" i="31"/>
  <c r="AF147" i="31"/>
  <c r="AO147" i="31"/>
  <c r="AP147" i="31" s="1"/>
  <c r="K147" i="31"/>
  <c r="D147" i="31"/>
  <c r="R147" i="31"/>
  <c r="AA319" i="29"/>
  <c r="AB319" i="29" s="1"/>
  <c r="AK148" i="31" l="1"/>
  <c r="AM148" i="31"/>
  <c r="AD148" i="31"/>
  <c r="W148" i="31"/>
  <c r="I148" i="31"/>
  <c r="P148" i="31"/>
  <c r="AA320" i="29"/>
  <c r="AB320" i="29" s="1"/>
  <c r="O149" i="31" l="1"/>
  <c r="H149" i="31"/>
  <c r="V149" i="31"/>
  <c r="AA321" i="29"/>
  <c r="AB321" i="29" s="1"/>
  <c r="AC149" i="31" l="1"/>
  <c r="AN148" i="31"/>
  <c r="AL149" i="31" s="1"/>
  <c r="AJ149" i="31"/>
  <c r="AA322" i="29"/>
  <c r="AB322" i="29" s="1"/>
  <c r="AO148" i="31" l="1"/>
  <c r="AP148" i="31" s="1"/>
  <c r="R148" i="31"/>
  <c r="K148" i="31"/>
  <c r="D148" i="31"/>
  <c r="AF148" i="31"/>
  <c r="Y148" i="31"/>
  <c r="AA323" i="29"/>
  <c r="AB323" i="29" s="1"/>
  <c r="AK149" i="31" l="1"/>
  <c r="AM149" i="31"/>
  <c r="AD149" i="31"/>
  <c r="W149" i="31"/>
  <c r="I149" i="31"/>
  <c r="P149" i="31"/>
  <c r="AA324" i="29"/>
  <c r="AB324" i="29" s="1"/>
  <c r="O150" i="31" l="1"/>
  <c r="H150" i="31"/>
  <c r="AN149" i="31"/>
  <c r="V150" i="31"/>
  <c r="AA325" i="29"/>
  <c r="AB325" i="29" s="1"/>
  <c r="AO149" i="31" l="1"/>
  <c r="AP149" i="31" s="1"/>
  <c r="R149" i="31"/>
  <c r="K149" i="31"/>
  <c r="D149" i="31"/>
  <c r="AC150" i="31"/>
  <c r="AL150" i="31" s="1"/>
  <c r="AM150" i="31" s="1"/>
  <c r="Y149" i="31"/>
  <c r="AJ150" i="31"/>
  <c r="AF149" i="31"/>
  <c r="AA326" i="29"/>
  <c r="AB326" i="29" s="1"/>
  <c r="AK150" i="31" l="1"/>
  <c r="AD150" i="31"/>
  <c r="W150" i="31"/>
  <c r="I150" i="31"/>
  <c r="P150" i="31"/>
  <c r="AA327" i="29"/>
  <c r="AB327" i="29" s="1"/>
  <c r="O151" i="31" l="1"/>
  <c r="H151" i="31"/>
  <c r="V151" i="31"/>
  <c r="AA328" i="29"/>
  <c r="AB328" i="29" s="1"/>
  <c r="AC151" i="31" l="1"/>
  <c r="AN150" i="31"/>
  <c r="AJ151" i="31"/>
  <c r="AA329" i="29"/>
  <c r="AB329" i="29" s="1"/>
  <c r="AF150" i="31" l="1"/>
  <c r="AL151" i="31"/>
  <c r="AO150" i="31"/>
  <c r="AP150" i="31" s="1"/>
  <c r="R150" i="31"/>
  <c r="K150" i="31"/>
  <c r="D150" i="31"/>
  <c r="Y150" i="31"/>
  <c r="AA330" i="29"/>
  <c r="AB330" i="29" s="1"/>
  <c r="AK151" i="31" l="1"/>
  <c r="AM151" i="31"/>
  <c r="AD151" i="31"/>
  <c r="W151" i="31"/>
  <c r="P151" i="31"/>
  <c r="I151" i="31"/>
  <c r="AA331" i="29"/>
  <c r="AB331" i="29" s="1"/>
  <c r="H152" i="31" l="1"/>
  <c r="O152" i="31"/>
  <c r="V152" i="31"/>
  <c r="AA332" i="29"/>
  <c r="AB332" i="29" s="1"/>
  <c r="AN151" i="31" l="1"/>
  <c r="AJ152" i="31"/>
  <c r="AC152" i="31"/>
  <c r="AA333" i="29"/>
  <c r="AB333" i="29" s="1"/>
  <c r="AL152" i="31" l="1"/>
  <c r="AM152" i="31" s="1"/>
  <c r="AK152" i="31"/>
  <c r="AD152" i="31"/>
  <c r="AF151" i="31"/>
  <c r="K151" i="31"/>
  <c r="D151" i="31"/>
  <c r="R151" i="31"/>
  <c r="AO151" i="31"/>
  <c r="AP151" i="31" s="1"/>
  <c r="Y151" i="31"/>
  <c r="W152" i="31"/>
  <c r="I152" i="31"/>
  <c r="P152" i="31"/>
  <c r="AA334" i="29"/>
  <c r="AB334" i="29" s="1"/>
  <c r="AJ153" i="31" l="1"/>
  <c r="O153" i="31"/>
  <c r="H153" i="31"/>
  <c r="V153" i="31"/>
  <c r="AA335" i="29"/>
  <c r="AB335" i="29" s="1"/>
  <c r="AC153" i="31" l="1"/>
  <c r="AN152" i="31"/>
  <c r="AL153" i="31" s="1"/>
  <c r="AA336" i="29"/>
  <c r="AB336" i="29" s="1"/>
  <c r="AF152" i="31" l="1"/>
  <c r="AO152" i="31"/>
  <c r="AP152" i="31" s="1"/>
  <c r="R152" i="31"/>
  <c r="K152" i="31"/>
  <c r="D152" i="31"/>
  <c r="Y152" i="31"/>
  <c r="AA337" i="29"/>
  <c r="AB337" i="29" s="1"/>
  <c r="AK153" i="31" l="1"/>
  <c r="AM153" i="31"/>
  <c r="AD153" i="31"/>
  <c r="W153" i="31"/>
  <c r="I153" i="31"/>
  <c r="P153" i="31"/>
  <c r="AA338" i="29"/>
  <c r="AB338" i="29" s="1"/>
  <c r="AJ154" i="31" l="1"/>
  <c r="O154" i="31"/>
  <c r="H154" i="31"/>
  <c r="V154" i="31"/>
  <c r="AA339" i="29"/>
  <c r="AB339" i="29" s="1"/>
  <c r="AN153" i="31" l="1"/>
  <c r="AC154" i="31"/>
  <c r="AA340" i="29"/>
  <c r="AB340" i="29" s="1"/>
  <c r="AF153" i="31" l="1"/>
  <c r="AL154" i="31"/>
  <c r="Y153" i="31"/>
  <c r="R153" i="31"/>
  <c r="K153" i="31"/>
  <c r="D153" i="31"/>
  <c r="AO153" i="31"/>
  <c r="AP153" i="31" s="1"/>
  <c r="AA341" i="29"/>
  <c r="AB341" i="29" s="1"/>
  <c r="AK154" i="31" l="1"/>
  <c r="AM154" i="31"/>
  <c r="W154" i="31"/>
  <c r="V155" i="31" s="1"/>
  <c r="I154" i="31"/>
  <c r="AD154" i="31"/>
  <c r="P154" i="31"/>
  <c r="H155" i="31"/>
  <c r="AA342" i="29"/>
  <c r="AB342" i="29" s="1"/>
  <c r="AN154" i="31" l="1"/>
  <c r="O155" i="31"/>
  <c r="AC155" i="31"/>
  <c r="AJ155" i="31"/>
  <c r="AA343" i="29"/>
  <c r="AB343" i="29" s="1"/>
  <c r="AF154" i="31" l="1"/>
  <c r="AL155" i="31"/>
  <c r="D154" i="31"/>
  <c r="K154" i="31"/>
  <c r="Y154" i="31"/>
  <c r="R154" i="31"/>
  <c r="AO154" i="31"/>
  <c r="AP154" i="31" s="1"/>
  <c r="AM155" i="31"/>
  <c r="AA344" i="29"/>
  <c r="AB344" i="29" s="1"/>
  <c r="I155" i="31" l="1"/>
  <c r="AK155" i="31"/>
  <c r="W155" i="31"/>
  <c r="V156" i="31" s="1"/>
  <c r="AD155" i="31"/>
  <c r="P155" i="31"/>
  <c r="O156" i="31" s="1"/>
  <c r="H156" i="31"/>
  <c r="AA345" i="29"/>
  <c r="AB345" i="29" s="1"/>
  <c r="AN155" i="31" l="1"/>
  <c r="AC156" i="31"/>
  <c r="AJ156" i="31"/>
  <c r="AA346" i="29"/>
  <c r="AB346" i="29" s="1"/>
  <c r="AL156" i="31" l="1"/>
  <c r="AK156" i="31" s="1"/>
  <c r="AD156" i="31"/>
  <c r="D155" i="31"/>
  <c r="R155" i="31"/>
  <c r="AO155" i="31"/>
  <c r="AP155" i="31" s="1"/>
  <c r="Y155" i="31"/>
  <c r="K155" i="31"/>
  <c r="AF155" i="31"/>
  <c r="W156" i="31"/>
  <c r="I156" i="31"/>
  <c r="P156" i="31"/>
  <c r="AA347" i="29"/>
  <c r="AB347" i="29" s="1"/>
  <c r="AM156" i="31" l="1"/>
  <c r="O157" i="31"/>
  <c r="H157" i="31"/>
  <c r="V157" i="31"/>
  <c r="AA348" i="29"/>
  <c r="AB348" i="29" s="1"/>
  <c r="AN156" i="31" l="1"/>
  <c r="AC157" i="31"/>
  <c r="AJ157" i="31"/>
  <c r="AA349" i="29"/>
  <c r="AB349" i="29" s="1"/>
  <c r="Y156" i="31" l="1"/>
  <c r="AL157" i="31"/>
  <c r="AF156" i="31"/>
  <c r="AO156" i="31"/>
  <c r="AP156" i="31" s="1"/>
  <c r="K156" i="31"/>
  <c r="R156" i="31"/>
  <c r="D156" i="31"/>
  <c r="AA350" i="29"/>
  <c r="AB350" i="29" s="1"/>
  <c r="AK157" i="31" l="1"/>
  <c r="AM157" i="31"/>
  <c r="AD157" i="31"/>
  <c r="W157" i="31"/>
  <c r="I157" i="31"/>
  <c r="P157" i="31"/>
  <c r="AA351" i="29"/>
  <c r="AB351" i="29" s="1"/>
  <c r="O158" i="31" l="1"/>
  <c r="H158" i="31"/>
  <c r="V158" i="31"/>
  <c r="AA352" i="29"/>
  <c r="AB352" i="29" s="1"/>
  <c r="AN157" i="31" l="1"/>
  <c r="AL158" i="31" s="1"/>
  <c r="AC158" i="31"/>
  <c r="AJ158" i="31"/>
  <c r="AA353" i="29"/>
  <c r="AB353" i="29" s="1"/>
  <c r="AO157" i="31" l="1"/>
  <c r="AP157" i="31" s="1"/>
  <c r="K157" i="31"/>
  <c r="R157" i="31"/>
  <c r="D157" i="31"/>
  <c r="AF157" i="31"/>
  <c r="Y157" i="31"/>
  <c r="AA354" i="29"/>
  <c r="AB354" i="29" s="1"/>
  <c r="AK158" i="31" l="1"/>
  <c r="AM158" i="31"/>
  <c r="AD158" i="31"/>
  <c r="W158" i="31"/>
  <c r="I158" i="31"/>
  <c r="P158" i="31"/>
  <c r="AA355" i="29"/>
  <c r="AB355" i="29" s="1"/>
  <c r="V159" i="31" l="1"/>
  <c r="O159" i="31"/>
  <c r="H159" i="31"/>
  <c r="AC159" i="31"/>
  <c r="AA356" i="29"/>
  <c r="AB356" i="29" s="1"/>
  <c r="AN158" i="31" l="1"/>
  <c r="AL159" i="31" s="1"/>
  <c r="AJ159" i="31"/>
  <c r="AA357" i="29"/>
  <c r="AB357" i="29" s="1"/>
  <c r="Y158" i="31" l="1"/>
  <c r="AO158" i="31"/>
  <c r="AP158" i="31" s="1"/>
  <c r="R158" i="31"/>
  <c r="D158" i="31"/>
  <c r="K158" i="31"/>
  <c r="AF158" i="31"/>
  <c r="AA358" i="29"/>
  <c r="AB358" i="29" s="1"/>
  <c r="AK159" i="31" l="1"/>
  <c r="AM159" i="31"/>
  <c r="AD159" i="31"/>
  <c r="W159" i="31"/>
  <c r="I159" i="31"/>
  <c r="P159" i="31"/>
  <c r="AA359" i="29"/>
  <c r="AB359" i="29" s="1"/>
  <c r="V160" i="31" l="1"/>
  <c r="O160" i="31"/>
  <c r="H160" i="31"/>
  <c r="AA360" i="29"/>
  <c r="AB360" i="29" s="1"/>
  <c r="AC160" i="31" l="1"/>
  <c r="AN159" i="31"/>
  <c r="AJ160" i="31"/>
  <c r="AA361" i="29"/>
  <c r="AB361" i="29" s="1"/>
  <c r="AF159" i="31" l="1"/>
  <c r="AL160" i="31"/>
  <c r="AO159" i="31"/>
  <c r="AP159" i="31" s="1"/>
  <c r="R159" i="31"/>
  <c r="K159" i="31"/>
  <c r="D159" i="31"/>
  <c r="Y159" i="31"/>
  <c r="AA362" i="29"/>
  <c r="AB362" i="29" s="1"/>
  <c r="AK160" i="31" l="1"/>
  <c r="AM160" i="31"/>
  <c r="AD160" i="31"/>
  <c r="W160" i="31"/>
  <c r="I160" i="31"/>
  <c r="P160" i="31"/>
  <c r="AA363" i="29"/>
  <c r="AB363" i="29" s="1"/>
  <c r="AN160" i="31" l="1"/>
  <c r="O161" i="31"/>
  <c r="H161" i="31"/>
  <c r="V161" i="31"/>
  <c r="AA364" i="29"/>
  <c r="AB364" i="29" s="1"/>
  <c r="AO160" i="31" l="1"/>
  <c r="AP160" i="31" s="1"/>
  <c r="K160" i="31"/>
  <c r="R160" i="31"/>
  <c r="D160" i="31"/>
  <c r="AJ161" i="31"/>
  <c r="AF160" i="31"/>
  <c r="AC161" i="31"/>
  <c r="AL161" i="31" s="1"/>
  <c r="AM161" i="31" s="1"/>
  <c r="Y160" i="31"/>
  <c r="AA365" i="29"/>
  <c r="AB365" i="29" s="1"/>
  <c r="AK161" i="31" l="1"/>
  <c r="AD161" i="31"/>
  <c r="W161" i="31"/>
  <c r="I161" i="31"/>
  <c r="P161" i="31"/>
  <c r="AA366" i="29"/>
  <c r="AB366" i="29" s="1"/>
  <c r="V162" i="31" l="1"/>
  <c r="O162" i="31"/>
  <c r="H162" i="31"/>
  <c r="AA367" i="29"/>
  <c r="AB367" i="29" s="1"/>
  <c r="AC162" i="31" l="1"/>
  <c r="AN161" i="31"/>
  <c r="AJ162" i="31"/>
  <c r="AA368" i="29"/>
  <c r="AB368" i="29" s="1"/>
  <c r="AF161" i="31" l="1"/>
  <c r="AL162" i="31"/>
  <c r="D161" i="31"/>
  <c r="AO161" i="31"/>
  <c r="AP161" i="31" s="1"/>
  <c r="R161" i="31"/>
  <c r="K161" i="31"/>
  <c r="Y161" i="31"/>
  <c r="AA369" i="29"/>
  <c r="AB369" i="29" s="1"/>
  <c r="AK162" i="31" l="1"/>
  <c r="AM162" i="31"/>
  <c r="AD162" i="31"/>
  <c r="W162" i="31"/>
  <c r="I162" i="31"/>
  <c r="P162" i="31"/>
  <c r="AA370" i="29"/>
  <c r="AB370" i="29" s="1"/>
  <c r="V163" i="31" l="1"/>
  <c r="AN162" i="31"/>
  <c r="O163" i="31"/>
  <c r="H163" i="31"/>
  <c r="AA371" i="29"/>
  <c r="AB371" i="29" s="1"/>
  <c r="AO162" i="31" l="1"/>
  <c r="AP162" i="31" s="1"/>
  <c r="R162" i="31"/>
  <c r="K162" i="31"/>
  <c r="D162" i="31"/>
  <c r="AC163" i="31"/>
  <c r="AL163" i="31" s="1"/>
  <c r="AM163" i="31" s="1"/>
  <c r="Y162" i="31"/>
  <c r="AJ163" i="31"/>
  <c r="AF162" i="31"/>
  <c r="AA372" i="29"/>
  <c r="AB372" i="29" s="1"/>
  <c r="AK163" i="31" l="1"/>
  <c r="AD163" i="31"/>
  <c r="W163" i="31"/>
  <c r="V164" i="31" s="1"/>
  <c r="I163" i="31"/>
  <c r="P163" i="31"/>
  <c r="AA373" i="29"/>
  <c r="AB373" i="29" s="1"/>
  <c r="AN163" i="31" l="1"/>
  <c r="O164" i="31"/>
  <c r="H164" i="31"/>
  <c r="AA374" i="29"/>
  <c r="AB374" i="29" s="1"/>
  <c r="AL164" i="31" l="1"/>
  <c r="R163" i="31"/>
  <c r="AO163" i="31"/>
  <c r="AP163" i="31" s="1"/>
  <c r="K163" i="31"/>
  <c r="D163" i="31"/>
  <c r="AJ164" i="31"/>
  <c r="AF163" i="31"/>
  <c r="AC164" i="31"/>
  <c r="Y163" i="31"/>
  <c r="AA375" i="29"/>
  <c r="AB375" i="29" s="1"/>
  <c r="AK164" i="31" l="1"/>
  <c r="AM164" i="31"/>
  <c r="AD164" i="31"/>
  <c r="W164" i="31"/>
  <c r="P164" i="31"/>
  <c r="I164" i="31"/>
  <c r="AA376" i="29"/>
  <c r="AB376" i="29" s="1"/>
  <c r="V165" i="31" l="1"/>
  <c r="H165" i="31"/>
  <c r="O165" i="31"/>
  <c r="AN164" i="31"/>
  <c r="AA377" i="29"/>
  <c r="AB377" i="29" s="1"/>
  <c r="AO164" i="31" l="1"/>
  <c r="AP164" i="31" s="1"/>
  <c r="K164" i="31"/>
  <c r="R164" i="31"/>
  <c r="D164" i="31"/>
  <c r="AJ165" i="31"/>
  <c r="AF164" i="31"/>
  <c r="AC165" i="31"/>
  <c r="AL165" i="31" s="1"/>
  <c r="AM165" i="31" s="1"/>
  <c r="Y164" i="31"/>
  <c r="AA378" i="29"/>
  <c r="AB378" i="29" s="1"/>
  <c r="AK165" i="31" l="1"/>
  <c r="AD165" i="31"/>
  <c r="W165" i="31"/>
  <c r="P165" i="31"/>
  <c r="I165" i="31"/>
  <c r="AA379" i="29"/>
  <c r="AB379" i="29" s="1"/>
  <c r="AA380" i="29"/>
  <c r="H166" i="31" l="1"/>
  <c r="O166" i="31"/>
  <c r="V166" i="31"/>
  <c r="AB380" i="29"/>
  <c r="AC166" i="31" l="1"/>
  <c r="AJ166" i="31"/>
  <c r="AN165" i="31"/>
  <c r="AL166" i="31" s="1"/>
  <c r="AO165" i="31" l="1"/>
  <c r="AP165" i="31" s="1"/>
  <c r="R165" i="31"/>
  <c r="K165" i="31"/>
  <c r="D165" i="31"/>
  <c r="Y165" i="31"/>
  <c r="AF165" i="31"/>
  <c r="AK166" i="31" l="1"/>
  <c r="AM166" i="31"/>
  <c r="AD166" i="31"/>
  <c r="W166" i="31"/>
  <c r="I166" i="31"/>
  <c r="P166" i="31"/>
  <c r="AJ167" i="31" l="1"/>
  <c r="O167" i="31"/>
  <c r="H167" i="31"/>
  <c r="V167" i="31"/>
  <c r="AN166" i="31" l="1"/>
  <c r="AC167" i="31"/>
  <c r="D166" i="31" l="1"/>
  <c r="AL167" i="31"/>
  <c r="R166" i="31"/>
  <c r="K166" i="31"/>
  <c r="AO166" i="31"/>
  <c r="AP166" i="31" s="1"/>
  <c r="AF166" i="31"/>
  <c r="Y166" i="31"/>
  <c r="AK167" i="31" l="1"/>
  <c r="AM167" i="31"/>
  <c r="P167" i="31"/>
  <c r="O168" i="31" s="1"/>
  <c r="AD167" i="31"/>
  <c r="I167" i="31"/>
  <c r="H168" i="31" s="1"/>
  <c r="W167" i="31"/>
  <c r="V168" i="31" s="1"/>
  <c r="AC168" i="31" l="1"/>
  <c r="AN167" i="31"/>
  <c r="AJ168" i="31"/>
  <c r="AF167" i="31" l="1"/>
  <c r="AL168" i="31"/>
  <c r="Y167" i="31"/>
  <c r="AO167" i="31"/>
  <c r="AP167" i="31" s="1"/>
  <c r="R167" i="31"/>
  <c r="K167" i="31"/>
  <c r="D167" i="31"/>
  <c r="AK168" i="31" l="1"/>
  <c r="AM168" i="31"/>
  <c r="AD168" i="31"/>
  <c r="W168" i="31"/>
  <c r="I168" i="31"/>
  <c r="P168" i="31"/>
  <c r="V169" i="31" l="1"/>
  <c r="AJ169" i="31"/>
  <c r="O169" i="31"/>
  <c r="H169" i="31"/>
  <c r="AN168" i="31" l="1"/>
  <c r="K168" i="31"/>
  <c r="AC169" i="31"/>
  <c r="Y168" i="31"/>
  <c r="AF168" i="31" l="1"/>
  <c r="AL169" i="31"/>
  <c r="R168" i="31"/>
  <c r="D168" i="31"/>
  <c r="AO168" i="31"/>
  <c r="AP168" i="31" s="1"/>
  <c r="AK169" i="31" l="1"/>
  <c r="AM169" i="31"/>
  <c r="W169" i="31"/>
  <c r="AD169" i="31"/>
  <c r="I169" i="31"/>
  <c r="P169" i="31"/>
  <c r="AJ170" i="31" s="1"/>
  <c r="V170" i="31"/>
  <c r="H170" i="31" l="1"/>
  <c r="O170" i="31"/>
  <c r="AC170" i="31"/>
  <c r="AN169" i="31"/>
  <c r="AL170" i="31" s="1"/>
  <c r="AF169" i="31" l="1"/>
  <c r="AO169" i="31"/>
  <c r="AP169" i="31" s="1"/>
  <c r="D169" i="31"/>
  <c r="R169" i="31"/>
  <c r="K169" i="31"/>
  <c r="Y169" i="31"/>
  <c r="AK170" i="31" l="1"/>
  <c r="AM170" i="31"/>
  <c r="AD170" i="31"/>
  <c r="W170" i="31"/>
  <c r="I170" i="31"/>
  <c r="P170" i="31"/>
  <c r="V171" i="31" l="1"/>
  <c r="O171" i="31"/>
  <c r="H171" i="31"/>
  <c r="AN170" i="31" l="1"/>
  <c r="AC171" i="31"/>
  <c r="AJ171" i="31"/>
  <c r="AF170" i="31" l="1"/>
  <c r="AL171" i="31"/>
  <c r="AO170" i="31"/>
  <c r="AP170" i="31" s="1"/>
  <c r="R170" i="31"/>
  <c r="K170" i="31"/>
  <c r="D170" i="31"/>
  <c r="Y170" i="31"/>
  <c r="AK171" i="31" l="1"/>
  <c r="AM171" i="31"/>
  <c r="AD171" i="31"/>
  <c r="W171" i="31"/>
  <c r="I171" i="31"/>
  <c r="P171" i="31"/>
  <c r="AN171" i="31" l="1"/>
  <c r="O172" i="31"/>
  <c r="H172" i="31"/>
  <c r="V172" i="31"/>
  <c r="AO171" i="31" l="1"/>
  <c r="AP171" i="31" s="1"/>
  <c r="K171" i="31"/>
  <c r="R171" i="31"/>
  <c r="D171" i="31"/>
  <c r="AC172" i="31"/>
  <c r="Y171" i="31"/>
  <c r="AJ172" i="31"/>
  <c r="AL172" i="31" s="1"/>
  <c r="AM172" i="31" s="1"/>
  <c r="AF171" i="31"/>
  <c r="AK172" i="31" l="1"/>
  <c r="AD172" i="31"/>
  <c r="W172" i="31"/>
  <c r="P172" i="31"/>
  <c r="I172" i="31"/>
  <c r="V173" i="31" l="1"/>
  <c r="H173" i="31"/>
  <c r="AN172" i="31"/>
  <c r="O173" i="31"/>
  <c r="AL173" i="31" l="1"/>
  <c r="AM173" i="31" s="1"/>
  <c r="AO172" i="31"/>
  <c r="AP172" i="31" s="1"/>
  <c r="K172" i="31"/>
  <c r="R172" i="31"/>
  <c r="D172" i="31"/>
  <c r="AJ173" i="31"/>
  <c r="AF172" i="31"/>
  <c r="AC173" i="31"/>
  <c r="Y172" i="31"/>
  <c r="AK173" i="31" l="1"/>
  <c r="AD173" i="31"/>
  <c r="W173" i="31"/>
  <c r="I173" i="31"/>
  <c r="P173" i="31"/>
  <c r="V174" i="31" l="1"/>
  <c r="H174" i="31"/>
  <c r="O174" i="31"/>
  <c r="AJ174" i="31" l="1"/>
  <c r="AN173" i="31"/>
  <c r="AC174" i="31"/>
  <c r="Y173" i="31" l="1"/>
  <c r="AL174" i="31"/>
  <c r="AO173" i="31"/>
  <c r="AP173" i="31" s="1"/>
  <c r="R173" i="31"/>
  <c r="D173" i="31"/>
  <c r="K173" i="31"/>
  <c r="AF173" i="31"/>
  <c r="AK174" i="31" l="1"/>
  <c r="AM174" i="31"/>
  <c r="AD174" i="31"/>
  <c r="W174" i="31"/>
  <c r="I174" i="31"/>
  <c r="P174" i="31"/>
  <c r="V175" i="31" l="1"/>
  <c r="AN174" i="31"/>
  <c r="O175" i="31"/>
  <c r="H175" i="31"/>
  <c r="K174" i="31" l="1"/>
  <c r="AC175" i="31"/>
  <c r="AL175" i="31" s="1"/>
  <c r="Y174" i="31"/>
  <c r="AJ175" i="31"/>
  <c r="AF174" i="31"/>
  <c r="AO174" i="31"/>
  <c r="AP174" i="31" s="1"/>
  <c r="R174" i="31"/>
  <c r="D174" i="31"/>
  <c r="AK175" i="31" l="1"/>
  <c r="AM175" i="31"/>
  <c r="AD175" i="31"/>
  <c r="W175" i="31"/>
  <c r="P175" i="31"/>
  <c r="I175" i="31"/>
  <c r="H176" i="31" l="1"/>
  <c r="AJ176" i="31"/>
  <c r="O176" i="31"/>
  <c r="V176" i="31"/>
  <c r="AN175" i="31" l="1"/>
  <c r="AC176" i="31"/>
  <c r="AF175" i="31" l="1"/>
  <c r="AL176" i="31"/>
  <c r="Y175" i="31"/>
  <c r="K175" i="31"/>
  <c r="R175" i="31"/>
  <c r="D175" i="31"/>
  <c r="AO175" i="31"/>
  <c r="AP175" i="31" s="1"/>
  <c r="AK176" i="31" l="1"/>
  <c r="AJ177" i="31" s="1"/>
  <c r="AM176" i="31"/>
  <c r="P176" i="31"/>
  <c r="O177" i="31" s="1"/>
  <c r="AD176" i="31"/>
  <c r="I176" i="31"/>
  <c r="W176" i="31"/>
  <c r="V177" i="31" s="1"/>
  <c r="AN176" i="31" l="1"/>
  <c r="H177" i="31"/>
  <c r="AC177" i="31"/>
  <c r="AO176" i="31" l="1"/>
  <c r="AP176" i="31" s="1"/>
  <c r="AL177" i="31"/>
  <c r="Y176" i="31"/>
  <c r="K176" i="31"/>
  <c r="R176" i="31"/>
  <c r="AF176" i="31"/>
  <c r="D176" i="31"/>
  <c r="AD177" i="31"/>
  <c r="W177" i="31"/>
  <c r="P177" i="31"/>
  <c r="AK177" i="31" l="1"/>
  <c r="AM177" i="31"/>
  <c r="I177" i="31"/>
  <c r="V178" i="31"/>
  <c r="AC178" i="31"/>
  <c r="H178" i="31"/>
  <c r="O178" i="31"/>
  <c r="AJ178" i="31" l="1"/>
  <c r="AN177" i="31"/>
  <c r="AL178" i="31" s="1"/>
  <c r="Y177" i="31" l="1"/>
  <c r="AO177" i="31"/>
  <c r="AP177" i="31" s="1"/>
  <c r="R177" i="31"/>
  <c r="D177" i="31"/>
  <c r="K177" i="31"/>
  <c r="AF177" i="31"/>
  <c r="AK178" i="31" l="1"/>
  <c r="AM178" i="31"/>
  <c r="AD178" i="31"/>
  <c r="W178" i="31"/>
  <c r="I178" i="31"/>
  <c r="P178" i="31"/>
  <c r="AJ179" i="31" l="1"/>
  <c r="O179" i="31"/>
  <c r="H179" i="31"/>
  <c r="V179" i="31"/>
  <c r="AN178" i="31" l="1"/>
  <c r="AC179" i="31"/>
  <c r="AF178" i="31" l="1"/>
  <c r="AL179" i="31"/>
  <c r="I179" i="31" s="1"/>
  <c r="Y178" i="31"/>
  <c r="D178" i="31"/>
  <c r="R178" i="31"/>
  <c r="K178" i="31"/>
  <c r="AO178" i="31"/>
  <c r="AP178" i="31" s="1"/>
  <c r="W179" i="31"/>
  <c r="AK179" i="31" l="1"/>
  <c r="AM179" i="31"/>
  <c r="AD179" i="31"/>
  <c r="P179" i="31"/>
  <c r="V180" i="31"/>
  <c r="H180" i="31"/>
  <c r="AN179" i="31" l="1"/>
  <c r="O180" i="31"/>
  <c r="AC180" i="31"/>
  <c r="AJ180" i="31"/>
  <c r="Y179" i="31" l="1"/>
  <c r="AL180" i="31"/>
  <c r="K179" i="31"/>
  <c r="R179" i="31"/>
  <c r="AO179" i="31"/>
  <c r="AP179" i="31" s="1"/>
  <c r="D179" i="31"/>
  <c r="W180" i="31"/>
  <c r="AF179" i="31"/>
  <c r="AK180" i="31" l="1"/>
  <c r="AM180" i="31"/>
  <c r="P180" i="31"/>
  <c r="AD180" i="31"/>
  <c r="I180" i="31"/>
  <c r="AN180" i="31" s="1"/>
  <c r="O181" i="31"/>
  <c r="V181" i="31"/>
  <c r="D180" i="31" l="1"/>
  <c r="H181" i="31"/>
  <c r="AO180" i="31"/>
  <c r="AP180" i="31" s="1"/>
  <c r="AC181" i="31"/>
  <c r="Y180" i="31"/>
  <c r="K180" i="31"/>
  <c r="R180" i="31"/>
  <c r="AJ181" i="31"/>
  <c r="AF180" i="31"/>
  <c r="AL181" i="31" l="1"/>
  <c r="AM181" i="31" s="1"/>
  <c r="AK181" i="31"/>
  <c r="AD181" i="31"/>
  <c r="W181" i="31"/>
  <c r="I181" i="31"/>
  <c r="P181" i="31"/>
  <c r="V182" i="31" l="1"/>
  <c r="O182" i="31"/>
  <c r="H182" i="31"/>
  <c r="AN181" i="31" l="1"/>
  <c r="AC182" i="31"/>
  <c r="AJ182" i="31"/>
  <c r="Y181" i="31" l="1"/>
  <c r="AL182" i="31"/>
  <c r="AF181" i="31"/>
  <c r="AO181" i="31"/>
  <c r="AP181" i="31" s="1"/>
  <c r="R181" i="31"/>
  <c r="D181" i="31"/>
  <c r="K181" i="31"/>
  <c r="AK182" i="31" l="1"/>
  <c r="AM182" i="31"/>
  <c r="AD182" i="31"/>
  <c r="W182" i="31"/>
  <c r="I182" i="31"/>
  <c r="P182" i="31"/>
  <c r="AJ183" i="31" l="1"/>
  <c r="O183" i="31"/>
  <c r="H183" i="31"/>
  <c r="V183" i="31"/>
  <c r="AN182" i="31" l="1"/>
  <c r="AC183" i="31"/>
  <c r="AF182" i="31" l="1"/>
  <c r="AL183" i="31"/>
  <c r="R182" i="31"/>
  <c r="D182" i="31"/>
  <c r="AM183" i="31"/>
  <c r="K182" i="31"/>
  <c r="AO182" i="31"/>
  <c r="AP182" i="31" s="1"/>
  <c r="Y182" i="31"/>
  <c r="AK183" i="31" l="1"/>
  <c r="W183" i="31"/>
  <c r="V184" i="31" s="1"/>
  <c r="I183" i="31"/>
  <c r="H184" i="31" s="1"/>
  <c r="AD183" i="31"/>
  <c r="P183" i="31"/>
  <c r="O184" i="31" s="1"/>
  <c r="AN183" i="31" l="1"/>
  <c r="AL184" i="31" s="1"/>
  <c r="AC184" i="31"/>
  <c r="AJ184" i="31"/>
  <c r="Y183" i="31" l="1"/>
  <c r="K183" i="31"/>
  <c r="AO183" i="31"/>
  <c r="AP183" i="31" s="1"/>
  <c r="R183" i="31"/>
  <c r="D183" i="31"/>
  <c r="AF183" i="31"/>
  <c r="W184" i="31"/>
  <c r="AK184" i="31" l="1"/>
  <c r="AM184" i="31"/>
  <c r="I184" i="31"/>
  <c r="H185" i="31" s="1"/>
  <c r="AD184" i="31"/>
  <c r="AC185" i="31" s="1"/>
  <c r="P184" i="31"/>
  <c r="O185" i="31" s="1"/>
  <c r="V185" i="31"/>
  <c r="AJ185" i="31" l="1"/>
  <c r="AN184" i="31"/>
  <c r="AL185" i="31" s="1"/>
  <c r="Y184" i="31" l="1"/>
  <c r="AO184" i="31"/>
  <c r="AP184" i="31" s="1"/>
  <c r="D184" i="31"/>
  <c r="R184" i="31"/>
  <c r="K184" i="31"/>
  <c r="AF184" i="31"/>
  <c r="AK185" i="31" l="1"/>
  <c r="AM185" i="31"/>
  <c r="AD185" i="31"/>
  <c r="W185" i="31"/>
  <c r="I185" i="31"/>
  <c r="P185" i="31"/>
  <c r="AN185" i="31" l="1"/>
  <c r="O186" i="31"/>
  <c r="H186" i="31"/>
  <c r="V186" i="31"/>
  <c r="AO185" i="31" l="1"/>
  <c r="AP185" i="31" s="1"/>
  <c r="K185" i="31"/>
  <c r="R185" i="31"/>
  <c r="D185" i="31"/>
  <c r="AC186" i="31"/>
  <c r="AL186" i="31" s="1"/>
  <c r="AM186" i="31" s="1"/>
  <c r="Y185" i="31"/>
  <c r="AJ186" i="31"/>
  <c r="AF185" i="31"/>
  <c r="AK186" i="31" l="1"/>
  <c r="AD186" i="31"/>
  <c r="W186" i="31"/>
  <c r="I186" i="31"/>
  <c r="P186" i="31"/>
  <c r="AJ187" i="31" l="1"/>
  <c r="O187" i="31"/>
  <c r="H187" i="31"/>
  <c r="V187" i="31"/>
  <c r="AN186" i="31" l="1"/>
  <c r="AC187" i="31"/>
  <c r="AF186" i="31" l="1"/>
  <c r="AL187" i="31"/>
  <c r="D186" i="31"/>
  <c r="K186" i="31"/>
  <c r="R186" i="31"/>
  <c r="AO186" i="31"/>
  <c r="AP186" i="31" s="1"/>
  <c r="Y186" i="31"/>
  <c r="AK187" i="31" l="1"/>
  <c r="AM187" i="31"/>
  <c r="I187" i="31"/>
  <c r="H188" i="31" s="1"/>
  <c r="AD187" i="31"/>
  <c r="P187" i="31"/>
  <c r="W187" i="31"/>
  <c r="V188" i="31" s="1"/>
  <c r="AJ188" i="31" l="1"/>
  <c r="O188" i="31"/>
  <c r="AN187" i="31"/>
  <c r="AC188" i="31"/>
  <c r="AF187" i="31" l="1"/>
  <c r="AL188" i="31"/>
  <c r="Y187" i="31"/>
  <c r="K187" i="31"/>
  <c r="AO187" i="31"/>
  <c r="AP187" i="31" s="1"/>
  <c r="D187" i="31"/>
  <c r="R187" i="31"/>
  <c r="W188" i="31"/>
  <c r="AK188" i="31" l="1"/>
  <c r="AM188" i="31"/>
  <c r="I188" i="31"/>
  <c r="H189" i="31" s="1"/>
  <c r="AD188" i="31"/>
  <c r="P188" i="31"/>
  <c r="O189" i="31" s="1"/>
  <c r="V189" i="31"/>
  <c r="AJ189" i="31" l="1"/>
  <c r="AN188" i="31"/>
  <c r="AC189" i="31"/>
  <c r="Y188" i="31" l="1"/>
  <c r="AL189" i="31"/>
  <c r="AO188" i="31"/>
  <c r="AP188" i="31" s="1"/>
  <c r="K188" i="31"/>
  <c r="D188" i="31"/>
  <c r="R188" i="31"/>
  <c r="AF188" i="31"/>
  <c r="AK189" i="31" l="1"/>
  <c r="AM189" i="31"/>
  <c r="AD189" i="31"/>
  <c r="W189" i="31"/>
  <c r="I189" i="31"/>
  <c r="P189" i="31"/>
  <c r="O190" i="31" l="1"/>
  <c r="H190" i="31"/>
  <c r="V190" i="31"/>
  <c r="AC190" i="31" l="1"/>
  <c r="AN189" i="31"/>
  <c r="AJ190" i="31"/>
  <c r="AF189" i="31" l="1"/>
  <c r="AL190" i="31"/>
  <c r="AO189" i="31"/>
  <c r="AP189" i="31" s="1"/>
  <c r="R189" i="31"/>
  <c r="D189" i="31"/>
  <c r="K189" i="31"/>
  <c r="Y189" i="31"/>
  <c r="AK190" i="31" l="1"/>
  <c r="AM190" i="31"/>
  <c r="AD190" i="31"/>
  <c r="W190" i="31"/>
  <c r="I190" i="31"/>
  <c r="P190" i="31"/>
  <c r="O191" i="31" l="1"/>
  <c r="H191" i="31"/>
  <c r="AC191" i="31"/>
  <c r="V191" i="31"/>
  <c r="AN190" i="31" l="1"/>
  <c r="AJ191" i="31"/>
  <c r="AF190" i="31" l="1"/>
  <c r="AL191" i="31"/>
  <c r="Y190" i="31"/>
  <c r="AO190" i="31"/>
  <c r="AP190" i="31" s="1"/>
  <c r="R190" i="31"/>
  <c r="K190" i="31"/>
  <c r="D190" i="31"/>
  <c r="AK191" i="31" l="1"/>
  <c r="AM191" i="31"/>
  <c r="AD191" i="31"/>
  <c r="W191" i="31"/>
  <c r="P191" i="31"/>
  <c r="I191" i="31"/>
  <c r="H192" i="31" l="1"/>
  <c r="AJ192" i="31"/>
  <c r="O192" i="31"/>
  <c r="V192" i="31"/>
  <c r="AN191" i="31" l="1"/>
  <c r="AC192" i="31"/>
  <c r="AF191" i="31" l="1"/>
  <c r="AL192" i="31"/>
  <c r="K191" i="31"/>
  <c r="D191" i="31"/>
  <c r="R191" i="31"/>
  <c r="AO191" i="31"/>
  <c r="AP191" i="31" s="1"/>
  <c r="Y191" i="31"/>
  <c r="AK192" i="31" l="1"/>
  <c r="AM192" i="31"/>
  <c r="P192" i="31"/>
  <c r="O193" i="31" s="1"/>
  <c r="AD192" i="31"/>
  <c r="W192" i="31"/>
  <c r="V193" i="31" s="1"/>
  <c r="I192" i="31"/>
  <c r="H193" i="31" l="1"/>
  <c r="AC193" i="31"/>
  <c r="AN192" i="31"/>
  <c r="AJ193" i="31"/>
  <c r="AF192" i="31" l="1"/>
  <c r="AL193" i="31"/>
  <c r="AO192" i="31"/>
  <c r="AP192" i="31" s="1"/>
  <c r="R192" i="31"/>
  <c r="D192" i="31"/>
  <c r="K192" i="31"/>
  <c r="Y192" i="31"/>
  <c r="AK193" i="31" l="1"/>
  <c r="AM193" i="31"/>
  <c r="AD193" i="31"/>
  <c r="W193" i="31"/>
  <c r="I193" i="31"/>
  <c r="P193" i="31"/>
  <c r="O194" i="31" l="1"/>
  <c r="H194" i="31"/>
  <c r="AC194" i="31"/>
  <c r="V194" i="31"/>
  <c r="AN193" i="31" l="1"/>
  <c r="AJ194" i="31"/>
  <c r="AF193" i="31" l="1"/>
  <c r="AL194" i="31"/>
  <c r="Y193" i="31"/>
  <c r="AO193" i="31"/>
  <c r="AP193" i="31" s="1"/>
  <c r="R193" i="31"/>
  <c r="K193" i="31"/>
  <c r="D193" i="31"/>
  <c r="AK194" i="31" l="1"/>
  <c r="AM194" i="31"/>
  <c r="AD194" i="31"/>
  <c r="W194" i="31"/>
  <c r="I194" i="31"/>
  <c r="P194" i="31"/>
  <c r="O195" i="31" l="1"/>
  <c r="H195" i="31"/>
  <c r="V195" i="31"/>
  <c r="AC195" i="31" l="1"/>
  <c r="AN194" i="31"/>
  <c r="AJ195" i="31"/>
  <c r="AF194" i="31" l="1"/>
  <c r="AL195" i="31"/>
  <c r="AO194" i="31"/>
  <c r="AP194" i="31" s="1"/>
  <c r="R194" i="31"/>
  <c r="K194" i="31"/>
  <c r="D194" i="31"/>
  <c r="Y194" i="31"/>
  <c r="AK195" i="31" l="1"/>
  <c r="AM195" i="31"/>
  <c r="AD195" i="31"/>
  <c r="W195" i="31"/>
  <c r="I195" i="31"/>
  <c r="P195" i="31"/>
  <c r="O196" i="31" l="1"/>
  <c r="H196" i="31"/>
  <c r="V196" i="31"/>
  <c r="AN195" i="31" l="1"/>
  <c r="AC196" i="31"/>
  <c r="AJ196" i="31"/>
  <c r="AF195" i="31" l="1"/>
  <c r="AL196" i="31"/>
  <c r="Y195" i="31"/>
  <c r="D195" i="31"/>
  <c r="AO195" i="31"/>
  <c r="AP195" i="31" s="1"/>
  <c r="K195" i="31"/>
  <c r="R195" i="31"/>
  <c r="AK196" i="31" l="1"/>
  <c r="AM196" i="31"/>
  <c r="AD196" i="31"/>
  <c r="W196" i="31"/>
  <c r="I196" i="31"/>
  <c r="P196" i="31"/>
  <c r="O197" i="31" l="1"/>
  <c r="H197" i="31"/>
  <c r="V197" i="31"/>
  <c r="AN196" i="31" l="1"/>
  <c r="AC197" i="31"/>
  <c r="AJ197" i="31"/>
  <c r="AL197" i="31" l="1"/>
  <c r="AK197" i="31"/>
  <c r="AM197" i="31"/>
  <c r="AD197" i="31"/>
  <c r="Y196" i="31"/>
  <c r="AF196" i="31"/>
  <c r="D196" i="31"/>
  <c r="R196" i="31"/>
  <c r="K196" i="31"/>
  <c r="AO196" i="31"/>
  <c r="AP196" i="31" s="1"/>
  <c r="W197" i="31"/>
  <c r="I197" i="31"/>
  <c r="P197" i="31"/>
  <c r="AN197" i="31" l="1"/>
  <c r="O198" i="31"/>
  <c r="H198" i="31"/>
  <c r="V198" i="31"/>
  <c r="AO197" i="31" l="1"/>
  <c r="AP197" i="31" s="1"/>
  <c r="R197" i="31"/>
  <c r="K197" i="31"/>
  <c r="D197" i="31"/>
  <c r="AC198" i="31"/>
  <c r="AL198" i="31" s="1"/>
  <c r="AM198" i="31" s="1"/>
  <c r="Y197" i="31"/>
  <c r="AJ198" i="31"/>
  <c r="AF197" i="31"/>
  <c r="AK198" i="31" l="1"/>
  <c r="AD198" i="31"/>
  <c r="W198" i="31"/>
  <c r="I198" i="31"/>
  <c r="P198" i="31"/>
  <c r="AN198" i="31" l="1"/>
  <c r="O199" i="31"/>
  <c r="H199" i="31"/>
  <c r="V199" i="31"/>
  <c r="K198" i="31" l="1"/>
  <c r="AL199" i="31"/>
  <c r="AC199" i="31"/>
  <c r="Y198" i="31"/>
  <c r="D198" i="31"/>
  <c r="AM199" i="31"/>
  <c r="AO198" i="31"/>
  <c r="AP198" i="31" s="1"/>
  <c r="R198" i="31"/>
  <c r="AJ199" i="31"/>
  <c r="AF198" i="31"/>
  <c r="AK199" i="31" l="1"/>
  <c r="AD199" i="31"/>
  <c r="W199" i="31"/>
  <c r="I199" i="31"/>
  <c r="P199" i="31"/>
  <c r="O200" i="31" l="1"/>
  <c r="H200" i="31"/>
  <c r="AC200" i="31"/>
  <c r="V200" i="31"/>
  <c r="AN199" i="31" l="1"/>
  <c r="AJ200" i="31"/>
  <c r="AF199" i="31" l="1"/>
  <c r="AL200" i="31"/>
  <c r="Y199" i="31"/>
  <c r="AO199" i="31"/>
  <c r="AP199" i="31" s="1"/>
  <c r="R199" i="31"/>
  <c r="K199" i="31"/>
  <c r="D199" i="31"/>
  <c r="AK200" i="31" l="1"/>
  <c r="AM200" i="31"/>
  <c r="AD200" i="31"/>
  <c r="W200" i="31"/>
  <c r="I200" i="31"/>
  <c r="P200" i="31"/>
  <c r="O201" i="31" l="1"/>
  <c r="H201" i="31"/>
  <c r="V201" i="31"/>
  <c r="AC201" i="31" l="1"/>
  <c r="AN200" i="31"/>
  <c r="AJ201" i="31"/>
  <c r="AF200" i="31" l="1"/>
  <c r="AL201" i="31"/>
  <c r="AO200" i="31"/>
  <c r="AP200" i="31" s="1"/>
  <c r="R200" i="31"/>
  <c r="K200" i="31"/>
  <c r="D200" i="31"/>
  <c r="Y200" i="31"/>
  <c r="AK201" i="31" l="1"/>
  <c r="AM201" i="31"/>
  <c r="AD201" i="31"/>
  <c r="W201" i="31"/>
  <c r="I201" i="31"/>
  <c r="P201" i="31"/>
  <c r="O202" i="31" l="1"/>
  <c r="H202" i="31"/>
  <c r="V202" i="31"/>
  <c r="AC202" i="31" l="1"/>
  <c r="AN201" i="31"/>
  <c r="AJ202" i="31"/>
  <c r="AF201" i="31" l="1"/>
  <c r="AL202" i="31"/>
  <c r="AO201" i="31"/>
  <c r="AP201" i="31" s="1"/>
  <c r="R201" i="31"/>
  <c r="K201" i="31"/>
  <c r="D201" i="31"/>
  <c r="Y201" i="31"/>
  <c r="AK202" i="31" l="1"/>
  <c r="AM202" i="31"/>
  <c r="AD202" i="31"/>
  <c r="W202" i="31"/>
  <c r="I202" i="31"/>
  <c r="P202" i="31"/>
  <c r="O203" i="31" l="1"/>
  <c r="H203" i="31"/>
  <c r="V203" i="31"/>
  <c r="AN202" i="31" l="1"/>
  <c r="AC203" i="31"/>
  <c r="AJ203" i="31"/>
  <c r="AF202" i="31" l="1"/>
  <c r="AL203" i="31"/>
  <c r="Y202" i="31"/>
  <c r="AO202" i="31"/>
  <c r="AP202" i="31" s="1"/>
  <c r="K202" i="31"/>
  <c r="R202" i="31"/>
  <c r="D202" i="31"/>
  <c r="AK203" i="31" l="1"/>
  <c r="AM203" i="31"/>
  <c r="AD203" i="31"/>
  <c r="W203" i="31"/>
  <c r="I203" i="31"/>
  <c r="P203" i="31"/>
  <c r="O204" i="31" l="1"/>
  <c r="H204" i="31"/>
  <c r="AC204" i="31"/>
  <c r="V204" i="31"/>
  <c r="AN203" i="31" l="1"/>
  <c r="AJ204" i="31"/>
  <c r="AF203" i="31" l="1"/>
  <c r="AL204" i="31"/>
  <c r="Y203" i="31"/>
  <c r="AO203" i="31"/>
  <c r="AP203" i="31" s="1"/>
  <c r="R203" i="31"/>
  <c r="K203" i="31"/>
  <c r="D203" i="31"/>
  <c r="AK204" i="31" l="1"/>
  <c r="AM204" i="31"/>
  <c r="AD204" i="31"/>
  <c r="W204" i="31"/>
  <c r="I204" i="31"/>
  <c r="P204" i="31"/>
  <c r="O205" i="31" l="1"/>
  <c r="H205" i="31"/>
  <c r="V205" i="31"/>
  <c r="AC205" i="31" l="1"/>
  <c r="AN204" i="31"/>
  <c r="AJ205" i="31"/>
  <c r="AF204" i="31" l="1"/>
  <c r="AL205" i="31"/>
  <c r="AO204" i="31"/>
  <c r="AP204" i="31" s="1"/>
  <c r="R204" i="31"/>
  <c r="K204" i="31"/>
  <c r="D204" i="31"/>
  <c r="Y204" i="31"/>
  <c r="AK205" i="31" l="1"/>
  <c r="AM205" i="31"/>
  <c r="AD205" i="31"/>
  <c r="W205" i="31"/>
  <c r="P205" i="31"/>
  <c r="I205" i="31"/>
  <c r="AC206" i="31" l="1"/>
  <c r="H206" i="31"/>
  <c r="O206" i="31"/>
  <c r="V206" i="31"/>
  <c r="AJ206" i="31" l="1"/>
  <c r="AN205" i="31"/>
  <c r="AL206" i="31" s="1"/>
  <c r="Y205" i="31" l="1"/>
  <c r="AO205" i="31"/>
  <c r="AP205" i="31" s="1"/>
  <c r="R205" i="31"/>
  <c r="D205" i="31"/>
  <c r="K205" i="31"/>
  <c r="AF205" i="31"/>
  <c r="AK206" i="31" l="1"/>
  <c r="AM206" i="31"/>
  <c r="AD206" i="31"/>
  <c r="W206" i="31"/>
  <c r="P206" i="31"/>
  <c r="I206" i="31"/>
  <c r="H207" i="31" l="1"/>
  <c r="AN206" i="31"/>
  <c r="O207" i="31"/>
  <c r="V207" i="31"/>
  <c r="AO206" i="31" l="1"/>
  <c r="AP206" i="31" s="1"/>
  <c r="R206" i="31"/>
  <c r="D206" i="31"/>
  <c r="K206" i="31"/>
  <c r="AJ207" i="31"/>
  <c r="AF206" i="31"/>
  <c r="AC207" i="31"/>
  <c r="AL207" i="31" s="1"/>
  <c r="AM207" i="31" s="1"/>
  <c r="Y206" i="31"/>
  <c r="AK207" i="31" l="1"/>
  <c r="AD207" i="31"/>
  <c r="W207" i="31"/>
  <c r="I207" i="31"/>
  <c r="P207" i="31"/>
  <c r="H208" i="31" l="1"/>
  <c r="AN207" i="31"/>
  <c r="O208" i="31"/>
  <c r="V208" i="31"/>
  <c r="AL208" i="31" l="1"/>
  <c r="AM208" i="31" s="1"/>
  <c r="AO207" i="31"/>
  <c r="AP207" i="31" s="1"/>
  <c r="R207" i="31"/>
  <c r="D207" i="31"/>
  <c r="K207" i="31"/>
  <c r="AJ208" i="31"/>
  <c r="AF207" i="31"/>
  <c r="AC208" i="31"/>
  <c r="Y207" i="31"/>
  <c r="AK208" i="31" l="1"/>
  <c r="AD208" i="31"/>
  <c r="W208" i="31"/>
  <c r="I208" i="31"/>
  <c r="P208" i="31"/>
  <c r="O209" i="31" l="1"/>
  <c r="H209" i="31"/>
  <c r="V209" i="31"/>
  <c r="AN208" i="31" l="1"/>
  <c r="AC209" i="31"/>
  <c r="AJ209" i="31"/>
  <c r="AF208" i="31" l="1"/>
  <c r="AL209" i="31"/>
  <c r="Y208" i="31"/>
  <c r="K208" i="31"/>
  <c r="AO208" i="31"/>
  <c r="AP208" i="31" s="1"/>
  <c r="D208" i="31"/>
  <c r="R208" i="31"/>
  <c r="AK209" i="31" l="1"/>
  <c r="AM209" i="31"/>
  <c r="AD209" i="31"/>
  <c r="W209" i="31"/>
  <c r="I209" i="31"/>
  <c r="P209" i="31"/>
  <c r="AN209" i="31" l="1"/>
  <c r="O210" i="31"/>
  <c r="H210" i="31"/>
  <c r="V210" i="31"/>
  <c r="AL210" i="31" l="1"/>
  <c r="AM210" i="31" s="1"/>
  <c r="AO209" i="31"/>
  <c r="AP209" i="31" s="1"/>
  <c r="R209" i="31"/>
  <c r="K209" i="31"/>
  <c r="D209" i="31"/>
  <c r="AC210" i="31"/>
  <c r="Y209" i="31"/>
  <c r="AJ210" i="31"/>
  <c r="AF209" i="31"/>
  <c r="AK210" i="31" l="1"/>
  <c r="AD210" i="31"/>
  <c r="W210" i="31"/>
  <c r="P210" i="31"/>
  <c r="I210" i="31"/>
  <c r="H211" i="31" l="1"/>
  <c r="AN210" i="31"/>
  <c r="O211" i="31"/>
  <c r="V211" i="31"/>
  <c r="AO210" i="31" l="1"/>
  <c r="AP210" i="31" s="1"/>
  <c r="R210" i="31"/>
  <c r="D210" i="31"/>
  <c r="K210" i="31"/>
  <c r="AJ211" i="31"/>
  <c r="AF210" i="31"/>
  <c r="AC211" i="31"/>
  <c r="AL211" i="31" s="1"/>
  <c r="AM211" i="31" s="1"/>
  <c r="Y210" i="31"/>
  <c r="AK211" i="31" l="1"/>
  <c r="AD211" i="31"/>
  <c r="W211" i="31"/>
  <c r="V212" i="31" s="1"/>
  <c r="I211" i="31"/>
  <c r="P211" i="31"/>
  <c r="O212" i="31" l="1"/>
  <c r="H212" i="31"/>
  <c r="AN211" i="31" l="1"/>
  <c r="AC212" i="31"/>
  <c r="AJ212" i="31"/>
  <c r="Y211" i="31" l="1"/>
  <c r="AL212" i="31"/>
  <c r="AF211" i="31"/>
  <c r="R211" i="31"/>
  <c r="AO211" i="31"/>
  <c r="AP211" i="31" s="1"/>
  <c r="D211" i="31"/>
  <c r="K211" i="31"/>
  <c r="AK212" i="31" l="1"/>
  <c r="AM212" i="31"/>
  <c r="AD212" i="31"/>
  <c r="W212" i="31"/>
  <c r="I212" i="31"/>
  <c r="P212" i="31"/>
  <c r="O213" i="31" l="1"/>
  <c r="H213" i="31"/>
  <c r="AC213" i="31"/>
  <c r="V213" i="31"/>
  <c r="AN212" i="31" l="1"/>
  <c r="AJ213" i="31"/>
  <c r="AF212" i="31" l="1"/>
  <c r="AL213" i="31"/>
  <c r="Y212" i="31"/>
  <c r="AO212" i="31"/>
  <c r="AP212" i="31" s="1"/>
  <c r="R212" i="31"/>
  <c r="K212" i="31"/>
  <c r="D212" i="31"/>
  <c r="AK213" i="31" l="1"/>
  <c r="AM213" i="31"/>
  <c r="AD213" i="31"/>
  <c r="W213" i="31"/>
  <c r="I213" i="31"/>
  <c r="P213" i="31"/>
  <c r="AN213" i="31" l="1"/>
  <c r="O214" i="31"/>
  <c r="H214" i="31"/>
  <c r="V214" i="31"/>
  <c r="AO213" i="31" l="1"/>
  <c r="AP213" i="31" s="1"/>
  <c r="R213" i="31"/>
  <c r="K213" i="31"/>
  <c r="D213" i="31"/>
  <c r="AC214" i="31"/>
  <c r="AL214" i="31" s="1"/>
  <c r="AM214" i="31" s="1"/>
  <c r="Y213" i="31"/>
  <c r="AJ214" i="31"/>
  <c r="AF213" i="31"/>
  <c r="AK214" i="31" l="1"/>
  <c r="AD214" i="31"/>
  <c r="W214" i="31"/>
  <c r="P214" i="31"/>
  <c r="I214" i="31"/>
  <c r="H215" i="31" l="1"/>
  <c r="AJ215" i="31"/>
  <c r="O215" i="31"/>
  <c r="V215" i="31"/>
  <c r="AN214" i="31" l="1"/>
  <c r="AC215" i="31"/>
  <c r="Y214" i="31" l="1"/>
  <c r="AL215" i="31"/>
  <c r="AF214" i="31"/>
  <c r="AO214" i="31"/>
  <c r="AP214" i="31" s="1"/>
  <c r="R214" i="31"/>
  <c r="D214" i="31"/>
  <c r="K214" i="31"/>
  <c r="AK215" i="31" l="1"/>
  <c r="AM215" i="31"/>
  <c r="AD215" i="31"/>
  <c r="W215" i="31"/>
  <c r="P215" i="31"/>
  <c r="I215" i="31"/>
  <c r="H216" i="31" l="1"/>
  <c r="O216" i="31"/>
  <c r="V216" i="31"/>
  <c r="AJ216" i="31" l="1"/>
  <c r="AN215" i="31"/>
  <c r="AC216" i="31"/>
  <c r="Y215" i="31" l="1"/>
  <c r="AL216" i="31"/>
  <c r="AO215" i="31"/>
  <c r="AP215" i="31" s="1"/>
  <c r="K215" i="31"/>
  <c r="D215" i="31"/>
  <c r="R215" i="31"/>
  <c r="AF215" i="31"/>
  <c r="AK216" i="31" l="1"/>
  <c r="AD216" i="31"/>
  <c r="W216" i="31"/>
  <c r="I216" i="31"/>
  <c r="AM216" i="31" s="1"/>
  <c r="P216" i="31"/>
  <c r="O217" i="31" l="1"/>
  <c r="H217" i="31"/>
  <c r="V217" i="31"/>
  <c r="AC217" i="31" l="1"/>
  <c r="AN216" i="31"/>
  <c r="AJ217" i="31"/>
  <c r="AF216" i="31" l="1"/>
  <c r="AL217" i="31"/>
  <c r="AO216" i="31"/>
  <c r="AP216" i="31" s="1"/>
  <c r="R216" i="31"/>
  <c r="K216" i="31"/>
  <c r="D216" i="31"/>
  <c r="Y216" i="31"/>
  <c r="AK217" i="31" l="1"/>
  <c r="AM217" i="31"/>
  <c r="AD217" i="31"/>
  <c r="W217" i="31"/>
  <c r="P217" i="31"/>
  <c r="I217" i="31"/>
  <c r="H218" i="31" l="1"/>
  <c r="AJ218" i="31"/>
  <c r="O218" i="31"/>
  <c r="V218" i="31"/>
  <c r="AN217" i="31" l="1"/>
  <c r="AC218" i="31"/>
  <c r="AF217" i="31" l="1"/>
  <c r="AL218" i="31"/>
  <c r="D217" i="31"/>
  <c r="Y217" i="31"/>
  <c r="R217" i="31"/>
  <c r="K217" i="31"/>
  <c r="AO217" i="31"/>
  <c r="AP217" i="31" s="1"/>
  <c r="W218" i="31"/>
  <c r="AK218" i="31" l="1"/>
  <c r="AM218" i="31"/>
  <c r="I218" i="31"/>
  <c r="H219" i="31" s="1"/>
  <c r="AD218" i="31"/>
  <c r="P218" i="31"/>
  <c r="V219" i="31"/>
  <c r="AN218" i="31" l="1"/>
  <c r="R218" i="31" s="1"/>
  <c r="O219" i="31"/>
  <c r="AC219" i="31"/>
  <c r="AJ219" i="31"/>
  <c r="AF218" i="31" l="1"/>
  <c r="D218" i="31"/>
  <c r="AL219" i="31"/>
  <c r="W219" i="31" s="1"/>
  <c r="Y218" i="31"/>
  <c r="K218" i="31"/>
  <c r="AO218" i="31"/>
  <c r="AP218" i="31" s="1"/>
  <c r="AD219" i="31"/>
  <c r="P219" i="31"/>
  <c r="AK219" i="31" l="1"/>
  <c r="AM219" i="31"/>
  <c r="I219" i="31"/>
  <c r="H220" i="31" s="1"/>
  <c r="O220" i="31"/>
  <c r="V220" i="31"/>
  <c r="AJ220" i="31" l="1"/>
  <c r="AN219" i="31"/>
  <c r="AC220" i="31"/>
  <c r="Y219" i="31" l="1"/>
  <c r="AL220" i="31"/>
  <c r="AO219" i="31"/>
  <c r="AP219" i="31" s="1"/>
  <c r="R219" i="31"/>
  <c r="D219" i="31"/>
  <c r="K219" i="31"/>
  <c r="AF219" i="31"/>
  <c r="AK220" i="31" l="1"/>
  <c r="AM220" i="31"/>
  <c r="AD220" i="31"/>
  <c r="W220" i="31"/>
  <c r="P220" i="31"/>
  <c r="I220" i="31"/>
  <c r="H221" i="31" l="1"/>
  <c r="O221" i="31"/>
  <c r="V221" i="31"/>
  <c r="AJ221" i="31" l="1"/>
  <c r="AN220" i="31"/>
  <c r="AC221" i="31"/>
  <c r="Y220" i="31" l="1"/>
  <c r="AL221" i="31"/>
  <c r="AO220" i="31"/>
  <c r="AP220" i="31" s="1"/>
  <c r="R220" i="31"/>
  <c r="D220" i="31"/>
  <c r="K220" i="31"/>
  <c r="AF220" i="31"/>
  <c r="AK221" i="31" l="1"/>
  <c r="AM221" i="31"/>
  <c r="AD221" i="31"/>
  <c r="W221" i="31"/>
  <c r="P221" i="31"/>
  <c r="I221" i="31"/>
  <c r="H222" i="31" l="1"/>
  <c r="O222" i="31"/>
  <c r="V222" i="31"/>
  <c r="AJ222" i="31" l="1"/>
  <c r="AN221" i="31"/>
  <c r="AC222" i="31"/>
  <c r="Y221" i="31" l="1"/>
  <c r="AL222" i="31"/>
  <c r="AO221" i="31"/>
  <c r="AP221" i="31" s="1"/>
  <c r="R221" i="31"/>
  <c r="D221" i="31"/>
  <c r="K221" i="31"/>
  <c r="AF221" i="31"/>
  <c r="AK222" i="31" l="1"/>
  <c r="AM222" i="31"/>
  <c r="AD222" i="31"/>
  <c r="W222" i="31"/>
  <c r="I222" i="31"/>
  <c r="P222" i="31"/>
  <c r="O223" i="31" l="1"/>
  <c r="H223" i="31"/>
  <c r="V223" i="31"/>
  <c r="AN222" i="31" l="1"/>
  <c r="AC223" i="31"/>
  <c r="AJ223" i="31"/>
  <c r="Y222" i="31" l="1"/>
  <c r="AL223" i="31"/>
  <c r="AF222" i="31"/>
  <c r="D222" i="31"/>
  <c r="AO222" i="31"/>
  <c r="AP222" i="31" s="1"/>
  <c r="K222" i="31"/>
  <c r="R222" i="31"/>
  <c r="AK223" i="31" l="1"/>
  <c r="AM223" i="31"/>
  <c r="AD223" i="31"/>
  <c r="W223" i="31"/>
  <c r="P223" i="31"/>
  <c r="I223" i="31"/>
  <c r="H224" i="31" l="1"/>
  <c r="O224" i="31"/>
  <c r="V224" i="31"/>
  <c r="AJ224" i="31" l="1"/>
  <c r="AN223" i="31"/>
  <c r="AL224" i="31" s="1"/>
  <c r="AC224" i="31"/>
  <c r="K223" i="31" l="1"/>
  <c r="AO223" i="31"/>
  <c r="AP223" i="31" s="1"/>
  <c r="D223" i="31"/>
  <c r="R223" i="31"/>
  <c r="Y223" i="31"/>
  <c r="AF223" i="31"/>
  <c r="AK224" i="31" l="1"/>
  <c r="AM224" i="31"/>
  <c r="AD224" i="31"/>
  <c r="W224" i="31"/>
  <c r="I224" i="31"/>
  <c r="P224" i="31"/>
  <c r="O225" i="31" l="1"/>
  <c r="H225" i="31"/>
  <c r="V225" i="31"/>
  <c r="AN224" i="31" l="1"/>
  <c r="AC225" i="31"/>
  <c r="AJ225" i="31"/>
  <c r="Y224" i="31" l="1"/>
  <c r="AL225" i="31"/>
  <c r="AF224" i="31"/>
  <c r="AO224" i="31"/>
  <c r="AP224" i="31" s="1"/>
  <c r="K224" i="31"/>
  <c r="R224" i="31"/>
  <c r="D224" i="31"/>
  <c r="AK225" i="31" l="1"/>
  <c r="AM225" i="31"/>
  <c r="AD225" i="31"/>
  <c r="W225" i="31"/>
  <c r="P225" i="31"/>
  <c r="I225" i="31"/>
  <c r="H226" i="31" l="1"/>
  <c r="O226" i="31"/>
  <c r="V226" i="31"/>
  <c r="AJ226" i="31" l="1"/>
  <c r="AN225" i="31"/>
  <c r="AC226" i="31"/>
  <c r="Y225" i="31" l="1"/>
  <c r="AL226" i="31"/>
  <c r="D225" i="31"/>
  <c r="AO225" i="31"/>
  <c r="AP225" i="31" s="1"/>
  <c r="K225" i="31"/>
  <c r="R225" i="31"/>
  <c r="AF225" i="31"/>
  <c r="AK226" i="31" l="1"/>
  <c r="AM226" i="31"/>
  <c r="AD226" i="31"/>
  <c r="W226" i="31"/>
  <c r="P226" i="31"/>
  <c r="I226" i="31"/>
  <c r="H227" i="31" l="1"/>
  <c r="O227" i="31"/>
  <c r="V227" i="31"/>
  <c r="AN226" i="31" l="1"/>
  <c r="AJ227" i="31"/>
  <c r="AC227" i="31"/>
  <c r="AO226" i="31" l="1"/>
  <c r="AP226" i="31" s="1"/>
  <c r="AL227" i="31"/>
  <c r="AF226" i="31"/>
  <c r="K226" i="31"/>
  <c r="D226" i="31"/>
  <c r="R226" i="31"/>
  <c r="Y226" i="31"/>
  <c r="I227" i="31"/>
  <c r="AK227" i="31" l="1"/>
  <c r="AM227" i="31"/>
  <c r="AD227" i="31"/>
  <c r="W227" i="31"/>
  <c r="V228" i="31" s="1"/>
  <c r="P227" i="31"/>
  <c r="H228" i="31"/>
  <c r="O228" i="31" l="1"/>
  <c r="AN227" i="31"/>
  <c r="AJ228" i="31"/>
  <c r="AC228" i="31"/>
  <c r="AO227" i="31" l="1"/>
  <c r="AP227" i="31" s="1"/>
  <c r="AL228" i="31"/>
  <c r="D227" i="31"/>
  <c r="AF227" i="31"/>
  <c r="K227" i="31"/>
  <c r="R227" i="31"/>
  <c r="Y227" i="31"/>
  <c r="AK228" i="31" l="1"/>
  <c r="AM228" i="31"/>
  <c r="W228" i="31"/>
  <c r="V229" i="31" s="1"/>
  <c r="I228" i="31"/>
  <c r="H229" i="31" s="1"/>
  <c r="AD228" i="31"/>
  <c r="AC229" i="31" s="1"/>
  <c r="P228" i="31"/>
  <c r="O229" i="31" l="1"/>
  <c r="AN228" i="31"/>
  <c r="AJ229" i="31"/>
  <c r="AF228" i="31" l="1"/>
  <c r="AL229" i="31"/>
  <c r="Y228" i="31"/>
  <c r="AO228" i="31"/>
  <c r="AP228" i="31" s="1"/>
  <c r="R228" i="31"/>
  <c r="K228" i="31"/>
  <c r="D228" i="31"/>
  <c r="AK229" i="31" l="1"/>
  <c r="AM229" i="31"/>
  <c r="AD229" i="31"/>
  <c r="W229" i="31"/>
  <c r="P229" i="31"/>
  <c r="I229" i="31"/>
  <c r="H230" i="31" l="1"/>
  <c r="O230" i="31"/>
  <c r="V230" i="31"/>
  <c r="AN229" i="31" l="1"/>
  <c r="AL230" i="31" s="1"/>
  <c r="AJ230" i="31"/>
  <c r="AC230" i="31"/>
  <c r="AK230" i="31" l="1"/>
  <c r="AM230" i="31"/>
  <c r="AD230" i="31"/>
  <c r="AF229" i="31"/>
  <c r="K229" i="31"/>
  <c r="R229" i="31"/>
  <c r="Y229" i="31"/>
  <c r="D229" i="31"/>
  <c r="AO229" i="31"/>
  <c r="AP229" i="31" s="1"/>
  <c r="W230" i="31"/>
  <c r="P230" i="31"/>
  <c r="I230" i="31"/>
  <c r="H231" i="31" l="1"/>
  <c r="AC231" i="31"/>
  <c r="O231" i="31"/>
  <c r="V231" i="31"/>
  <c r="AJ231" i="31" l="1"/>
  <c r="AN230" i="31"/>
  <c r="AL231" i="31" l="1"/>
  <c r="Y230" i="31"/>
  <c r="AO230" i="31"/>
  <c r="AP230" i="31" s="1"/>
  <c r="R230" i="31"/>
  <c r="D230" i="31"/>
  <c r="K230" i="31"/>
  <c r="AF230" i="31"/>
  <c r="AK231" i="31" l="1"/>
  <c r="AM231" i="31"/>
  <c r="AD231" i="31"/>
  <c r="W231" i="31"/>
  <c r="I231" i="31"/>
  <c r="P231" i="31"/>
  <c r="O232" i="31" l="1"/>
  <c r="H232" i="31"/>
  <c r="V232" i="31"/>
  <c r="AN231" i="31" l="1"/>
  <c r="AC232" i="31"/>
  <c r="AJ232" i="31"/>
  <c r="AL232" i="31" l="1"/>
  <c r="AK232" i="31" s="1"/>
  <c r="AM232" i="31"/>
  <c r="AD232" i="31"/>
  <c r="Y231" i="31"/>
  <c r="D231" i="31"/>
  <c r="K231" i="31"/>
  <c r="R231" i="31"/>
  <c r="AO231" i="31"/>
  <c r="AP231" i="31" s="1"/>
  <c r="AF231" i="31"/>
  <c r="W232" i="31"/>
  <c r="P232" i="31"/>
  <c r="I232" i="31"/>
  <c r="H233" i="31" l="1"/>
  <c r="O233" i="31"/>
  <c r="V233" i="31"/>
  <c r="AJ233" i="31" l="1"/>
  <c r="AC233" i="31"/>
  <c r="AN232" i="31"/>
  <c r="AL233" i="31" s="1"/>
  <c r="AO232" i="31" l="1"/>
  <c r="AP232" i="31" s="1"/>
  <c r="R232" i="31"/>
  <c r="D232" i="31"/>
  <c r="K232" i="31"/>
  <c r="Y232" i="31"/>
  <c r="AF232" i="31"/>
  <c r="AK233" i="31" l="1"/>
  <c r="AM233" i="31"/>
  <c r="AD233" i="31"/>
  <c r="W233" i="31"/>
  <c r="I233" i="31"/>
  <c r="P233" i="31"/>
  <c r="AN233" i="31" l="1"/>
  <c r="O234" i="31"/>
  <c r="H234" i="31"/>
  <c r="V234" i="31"/>
  <c r="AO233" i="31" l="1"/>
  <c r="AP233" i="31" s="1"/>
  <c r="R233" i="31"/>
  <c r="K233" i="31"/>
  <c r="D233" i="31"/>
  <c r="AC234" i="31"/>
  <c r="AL234" i="31" s="1"/>
  <c r="AM234" i="31" s="1"/>
  <c r="Y233" i="31"/>
  <c r="AJ234" i="31"/>
  <c r="AF233" i="31"/>
  <c r="AK234" i="31" l="1"/>
  <c r="AD234" i="31"/>
  <c r="W234" i="31"/>
  <c r="I234" i="31"/>
  <c r="P234" i="31"/>
  <c r="H235" i="31" l="1"/>
  <c r="AN234" i="31"/>
  <c r="O235" i="31"/>
  <c r="V235" i="31"/>
  <c r="AO234" i="31" l="1"/>
  <c r="AP234" i="31" s="1"/>
  <c r="R234" i="31"/>
  <c r="D234" i="31"/>
  <c r="K234" i="31"/>
  <c r="AJ235" i="31"/>
  <c r="AF234" i="31"/>
  <c r="AC235" i="31"/>
  <c r="AL235" i="31" s="1"/>
  <c r="Y234" i="31"/>
  <c r="AK235" i="31" l="1"/>
  <c r="AD235" i="31"/>
  <c r="W235" i="31"/>
  <c r="I235" i="31"/>
  <c r="AM235" i="31" s="1"/>
  <c r="P235" i="31"/>
  <c r="AJ236" i="31" l="1"/>
  <c r="O236" i="31"/>
  <c r="H236" i="31"/>
  <c r="V236" i="31"/>
  <c r="AN235" i="31" l="1"/>
  <c r="AC236" i="31"/>
  <c r="AF235" i="31" l="1"/>
  <c r="AL236" i="31"/>
  <c r="D235" i="31"/>
  <c r="K235" i="31"/>
  <c r="R235" i="31"/>
  <c r="Y235" i="31"/>
  <c r="AO235" i="31"/>
  <c r="AP235" i="31" s="1"/>
  <c r="AK236" i="31" l="1"/>
  <c r="AM236" i="31"/>
  <c r="W236" i="31"/>
  <c r="V237" i="31" s="1"/>
  <c r="I236" i="31"/>
  <c r="H237" i="31" s="1"/>
  <c r="P236" i="31"/>
  <c r="AD236" i="31"/>
  <c r="O237" i="31" l="1"/>
  <c r="AN236" i="31"/>
  <c r="AC237" i="31"/>
  <c r="AJ237" i="31"/>
  <c r="Y236" i="31" l="1"/>
  <c r="AL237" i="31"/>
  <c r="AF236" i="31"/>
  <c r="D236" i="31"/>
  <c r="AO236" i="31"/>
  <c r="AP236" i="31" s="1"/>
  <c r="K236" i="31"/>
  <c r="R236" i="31"/>
  <c r="AK237" i="31" l="1"/>
  <c r="AM237" i="31"/>
  <c r="AD237" i="31"/>
  <c r="W237" i="31"/>
  <c r="I237" i="31"/>
  <c r="P237" i="31"/>
  <c r="AJ238" i="31" l="1"/>
  <c r="O238" i="31"/>
  <c r="H238" i="31"/>
  <c r="V238" i="31"/>
  <c r="AN237" i="31" l="1"/>
  <c r="AC238" i="31"/>
  <c r="AF237" i="31" l="1"/>
  <c r="AL238" i="31"/>
  <c r="Y237" i="31"/>
  <c r="D237" i="31"/>
  <c r="K237" i="31"/>
  <c r="R237" i="31"/>
  <c r="AO237" i="31"/>
  <c r="AP237" i="31" s="1"/>
  <c r="I238" i="31"/>
  <c r="AK238" i="31" l="1"/>
  <c r="AM238" i="31"/>
  <c r="W238" i="31"/>
  <c r="AD238" i="31"/>
  <c r="P238" i="31"/>
  <c r="AN238" i="31" s="1"/>
  <c r="H239" i="31"/>
  <c r="V239" i="31"/>
  <c r="O239" i="31" l="1"/>
  <c r="AO238" i="31"/>
  <c r="AP238" i="31" s="1"/>
  <c r="R238" i="31"/>
  <c r="K238" i="31"/>
  <c r="D238" i="31"/>
  <c r="AC239" i="31"/>
  <c r="Y238" i="31"/>
  <c r="AJ239" i="31"/>
  <c r="AF238" i="31"/>
  <c r="AL239" i="31" l="1"/>
  <c r="AM239" i="31" s="1"/>
  <c r="AK239" i="31"/>
  <c r="AD239" i="31"/>
  <c r="W239" i="31"/>
  <c r="P239" i="31"/>
  <c r="I239" i="31"/>
  <c r="H240" i="31" l="1"/>
  <c r="AN239" i="31"/>
  <c r="O240" i="31"/>
  <c r="V240" i="31"/>
  <c r="AO239" i="31" l="1"/>
  <c r="AP239" i="31" s="1"/>
  <c r="R239" i="31"/>
  <c r="D239" i="31"/>
  <c r="K239" i="31"/>
  <c r="AJ240" i="31"/>
  <c r="AF239" i="31"/>
  <c r="AC240" i="31"/>
  <c r="AL240" i="31" s="1"/>
  <c r="AM240" i="31" s="1"/>
  <c r="Y239" i="31"/>
  <c r="AK240" i="31" l="1"/>
  <c r="AD240" i="31"/>
  <c r="W240" i="31"/>
  <c r="P240" i="31"/>
  <c r="I240" i="31"/>
  <c r="H241" i="31" l="1"/>
  <c r="O241" i="31"/>
  <c r="V241" i="31"/>
  <c r="AJ241" i="31" l="1"/>
  <c r="AN240" i="31"/>
  <c r="AC241" i="31"/>
  <c r="Y240" i="31" l="1"/>
  <c r="AL241" i="31"/>
  <c r="AO240" i="31"/>
  <c r="AP240" i="31" s="1"/>
  <c r="R240" i="31"/>
  <c r="D240" i="31"/>
  <c r="K240" i="31"/>
  <c r="AF240" i="31"/>
  <c r="AK241" i="31" l="1"/>
  <c r="AM241" i="31"/>
  <c r="AD241" i="31"/>
  <c r="W241" i="31"/>
  <c r="V242" i="31" s="1"/>
  <c r="P241" i="31"/>
  <c r="I241" i="31"/>
  <c r="H242" i="31" l="1"/>
  <c r="O242" i="31"/>
  <c r="AJ242" i="31" l="1"/>
  <c r="AN241" i="31"/>
  <c r="AC242" i="31"/>
  <c r="Y241" i="31" l="1"/>
  <c r="AL242" i="31"/>
  <c r="R241" i="31"/>
  <c r="AO241" i="31"/>
  <c r="AP241" i="31" s="1"/>
  <c r="D241" i="31"/>
  <c r="K241" i="31"/>
  <c r="AF241" i="31"/>
  <c r="AK242" i="31" l="1"/>
  <c r="AM242" i="31"/>
  <c r="AD242" i="31"/>
  <c r="W242" i="31"/>
  <c r="I242" i="31"/>
  <c r="P242" i="31"/>
  <c r="AN242" i="31" l="1"/>
  <c r="O243" i="31"/>
  <c r="H243" i="31"/>
  <c r="V243" i="31"/>
  <c r="AO242" i="31" l="1"/>
  <c r="AP242" i="31" s="1"/>
  <c r="R242" i="31"/>
  <c r="K242" i="31"/>
  <c r="D242" i="31"/>
  <c r="AC243" i="31"/>
  <c r="AL243" i="31" s="1"/>
  <c r="Y242" i="31"/>
  <c r="AJ243" i="31"/>
  <c r="AF242" i="31"/>
  <c r="AK243" i="31" l="1"/>
  <c r="AM243" i="31"/>
  <c r="AD243" i="31"/>
  <c r="W243" i="31"/>
  <c r="P243" i="31"/>
  <c r="I243" i="31"/>
  <c r="H244" i="31" l="1"/>
  <c r="AC244" i="31"/>
  <c r="O244" i="31"/>
  <c r="V244" i="31"/>
  <c r="AJ244" i="31" l="1"/>
  <c r="AN243" i="31"/>
  <c r="AL244" i="31" s="1"/>
  <c r="Y243" i="31" l="1"/>
  <c r="AO243" i="31"/>
  <c r="AP243" i="31" s="1"/>
  <c r="R243" i="31"/>
  <c r="D243" i="31"/>
  <c r="K243" i="31"/>
  <c r="AF243" i="31"/>
  <c r="AK244" i="31" l="1"/>
  <c r="AM244" i="31"/>
  <c r="AD244" i="31"/>
  <c r="W244" i="31"/>
  <c r="P244" i="31"/>
  <c r="I244" i="31"/>
  <c r="H245" i="31" l="1"/>
  <c r="O245" i="31"/>
  <c r="V245" i="31"/>
  <c r="AJ245" i="31" l="1"/>
  <c r="AN244" i="31"/>
  <c r="AC245" i="31"/>
  <c r="Y244" i="31" l="1"/>
  <c r="AL245" i="31"/>
  <c r="AO244" i="31"/>
  <c r="AP244" i="31" s="1"/>
  <c r="R244" i="31"/>
  <c r="D244" i="31"/>
  <c r="K244" i="31"/>
  <c r="AF244" i="31"/>
  <c r="AK245" i="31" l="1"/>
  <c r="AD245" i="31"/>
  <c r="W245" i="31"/>
  <c r="I245" i="31"/>
  <c r="P245" i="31"/>
  <c r="AM245" i="31" l="1"/>
  <c r="O246" i="31"/>
  <c r="H246" i="31"/>
  <c r="V246" i="31"/>
  <c r="AC246" i="31" l="1"/>
  <c r="AN245" i="31"/>
  <c r="AL246" i="31" s="1"/>
  <c r="AJ246" i="31"/>
  <c r="AF245" i="31"/>
  <c r="AO245" i="31" l="1"/>
  <c r="AP245" i="31" s="1"/>
  <c r="R245" i="31"/>
  <c r="K245" i="31"/>
  <c r="D245" i="31"/>
  <c r="Y245" i="31"/>
  <c r="AK246" i="31" l="1"/>
  <c r="AM246" i="31"/>
  <c r="AD246" i="31"/>
  <c r="W246" i="31"/>
  <c r="I246" i="31"/>
  <c r="P246" i="31"/>
  <c r="AJ247" i="31" l="1"/>
  <c r="O247" i="31"/>
  <c r="H247" i="31"/>
  <c r="V247" i="31"/>
  <c r="AN246" i="31" l="1"/>
  <c r="AL247" i="31" s="1"/>
  <c r="AC247" i="31"/>
  <c r="AJ248" i="31"/>
  <c r="D246" i="31" l="1"/>
  <c r="K246" i="31"/>
  <c r="AO246" i="31"/>
  <c r="AP246" i="31" s="1"/>
  <c r="AM247" i="31"/>
  <c r="Y246" i="31"/>
  <c r="R246" i="31"/>
  <c r="AF246" i="31"/>
  <c r="AC248" i="31"/>
  <c r="AN247" i="31"/>
  <c r="AL248" i="31" l="1"/>
  <c r="Y247" i="31"/>
  <c r="R247" i="31"/>
  <c r="K247" i="31"/>
  <c r="AO247" i="31"/>
  <c r="AP247" i="31" s="1"/>
  <c r="D247" i="31"/>
  <c r="AK248" i="31"/>
  <c r="AF247" i="31"/>
  <c r="AM248" i="31" l="1"/>
  <c r="AD248" i="31"/>
  <c r="W248" i="31"/>
  <c r="V249" i="31" s="1"/>
  <c r="P248" i="31"/>
  <c r="I248" i="31"/>
  <c r="H249" i="31" l="1"/>
  <c r="O249" i="31"/>
  <c r="AJ249" i="31" l="1"/>
  <c r="AN248" i="31"/>
  <c r="AC249" i="31"/>
  <c r="Y248" i="31" l="1"/>
  <c r="AL249" i="31"/>
  <c r="R248" i="31"/>
  <c r="AO248" i="31"/>
  <c r="AP248" i="31" s="1"/>
  <c r="K248" i="31"/>
  <c r="D248" i="31"/>
  <c r="AF248" i="31"/>
  <c r="AK249" i="31" l="1"/>
  <c r="AD249" i="31"/>
  <c r="W249" i="31"/>
  <c r="I249" i="31"/>
  <c r="AM249" i="31" s="1"/>
  <c r="P249" i="31"/>
  <c r="AN249" i="31" l="1"/>
  <c r="O250" i="31"/>
  <c r="H250" i="31"/>
  <c r="V250" i="31"/>
  <c r="AO249" i="31" l="1"/>
  <c r="AP249" i="31" s="1"/>
  <c r="R249" i="31"/>
  <c r="K249" i="31"/>
  <c r="D249" i="31"/>
  <c r="AC250" i="31"/>
  <c r="Y249" i="31"/>
  <c r="AJ250" i="31"/>
  <c r="AL250" i="31" s="1"/>
  <c r="AF249" i="31"/>
  <c r="AK250" i="31" l="1"/>
  <c r="AD250" i="31"/>
  <c r="W250" i="31"/>
  <c r="P250" i="31"/>
  <c r="I250" i="31"/>
  <c r="AM250" i="31" s="1"/>
  <c r="H251" i="31" l="1"/>
  <c r="O251" i="31"/>
  <c r="V251" i="31"/>
  <c r="AJ251" i="31" l="1"/>
  <c r="AN250" i="31"/>
  <c r="AC251" i="31"/>
  <c r="Y250" i="31" l="1"/>
  <c r="AL251" i="31"/>
  <c r="D250" i="31"/>
  <c r="AO250" i="31"/>
  <c r="AP250" i="31" s="1"/>
  <c r="K250" i="31"/>
  <c r="R250" i="31"/>
  <c r="AF250" i="31"/>
  <c r="AK251" i="31" l="1"/>
  <c r="AD251" i="31"/>
  <c r="W251" i="31"/>
  <c r="P251" i="31"/>
  <c r="I251" i="31"/>
  <c r="AM251" i="31" l="1"/>
  <c r="H252" i="31"/>
  <c r="AN251" i="31"/>
  <c r="O252" i="31"/>
  <c r="V252" i="31"/>
  <c r="AO251" i="31" l="1"/>
  <c r="AP251" i="31" s="1"/>
  <c r="R251" i="31"/>
  <c r="D251" i="31"/>
  <c r="K251" i="31"/>
  <c r="AJ252" i="31"/>
  <c r="AF251" i="31"/>
  <c r="AC252" i="31"/>
  <c r="AL252" i="31" s="1"/>
  <c r="Y251" i="31"/>
  <c r="AK252" i="31" l="1"/>
  <c r="AD252" i="31"/>
  <c r="W252" i="31"/>
  <c r="P252" i="31"/>
  <c r="I252" i="31"/>
  <c r="AM252" i="31" s="1"/>
  <c r="H253" i="31" l="1"/>
  <c r="AN252" i="31"/>
  <c r="O253" i="31"/>
  <c r="V253" i="31"/>
  <c r="AO252" i="31" l="1"/>
  <c r="AP252" i="31" s="1"/>
  <c r="R252" i="31"/>
  <c r="D252" i="31"/>
  <c r="K252" i="31"/>
  <c r="AJ253" i="31"/>
  <c r="AF252" i="31"/>
  <c r="AC253" i="31"/>
  <c r="AL253" i="31" s="1"/>
  <c r="Y252" i="31"/>
  <c r="AK253" i="31" l="1"/>
  <c r="AD253" i="31"/>
  <c r="W253" i="31"/>
  <c r="I253" i="31"/>
  <c r="AM253" i="31" s="1"/>
  <c r="P253" i="31"/>
  <c r="O254" i="31" l="1"/>
  <c r="H254" i="31"/>
  <c r="AC254" i="31"/>
  <c r="V254" i="31"/>
  <c r="AN253" i="31" l="1"/>
  <c r="AJ254" i="31"/>
  <c r="AF253" i="31" l="1"/>
  <c r="AL254" i="31"/>
  <c r="Y253" i="31"/>
  <c r="AO253" i="31"/>
  <c r="AP253" i="31" s="1"/>
  <c r="R253" i="31"/>
  <c r="K253" i="31"/>
  <c r="D253" i="31"/>
  <c r="AK254" i="31" l="1"/>
  <c r="AD254" i="31"/>
  <c r="W254" i="31"/>
  <c r="P254" i="31"/>
  <c r="I254" i="31"/>
  <c r="AM254" i="31" s="1"/>
  <c r="H255" i="31" l="1"/>
  <c r="O255" i="31"/>
  <c r="V255" i="31"/>
  <c r="AJ255" i="31" l="1"/>
  <c r="AN254" i="31"/>
  <c r="AC255" i="31"/>
  <c r="Y254" i="31" l="1"/>
  <c r="AL255" i="31"/>
  <c r="AO254" i="31"/>
  <c r="AP254" i="31" s="1"/>
  <c r="R254" i="31"/>
  <c r="D254" i="31"/>
  <c r="K254" i="31"/>
  <c r="AF254" i="31"/>
  <c r="AK255" i="31" l="1"/>
  <c r="AD255" i="31"/>
  <c r="W255" i="31"/>
  <c r="I255" i="31"/>
  <c r="AM255" i="31" s="1"/>
  <c r="P255" i="31"/>
  <c r="AJ256" i="31" l="1"/>
  <c r="O256" i="31"/>
  <c r="H256" i="31"/>
  <c r="V256" i="31"/>
  <c r="AN255" i="31" l="1"/>
  <c r="AC256" i="31"/>
  <c r="AF255" i="31" l="1"/>
  <c r="AL256" i="31"/>
  <c r="Y255" i="31"/>
  <c r="D255" i="31"/>
  <c r="R255" i="31"/>
  <c r="K255" i="31"/>
  <c r="AO255" i="31"/>
  <c r="AP255" i="31" s="1"/>
  <c r="AK256" i="31" l="1"/>
  <c r="W256" i="31"/>
  <c r="V257" i="31" s="1"/>
  <c r="P256" i="31"/>
  <c r="AD256" i="31"/>
  <c r="I256" i="31"/>
  <c r="AM256" i="31" s="1"/>
  <c r="O257" i="31" l="1"/>
  <c r="AC257" i="31"/>
  <c r="H257" i="31"/>
  <c r="AN256" i="31"/>
  <c r="AJ257" i="31"/>
  <c r="AF256" i="31" l="1"/>
  <c r="AL257" i="31"/>
  <c r="Y256" i="31"/>
  <c r="AO256" i="31"/>
  <c r="AP256" i="31" s="1"/>
  <c r="R256" i="31"/>
  <c r="K256" i="31"/>
  <c r="D256" i="31"/>
  <c r="AK257" i="31" l="1"/>
  <c r="AD257" i="31"/>
  <c r="W257" i="31"/>
  <c r="I257" i="31"/>
  <c r="AM257" i="31" s="1"/>
  <c r="P257" i="31"/>
  <c r="O258" i="31" l="1"/>
  <c r="H258" i="31"/>
  <c r="AC258" i="31"/>
  <c r="V258" i="31"/>
  <c r="AN257" i="31" l="1"/>
  <c r="AJ258" i="31"/>
  <c r="AF257" i="31" l="1"/>
  <c r="AL258" i="31"/>
  <c r="Y257" i="31"/>
  <c r="AO257" i="31"/>
  <c r="AP257" i="31" s="1"/>
  <c r="R257" i="31"/>
  <c r="K257" i="31"/>
  <c r="D257" i="31"/>
  <c r="AK258" i="31" l="1"/>
  <c r="AD258" i="31"/>
  <c r="W258" i="31"/>
  <c r="I258" i="31"/>
  <c r="AM258" i="31" s="1"/>
  <c r="P258" i="31"/>
  <c r="O259" i="31" l="1"/>
  <c r="H259" i="31"/>
  <c r="V259" i="31"/>
  <c r="AN258" i="31" l="1"/>
  <c r="AC259" i="31"/>
  <c r="AJ259" i="31"/>
  <c r="Y258" i="31" l="1"/>
  <c r="AL259" i="31"/>
  <c r="AF258" i="31"/>
  <c r="AO258" i="31"/>
  <c r="AP258" i="31" s="1"/>
  <c r="K258" i="31"/>
  <c r="D258" i="31"/>
  <c r="R258" i="31"/>
  <c r="AK259" i="31" l="1"/>
  <c r="AD259" i="31"/>
  <c r="W259" i="31"/>
  <c r="I259" i="31"/>
  <c r="AM259" i="31" s="1"/>
  <c r="P259" i="31"/>
  <c r="O260" i="31" l="1"/>
  <c r="H260" i="31"/>
  <c r="V260" i="31"/>
  <c r="AC260" i="31" l="1"/>
  <c r="AN259" i="31"/>
  <c r="AJ260" i="31"/>
  <c r="AF259" i="31" l="1"/>
  <c r="AL260" i="31"/>
  <c r="AO259" i="31"/>
  <c r="AP259" i="31" s="1"/>
  <c r="R259" i="31"/>
  <c r="K259" i="31"/>
  <c r="D259" i="31"/>
  <c r="Y259" i="31"/>
  <c r="AK260" i="31" l="1"/>
  <c r="AD260" i="31"/>
  <c r="W260" i="31"/>
  <c r="I260" i="31"/>
  <c r="AM260" i="31" s="1"/>
  <c r="P260" i="31"/>
  <c r="AN260" i="31" l="1"/>
  <c r="O261" i="31"/>
  <c r="H261" i="31"/>
  <c r="V261" i="31"/>
  <c r="D260" i="31" l="1"/>
  <c r="AO260" i="31"/>
  <c r="AP260" i="31" s="1"/>
  <c r="K260" i="31"/>
  <c r="R260" i="31"/>
  <c r="AC261" i="31"/>
  <c r="Y260" i="31"/>
  <c r="AJ261" i="31"/>
  <c r="AF260" i="31"/>
  <c r="AL261" i="31" l="1"/>
  <c r="AK261" i="31"/>
  <c r="AD261" i="31"/>
  <c r="W261" i="31"/>
  <c r="I261" i="31"/>
  <c r="AM261" i="31" s="1"/>
  <c r="P261" i="31"/>
  <c r="O262" i="31" l="1"/>
  <c r="H262" i="31"/>
  <c r="AC262" i="31"/>
  <c r="V262" i="31"/>
  <c r="AN261" i="31" l="1"/>
  <c r="AJ262" i="31"/>
  <c r="AF261" i="31" l="1"/>
  <c r="AL262" i="31"/>
  <c r="Y261" i="31"/>
  <c r="AO261" i="31"/>
  <c r="AP261" i="31" s="1"/>
  <c r="R261" i="31"/>
  <c r="K261" i="31"/>
  <c r="D261" i="31"/>
  <c r="AK262" i="31" l="1"/>
  <c r="AD262" i="31"/>
  <c r="W262" i="31"/>
  <c r="P262" i="31"/>
  <c r="I262" i="31"/>
  <c r="AM262" i="31" s="1"/>
  <c r="H263" i="31" l="1"/>
  <c r="O263" i="31"/>
  <c r="V263" i="31"/>
  <c r="AJ263" i="31" l="1"/>
  <c r="AN262" i="31"/>
  <c r="AC263" i="31"/>
  <c r="Y262" i="31" l="1"/>
  <c r="AL263" i="31"/>
  <c r="AO262" i="31"/>
  <c r="AP262" i="31" s="1"/>
  <c r="D262" i="31"/>
  <c r="R262" i="31"/>
  <c r="K262" i="31"/>
  <c r="AF262" i="31"/>
  <c r="AK263" i="31" l="1"/>
  <c r="AD263" i="31"/>
  <c r="W263" i="31"/>
  <c r="I263" i="31"/>
  <c r="AM263" i="31" s="1"/>
  <c r="P263" i="31"/>
  <c r="AN263" i="31" l="1"/>
  <c r="O264" i="31"/>
  <c r="H264" i="31"/>
  <c r="V264" i="31"/>
  <c r="AO263" i="31" l="1"/>
  <c r="AP263" i="31" s="1"/>
  <c r="R263" i="31"/>
  <c r="D263" i="31"/>
  <c r="K263" i="31"/>
  <c r="AC264" i="31"/>
  <c r="AL264" i="31" s="1"/>
  <c r="Y263" i="31"/>
  <c r="AJ264" i="31"/>
  <c r="AF263" i="31"/>
  <c r="AK264" i="31" l="1"/>
  <c r="AD264" i="31"/>
  <c r="W264" i="31"/>
  <c r="V265" i="31" s="1"/>
  <c r="I264" i="31"/>
  <c r="AM264" i="31" s="1"/>
  <c r="P264" i="31"/>
  <c r="O265" i="31" l="1"/>
  <c r="H265" i="31"/>
  <c r="AN264" i="31" l="1"/>
  <c r="AC265" i="31"/>
  <c r="AJ265" i="31"/>
  <c r="Y264" i="31" l="1"/>
  <c r="AL265" i="31"/>
  <c r="AF264" i="31"/>
  <c r="R264" i="31"/>
  <c r="AO264" i="31"/>
  <c r="AP264" i="31" s="1"/>
  <c r="K264" i="31"/>
  <c r="D264" i="31"/>
  <c r="AK265" i="31" l="1"/>
  <c r="AD265" i="31"/>
  <c r="W265" i="31"/>
  <c r="I265" i="31"/>
  <c r="AM265" i="31" s="1"/>
  <c r="P265" i="31"/>
  <c r="AN265" i="31" l="1"/>
  <c r="O266" i="31"/>
  <c r="H266" i="31"/>
  <c r="V266" i="31"/>
  <c r="AO265" i="31" l="1"/>
  <c r="AP265" i="31" s="1"/>
  <c r="R265" i="31"/>
  <c r="K265" i="31"/>
  <c r="D265" i="31"/>
  <c r="AC266" i="31"/>
  <c r="AL266" i="31" s="1"/>
  <c r="Y265" i="31"/>
  <c r="AJ266" i="31"/>
  <c r="AF265" i="31"/>
  <c r="AK266" i="31" l="1"/>
  <c r="AD266" i="31"/>
  <c r="W266" i="31"/>
  <c r="I266" i="31"/>
  <c r="AM266" i="31" s="1"/>
  <c r="P266" i="31"/>
  <c r="O267" i="31" l="1"/>
  <c r="H267" i="31"/>
  <c r="V267" i="31"/>
  <c r="AN266" i="31" l="1"/>
  <c r="AC267" i="31"/>
  <c r="AJ267" i="31"/>
  <c r="AF266" i="31" l="1"/>
  <c r="AL267" i="31"/>
  <c r="Y266" i="31"/>
  <c r="K266" i="31"/>
  <c r="AO266" i="31"/>
  <c r="AP266" i="31" s="1"/>
  <c r="D266" i="31"/>
  <c r="R266" i="31"/>
  <c r="AK267" i="31" l="1"/>
  <c r="AD267" i="31"/>
  <c r="W267" i="31"/>
  <c r="I267" i="31"/>
  <c r="AM267" i="31" s="1"/>
  <c r="P267" i="31"/>
  <c r="AN267" i="31" l="1"/>
  <c r="O268" i="31"/>
  <c r="H268" i="31"/>
  <c r="V268" i="31"/>
  <c r="AO267" i="31" l="1"/>
  <c r="AP267" i="31" s="1"/>
  <c r="R267" i="31"/>
  <c r="K267" i="31"/>
  <c r="D267" i="31"/>
  <c r="AC268" i="31"/>
  <c r="AL268" i="31" s="1"/>
  <c r="Y267" i="31"/>
  <c r="AJ268" i="31"/>
  <c r="AF267" i="31"/>
  <c r="AK268" i="31" l="1"/>
  <c r="AD268" i="31"/>
  <c r="W268" i="31"/>
  <c r="P268" i="31"/>
  <c r="I268" i="31"/>
  <c r="AM268" i="31" s="1"/>
  <c r="H269" i="31" l="1"/>
  <c r="AJ269" i="31"/>
  <c r="O269" i="31"/>
  <c r="V269" i="31"/>
  <c r="AN268" i="31" l="1"/>
  <c r="AC269" i="31"/>
  <c r="Y268" i="31" l="1"/>
  <c r="AL269" i="31"/>
  <c r="AF268" i="31"/>
  <c r="AO268" i="31"/>
  <c r="AP268" i="31" s="1"/>
  <c r="R268" i="31"/>
  <c r="D268" i="31"/>
  <c r="K268" i="31"/>
  <c r="AK269" i="31" l="1"/>
  <c r="AD269" i="31"/>
  <c r="W269" i="31"/>
  <c r="I269" i="31"/>
  <c r="AM269" i="31" s="1"/>
  <c r="P269" i="31"/>
  <c r="AN269" i="31" l="1"/>
  <c r="O270" i="31"/>
  <c r="H270" i="31"/>
  <c r="V270" i="31"/>
  <c r="AO269" i="31" l="1"/>
  <c r="AP269" i="31" s="1"/>
  <c r="R269" i="31"/>
  <c r="K269" i="31"/>
  <c r="D269" i="31"/>
  <c r="AC270" i="31"/>
  <c r="AL270" i="31" s="1"/>
  <c r="Y269" i="31"/>
  <c r="AJ270" i="31"/>
  <c r="AF269" i="31"/>
  <c r="AK270" i="31" l="1"/>
  <c r="AD270" i="31"/>
  <c r="W270" i="31"/>
  <c r="V271" i="31" s="1"/>
  <c r="I270" i="31"/>
  <c r="AM270" i="31" s="1"/>
  <c r="P270" i="31"/>
  <c r="O271" i="31" l="1"/>
  <c r="H271" i="31"/>
  <c r="AN270" i="31" l="1"/>
  <c r="AC271" i="31"/>
  <c r="AJ271" i="31"/>
  <c r="Y270" i="31" l="1"/>
  <c r="AL271" i="31"/>
  <c r="AF270" i="31"/>
  <c r="R270" i="31"/>
  <c r="AO270" i="31"/>
  <c r="AP270" i="31" s="1"/>
  <c r="D270" i="31"/>
  <c r="K270" i="31"/>
  <c r="AK271" i="31" l="1"/>
  <c r="AD271" i="31"/>
  <c r="W271" i="31"/>
  <c r="I271" i="31"/>
  <c r="AM271" i="31" s="1"/>
  <c r="P271" i="31"/>
  <c r="O272" i="31" l="1"/>
  <c r="AC272" i="31"/>
  <c r="H272" i="31"/>
  <c r="V272" i="31"/>
  <c r="AN271" i="31" l="1"/>
  <c r="AJ272" i="31"/>
  <c r="AF271" i="31" l="1"/>
  <c r="AL272" i="31"/>
  <c r="Y271" i="31"/>
  <c r="AO271" i="31"/>
  <c r="AP271" i="31" s="1"/>
  <c r="R271" i="31"/>
  <c r="K271" i="31"/>
  <c r="D271" i="31"/>
  <c r="AK272" i="31" l="1"/>
  <c r="AD272" i="31"/>
  <c r="W272" i="31"/>
  <c r="I272" i="31"/>
  <c r="AM272" i="31" s="1"/>
  <c r="P272" i="31"/>
  <c r="H273" i="31" l="1"/>
  <c r="O273" i="31"/>
  <c r="V273" i="31"/>
  <c r="AN272" i="31" l="1"/>
  <c r="AL273" i="31" s="1"/>
  <c r="AC273" i="31"/>
  <c r="AJ273" i="31"/>
  <c r="AK273" i="31" l="1"/>
  <c r="AD273" i="31"/>
  <c r="AF272" i="31"/>
  <c r="Y272" i="31"/>
  <c r="K272" i="31"/>
  <c r="R272" i="31"/>
  <c r="D272" i="31"/>
  <c r="AO272" i="31"/>
  <c r="AP272" i="31" s="1"/>
  <c r="W273" i="31"/>
  <c r="I273" i="31"/>
  <c r="AM273" i="31" s="1"/>
  <c r="P273" i="31"/>
  <c r="O274" i="31" l="1"/>
  <c r="H274" i="31"/>
  <c r="V274" i="31"/>
  <c r="AC274" i="31" l="1"/>
  <c r="AN273" i="31"/>
  <c r="AJ274" i="31"/>
  <c r="AL274" i="31" l="1"/>
  <c r="AO273" i="31"/>
  <c r="AP273" i="31" s="1"/>
  <c r="R273" i="31"/>
  <c r="K273" i="31"/>
  <c r="D273" i="31"/>
  <c r="Y273" i="31"/>
  <c r="AF273" i="31"/>
  <c r="AK274" i="31" l="1"/>
  <c r="AD274" i="31"/>
  <c r="W274" i="31"/>
  <c r="P274" i="31"/>
  <c r="I274" i="31"/>
  <c r="AM274" i="31" s="1"/>
  <c r="H275" i="31" l="1"/>
  <c r="O275" i="31"/>
  <c r="V275" i="31"/>
  <c r="AN274" i="31" l="1"/>
  <c r="AC275" i="31"/>
  <c r="AJ275" i="31"/>
  <c r="Y274" i="31" l="1"/>
  <c r="AL275" i="31"/>
  <c r="AF274" i="31"/>
  <c r="AO274" i="31"/>
  <c r="AP274" i="31" s="1"/>
  <c r="D274" i="31"/>
  <c r="K274" i="31"/>
  <c r="R274" i="31"/>
  <c r="AK275" i="31" l="1"/>
  <c r="AD275" i="31"/>
  <c r="W275" i="31"/>
  <c r="I275" i="31"/>
  <c r="P275" i="31"/>
  <c r="AM275" i="31" l="1"/>
  <c r="H276" i="31"/>
  <c r="AJ276" i="31"/>
  <c r="O276" i="31"/>
  <c r="V276" i="31"/>
  <c r="AN275" i="31" l="1"/>
  <c r="AC276" i="31"/>
  <c r="AF275" i="31" l="1"/>
  <c r="AL276" i="31"/>
  <c r="K275" i="31"/>
  <c r="Y275" i="31"/>
  <c r="D275" i="31"/>
  <c r="R275" i="31"/>
  <c r="AO275" i="31"/>
  <c r="AP275" i="31" s="1"/>
  <c r="AK276" i="31" l="1"/>
  <c r="I276" i="31"/>
  <c r="H277" i="31" s="1"/>
  <c r="W276" i="31"/>
  <c r="V277" i="31" s="1"/>
  <c r="AD276" i="31"/>
  <c r="P276" i="31"/>
  <c r="O277" i="31" s="1"/>
  <c r="AM276" i="31" l="1"/>
  <c r="AN276" i="31"/>
  <c r="AC277" i="31"/>
  <c r="AF276" i="31" l="1"/>
  <c r="AJ277" i="31"/>
  <c r="AL277" i="31" s="1"/>
  <c r="AK277" i="31" s="1"/>
  <c r="Y276" i="31"/>
  <c r="AO276" i="31"/>
  <c r="AP276" i="31" s="1"/>
  <c r="R276" i="31"/>
  <c r="D276" i="31"/>
  <c r="K276" i="31"/>
  <c r="AD277" i="31" l="1"/>
  <c r="W277" i="31"/>
  <c r="P277" i="31"/>
  <c r="I277" i="31"/>
  <c r="AM277" i="31" s="1"/>
  <c r="O278" i="31" l="1"/>
  <c r="H278" i="31"/>
  <c r="V278" i="31"/>
  <c r="AC278" i="31" l="1"/>
  <c r="AN277" i="31"/>
  <c r="AJ278" i="31"/>
  <c r="AF277" i="31" l="1"/>
  <c r="AL278" i="31"/>
  <c r="AO277" i="31"/>
  <c r="AP277" i="31" s="1"/>
  <c r="R277" i="31"/>
  <c r="K277" i="31"/>
  <c r="D277" i="31"/>
  <c r="Y277" i="31"/>
  <c r="AK278" i="31" l="1"/>
  <c r="AD278" i="31"/>
  <c r="W278" i="31"/>
  <c r="I278" i="31"/>
  <c r="AM278" i="31" s="1"/>
  <c r="P278" i="31"/>
  <c r="H279" i="31" l="1"/>
  <c r="AC279" i="31"/>
  <c r="O279" i="31"/>
  <c r="V279" i="31"/>
  <c r="AN278" i="31" l="1"/>
  <c r="AJ279" i="31"/>
  <c r="AF278" i="31" l="1"/>
  <c r="AL279" i="31"/>
  <c r="Y278" i="31"/>
  <c r="AO278" i="31"/>
  <c r="AP278" i="31" s="1"/>
  <c r="R278" i="31"/>
  <c r="D278" i="31"/>
  <c r="K278" i="31"/>
  <c r="AK279" i="31" l="1"/>
  <c r="AD279" i="31"/>
  <c r="W279" i="31"/>
  <c r="P279" i="31"/>
  <c r="I279" i="31"/>
  <c r="AM279" i="31" s="1"/>
  <c r="H280" i="31" l="1"/>
  <c r="O280" i="31"/>
  <c r="V280" i="31"/>
  <c r="AJ280" i="31" l="1"/>
  <c r="AN279" i="31"/>
  <c r="AC280" i="31"/>
  <c r="AL280" i="31" l="1"/>
  <c r="D279" i="31"/>
  <c r="AO279" i="31"/>
  <c r="AP279" i="31" s="1"/>
  <c r="K279" i="31"/>
  <c r="R279" i="31"/>
  <c r="Y279" i="31"/>
  <c r="AF279" i="31"/>
  <c r="AK280" i="31" l="1"/>
  <c r="AD280" i="31"/>
  <c r="W280" i="31"/>
  <c r="P280" i="31"/>
  <c r="I280" i="31"/>
  <c r="AM280" i="31" s="1"/>
  <c r="H281" i="31" l="1"/>
  <c r="AN280" i="31"/>
  <c r="O281" i="31"/>
  <c r="V281" i="31"/>
  <c r="AO280" i="31" l="1"/>
  <c r="AP280" i="31" s="1"/>
  <c r="R280" i="31"/>
  <c r="D280" i="31"/>
  <c r="K280" i="31"/>
  <c r="AJ281" i="31"/>
  <c r="AF280" i="31"/>
  <c r="AC281" i="31"/>
  <c r="AL281" i="31" s="1"/>
  <c r="Y280" i="31"/>
  <c r="AK281" i="31" l="1"/>
  <c r="AD281" i="31"/>
  <c r="W281" i="31"/>
  <c r="V282" i="31" s="1"/>
  <c r="I281" i="31"/>
  <c r="AM281" i="31" s="1"/>
  <c r="P281" i="31"/>
  <c r="O282" i="31" l="1"/>
  <c r="H282" i="31"/>
  <c r="AN281" i="31" l="1"/>
  <c r="AC282" i="31"/>
  <c r="AJ282" i="31"/>
  <c r="AF281" i="31" l="1"/>
  <c r="AL282" i="31"/>
  <c r="Y281" i="31"/>
  <c r="R281" i="31"/>
  <c r="AO281" i="31"/>
  <c r="AP281" i="31" s="1"/>
  <c r="D281" i="31"/>
  <c r="K281" i="31"/>
  <c r="AK282" i="31" l="1"/>
  <c r="AD282" i="31"/>
  <c r="W282" i="31"/>
  <c r="I282" i="31"/>
  <c r="AM282" i="31" s="1"/>
  <c r="P282" i="31"/>
  <c r="O283" i="31" l="1"/>
  <c r="H283" i="31"/>
  <c r="AC283" i="31"/>
  <c r="V283" i="31"/>
  <c r="AN282" i="31" l="1"/>
  <c r="AJ283" i="31"/>
  <c r="AF282" i="31" l="1"/>
  <c r="AL283" i="31"/>
  <c r="Y282" i="31"/>
  <c r="AO282" i="31"/>
  <c r="AP282" i="31" s="1"/>
  <c r="R282" i="31"/>
  <c r="D282" i="31"/>
  <c r="K282" i="31"/>
  <c r="AK283" i="31" l="1"/>
  <c r="AD283" i="31"/>
  <c r="W283" i="31"/>
  <c r="I283" i="31"/>
  <c r="AM283" i="31" s="1"/>
  <c r="P283" i="31"/>
  <c r="H284" i="31" l="1"/>
  <c r="AJ284" i="31"/>
  <c r="O284" i="31"/>
  <c r="V284" i="31"/>
  <c r="AN283" i="31" l="1"/>
  <c r="AC284" i="31"/>
  <c r="Y283" i="31" l="1"/>
  <c r="AL284" i="31"/>
  <c r="AF283" i="31"/>
  <c r="AO283" i="31"/>
  <c r="AP283" i="31" s="1"/>
  <c r="R283" i="31"/>
  <c r="K283" i="31"/>
  <c r="D283" i="31"/>
  <c r="AK284" i="31" l="1"/>
  <c r="AD284" i="31"/>
  <c r="W284" i="31"/>
  <c r="P284" i="31"/>
  <c r="I284" i="31"/>
  <c r="AM284" i="31" s="1"/>
  <c r="H285" i="31" l="1"/>
  <c r="AN284" i="31"/>
  <c r="O285" i="31"/>
  <c r="V285" i="31"/>
  <c r="AO284" i="31" l="1"/>
  <c r="AP284" i="31" s="1"/>
  <c r="R284" i="31"/>
  <c r="D284" i="31"/>
  <c r="K284" i="31"/>
  <c r="AJ285" i="31"/>
  <c r="AF284" i="31"/>
  <c r="AC285" i="31"/>
  <c r="AL285" i="31" s="1"/>
  <c r="Y284" i="31"/>
  <c r="AK285" i="31" l="1"/>
  <c r="AD285" i="31"/>
  <c r="W285" i="31"/>
  <c r="I285" i="31"/>
  <c r="P285" i="31"/>
  <c r="AM285" i="31" l="1"/>
  <c r="AJ286" i="31"/>
  <c r="O286" i="31"/>
  <c r="H286" i="31"/>
  <c r="V286" i="31"/>
  <c r="AC286" i="31" l="1"/>
  <c r="AN285" i="31"/>
  <c r="Y285" i="31" l="1"/>
  <c r="AL286" i="31"/>
  <c r="AF285" i="31"/>
  <c r="AO285" i="31"/>
  <c r="AP285" i="31" s="1"/>
  <c r="R285" i="31"/>
  <c r="D285" i="31"/>
  <c r="K285" i="31"/>
  <c r="AK286" i="31" l="1"/>
  <c r="AD286" i="31"/>
  <c r="W286" i="31"/>
  <c r="P286" i="31"/>
  <c r="I286" i="31"/>
  <c r="AM286" i="31" s="1"/>
  <c r="H287" i="31" l="1"/>
  <c r="O287" i="31"/>
  <c r="V287" i="31"/>
  <c r="AN286" i="31" l="1"/>
  <c r="AC287" i="31"/>
  <c r="AJ287" i="31"/>
  <c r="Y286" i="31" l="1"/>
  <c r="AL287" i="31"/>
  <c r="AF286" i="31"/>
  <c r="AO286" i="31"/>
  <c r="AP286" i="31" s="1"/>
  <c r="D286" i="31"/>
  <c r="K286" i="31"/>
  <c r="R286" i="31"/>
  <c r="AK287" i="31" l="1"/>
  <c r="AD287" i="31"/>
  <c r="W287" i="31"/>
  <c r="I287" i="31"/>
  <c r="AM287" i="31" s="1"/>
  <c r="P287" i="31"/>
  <c r="O288" i="31" l="1"/>
  <c r="H288" i="31"/>
  <c r="V288" i="31"/>
  <c r="AN287" i="31" l="1"/>
  <c r="AC288" i="31"/>
  <c r="AJ288" i="31"/>
  <c r="Y287" i="31" l="1"/>
  <c r="AL288" i="31"/>
  <c r="AF287" i="31"/>
  <c r="D287" i="31"/>
  <c r="AO287" i="31"/>
  <c r="AP287" i="31" s="1"/>
  <c r="R287" i="31"/>
  <c r="K287" i="31"/>
  <c r="AK288" i="31" l="1"/>
  <c r="AD288" i="31"/>
  <c r="W288" i="31"/>
  <c r="P288" i="31"/>
  <c r="I288" i="31"/>
  <c r="AM288" i="31" s="1"/>
  <c r="H289" i="31" l="1"/>
  <c r="AN288" i="31"/>
  <c r="O289" i="31"/>
  <c r="V289" i="31"/>
  <c r="AO288" i="31" l="1"/>
  <c r="AP288" i="31" s="1"/>
  <c r="R288" i="31"/>
  <c r="D288" i="31"/>
  <c r="K288" i="31"/>
  <c r="AJ289" i="31"/>
  <c r="AF288" i="31"/>
  <c r="AC289" i="31"/>
  <c r="AL289" i="31" s="1"/>
  <c r="Y288" i="31"/>
  <c r="AK289" i="31" l="1"/>
  <c r="AD289" i="31"/>
  <c r="W289" i="31"/>
  <c r="P289" i="31"/>
  <c r="I289" i="31"/>
  <c r="AM289" i="31" s="1"/>
  <c r="O290" i="31" l="1"/>
  <c r="H290" i="31"/>
  <c r="V290" i="31"/>
  <c r="AC290" i="31" l="1"/>
  <c r="AN289" i="31"/>
  <c r="AJ290" i="31"/>
  <c r="Y289" i="31" l="1"/>
  <c r="AL290" i="31"/>
  <c r="AF289" i="31"/>
  <c r="AO289" i="31"/>
  <c r="AP289" i="31" s="1"/>
  <c r="R289" i="31"/>
  <c r="K289" i="31"/>
  <c r="D289" i="31"/>
  <c r="AK290" i="31" l="1"/>
  <c r="AD290" i="31"/>
  <c r="W290" i="31"/>
  <c r="I290" i="31"/>
  <c r="AM290" i="31" s="1"/>
  <c r="P290" i="31"/>
  <c r="H291" i="31" l="1"/>
  <c r="O291" i="31"/>
  <c r="V291" i="31"/>
  <c r="AJ291" i="31" l="1"/>
  <c r="AN290" i="31"/>
  <c r="AC291" i="31"/>
  <c r="Y290" i="31" l="1"/>
  <c r="AL291" i="31"/>
  <c r="AO290" i="31"/>
  <c r="AP290" i="31" s="1"/>
  <c r="R290" i="31"/>
  <c r="K290" i="31"/>
  <c r="D290" i="31"/>
  <c r="AF290" i="31"/>
  <c r="AK291" i="31" l="1"/>
  <c r="AD291" i="31"/>
  <c r="W291" i="31"/>
  <c r="I291" i="31"/>
  <c r="P291" i="31"/>
  <c r="AM291" i="31" l="1"/>
  <c r="H292" i="31"/>
  <c r="AC292" i="31"/>
  <c r="O292" i="31"/>
  <c r="V292" i="31"/>
  <c r="AJ292" i="31" l="1"/>
  <c r="AN291" i="31"/>
  <c r="AF291" i="31" l="1"/>
  <c r="AL292" i="31"/>
  <c r="Y291" i="31"/>
  <c r="AO291" i="31"/>
  <c r="AP291" i="31" s="1"/>
  <c r="R291" i="31"/>
  <c r="D291" i="31"/>
  <c r="K291" i="31"/>
  <c r="AK292" i="31" l="1"/>
  <c r="AD292" i="31"/>
  <c r="W292" i="31"/>
  <c r="P292" i="31"/>
  <c r="I292" i="31"/>
  <c r="AM292" i="31" s="1"/>
  <c r="H293" i="31" l="1"/>
  <c r="O293" i="31"/>
  <c r="V293" i="31"/>
  <c r="AN292" i="31" l="1"/>
  <c r="AC293" i="31"/>
  <c r="AJ293" i="31"/>
  <c r="Y292" i="31" l="1"/>
  <c r="AL293" i="31"/>
  <c r="AF292" i="31"/>
  <c r="AO292" i="31"/>
  <c r="AP292" i="31" s="1"/>
  <c r="D292" i="31"/>
  <c r="R292" i="31"/>
  <c r="K292" i="31"/>
  <c r="AK293" i="31" l="1"/>
  <c r="AD293" i="31"/>
  <c r="W293" i="31"/>
  <c r="I293" i="31"/>
  <c r="AM293" i="31" s="1"/>
  <c r="P293" i="31"/>
  <c r="AJ294" i="31" l="1"/>
  <c r="O294" i="31"/>
  <c r="H294" i="31"/>
  <c r="V294" i="31"/>
  <c r="AN293" i="31" l="1"/>
  <c r="AC294" i="31"/>
  <c r="AF293" i="31" l="1"/>
  <c r="AL294" i="31"/>
  <c r="Y293" i="31"/>
  <c r="K293" i="31"/>
  <c r="R293" i="31"/>
  <c r="AO293" i="31"/>
  <c r="AP293" i="31" s="1"/>
  <c r="D293" i="31"/>
  <c r="AK294" i="31" l="1"/>
  <c r="W294" i="31"/>
  <c r="V295" i="31" s="1"/>
  <c r="P294" i="31"/>
  <c r="AD294" i="31"/>
  <c r="I294" i="31"/>
  <c r="AM294" i="31" s="1"/>
  <c r="O295" i="31" l="1"/>
  <c r="H295" i="31"/>
  <c r="AN294" i="31"/>
  <c r="AC295" i="31"/>
  <c r="AJ295" i="31"/>
  <c r="Y294" i="31" l="1"/>
  <c r="AL295" i="31"/>
  <c r="R294" i="31"/>
  <c r="K294" i="31"/>
  <c r="D294" i="31"/>
  <c r="AF294" i="31"/>
  <c r="AO294" i="31"/>
  <c r="AP294" i="31" s="1"/>
  <c r="AK295" i="31" l="1"/>
  <c r="AD295" i="31"/>
  <c r="P295" i="31"/>
  <c r="I295" i="31"/>
  <c r="AM295" i="31" s="1"/>
  <c r="W295" i="31"/>
  <c r="V296" i="31" s="1"/>
  <c r="AJ296" i="31" l="1"/>
  <c r="H296" i="31"/>
  <c r="O296" i="31"/>
  <c r="AN295" i="31"/>
  <c r="AC296" i="31"/>
  <c r="AF295" i="31" l="1"/>
  <c r="AL296" i="31"/>
  <c r="Y295" i="31"/>
  <c r="K295" i="31"/>
  <c r="R295" i="31"/>
  <c r="AO295" i="31"/>
  <c r="AP295" i="31" s="1"/>
  <c r="D295" i="31"/>
  <c r="AK296" i="31" l="1"/>
  <c r="P296" i="31"/>
  <c r="AD296" i="31"/>
  <c r="W296" i="31"/>
  <c r="V297" i="31" s="1"/>
  <c r="I296" i="31"/>
  <c r="AM296" i="31" s="1"/>
  <c r="O297" i="31" l="1"/>
  <c r="H297" i="31"/>
  <c r="AN296" i="31"/>
  <c r="AC297" i="31"/>
  <c r="AJ297" i="31"/>
  <c r="AF296" i="31" l="1"/>
  <c r="AL297" i="31"/>
  <c r="Y296" i="31"/>
  <c r="D296" i="31"/>
  <c r="AO296" i="31"/>
  <c r="AP296" i="31" s="1"/>
  <c r="K296" i="31"/>
  <c r="R296" i="31"/>
  <c r="AK297" i="31" l="1"/>
  <c r="AD297" i="31"/>
  <c r="W297" i="31"/>
  <c r="I297" i="31"/>
  <c r="AM297" i="31" s="1"/>
  <c r="P297" i="31"/>
  <c r="H298" i="31" l="1"/>
  <c r="AN297" i="31"/>
  <c r="O298" i="31"/>
  <c r="V298" i="31"/>
  <c r="AO297" i="31" l="1"/>
  <c r="AP297" i="31" s="1"/>
  <c r="R297" i="31"/>
  <c r="D297" i="31"/>
  <c r="K297" i="31"/>
  <c r="AJ298" i="31"/>
  <c r="AF297" i="31"/>
  <c r="AC298" i="31"/>
  <c r="AL298" i="31" s="1"/>
  <c r="Y297" i="31"/>
  <c r="AK298" i="31" l="1"/>
  <c r="AD298" i="31"/>
  <c r="W298" i="31"/>
  <c r="I298" i="31"/>
  <c r="P298" i="31"/>
  <c r="AM298" i="31" l="1"/>
  <c r="H299" i="31"/>
  <c r="O299" i="31"/>
  <c r="V299" i="31"/>
  <c r="AJ299" i="31" l="1"/>
  <c r="AN298" i="31"/>
  <c r="AC299" i="31"/>
  <c r="AF298" i="31" l="1"/>
  <c r="AL299" i="31"/>
  <c r="Y298" i="31"/>
  <c r="AO298" i="31"/>
  <c r="AP298" i="31" s="1"/>
  <c r="R298" i="31"/>
  <c r="K298" i="31"/>
  <c r="D298" i="31"/>
  <c r="AK299" i="31" l="1"/>
  <c r="AD299" i="31"/>
  <c r="W299" i="31"/>
  <c r="P299" i="31"/>
  <c r="I299" i="31"/>
  <c r="AM299" i="31" s="1"/>
  <c r="O300" i="31" l="1"/>
  <c r="H300" i="31"/>
  <c r="V300" i="31"/>
  <c r="AN299" i="31" l="1"/>
  <c r="AC300" i="31"/>
  <c r="AJ300" i="31"/>
  <c r="AL300" i="31" l="1"/>
  <c r="AK300" i="31"/>
  <c r="AD300" i="31"/>
  <c r="D299" i="31"/>
  <c r="R299" i="31"/>
  <c r="AO299" i="31"/>
  <c r="AP299" i="31" s="1"/>
  <c r="Y299" i="31"/>
  <c r="K299" i="31"/>
  <c r="AF299" i="31"/>
  <c r="W300" i="31"/>
  <c r="I300" i="31"/>
  <c r="AM300" i="31" s="1"/>
  <c r="P300" i="31"/>
  <c r="AN300" i="31" l="1"/>
  <c r="O301" i="31"/>
  <c r="H301" i="31"/>
  <c r="V301" i="31"/>
  <c r="K300" i="31" l="1"/>
  <c r="D300" i="31"/>
  <c r="AO300" i="31"/>
  <c r="AP300" i="31" s="1"/>
  <c r="AC301" i="31"/>
  <c r="Y300" i="31"/>
  <c r="R300" i="31"/>
  <c r="AJ301" i="31"/>
  <c r="AF300" i="31"/>
  <c r="AL301" i="31" l="1"/>
  <c r="AK301" i="31"/>
  <c r="AD301" i="31"/>
  <c r="W301" i="31"/>
  <c r="I301" i="31"/>
  <c r="AM301" i="31" s="1"/>
  <c r="P301" i="31"/>
  <c r="AN301" i="31" l="1"/>
  <c r="O302" i="31"/>
  <c r="H302" i="31"/>
  <c r="V302" i="31"/>
  <c r="AO301" i="31" l="1"/>
  <c r="AP301" i="31" s="1"/>
  <c r="R301" i="31"/>
  <c r="D301" i="31"/>
  <c r="K301" i="31"/>
  <c r="AC302" i="31"/>
  <c r="AL302" i="31" s="1"/>
  <c r="Y301" i="31"/>
  <c r="AJ302" i="31"/>
  <c r="AF301" i="31"/>
  <c r="AK302" i="31" l="1"/>
  <c r="AD302" i="31"/>
  <c r="W302" i="31"/>
  <c r="I302" i="31"/>
  <c r="AM302" i="31" s="1"/>
  <c r="P302" i="31"/>
  <c r="AJ303" i="31" l="1"/>
  <c r="O303" i="31"/>
  <c r="H303" i="31"/>
  <c r="V303" i="31"/>
  <c r="AN302" i="31" l="1"/>
  <c r="AC303" i="31"/>
  <c r="AF302" i="31" l="1"/>
  <c r="AL303" i="31"/>
  <c r="Y302" i="31"/>
  <c r="R302" i="31"/>
  <c r="AO302" i="31"/>
  <c r="AP302" i="31" s="1"/>
  <c r="K302" i="31"/>
  <c r="D302" i="31"/>
  <c r="AK303" i="31" l="1"/>
  <c r="AD303" i="31"/>
  <c r="AC304" i="31" s="1"/>
  <c r="W303" i="31"/>
  <c r="V304" i="31" s="1"/>
  <c r="I303" i="31"/>
  <c r="H304" i="31" s="1"/>
  <c r="P303" i="31"/>
  <c r="AM303" i="31" l="1"/>
  <c r="O304" i="31"/>
  <c r="AN303" i="31"/>
  <c r="AJ304" i="31"/>
  <c r="AF303" i="31" l="1"/>
  <c r="AL304" i="31"/>
  <c r="AK304" i="31" s="1"/>
  <c r="Y303" i="31"/>
  <c r="AO303" i="31"/>
  <c r="AP303" i="31" s="1"/>
  <c r="R303" i="31"/>
  <c r="D303" i="31"/>
  <c r="K303" i="31"/>
  <c r="AD304" i="31" l="1"/>
  <c r="W304" i="31"/>
  <c r="P304" i="31"/>
  <c r="I304" i="31"/>
  <c r="AM304" i="31" s="1"/>
  <c r="H305" i="31" l="1"/>
  <c r="AC305" i="31"/>
  <c r="O305" i="31"/>
  <c r="V305" i="31"/>
  <c r="AN304" i="31" l="1"/>
  <c r="AJ305" i="31"/>
  <c r="AF304" i="31" l="1"/>
  <c r="AL305" i="31"/>
  <c r="Y304" i="31"/>
  <c r="AO304" i="31"/>
  <c r="AP304" i="31" s="1"/>
  <c r="R304" i="31"/>
  <c r="D304" i="31"/>
  <c r="K304" i="31"/>
  <c r="AK305" i="31" l="1"/>
  <c r="AD305" i="31"/>
  <c r="W305" i="31"/>
  <c r="I305" i="31"/>
  <c r="AM305" i="31" s="1"/>
  <c r="P305" i="31"/>
  <c r="H306" i="31" l="1"/>
  <c r="AJ306" i="31"/>
  <c r="O306" i="31"/>
  <c r="V306" i="31"/>
  <c r="AN305" i="31" l="1"/>
  <c r="AC306" i="31"/>
  <c r="AF305" i="31" l="1"/>
  <c r="AL306" i="31"/>
  <c r="P306" i="31" s="1"/>
  <c r="Y305" i="31"/>
  <c r="K305" i="31"/>
  <c r="D305" i="31"/>
  <c r="R305" i="31"/>
  <c r="AO305" i="31"/>
  <c r="AP305" i="31" s="1"/>
  <c r="W306" i="31"/>
  <c r="AK306" i="31" l="1"/>
  <c r="I306" i="31"/>
  <c r="AM306" i="31" s="1"/>
  <c r="AD306" i="31"/>
  <c r="O307" i="31"/>
  <c r="V307" i="31"/>
  <c r="H307" i="31" l="1"/>
  <c r="AC307" i="31"/>
  <c r="AN306" i="31"/>
  <c r="AJ307" i="31"/>
  <c r="Y306" i="31" l="1"/>
  <c r="AL307" i="31"/>
  <c r="AF306" i="31"/>
  <c r="AO306" i="31"/>
  <c r="AP306" i="31" s="1"/>
  <c r="R306" i="31"/>
  <c r="K306" i="31"/>
  <c r="D306" i="31"/>
  <c r="AK307" i="31" l="1"/>
  <c r="AD307" i="31"/>
  <c r="W307" i="31"/>
  <c r="I307" i="31"/>
  <c r="AM307" i="31" s="1"/>
  <c r="P307" i="31"/>
  <c r="H308" i="31" l="1"/>
  <c r="AN307" i="31"/>
  <c r="O308" i="31"/>
  <c r="V308" i="31"/>
  <c r="AO307" i="31" l="1"/>
  <c r="AP307" i="31" s="1"/>
  <c r="R307" i="31"/>
  <c r="D307" i="31"/>
  <c r="K307" i="31"/>
  <c r="AC308" i="31"/>
  <c r="AL308" i="31" s="1"/>
  <c r="Y307" i="31"/>
  <c r="AJ308" i="31"/>
  <c r="AF307" i="31"/>
  <c r="AK308" i="31" l="1"/>
  <c r="AD308" i="31"/>
  <c r="W308" i="31"/>
  <c r="I308" i="31"/>
  <c r="AM308" i="31" s="1"/>
  <c r="P308" i="31"/>
  <c r="H309" i="31" l="1"/>
  <c r="AN308" i="31"/>
  <c r="O309" i="31"/>
  <c r="V309" i="31"/>
  <c r="AL309" i="31" l="1"/>
  <c r="AO308" i="31"/>
  <c r="AP308" i="31" s="1"/>
  <c r="R308" i="31"/>
  <c r="K308" i="31"/>
  <c r="D308" i="31"/>
  <c r="AJ309" i="31"/>
  <c r="AF308" i="31"/>
  <c r="AC309" i="31"/>
  <c r="Y308" i="31"/>
  <c r="AK309" i="31" l="1"/>
  <c r="AD309" i="31"/>
  <c r="W309" i="31"/>
  <c r="V310" i="31" s="1"/>
  <c r="I309" i="31"/>
  <c r="AM309" i="31" s="1"/>
  <c r="P309" i="31"/>
  <c r="H310" i="31" l="1"/>
  <c r="O310" i="31"/>
  <c r="AN309" i="31" l="1"/>
  <c r="AC310" i="31"/>
  <c r="AJ310" i="31"/>
  <c r="Y309" i="31" l="1"/>
  <c r="AL310" i="31"/>
  <c r="AF309" i="31"/>
  <c r="R309" i="31"/>
  <c r="AO309" i="31"/>
  <c r="AP309" i="31" s="1"/>
  <c r="K309" i="31"/>
  <c r="D309" i="31"/>
  <c r="AK310" i="31" l="1"/>
  <c r="AD310" i="31"/>
  <c r="W310" i="31"/>
  <c r="P310" i="31"/>
  <c r="I310" i="31"/>
  <c r="AM310" i="31" s="1"/>
  <c r="H311" i="31" l="1"/>
  <c r="AJ311" i="31"/>
  <c r="O311" i="31"/>
  <c r="V311" i="31"/>
  <c r="AN310" i="31" l="1"/>
  <c r="AC311" i="31"/>
  <c r="AF310" i="31" l="1"/>
  <c r="AL311" i="31"/>
  <c r="Y310" i="31"/>
  <c r="K310" i="31"/>
  <c r="R310" i="31"/>
  <c r="AO310" i="31"/>
  <c r="AP310" i="31" s="1"/>
  <c r="D310" i="31"/>
  <c r="AK311" i="31" l="1"/>
  <c r="I311" i="31"/>
  <c r="H312" i="31" s="1"/>
  <c r="P311" i="31"/>
  <c r="O312" i="31" s="1"/>
  <c r="AD311" i="31"/>
  <c r="W311" i="31"/>
  <c r="V312" i="31" s="1"/>
  <c r="AM311" i="31" l="1"/>
  <c r="AJ312" i="31"/>
  <c r="AC312" i="31"/>
  <c r="AN311" i="31" l="1"/>
  <c r="AF311" i="31" l="1"/>
  <c r="AL312" i="31"/>
  <c r="AO311" i="31"/>
  <c r="AP311" i="31" s="1"/>
  <c r="D311" i="31"/>
  <c r="K311" i="31"/>
  <c r="Y311" i="31"/>
  <c r="R311" i="31"/>
  <c r="AK312" i="31" l="1"/>
  <c r="AD312" i="31"/>
  <c r="AC313" i="31" s="1"/>
  <c r="I312" i="31"/>
  <c r="H313" i="31" s="1"/>
  <c r="P312" i="31"/>
  <c r="W312" i="31"/>
  <c r="V313" i="31" s="1"/>
  <c r="AM312" i="31" l="1"/>
  <c r="AJ313" i="31"/>
  <c r="O313" i="31"/>
  <c r="AN312" i="31" l="1"/>
  <c r="AF312" i="31" l="1"/>
  <c r="AL313" i="31"/>
  <c r="K312" i="31"/>
  <c r="Y312" i="31"/>
  <c r="R312" i="31"/>
  <c r="AO312" i="31"/>
  <c r="AP312" i="31" s="1"/>
  <c r="D312" i="31"/>
  <c r="AK313" i="31" l="1"/>
  <c r="AD313" i="31"/>
  <c r="AC314" i="31" s="1"/>
  <c r="I313" i="31"/>
  <c r="H314" i="31" s="1"/>
  <c r="W313" i="31"/>
  <c r="P313" i="31"/>
  <c r="AM313" i="31" l="1"/>
  <c r="AN313" i="31"/>
  <c r="AJ314" i="31"/>
  <c r="O314" i="31"/>
  <c r="V314" i="31"/>
  <c r="AF313" i="31" l="1"/>
  <c r="AL314" i="31"/>
  <c r="Y313" i="31"/>
  <c r="K313" i="31"/>
  <c r="R313" i="31"/>
  <c r="D313" i="31"/>
  <c r="AO313" i="31"/>
  <c r="AP313" i="31" s="1"/>
  <c r="AK314" i="31"/>
  <c r="I314" i="31" l="1"/>
  <c r="H315" i="31" s="1"/>
  <c r="W314" i="31"/>
  <c r="V315" i="31" s="1"/>
  <c r="P314" i="31"/>
  <c r="AD314" i="31"/>
  <c r="AC315" i="31" s="1"/>
  <c r="AM314" i="31" l="1"/>
  <c r="AJ315" i="31"/>
  <c r="AN314" i="31"/>
  <c r="O315" i="31"/>
  <c r="AF314" i="31" l="1"/>
  <c r="AL315" i="31"/>
  <c r="R314" i="31"/>
  <c r="D314" i="31"/>
  <c r="K314" i="31"/>
  <c r="AK315" i="31"/>
  <c r="AO314" i="31"/>
  <c r="AP314" i="31" s="1"/>
  <c r="Y314" i="31"/>
  <c r="AD315" i="31" l="1"/>
  <c r="AC316" i="31" s="1"/>
  <c r="W315" i="31"/>
  <c r="V316" i="31" s="1"/>
  <c r="I315" i="31"/>
  <c r="H316" i="31" s="1"/>
  <c r="P315" i="31"/>
  <c r="O316" i="31" s="1"/>
  <c r="AJ316" i="31"/>
  <c r="AM315" i="31" l="1"/>
  <c r="AN315" i="31"/>
  <c r="AF315" i="31" l="1"/>
  <c r="AL316" i="31"/>
  <c r="AD316" i="31" s="1"/>
  <c r="D315" i="31"/>
  <c r="K315" i="31"/>
  <c r="R315" i="31"/>
  <c r="AK316" i="31"/>
  <c r="AO315" i="31"/>
  <c r="AP315" i="31" s="1"/>
  <c r="Y315" i="31"/>
  <c r="W316" i="31" l="1"/>
  <c r="V317" i="31" s="1"/>
  <c r="I316" i="31"/>
  <c r="H317" i="31" s="1"/>
  <c r="P316" i="31"/>
  <c r="AM316" i="31" s="1"/>
  <c r="O317" i="31" l="1"/>
  <c r="AJ317" i="31"/>
  <c r="AN316" i="31"/>
  <c r="AC317" i="31"/>
  <c r="Y316" i="31" l="1"/>
  <c r="AL317" i="31"/>
  <c r="AO316" i="31"/>
  <c r="AP316" i="31" s="1"/>
  <c r="D316" i="31"/>
  <c r="K316" i="31"/>
  <c r="R316" i="31"/>
  <c r="AF316" i="31"/>
  <c r="AK317" i="31" l="1"/>
  <c r="AD317" i="31"/>
  <c r="W317" i="31"/>
  <c r="I317" i="31"/>
  <c r="AM317" i="31" s="1"/>
  <c r="P317" i="31"/>
  <c r="AJ318" i="31" l="1"/>
  <c r="O318" i="31"/>
  <c r="H318" i="31"/>
  <c r="V318" i="31"/>
  <c r="AC318" i="31" l="1"/>
  <c r="AN317" i="31"/>
  <c r="AL318" i="31" s="1"/>
  <c r="AF317" i="31" l="1"/>
  <c r="AO317" i="31"/>
  <c r="AP317" i="31" s="1"/>
  <c r="R317" i="31"/>
  <c r="D317" i="31"/>
  <c r="K317" i="31"/>
  <c r="Y317" i="31"/>
  <c r="AK318" i="31" l="1"/>
  <c r="AD318" i="31"/>
  <c r="W318" i="31"/>
  <c r="P318" i="31"/>
  <c r="I318" i="31"/>
  <c r="AM318" i="31" s="1"/>
  <c r="H319" i="31" l="1"/>
  <c r="O319" i="31"/>
  <c r="V319" i="31"/>
  <c r="AJ319" i="31" l="1"/>
  <c r="AC319" i="31"/>
  <c r="AN318" i="31"/>
  <c r="AL319" i="31" s="1"/>
  <c r="AO318" i="31" l="1"/>
  <c r="AP318" i="31" s="1"/>
  <c r="R318" i="31"/>
  <c r="K318" i="31"/>
  <c r="D318" i="31"/>
  <c r="AF318" i="31"/>
  <c r="Y318" i="31"/>
  <c r="AK319" i="31" l="1"/>
  <c r="AD319" i="31"/>
  <c r="W319" i="31"/>
  <c r="I319" i="31"/>
  <c r="AM319" i="31" s="1"/>
  <c r="P319" i="31"/>
  <c r="AN319" i="31" l="1"/>
  <c r="O320" i="31"/>
  <c r="H320" i="31"/>
  <c r="V320" i="31"/>
  <c r="AO319" i="31" l="1"/>
  <c r="AP319" i="31" s="1"/>
  <c r="R319" i="31"/>
  <c r="K319" i="31"/>
  <c r="D319" i="31"/>
  <c r="AC320" i="31"/>
  <c r="AL320" i="31" s="1"/>
  <c r="Y319" i="31"/>
  <c r="AJ320" i="31"/>
  <c r="AF319" i="31"/>
  <c r="AK320" i="31" l="1"/>
  <c r="AD320" i="31"/>
  <c r="W320" i="31"/>
  <c r="I320" i="31"/>
  <c r="AM320" i="31" s="1"/>
  <c r="P320" i="31"/>
  <c r="O321" i="31" l="1"/>
  <c r="H321" i="31"/>
  <c r="V321" i="31"/>
  <c r="AN320" i="31" l="1"/>
  <c r="AC321" i="31"/>
  <c r="AJ321" i="31"/>
  <c r="Y320" i="31" l="1"/>
  <c r="AL321" i="31"/>
  <c r="AF320" i="31"/>
  <c r="AO320" i="31"/>
  <c r="AP320" i="31" s="1"/>
  <c r="D320" i="31"/>
  <c r="R320" i="31"/>
  <c r="K320" i="31"/>
  <c r="AK321" i="31" l="1"/>
  <c r="AD321" i="31"/>
  <c r="W321" i="31"/>
  <c r="I321" i="31"/>
  <c r="AM321" i="31" s="1"/>
  <c r="P321" i="31"/>
  <c r="O322" i="31" l="1"/>
  <c r="H322" i="31"/>
  <c r="V322" i="31"/>
  <c r="AN321" i="31" l="1"/>
  <c r="AC322" i="31"/>
  <c r="AJ322" i="31"/>
  <c r="Y321" i="31" l="1"/>
  <c r="AL322" i="31"/>
  <c r="AF321" i="31"/>
  <c r="AO321" i="31"/>
  <c r="AP321" i="31" s="1"/>
  <c r="K321" i="31"/>
  <c r="R321" i="31"/>
  <c r="D321" i="31"/>
  <c r="AK322" i="31" l="1"/>
  <c r="AD322" i="31"/>
  <c r="W322" i="31"/>
  <c r="P322" i="31"/>
  <c r="I322" i="31"/>
  <c r="AM322" i="31" s="1"/>
  <c r="H323" i="31" l="1"/>
  <c r="AC323" i="31"/>
  <c r="O323" i="31"/>
  <c r="V323" i="31"/>
  <c r="AN322" i="31" l="1"/>
  <c r="AJ323" i="31"/>
  <c r="AF322" i="31" l="1"/>
  <c r="AL323" i="31"/>
  <c r="Y322" i="31"/>
  <c r="AO322" i="31"/>
  <c r="AP322" i="31" s="1"/>
  <c r="R322" i="31"/>
  <c r="D322" i="31"/>
  <c r="K322" i="31"/>
  <c r="AK323" i="31" l="1"/>
  <c r="AD323" i="31"/>
  <c r="W323" i="31"/>
  <c r="I323" i="31"/>
  <c r="P323" i="31"/>
  <c r="AM323" i="31" l="1"/>
  <c r="O324" i="31"/>
  <c r="H324" i="31"/>
  <c r="V324" i="31"/>
  <c r="AN323" i="31" l="1"/>
  <c r="AC324" i="31"/>
  <c r="AJ324" i="31"/>
  <c r="AL324" i="31" l="1"/>
  <c r="AK324" i="31"/>
  <c r="AD324" i="31"/>
  <c r="Y323" i="31"/>
  <c r="D323" i="31"/>
  <c r="AO323" i="31"/>
  <c r="AP323" i="31" s="1"/>
  <c r="K323" i="31"/>
  <c r="R323" i="31"/>
  <c r="AF323" i="31"/>
  <c r="W324" i="31"/>
  <c r="P324" i="31"/>
  <c r="I324" i="31"/>
  <c r="AM324" i="31" s="1"/>
  <c r="H325" i="31" l="1"/>
  <c r="AN324" i="31"/>
  <c r="O325" i="31"/>
  <c r="V325" i="31"/>
  <c r="AO324" i="31" l="1"/>
  <c r="AP324" i="31" s="1"/>
  <c r="R324" i="31"/>
  <c r="D324" i="31"/>
  <c r="K324" i="31"/>
  <c r="AC325" i="31"/>
  <c r="AL325" i="31" s="1"/>
  <c r="Y324" i="31"/>
  <c r="AJ325" i="31"/>
  <c r="AF324" i="31"/>
  <c r="AK325" i="31" l="1"/>
  <c r="AD325" i="31"/>
  <c r="W325" i="31"/>
  <c r="I325" i="31"/>
  <c r="AM325" i="31" s="1"/>
  <c r="P325" i="31"/>
  <c r="O326" i="31" l="1"/>
  <c r="AC326" i="31"/>
  <c r="H326" i="31"/>
  <c r="V326" i="31"/>
  <c r="AN325" i="31" l="1"/>
  <c r="AJ326" i="31"/>
  <c r="AF325" i="31" l="1"/>
  <c r="AL326" i="31"/>
  <c r="Y325" i="31"/>
  <c r="AO325" i="31"/>
  <c r="AP325" i="31" s="1"/>
  <c r="R325" i="31"/>
  <c r="K325" i="31"/>
  <c r="D325" i="31"/>
  <c r="AK326" i="31" l="1"/>
  <c r="AD326" i="31"/>
  <c r="W326" i="31"/>
  <c r="P326" i="31"/>
  <c r="I326" i="31"/>
  <c r="AM326" i="31" s="1"/>
  <c r="H327" i="31" l="1"/>
  <c r="AN326" i="31"/>
  <c r="O327" i="31"/>
  <c r="V327" i="31"/>
  <c r="D326" i="31" l="1"/>
  <c r="R326" i="31"/>
  <c r="AJ327" i="31"/>
  <c r="AF326" i="31"/>
  <c r="K326" i="31"/>
  <c r="AO326" i="31"/>
  <c r="AP326" i="31" s="1"/>
  <c r="AC327" i="31"/>
  <c r="AL327" i="31" s="1"/>
  <c r="Y326" i="31"/>
  <c r="AK327" i="31" l="1"/>
  <c r="AD327" i="31"/>
  <c r="W327" i="31"/>
  <c r="I327" i="31"/>
  <c r="AM327" i="31" s="1"/>
  <c r="P327" i="31"/>
  <c r="O328" i="31" l="1"/>
  <c r="H328" i="31"/>
  <c r="V328" i="31"/>
  <c r="AC328" i="31" l="1"/>
  <c r="AN327" i="31"/>
  <c r="AJ328" i="31"/>
  <c r="AF327" i="31" l="1"/>
  <c r="AL328" i="31"/>
  <c r="AO327" i="31"/>
  <c r="AP327" i="31" s="1"/>
  <c r="R327" i="31"/>
  <c r="K327" i="31"/>
  <c r="D327" i="31"/>
  <c r="Y327" i="31"/>
  <c r="AK328" i="31" l="1"/>
  <c r="AD328" i="31"/>
  <c r="W328" i="31"/>
  <c r="P328" i="31"/>
  <c r="I328" i="31"/>
  <c r="AM328" i="31" s="1"/>
  <c r="H329" i="31" l="1"/>
  <c r="AJ329" i="31"/>
  <c r="O329" i="31"/>
  <c r="V329" i="31"/>
  <c r="AN328" i="31" l="1"/>
  <c r="AC329" i="31"/>
  <c r="AF328" i="31" l="1"/>
  <c r="AL329" i="31"/>
  <c r="K328" i="31"/>
  <c r="Y328" i="31"/>
  <c r="D328" i="31"/>
  <c r="R328" i="31"/>
  <c r="AO328" i="31"/>
  <c r="AP328" i="31" s="1"/>
  <c r="AK329" i="31" l="1"/>
  <c r="W329" i="31"/>
  <c r="V330" i="31" s="1"/>
  <c r="AD329" i="31"/>
  <c r="I329" i="31"/>
  <c r="AM329" i="31" s="1"/>
  <c r="P329" i="31"/>
  <c r="H330" i="31" l="1"/>
  <c r="O330" i="31"/>
  <c r="AN329" i="31"/>
  <c r="AC330" i="31"/>
  <c r="AJ330" i="31"/>
  <c r="Y329" i="31" l="1"/>
  <c r="AL330" i="31"/>
  <c r="AF329" i="31"/>
  <c r="AO329" i="31"/>
  <c r="AP329" i="31" s="1"/>
  <c r="D329" i="31"/>
  <c r="R329" i="31"/>
  <c r="K329" i="31"/>
  <c r="AK330" i="31" l="1"/>
  <c r="AD330" i="31"/>
  <c r="W330" i="31"/>
  <c r="I330" i="31"/>
  <c r="AM330" i="31" s="1"/>
  <c r="P330" i="31"/>
  <c r="O331" i="31" l="1"/>
  <c r="AC331" i="31"/>
  <c r="H331" i="31"/>
  <c r="V331" i="31"/>
  <c r="AN330" i="31" l="1"/>
  <c r="AJ331" i="31"/>
  <c r="D330" i="31" l="1"/>
  <c r="AL331" i="31"/>
  <c r="I331" i="31" s="1"/>
  <c r="AF330" i="31"/>
  <c r="R330" i="31"/>
  <c r="K330" i="31"/>
  <c r="AO330" i="31"/>
  <c r="AP330" i="31" s="1"/>
  <c r="Y330" i="31"/>
  <c r="W331" i="31"/>
  <c r="AK331" i="31" l="1"/>
  <c r="P331" i="31"/>
  <c r="AM331" i="31" s="1"/>
  <c r="AD331" i="31"/>
  <c r="H332" i="31"/>
  <c r="V332" i="31"/>
  <c r="O332" i="31" l="1"/>
  <c r="AN331" i="31"/>
  <c r="AC332" i="31"/>
  <c r="AJ332" i="31"/>
  <c r="Y331" i="31" l="1"/>
  <c r="AL332" i="31"/>
  <c r="AF331" i="31"/>
  <c r="AO331" i="31"/>
  <c r="AP331" i="31" s="1"/>
  <c r="K331" i="31"/>
  <c r="R331" i="31"/>
  <c r="D331" i="31"/>
  <c r="AK332" i="31" l="1"/>
  <c r="AD332" i="31"/>
  <c r="W332" i="31"/>
  <c r="I332" i="31"/>
  <c r="AM332" i="31" s="1"/>
  <c r="P332" i="31"/>
  <c r="H333" i="31" l="1"/>
  <c r="AJ333" i="31"/>
  <c r="O333" i="31"/>
  <c r="V333" i="31"/>
  <c r="AN332" i="31" l="1"/>
  <c r="AC333" i="31"/>
  <c r="AO332" i="31" l="1"/>
  <c r="AP332" i="31" s="1"/>
  <c r="AL333" i="31"/>
  <c r="Y332" i="31"/>
  <c r="D332" i="31"/>
  <c r="K332" i="31"/>
  <c r="R332" i="31"/>
  <c r="AF332" i="31"/>
  <c r="AK333" i="31" l="1"/>
  <c r="AD333" i="31"/>
  <c r="I333" i="31"/>
  <c r="AM333" i="31" s="1"/>
  <c r="W333" i="31"/>
  <c r="V334" i="31" s="1"/>
  <c r="P333" i="31"/>
  <c r="H334" i="31" l="1"/>
  <c r="O334" i="31"/>
  <c r="AC334" i="31"/>
  <c r="AN333" i="31"/>
  <c r="AJ334" i="31"/>
  <c r="AF333" i="31" l="1"/>
  <c r="AL334" i="31"/>
  <c r="K333" i="31"/>
  <c r="AO333" i="31"/>
  <c r="AP333" i="31" s="1"/>
  <c r="R333" i="31"/>
  <c r="D333" i="31"/>
  <c r="Y333" i="31"/>
  <c r="AK334" i="31" l="1"/>
  <c r="AD334" i="31"/>
  <c r="W334" i="31"/>
  <c r="I334" i="31"/>
  <c r="AM334" i="31" s="1"/>
  <c r="P334" i="31"/>
  <c r="H335" i="31" l="1"/>
  <c r="O335" i="31"/>
  <c r="AN334" i="31"/>
  <c r="V335" i="31"/>
  <c r="AO334" i="31" l="1"/>
  <c r="AP334" i="31" s="1"/>
  <c r="R334" i="31"/>
  <c r="D334" i="31"/>
  <c r="K334" i="31"/>
  <c r="AJ335" i="31"/>
  <c r="AF334" i="31"/>
  <c r="AC335" i="31"/>
  <c r="AL335" i="31" s="1"/>
  <c r="Y334" i="31"/>
  <c r="AK335" i="31" l="1"/>
  <c r="AD335" i="31"/>
  <c r="W335" i="31"/>
  <c r="P335" i="31"/>
  <c r="I335" i="31"/>
  <c r="AM335" i="31" s="1"/>
  <c r="H336" i="31" l="1"/>
  <c r="AN335" i="31"/>
  <c r="O336" i="31"/>
  <c r="V336" i="31"/>
  <c r="AO335" i="31" l="1"/>
  <c r="AP335" i="31" s="1"/>
  <c r="R335" i="31"/>
  <c r="K335" i="31"/>
  <c r="D335" i="31"/>
  <c r="AJ336" i="31"/>
  <c r="AF335" i="31"/>
  <c r="AC336" i="31"/>
  <c r="AL336" i="31" s="1"/>
  <c r="Y335" i="31"/>
  <c r="AK336" i="31" l="1"/>
  <c r="AD336" i="31"/>
  <c r="W336" i="31"/>
  <c r="P336" i="31"/>
  <c r="I336" i="31"/>
  <c r="AM336" i="31" s="1"/>
  <c r="H337" i="31" l="1"/>
  <c r="AJ337" i="31"/>
  <c r="O337" i="31"/>
  <c r="V337" i="31"/>
  <c r="AN336" i="31" l="1"/>
  <c r="AC337" i="31"/>
  <c r="AF336" i="31" l="1"/>
  <c r="AL337" i="31"/>
  <c r="R336" i="31"/>
  <c r="Y336" i="31"/>
  <c r="D336" i="31"/>
  <c r="K336" i="31"/>
  <c r="AO336" i="31"/>
  <c r="AP336" i="31" s="1"/>
  <c r="AK337" i="31" l="1"/>
  <c r="AD337" i="31"/>
  <c r="I337" i="31"/>
  <c r="AM337" i="31" s="1"/>
  <c r="P337" i="31"/>
  <c r="O338" i="31" s="1"/>
  <c r="W337" i="31"/>
  <c r="V338" i="31" s="1"/>
  <c r="H338" i="31" l="1"/>
  <c r="AJ338" i="31"/>
  <c r="AC338" i="31"/>
  <c r="AN337" i="31" l="1"/>
  <c r="D337" i="31" l="1"/>
  <c r="AL338" i="31"/>
  <c r="AF337" i="31"/>
  <c r="Y337" i="31"/>
  <c r="R337" i="31"/>
  <c r="AO337" i="31"/>
  <c r="AP337" i="31" s="1"/>
  <c r="K337" i="31"/>
  <c r="AK338" i="31" l="1"/>
  <c r="W338" i="31"/>
  <c r="V339" i="31" s="1"/>
  <c r="AD338" i="31"/>
  <c r="I338" i="31"/>
  <c r="P338" i="31"/>
  <c r="AM338" i="31" l="1"/>
  <c r="AC339" i="31"/>
  <c r="H339" i="31"/>
  <c r="AJ339" i="31"/>
  <c r="O339" i="31"/>
  <c r="AN338" i="31" l="1"/>
  <c r="AF338" i="31" l="1"/>
  <c r="AL339" i="31"/>
  <c r="D338" i="31"/>
  <c r="Y338" i="31"/>
  <c r="AO338" i="31"/>
  <c r="AP338" i="31" s="1"/>
  <c r="R338" i="31"/>
  <c r="K338" i="31"/>
  <c r="AK339" i="31" l="1"/>
  <c r="AD339" i="31"/>
  <c r="P339" i="31"/>
  <c r="W339" i="31"/>
  <c r="V340" i="31" s="1"/>
  <c r="I339" i="31"/>
  <c r="AM339" i="31" s="1"/>
  <c r="H340" i="31" l="1"/>
  <c r="O340" i="31"/>
  <c r="AN339" i="31" l="1"/>
  <c r="AJ340" i="31"/>
  <c r="AC340" i="31"/>
  <c r="AO339" i="31" l="1"/>
  <c r="AP339" i="31" s="1"/>
  <c r="AL340" i="31"/>
  <c r="AF339" i="31"/>
  <c r="R339" i="31"/>
  <c r="Y339" i="31"/>
  <c r="K339" i="31"/>
  <c r="D339" i="31"/>
  <c r="AD340" i="31" l="1"/>
  <c r="I340" i="31"/>
  <c r="H341" i="31" s="1"/>
  <c r="P340" i="31"/>
  <c r="AK340" i="31"/>
  <c r="AJ341" i="31" s="1"/>
  <c r="W340" i="31"/>
  <c r="V341" i="31" s="1"/>
  <c r="AM340" i="31" l="1"/>
  <c r="O341" i="31"/>
  <c r="AN340" i="31"/>
  <c r="AC341" i="31"/>
  <c r="K340" i="31" l="1"/>
  <c r="AL341" i="31"/>
  <c r="I341" i="31" s="1"/>
  <c r="Y340" i="31"/>
  <c r="D340" i="31"/>
  <c r="AF340" i="31"/>
  <c r="AO340" i="31"/>
  <c r="AP340" i="31" s="1"/>
  <c r="R340" i="31"/>
  <c r="AK341" i="31" l="1"/>
  <c r="W341" i="31"/>
  <c r="V342" i="31" s="1"/>
  <c r="AD341" i="31"/>
  <c r="AC342" i="31" s="1"/>
  <c r="P341" i="31"/>
  <c r="O342" i="31" s="1"/>
  <c r="H342" i="31"/>
  <c r="AM341" i="31" l="1"/>
  <c r="AN341" i="31"/>
  <c r="Y341" i="31" l="1"/>
  <c r="R341" i="31"/>
  <c r="D341" i="31"/>
  <c r="AF341" i="31"/>
  <c r="K341" i="31"/>
  <c r="AO341" i="31"/>
  <c r="AP341" i="31" s="1"/>
  <c r="AJ342" i="31"/>
  <c r="AL342" i="31" s="1"/>
  <c r="AK342" i="31" l="1"/>
  <c r="P342" i="31"/>
  <c r="AD342" i="31"/>
  <c r="W342" i="31"/>
  <c r="I342" i="31"/>
  <c r="AM342" i="31" s="1"/>
  <c r="O343" i="31"/>
  <c r="V343" i="31"/>
  <c r="H343" i="31" l="1"/>
  <c r="AN342" i="31"/>
  <c r="AC343" i="31"/>
  <c r="AJ343" i="31"/>
  <c r="Y342" i="31" l="1"/>
  <c r="AL343" i="31"/>
  <c r="AF342" i="31"/>
  <c r="D342" i="31"/>
  <c r="AO342" i="31"/>
  <c r="AP342" i="31" s="1"/>
  <c r="R342" i="31"/>
  <c r="K342" i="31"/>
  <c r="AK343" i="31" l="1"/>
  <c r="AD343" i="31"/>
  <c r="W343" i="31"/>
  <c r="P343" i="31"/>
  <c r="I343" i="31"/>
  <c r="AM343" i="31" s="1"/>
  <c r="AN343" i="31" l="1"/>
  <c r="O344" i="31"/>
  <c r="H344" i="31"/>
  <c r="V344" i="31"/>
  <c r="AO343" i="31" l="1"/>
  <c r="AP343" i="31" s="1"/>
  <c r="R343" i="31"/>
  <c r="K343" i="31"/>
  <c r="D343" i="31"/>
  <c r="AC344" i="31"/>
  <c r="AL344" i="31" s="1"/>
  <c r="Y343" i="31"/>
  <c r="AJ344" i="31"/>
  <c r="AF343" i="31"/>
  <c r="AK344" i="31" l="1"/>
  <c r="AD344" i="31"/>
  <c r="W344" i="31"/>
  <c r="P344" i="31"/>
  <c r="I344" i="31"/>
  <c r="AM344" i="31" s="1"/>
  <c r="H345" i="31" l="1"/>
  <c r="O345" i="31"/>
  <c r="V345" i="31"/>
  <c r="AJ345" i="31" l="1"/>
  <c r="AN344" i="31"/>
  <c r="AC345" i="31"/>
  <c r="Y344" i="31" l="1"/>
  <c r="AL345" i="31"/>
  <c r="AO344" i="31"/>
  <c r="AP344" i="31" s="1"/>
  <c r="R344" i="31"/>
  <c r="D344" i="31"/>
  <c r="K344" i="31"/>
  <c r="AF344" i="31"/>
  <c r="AK345" i="31" l="1"/>
  <c r="AD345" i="31"/>
  <c r="W345" i="31"/>
  <c r="P345" i="31"/>
  <c r="I345" i="31"/>
  <c r="AM345" i="31" s="1"/>
  <c r="H346" i="31" l="1"/>
  <c r="AN345" i="31"/>
  <c r="O346" i="31"/>
  <c r="V346" i="31"/>
  <c r="AO345" i="31" l="1"/>
  <c r="AP345" i="31" s="1"/>
  <c r="R345" i="31"/>
  <c r="D345" i="31"/>
  <c r="K345" i="31"/>
  <c r="AJ346" i="31"/>
  <c r="AF345" i="31"/>
  <c r="AC346" i="31"/>
  <c r="AL346" i="31" s="1"/>
  <c r="Y345" i="31"/>
  <c r="AK346" i="31" l="1"/>
  <c r="AD346" i="31"/>
  <c r="W346" i="31"/>
  <c r="I346" i="31"/>
  <c r="AM346" i="31" s="1"/>
  <c r="P346" i="31"/>
  <c r="AJ347" i="31" l="1"/>
  <c r="O347" i="31"/>
  <c r="H347" i="31"/>
  <c r="V347" i="31"/>
  <c r="AN346" i="31" l="1"/>
  <c r="AC347" i="31"/>
  <c r="AF346" i="31" l="1"/>
  <c r="AL347" i="31"/>
  <c r="I347" i="31" s="1"/>
  <c r="D346" i="31"/>
  <c r="R346" i="31"/>
  <c r="Y346" i="31"/>
  <c r="K346" i="31"/>
  <c r="AO346" i="31"/>
  <c r="AP346" i="31" s="1"/>
  <c r="W347" i="31"/>
  <c r="AK347" i="31" l="1"/>
  <c r="AD347" i="31"/>
  <c r="P347" i="31"/>
  <c r="AM347" i="31" s="1"/>
  <c r="H348" i="31"/>
  <c r="V348" i="31"/>
  <c r="AN347" i="31" l="1"/>
  <c r="O348" i="31"/>
  <c r="AC348" i="31"/>
  <c r="AJ348" i="31"/>
  <c r="AF347" i="31" l="1"/>
  <c r="AL348" i="31"/>
  <c r="W348" i="31" s="1"/>
  <c r="Y347" i="31"/>
  <c r="K347" i="31"/>
  <c r="D347" i="31"/>
  <c r="R347" i="31"/>
  <c r="AO347" i="31"/>
  <c r="AP347" i="31" s="1"/>
  <c r="AD348" i="31"/>
  <c r="I348" i="31" l="1"/>
  <c r="H349" i="31" s="1"/>
  <c r="AK348" i="31"/>
  <c r="P348" i="31"/>
  <c r="V349" i="31"/>
  <c r="AM348" i="31" l="1"/>
  <c r="AN348" i="31"/>
  <c r="O349" i="31"/>
  <c r="AJ349" i="31"/>
  <c r="AC349" i="31"/>
  <c r="Y348" i="31" l="1"/>
  <c r="AL349" i="31"/>
  <c r="AD349" i="31" s="1"/>
  <c r="K348" i="31"/>
  <c r="D348" i="31"/>
  <c r="AF348" i="31"/>
  <c r="R348" i="31"/>
  <c r="AK349" i="31"/>
  <c r="AO348" i="31"/>
  <c r="AP348" i="31" s="1"/>
  <c r="W349" i="31" l="1"/>
  <c r="V350" i="31" s="1"/>
  <c r="I349" i="31"/>
  <c r="H350" i="31" s="1"/>
  <c r="P349" i="31"/>
  <c r="AM349" i="31" s="1"/>
  <c r="O350" i="31" l="1"/>
  <c r="AN349" i="31"/>
  <c r="AJ350" i="31"/>
  <c r="AC350" i="31"/>
  <c r="Y349" i="31"/>
  <c r="AF349" i="31" l="1"/>
  <c r="AL350" i="31"/>
  <c r="P350" i="31" s="1"/>
  <c r="D349" i="31"/>
  <c r="K349" i="31"/>
  <c r="R349" i="31"/>
  <c r="AO349" i="31"/>
  <c r="AP349" i="31" s="1"/>
  <c r="AD350" i="31"/>
  <c r="W350" i="31"/>
  <c r="AK350" i="31" l="1"/>
  <c r="I350" i="31"/>
  <c r="H351" i="31" s="1"/>
  <c r="O351" i="31"/>
  <c r="V351" i="31"/>
  <c r="AM350" i="31" l="1"/>
  <c r="AN350" i="31"/>
  <c r="AC351" i="31"/>
  <c r="AJ351" i="31"/>
  <c r="AF350" i="31" l="1"/>
  <c r="AL351" i="31"/>
  <c r="AK351" i="31" s="1"/>
  <c r="Y350" i="31"/>
  <c r="AO350" i="31"/>
  <c r="AP350" i="31" s="1"/>
  <c r="D350" i="31"/>
  <c r="K350" i="31"/>
  <c r="R350" i="31"/>
  <c r="AD351" i="31" l="1"/>
  <c r="W351" i="31"/>
  <c r="I351" i="31"/>
  <c r="AM351" i="31" s="1"/>
  <c r="P351" i="31"/>
  <c r="O352" i="31" l="1"/>
  <c r="H352" i="31"/>
  <c r="V352" i="31"/>
  <c r="AC352" i="31" l="1"/>
  <c r="AN351" i="31"/>
  <c r="AJ352" i="31"/>
  <c r="Y351" i="31" l="1"/>
  <c r="AL352" i="31"/>
  <c r="AF351" i="31"/>
  <c r="AO351" i="31"/>
  <c r="AP351" i="31" s="1"/>
  <c r="R351" i="31"/>
  <c r="K351" i="31"/>
  <c r="D351" i="31"/>
  <c r="AK352" i="31" l="1"/>
  <c r="AD352" i="31"/>
  <c r="W352" i="31"/>
  <c r="I352" i="31"/>
  <c r="AM352" i="31" s="1"/>
  <c r="P352" i="31"/>
  <c r="H353" i="31" l="1"/>
  <c r="AN352" i="31"/>
  <c r="O353" i="31"/>
  <c r="V353" i="31"/>
  <c r="AO352" i="31" l="1"/>
  <c r="AP352" i="31" s="1"/>
  <c r="R352" i="31"/>
  <c r="D352" i="31"/>
  <c r="K352" i="31"/>
  <c r="AC353" i="31"/>
  <c r="AL353" i="31" s="1"/>
  <c r="Y352" i="31"/>
  <c r="AJ353" i="31"/>
  <c r="AF352" i="31"/>
  <c r="AK353" i="31" l="1"/>
  <c r="AD353" i="31"/>
  <c r="W353" i="31"/>
  <c r="P353" i="31"/>
  <c r="I353" i="31"/>
  <c r="AM353" i="31" s="1"/>
  <c r="O354" i="31" l="1"/>
  <c r="H354" i="31"/>
  <c r="V354" i="31"/>
  <c r="AN353" i="31" l="1"/>
  <c r="AC354" i="31"/>
  <c r="AJ354" i="31"/>
  <c r="AF353" i="31" l="1"/>
  <c r="AL354" i="31"/>
  <c r="Y353" i="31"/>
  <c r="AO353" i="31"/>
  <c r="AP353" i="31" s="1"/>
  <c r="K353" i="31"/>
  <c r="D353" i="31"/>
  <c r="R353" i="31"/>
  <c r="AK354" i="31" l="1"/>
  <c r="AD354" i="31"/>
  <c r="W354" i="31"/>
  <c r="I354" i="31"/>
  <c r="AM354" i="31" s="1"/>
  <c r="P354" i="31"/>
  <c r="AN354" i="31" l="1"/>
  <c r="O355" i="31"/>
  <c r="H355" i="31"/>
  <c r="V355" i="31"/>
  <c r="AO354" i="31" l="1"/>
  <c r="AP354" i="31" s="1"/>
  <c r="R354" i="31"/>
  <c r="K354" i="31"/>
  <c r="D354" i="31"/>
  <c r="AC355" i="31"/>
  <c r="AL355" i="31" s="1"/>
  <c r="Y354" i="31"/>
  <c r="AJ355" i="31"/>
  <c r="AF354" i="31"/>
  <c r="AK355" i="31" l="1"/>
  <c r="AD355" i="31"/>
  <c r="W355" i="31"/>
  <c r="I355" i="31"/>
  <c r="AM355" i="31" s="1"/>
  <c r="P355" i="31"/>
  <c r="H356" i="31" l="1"/>
  <c r="O356" i="31"/>
  <c r="V356" i="31"/>
  <c r="AC356" i="31" l="1"/>
  <c r="AJ356" i="31"/>
  <c r="AN355" i="31"/>
  <c r="AF355" i="31" l="1"/>
  <c r="AL356" i="31"/>
  <c r="AO355" i="31"/>
  <c r="AP355" i="31" s="1"/>
  <c r="R355" i="31"/>
  <c r="D355" i="31"/>
  <c r="K355" i="31"/>
  <c r="Y355" i="31"/>
  <c r="AK356" i="31" l="1"/>
  <c r="AD356" i="31"/>
  <c r="W356" i="31"/>
  <c r="I356" i="31"/>
  <c r="AM356" i="31" s="1"/>
  <c r="P356" i="31"/>
  <c r="H357" i="31" l="1"/>
  <c r="O357" i="31"/>
  <c r="V357" i="31"/>
  <c r="AC357" i="31" l="1"/>
  <c r="AJ357" i="31"/>
  <c r="AN356" i="31"/>
  <c r="AL357" i="31" l="1"/>
  <c r="AO356" i="31"/>
  <c r="AP356" i="31" s="1"/>
  <c r="R356" i="31"/>
  <c r="D356" i="31"/>
  <c r="K356" i="31"/>
  <c r="Y356" i="31"/>
  <c r="AF356" i="31"/>
  <c r="AK357" i="31" l="1"/>
  <c r="AD357" i="31"/>
  <c r="W357" i="31"/>
  <c r="P357" i="31"/>
  <c r="I357" i="31"/>
  <c r="AM357" i="31" s="1"/>
  <c r="O358" i="31" l="1"/>
  <c r="H358" i="31"/>
  <c r="V358" i="31"/>
  <c r="AC358" i="31" l="1"/>
  <c r="AN357" i="31"/>
  <c r="AJ358" i="31"/>
  <c r="AL358" i="31" l="1"/>
  <c r="AO357" i="31"/>
  <c r="AP357" i="31" s="1"/>
  <c r="R357" i="31"/>
  <c r="K357" i="31"/>
  <c r="D357" i="31"/>
  <c r="AF357" i="31"/>
  <c r="Y357" i="31"/>
  <c r="AK358" i="31" l="1"/>
  <c r="AD358" i="31"/>
  <c r="W358" i="31"/>
  <c r="I358" i="31"/>
  <c r="AM358" i="31" s="1"/>
  <c r="P358" i="31"/>
  <c r="H359" i="31" l="1"/>
  <c r="O359" i="31"/>
  <c r="V359" i="31"/>
  <c r="AC359" i="31" l="1"/>
  <c r="AJ359" i="31"/>
  <c r="AN358" i="31"/>
  <c r="AF358" i="31" l="1"/>
  <c r="AL359" i="31"/>
  <c r="AO358" i="31"/>
  <c r="AP358" i="31" s="1"/>
  <c r="R358" i="31"/>
  <c r="D358" i="31"/>
  <c r="K358" i="31"/>
  <c r="Y358" i="31"/>
  <c r="AK359" i="31" l="1"/>
  <c r="AD359" i="31"/>
  <c r="W359" i="31"/>
  <c r="I359" i="31"/>
  <c r="AM359" i="31" s="1"/>
  <c r="P359" i="31"/>
  <c r="AJ360" i="31" l="1"/>
  <c r="O360" i="31"/>
  <c r="H360" i="31"/>
  <c r="V360" i="31"/>
  <c r="AN359" i="31" l="1"/>
  <c r="AC360" i="31"/>
  <c r="AF359" i="31" l="1"/>
  <c r="AL360" i="31"/>
  <c r="Y359" i="31"/>
  <c r="D359" i="31"/>
  <c r="K359" i="31"/>
  <c r="R359" i="31"/>
  <c r="AO359" i="31"/>
  <c r="AP359" i="31" s="1"/>
  <c r="AK360" i="31" l="1"/>
  <c r="AD360" i="31"/>
  <c r="W360" i="31"/>
  <c r="V361" i="31" s="1"/>
  <c r="I360" i="31"/>
  <c r="H361" i="31" s="1"/>
  <c r="P360" i="31"/>
  <c r="AM360" i="31" l="1"/>
  <c r="O361" i="31"/>
  <c r="AC361" i="31"/>
  <c r="AJ361" i="31"/>
  <c r="AN360" i="31"/>
  <c r="AF360" i="31" l="1"/>
  <c r="AL361" i="31"/>
  <c r="AO360" i="31"/>
  <c r="AP360" i="31" s="1"/>
  <c r="AK361" i="31"/>
  <c r="R360" i="31"/>
  <c r="D360" i="31"/>
  <c r="K360" i="31"/>
  <c r="Y360" i="31"/>
  <c r="AD361" i="31" l="1"/>
  <c r="W361" i="31"/>
  <c r="I361" i="31"/>
  <c r="AM361" i="31" s="1"/>
  <c r="P361" i="31"/>
  <c r="H362" i="31" l="1"/>
  <c r="AN361" i="31"/>
  <c r="O362" i="31"/>
  <c r="V362" i="31"/>
  <c r="AO361" i="31" l="1"/>
  <c r="AP361" i="31" s="1"/>
  <c r="R361" i="31"/>
  <c r="D361" i="31"/>
  <c r="K361" i="31"/>
  <c r="AJ362" i="31"/>
  <c r="AF361" i="31"/>
  <c r="AC362" i="31"/>
  <c r="AL362" i="31" s="1"/>
  <c r="Y361" i="31"/>
  <c r="AK362" i="31" l="1"/>
  <c r="AD362" i="31"/>
  <c r="W362" i="31"/>
  <c r="P362" i="31"/>
  <c r="I362" i="31"/>
  <c r="AM362" i="31" s="1"/>
  <c r="H363" i="31" l="1"/>
  <c r="O363" i="31"/>
  <c r="V363" i="31"/>
  <c r="AN362" i="31" l="1"/>
  <c r="AJ363" i="31"/>
  <c r="AC363" i="31"/>
  <c r="AF362" i="31" l="1"/>
  <c r="AL363" i="31"/>
  <c r="Y362" i="31"/>
  <c r="AO362" i="31"/>
  <c r="AP362" i="31" s="1"/>
  <c r="D362" i="31"/>
  <c r="K362" i="31"/>
  <c r="R362" i="31"/>
  <c r="AK363" i="31" l="1"/>
  <c r="AD363" i="31"/>
  <c r="W363" i="31"/>
  <c r="P363" i="31"/>
  <c r="I363" i="31"/>
  <c r="AM363" i="31" s="1"/>
  <c r="AJ364" i="31" l="1"/>
  <c r="O364" i="31"/>
  <c r="H364" i="31"/>
  <c r="V364" i="31"/>
  <c r="AN363" i="31" l="1"/>
  <c r="AC364" i="31"/>
  <c r="AF363" i="31" l="1"/>
  <c r="AL364" i="31"/>
  <c r="K363" i="31"/>
  <c r="Y363" i="31"/>
  <c r="D363" i="31"/>
  <c r="R363" i="31"/>
  <c r="AO363" i="31"/>
  <c r="AP363" i="31" s="1"/>
  <c r="AK364" i="31" l="1"/>
  <c r="P364" i="31"/>
  <c r="O365" i="31" s="1"/>
  <c r="W364" i="31"/>
  <c r="V365" i="31" s="1"/>
  <c r="AD364" i="31"/>
  <c r="I364" i="31"/>
  <c r="AM364" i="31" s="1"/>
  <c r="H365" i="31" l="1"/>
  <c r="AJ365" i="31"/>
  <c r="AN364" i="31"/>
  <c r="AC365" i="31"/>
  <c r="AF364" i="31" l="1"/>
  <c r="AL365" i="31"/>
  <c r="Y364" i="31"/>
  <c r="AO364" i="31"/>
  <c r="AP364" i="31" s="1"/>
  <c r="R364" i="31"/>
  <c r="K364" i="31"/>
  <c r="D364" i="31"/>
  <c r="AK365" i="31" l="1"/>
  <c r="AD365" i="31"/>
  <c r="W365" i="31"/>
  <c r="I365" i="31"/>
  <c r="AM365" i="31" s="1"/>
  <c r="P365" i="31"/>
  <c r="AN365" i="31" l="1"/>
  <c r="O366" i="31"/>
  <c r="H366" i="31"/>
  <c r="V366" i="31"/>
  <c r="AO365" i="31" l="1"/>
  <c r="AP365" i="31" s="1"/>
  <c r="R365" i="31"/>
  <c r="D365" i="31"/>
  <c r="K365" i="31"/>
  <c r="AC366" i="31"/>
  <c r="AL366" i="31" s="1"/>
  <c r="Y365" i="31"/>
  <c r="AJ366" i="31"/>
  <c r="AF365" i="31"/>
  <c r="AK366" i="31" l="1"/>
  <c r="AD366" i="31"/>
  <c r="W366" i="31"/>
  <c r="P366" i="31"/>
  <c r="I366" i="31"/>
  <c r="AM366" i="31" s="1"/>
  <c r="H367" i="31" l="1"/>
  <c r="AJ367" i="31"/>
  <c r="O367" i="31"/>
  <c r="V367" i="31"/>
  <c r="AN366" i="31" l="1"/>
  <c r="AC367" i="31"/>
  <c r="AF366" i="31" l="1"/>
  <c r="AL367" i="31"/>
  <c r="Y366" i="31"/>
  <c r="K366" i="31"/>
  <c r="D366" i="31"/>
  <c r="R366" i="31"/>
  <c r="AO366" i="31"/>
  <c r="AP366" i="31" s="1"/>
  <c r="P367" i="31"/>
  <c r="AK367" i="31" l="1"/>
  <c r="I367" i="31"/>
  <c r="H368" i="31" s="1"/>
  <c r="AD367" i="31"/>
  <c r="W367" i="31"/>
  <c r="AM367" i="31" s="1"/>
  <c r="O368" i="31"/>
  <c r="V368" i="31" l="1"/>
  <c r="AN367" i="31"/>
  <c r="AC368" i="31"/>
  <c r="AJ368" i="31"/>
  <c r="Y367" i="31" l="1"/>
  <c r="AL368" i="31"/>
  <c r="AM368" i="31" s="1"/>
  <c r="AF367" i="31"/>
  <c r="AJ369" i="31"/>
  <c r="AC369" i="31"/>
  <c r="AN368" i="31"/>
  <c r="AO367" i="31"/>
  <c r="AP367" i="31" s="1"/>
  <c r="D367" i="31"/>
  <c r="K367" i="31"/>
  <c r="R367" i="31"/>
  <c r="AF368" i="31" l="1"/>
  <c r="AL369" i="31"/>
  <c r="Y368" i="31"/>
  <c r="AO368" i="31"/>
  <c r="AP368" i="31" s="1"/>
  <c r="K368" i="31"/>
  <c r="R368" i="31"/>
  <c r="AK369" i="31"/>
  <c r="D368" i="31"/>
  <c r="AM369" i="31" l="1"/>
  <c r="AD369" i="31"/>
  <c r="W369" i="31"/>
  <c r="I369" i="31"/>
  <c r="P369" i="31"/>
  <c r="AJ370" i="31" l="1"/>
  <c r="O370" i="31"/>
  <c r="H370" i="31"/>
  <c r="V370" i="31"/>
  <c r="AN369" i="31" l="1"/>
  <c r="AC370" i="31"/>
  <c r="AF369" i="31" l="1"/>
  <c r="AL370" i="31"/>
  <c r="R369" i="31"/>
  <c r="Y369" i="31"/>
  <c r="D369" i="31"/>
  <c r="AO369" i="31"/>
  <c r="AP369" i="31" s="1"/>
  <c r="K369" i="31"/>
  <c r="P370" i="31"/>
  <c r="AK370" i="31" l="1"/>
  <c r="AJ371" i="31" s="1"/>
  <c r="AM370" i="31"/>
  <c r="W370" i="31"/>
  <c r="V371" i="31" s="1"/>
  <c r="AD370" i="31"/>
  <c r="I370" i="31"/>
  <c r="O371" i="31"/>
  <c r="H371" i="31" l="1"/>
  <c r="AN370" i="31"/>
  <c r="AC371" i="31"/>
  <c r="AF370" i="31" l="1"/>
  <c r="AL371" i="31"/>
  <c r="Y370" i="31"/>
  <c r="D370" i="31"/>
  <c r="K370" i="31"/>
  <c r="R370" i="31"/>
  <c r="AO370" i="31"/>
  <c r="AP370" i="31" s="1"/>
  <c r="AK371" i="31" l="1"/>
  <c r="AM371" i="31"/>
  <c r="I371" i="31"/>
  <c r="H372" i="31" s="1"/>
  <c r="W371" i="31"/>
  <c r="V372" i="31" s="1"/>
  <c r="AD371" i="31"/>
  <c r="P371" i="31"/>
  <c r="O372" i="31" l="1"/>
  <c r="AN371" i="31"/>
  <c r="AC372" i="31"/>
  <c r="AJ372" i="31"/>
  <c r="Y371" i="31" l="1"/>
  <c r="AL372" i="31"/>
  <c r="AF371" i="31"/>
  <c r="AO371" i="31"/>
  <c r="AP371" i="31" s="1"/>
  <c r="D371" i="31"/>
  <c r="K371" i="31"/>
  <c r="R371" i="31"/>
  <c r="AK372" i="31" l="1"/>
  <c r="AM372" i="31"/>
  <c r="AD372" i="31"/>
  <c r="W372" i="31"/>
  <c r="I372" i="31"/>
  <c r="P372" i="31"/>
  <c r="O373" i="31" l="1"/>
  <c r="H373" i="31"/>
  <c r="V373" i="31"/>
  <c r="AC373" i="31" l="1"/>
  <c r="AN372" i="31"/>
  <c r="AJ373" i="31"/>
  <c r="AF372" i="31" l="1"/>
  <c r="AL373" i="31"/>
  <c r="AO372" i="31"/>
  <c r="AP372" i="31" s="1"/>
  <c r="R372" i="31"/>
  <c r="K372" i="31"/>
  <c r="D372" i="31"/>
  <c r="Y372" i="31"/>
  <c r="AK373" i="31" l="1"/>
  <c r="AM373" i="31"/>
  <c r="AD373" i="31"/>
  <c r="W373" i="31"/>
  <c r="I373" i="31"/>
  <c r="P373" i="31"/>
  <c r="H374" i="31" l="1"/>
  <c r="O374" i="31"/>
  <c r="V374" i="31"/>
  <c r="AJ374" i="31" l="1"/>
  <c r="AN373" i="31"/>
  <c r="AC374" i="31"/>
  <c r="AF373" i="31" l="1"/>
  <c r="AL374" i="31"/>
  <c r="Y373" i="31"/>
  <c r="AO373" i="31"/>
  <c r="AP373" i="31" s="1"/>
  <c r="R373" i="31"/>
  <c r="D373" i="31"/>
  <c r="K373" i="31"/>
  <c r="AK374" i="31" l="1"/>
  <c r="AM374" i="31"/>
  <c r="AD374" i="31"/>
  <c r="W374" i="31"/>
  <c r="I374" i="31"/>
  <c r="P374" i="31"/>
  <c r="H375" i="31" l="1"/>
  <c r="O375" i="31"/>
  <c r="V375" i="31"/>
  <c r="AC375" i="31" l="1"/>
  <c r="AJ375" i="31"/>
  <c r="AN374" i="31"/>
  <c r="AL375" i="31" l="1"/>
  <c r="AO374" i="31"/>
  <c r="AP374" i="31" s="1"/>
  <c r="R374" i="31"/>
  <c r="D374" i="31"/>
  <c r="K374" i="31"/>
  <c r="Y374" i="31"/>
  <c r="AF374" i="31"/>
  <c r="AK375" i="31" l="1"/>
  <c r="AM375" i="31"/>
  <c r="AD375" i="31"/>
  <c r="W375" i="31"/>
  <c r="I375" i="31"/>
  <c r="P375" i="31"/>
  <c r="O376" i="31" l="1"/>
  <c r="H376" i="31"/>
  <c r="V376" i="31"/>
  <c r="AC376" i="31" l="1"/>
  <c r="AN375" i="31"/>
  <c r="AJ376" i="31"/>
  <c r="Y375" i="31" l="1"/>
  <c r="AL376" i="31"/>
  <c r="AF375" i="31"/>
  <c r="AO375" i="31"/>
  <c r="AP375" i="31" s="1"/>
  <c r="R375" i="31"/>
  <c r="K375" i="31"/>
  <c r="D375" i="31"/>
  <c r="AK376" i="31" l="1"/>
  <c r="AM376" i="31"/>
  <c r="AD376" i="31"/>
  <c r="W376" i="31"/>
  <c r="I376" i="31"/>
  <c r="P376" i="31"/>
  <c r="AN376" i="31" l="1"/>
  <c r="O377" i="31"/>
  <c r="H377" i="31"/>
  <c r="V377" i="31"/>
  <c r="AO376" i="31" l="1"/>
  <c r="AP376" i="31" s="1"/>
  <c r="R376" i="31"/>
  <c r="K376" i="31"/>
  <c r="D376" i="31"/>
  <c r="AC377" i="31"/>
  <c r="Y376" i="31"/>
  <c r="AJ377" i="31"/>
  <c r="AF376" i="31"/>
  <c r="AL377" i="31" l="1"/>
  <c r="AM377" i="31" s="1"/>
  <c r="P377" i="31" l="1"/>
  <c r="O378" i="31" s="1"/>
  <c r="I377" i="31"/>
  <c r="H378" i="31" s="1"/>
  <c r="W377" i="31"/>
  <c r="V378" i="31" s="1"/>
  <c r="AD377" i="31"/>
  <c r="AK377" i="31"/>
  <c r="AC378" i="31" l="1"/>
  <c r="AN377" i="31"/>
  <c r="AJ378" i="31"/>
  <c r="AF377" i="31" l="1"/>
  <c r="AL378" i="31"/>
  <c r="AO377" i="31"/>
  <c r="AP377" i="31" s="1"/>
  <c r="R377" i="31"/>
  <c r="K377" i="31"/>
  <c r="D377" i="31"/>
  <c r="Y377" i="31"/>
  <c r="AK378" i="31" l="1"/>
  <c r="AM378" i="31"/>
  <c r="AD378" i="31"/>
  <c r="W378" i="31"/>
  <c r="I378" i="31"/>
  <c r="P378" i="31"/>
  <c r="H379" i="31" l="1"/>
  <c r="AN378" i="31"/>
  <c r="O379" i="31"/>
  <c r="V379" i="31"/>
  <c r="AO378" i="31" l="1"/>
  <c r="AP378" i="31" s="1"/>
  <c r="R378" i="31"/>
  <c r="D378" i="31"/>
  <c r="K378" i="31"/>
  <c r="AC379" i="31"/>
  <c r="Y378" i="31"/>
  <c r="AJ379" i="31"/>
  <c r="AF378" i="31"/>
  <c r="AL379" i="31" l="1"/>
  <c r="AM379" i="31" s="1"/>
  <c r="W379" i="31" l="1"/>
  <c r="V380" i="31" s="1"/>
  <c r="P379" i="31"/>
  <c r="O380" i="31" s="1"/>
  <c r="AD379" i="31"/>
  <c r="I379" i="31"/>
  <c r="H380" i="31" s="1"/>
  <c r="AK379" i="31"/>
  <c r="AJ380" i="31" l="1"/>
  <c r="AN379" i="31"/>
  <c r="AC380" i="31"/>
  <c r="AL380" i="31" l="1"/>
  <c r="AO379" i="31"/>
  <c r="AP379" i="31" s="1"/>
  <c r="R379" i="31"/>
  <c r="D379" i="31"/>
  <c r="K379" i="31"/>
  <c r="Y379" i="31"/>
  <c r="AF379" i="31"/>
  <c r="AK380" i="31" l="1"/>
  <c r="AM380" i="31"/>
  <c r="AD380" i="31"/>
  <c r="W380" i="31"/>
  <c r="I380" i="31"/>
  <c r="P380" i="31"/>
  <c r="AN380" i="31" l="1"/>
  <c r="Y380" i="31" s="1"/>
  <c r="AO380" i="31" l="1"/>
  <c r="AP380" i="31" s="1"/>
  <c r="R380" i="31"/>
  <c r="K380" i="31"/>
  <c r="D380" i="31"/>
  <c r="AF380" i="31"/>
  <c r="AC4" i="25" l="1"/>
  <c r="AA4" i="25"/>
  <c r="Q4" i="25"/>
  <c r="L4" i="25"/>
  <c r="G4" i="25"/>
  <c r="AA125" i="25" l="1"/>
  <c r="AA3" i="25"/>
  <c r="Z3" i="25"/>
  <c r="V369" i="25"/>
  <c r="U370" i="25" s="1"/>
  <c r="V248" i="25"/>
  <c r="U248" i="25"/>
  <c r="Q369" i="25"/>
  <c r="P370" i="25" s="1"/>
  <c r="Q248" i="25"/>
  <c r="P249" i="25" s="1"/>
  <c r="Q125" i="25"/>
  <c r="Q3" i="25"/>
  <c r="P3" i="25"/>
  <c r="L369" i="25"/>
  <c r="K370" i="25" s="1"/>
  <c r="L248" i="25"/>
  <c r="K249" i="25" s="1"/>
  <c r="L125" i="25"/>
  <c r="L3" i="25"/>
  <c r="K3" i="25"/>
  <c r="G369" i="25"/>
  <c r="G248" i="25"/>
  <c r="G125" i="25"/>
  <c r="F126" i="25" s="1"/>
  <c r="F3" i="25"/>
  <c r="G3" i="25"/>
  <c r="AJ381" i="25"/>
  <c r="AI381" i="25"/>
  <c r="AH381" i="25"/>
  <c r="AG381" i="25"/>
  <c r="Z381" i="25"/>
  <c r="AJ380" i="25"/>
  <c r="AI380" i="25"/>
  <c r="AH380" i="25"/>
  <c r="AG380" i="25"/>
  <c r="Z380" i="25"/>
  <c r="AJ379" i="25"/>
  <c r="AI379" i="25"/>
  <c r="AH379" i="25"/>
  <c r="AG379" i="25"/>
  <c r="Z379" i="25"/>
  <c r="AJ378" i="25"/>
  <c r="AI378" i="25"/>
  <c r="AH378" i="25"/>
  <c r="AG378" i="25"/>
  <c r="Z378" i="25"/>
  <c r="AJ377" i="25"/>
  <c r="AI377" i="25"/>
  <c r="AH377" i="25"/>
  <c r="AG377" i="25"/>
  <c r="Z377" i="25"/>
  <c r="AJ376" i="25"/>
  <c r="AI376" i="25"/>
  <c r="AH376" i="25"/>
  <c r="AG376" i="25"/>
  <c r="Z376" i="25"/>
  <c r="AJ375" i="25"/>
  <c r="AI375" i="25"/>
  <c r="AH375" i="25"/>
  <c r="AG375" i="25"/>
  <c r="Z375" i="25"/>
  <c r="AJ374" i="25"/>
  <c r="AI374" i="25"/>
  <c r="AH374" i="25"/>
  <c r="AG374" i="25"/>
  <c r="Z374" i="25"/>
  <c r="AJ373" i="25"/>
  <c r="AI373" i="25"/>
  <c r="AH373" i="25"/>
  <c r="AG373" i="25"/>
  <c r="Z373" i="25"/>
  <c r="AJ372" i="25"/>
  <c r="AI372" i="25"/>
  <c r="AH372" i="25"/>
  <c r="AG372" i="25"/>
  <c r="Z372" i="25"/>
  <c r="AJ371" i="25"/>
  <c r="AI371" i="25"/>
  <c r="AH371" i="25"/>
  <c r="AG371" i="25"/>
  <c r="Z371" i="25"/>
  <c r="AJ370" i="25"/>
  <c r="AI370" i="25"/>
  <c r="AH370" i="25"/>
  <c r="AG370" i="25"/>
  <c r="Z370" i="25"/>
  <c r="AJ369" i="25"/>
  <c r="AI369" i="25"/>
  <c r="AH369" i="25"/>
  <c r="AG369" i="25"/>
  <c r="Z369" i="25"/>
  <c r="AJ368" i="25"/>
  <c r="AI368" i="25"/>
  <c r="AH368" i="25"/>
  <c r="AG368" i="25"/>
  <c r="Z368" i="25"/>
  <c r="AJ367" i="25"/>
  <c r="AI367" i="25"/>
  <c r="AH367" i="25"/>
  <c r="AG367" i="25"/>
  <c r="Z367" i="25"/>
  <c r="AJ366" i="25"/>
  <c r="AI366" i="25"/>
  <c r="AH366" i="25"/>
  <c r="AG366" i="25"/>
  <c r="Z366" i="25"/>
  <c r="AJ365" i="25"/>
  <c r="AI365" i="25"/>
  <c r="AH365" i="25"/>
  <c r="AG365" i="25"/>
  <c r="Z365" i="25"/>
  <c r="AJ364" i="25"/>
  <c r="AI364" i="25"/>
  <c r="AH364" i="25"/>
  <c r="AG364" i="25"/>
  <c r="Z364" i="25"/>
  <c r="AJ363" i="25"/>
  <c r="AI363" i="25"/>
  <c r="AH363" i="25"/>
  <c r="AG363" i="25"/>
  <c r="Z363" i="25"/>
  <c r="AJ362" i="25"/>
  <c r="AI362" i="25"/>
  <c r="AH362" i="25"/>
  <c r="AG362" i="25"/>
  <c r="Z362" i="25"/>
  <c r="AJ361" i="25"/>
  <c r="AI361" i="25"/>
  <c r="AH361" i="25"/>
  <c r="AG361" i="25"/>
  <c r="Z361" i="25"/>
  <c r="AJ360" i="25"/>
  <c r="AI360" i="25"/>
  <c r="AH360" i="25"/>
  <c r="AG360" i="25"/>
  <c r="Z360" i="25"/>
  <c r="AJ359" i="25"/>
  <c r="AI359" i="25"/>
  <c r="AH359" i="25"/>
  <c r="AG359" i="25"/>
  <c r="Z359" i="25"/>
  <c r="AJ358" i="25"/>
  <c r="AI358" i="25"/>
  <c r="AH358" i="25"/>
  <c r="AG358" i="25"/>
  <c r="Z358" i="25"/>
  <c r="AJ357" i="25"/>
  <c r="AI357" i="25"/>
  <c r="AH357" i="25"/>
  <c r="AG357" i="25"/>
  <c r="Z357" i="25"/>
  <c r="AJ356" i="25"/>
  <c r="AI356" i="25"/>
  <c r="AH356" i="25"/>
  <c r="AG356" i="25"/>
  <c r="Z356" i="25"/>
  <c r="AJ355" i="25"/>
  <c r="AI355" i="25"/>
  <c r="AH355" i="25"/>
  <c r="AG355" i="25"/>
  <c r="Z355" i="25"/>
  <c r="AJ354" i="25"/>
  <c r="AI354" i="25"/>
  <c r="AH354" i="25"/>
  <c r="AG354" i="25"/>
  <c r="Z354" i="25"/>
  <c r="AJ353" i="25"/>
  <c r="AI353" i="25"/>
  <c r="AH353" i="25"/>
  <c r="AG353" i="25"/>
  <c r="Z353" i="25"/>
  <c r="AJ352" i="25"/>
  <c r="AI352" i="25"/>
  <c r="AH352" i="25"/>
  <c r="AG352" i="25"/>
  <c r="Z352" i="25"/>
  <c r="AJ351" i="25"/>
  <c r="AI351" i="25"/>
  <c r="AH351" i="25"/>
  <c r="AG351" i="25"/>
  <c r="Z351" i="25"/>
  <c r="AJ350" i="25"/>
  <c r="AI350" i="25"/>
  <c r="AH350" i="25"/>
  <c r="AG350" i="25"/>
  <c r="Z350" i="25"/>
  <c r="AJ349" i="25"/>
  <c r="AI349" i="25"/>
  <c r="AH349" i="25"/>
  <c r="AG349" i="25"/>
  <c r="Z349" i="25"/>
  <c r="AJ348" i="25"/>
  <c r="AI348" i="25"/>
  <c r="AH348" i="25"/>
  <c r="AG348" i="25"/>
  <c r="Z348" i="25"/>
  <c r="AJ347" i="25"/>
  <c r="AI347" i="25"/>
  <c r="AH347" i="25"/>
  <c r="AG347" i="25"/>
  <c r="Z347" i="25"/>
  <c r="AJ346" i="25"/>
  <c r="AI346" i="25"/>
  <c r="AH346" i="25"/>
  <c r="AG346" i="25"/>
  <c r="Z346" i="25"/>
  <c r="AJ345" i="25"/>
  <c r="AI345" i="25"/>
  <c r="AH345" i="25"/>
  <c r="AG345" i="25"/>
  <c r="Z345" i="25"/>
  <c r="AJ344" i="25"/>
  <c r="AI344" i="25"/>
  <c r="AH344" i="25"/>
  <c r="AG344" i="25"/>
  <c r="Z344" i="25"/>
  <c r="AJ343" i="25"/>
  <c r="AI343" i="25"/>
  <c r="AH343" i="25"/>
  <c r="AG343" i="25"/>
  <c r="Z343" i="25"/>
  <c r="AJ342" i="25"/>
  <c r="AI342" i="25"/>
  <c r="AH342" i="25"/>
  <c r="AG342" i="25"/>
  <c r="Z342" i="25"/>
  <c r="AJ341" i="25"/>
  <c r="AI341" i="25"/>
  <c r="AH341" i="25"/>
  <c r="AG341" i="25"/>
  <c r="Z341" i="25"/>
  <c r="AJ340" i="25"/>
  <c r="AI340" i="25"/>
  <c r="AH340" i="25"/>
  <c r="AG340" i="25"/>
  <c r="Z340" i="25"/>
  <c r="AJ339" i="25"/>
  <c r="AI339" i="25"/>
  <c r="AH339" i="25"/>
  <c r="AG339" i="25"/>
  <c r="Z339" i="25"/>
  <c r="AJ338" i="25"/>
  <c r="AI338" i="25"/>
  <c r="AH338" i="25"/>
  <c r="AG338" i="25"/>
  <c r="Z338" i="25"/>
  <c r="AJ337" i="25"/>
  <c r="AI337" i="25"/>
  <c r="AH337" i="25"/>
  <c r="AG337" i="25"/>
  <c r="Z337" i="25"/>
  <c r="AJ336" i="25"/>
  <c r="AI336" i="25"/>
  <c r="AH336" i="25"/>
  <c r="AG336" i="25"/>
  <c r="Z336" i="25"/>
  <c r="AJ335" i="25"/>
  <c r="AI335" i="25"/>
  <c r="AH335" i="25"/>
  <c r="AG335" i="25"/>
  <c r="Z335" i="25"/>
  <c r="AJ334" i="25"/>
  <c r="AI334" i="25"/>
  <c r="AH334" i="25"/>
  <c r="AG334" i="25"/>
  <c r="Z334" i="25"/>
  <c r="AJ333" i="25"/>
  <c r="AI333" i="25"/>
  <c r="AH333" i="25"/>
  <c r="AG333" i="25"/>
  <c r="Z333" i="25"/>
  <c r="AJ332" i="25"/>
  <c r="AI332" i="25"/>
  <c r="AH332" i="25"/>
  <c r="AG332" i="25"/>
  <c r="Z332" i="25"/>
  <c r="AJ331" i="25"/>
  <c r="AI331" i="25"/>
  <c r="AH331" i="25"/>
  <c r="AG331" i="25"/>
  <c r="Z331" i="25"/>
  <c r="AJ330" i="25"/>
  <c r="AI330" i="25"/>
  <c r="AH330" i="25"/>
  <c r="AG330" i="25"/>
  <c r="Z330" i="25"/>
  <c r="AJ329" i="25"/>
  <c r="AI329" i="25"/>
  <c r="AH329" i="25"/>
  <c r="AG329" i="25"/>
  <c r="Z329" i="25"/>
  <c r="AJ328" i="25"/>
  <c r="AI328" i="25"/>
  <c r="AH328" i="25"/>
  <c r="AG328" i="25"/>
  <c r="Z328" i="25"/>
  <c r="AJ327" i="25"/>
  <c r="AI327" i="25"/>
  <c r="AH327" i="25"/>
  <c r="AG327" i="25"/>
  <c r="Z327" i="25"/>
  <c r="AJ326" i="25"/>
  <c r="AI326" i="25"/>
  <c r="AH326" i="25"/>
  <c r="AG326" i="25"/>
  <c r="Z326" i="25"/>
  <c r="AJ325" i="25"/>
  <c r="AI325" i="25"/>
  <c r="AH325" i="25"/>
  <c r="AG325" i="25"/>
  <c r="Z325" i="25"/>
  <c r="AJ324" i="25"/>
  <c r="AI324" i="25"/>
  <c r="AH324" i="25"/>
  <c r="AG324" i="25"/>
  <c r="Z324" i="25"/>
  <c r="AJ323" i="25"/>
  <c r="AI323" i="25"/>
  <c r="AH323" i="25"/>
  <c r="AG323" i="25"/>
  <c r="Z323" i="25"/>
  <c r="AJ322" i="25"/>
  <c r="AI322" i="25"/>
  <c r="AH322" i="25"/>
  <c r="AG322" i="25"/>
  <c r="Z322" i="25"/>
  <c r="AJ321" i="25"/>
  <c r="AI321" i="25"/>
  <c r="AH321" i="25"/>
  <c r="AG321" i="25"/>
  <c r="Z321" i="25"/>
  <c r="AJ320" i="25"/>
  <c r="AI320" i="25"/>
  <c r="AH320" i="25"/>
  <c r="AG320" i="25"/>
  <c r="Z320" i="25"/>
  <c r="AJ319" i="25"/>
  <c r="AI319" i="25"/>
  <c r="AH319" i="25"/>
  <c r="AG319" i="25"/>
  <c r="Z319" i="25"/>
  <c r="AJ318" i="25"/>
  <c r="AI318" i="25"/>
  <c r="AH318" i="25"/>
  <c r="AG318" i="25"/>
  <c r="Z318" i="25"/>
  <c r="AJ317" i="25"/>
  <c r="AI317" i="25"/>
  <c r="AH317" i="25"/>
  <c r="AG317" i="25"/>
  <c r="Z317" i="25"/>
  <c r="AJ316" i="25"/>
  <c r="AI316" i="25"/>
  <c r="AH316" i="25"/>
  <c r="AG316" i="25"/>
  <c r="Z316" i="25"/>
  <c r="AJ315" i="25"/>
  <c r="AI315" i="25"/>
  <c r="AH315" i="25"/>
  <c r="AG315" i="25"/>
  <c r="Z315" i="25"/>
  <c r="AJ314" i="25"/>
  <c r="AI314" i="25"/>
  <c r="AH314" i="25"/>
  <c r="AG314" i="25"/>
  <c r="Z314" i="25"/>
  <c r="AJ313" i="25"/>
  <c r="AI313" i="25"/>
  <c r="AH313" i="25"/>
  <c r="AG313" i="25"/>
  <c r="Z313" i="25"/>
  <c r="AJ312" i="25"/>
  <c r="AI312" i="25"/>
  <c r="AH312" i="25"/>
  <c r="AG312" i="25"/>
  <c r="Z312" i="25"/>
  <c r="AJ311" i="25"/>
  <c r="AI311" i="25"/>
  <c r="AH311" i="25"/>
  <c r="AG311" i="25"/>
  <c r="Z311" i="25"/>
  <c r="AJ310" i="25"/>
  <c r="AI310" i="25"/>
  <c r="AH310" i="25"/>
  <c r="AG310" i="25"/>
  <c r="Z310" i="25"/>
  <c r="AJ309" i="25"/>
  <c r="AI309" i="25"/>
  <c r="AH309" i="25"/>
  <c r="AG309" i="25"/>
  <c r="Z309" i="25"/>
  <c r="AJ308" i="25"/>
  <c r="AI308" i="25"/>
  <c r="AH308" i="25"/>
  <c r="AG308" i="25"/>
  <c r="Z308" i="25"/>
  <c r="AJ307" i="25"/>
  <c r="AI307" i="25"/>
  <c r="AH307" i="25"/>
  <c r="AG307" i="25"/>
  <c r="Z307" i="25"/>
  <c r="AJ306" i="25"/>
  <c r="AI306" i="25"/>
  <c r="AH306" i="25"/>
  <c r="AG306" i="25"/>
  <c r="Z306" i="25"/>
  <c r="AJ305" i="25"/>
  <c r="AI305" i="25"/>
  <c r="AH305" i="25"/>
  <c r="AG305" i="25"/>
  <c r="Z305" i="25"/>
  <c r="AJ304" i="25"/>
  <c r="AI304" i="25"/>
  <c r="AH304" i="25"/>
  <c r="AG304" i="25"/>
  <c r="Z304" i="25"/>
  <c r="AJ303" i="25"/>
  <c r="AI303" i="25"/>
  <c r="AH303" i="25"/>
  <c r="AG303" i="25"/>
  <c r="Z303" i="25"/>
  <c r="AJ302" i="25"/>
  <c r="AI302" i="25"/>
  <c r="AH302" i="25"/>
  <c r="AG302" i="25"/>
  <c r="Z302" i="25"/>
  <c r="AJ301" i="25"/>
  <c r="AI301" i="25"/>
  <c r="AH301" i="25"/>
  <c r="AG301" i="25"/>
  <c r="Z301" i="25"/>
  <c r="AJ300" i="25"/>
  <c r="AI300" i="25"/>
  <c r="AH300" i="25"/>
  <c r="AG300" i="25"/>
  <c r="Z300" i="25"/>
  <c r="AJ299" i="25"/>
  <c r="AI299" i="25"/>
  <c r="AH299" i="25"/>
  <c r="AG299" i="25"/>
  <c r="Z299" i="25"/>
  <c r="AJ298" i="25"/>
  <c r="AI298" i="25"/>
  <c r="AH298" i="25"/>
  <c r="AG298" i="25"/>
  <c r="Z298" i="25"/>
  <c r="AJ297" i="25"/>
  <c r="AI297" i="25"/>
  <c r="AH297" i="25"/>
  <c r="AG297" i="25"/>
  <c r="Z297" i="25"/>
  <c r="AJ296" i="25"/>
  <c r="AI296" i="25"/>
  <c r="AH296" i="25"/>
  <c r="AG296" i="25"/>
  <c r="Z296" i="25"/>
  <c r="AJ295" i="25"/>
  <c r="AI295" i="25"/>
  <c r="AH295" i="25"/>
  <c r="AG295" i="25"/>
  <c r="Z295" i="25"/>
  <c r="AJ294" i="25"/>
  <c r="AI294" i="25"/>
  <c r="AH294" i="25"/>
  <c r="AG294" i="25"/>
  <c r="Z294" i="25"/>
  <c r="AJ293" i="25"/>
  <c r="AI293" i="25"/>
  <c r="AH293" i="25"/>
  <c r="AG293" i="25"/>
  <c r="Z293" i="25"/>
  <c r="AJ292" i="25"/>
  <c r="AI292" i="25"/>
  <c r="AH292" i="25"/>
  <c r="AG292" i="25"/>
  <c r="Z292" i="25"/>
  <c r="AJ291" i="25"/>
  <c r="AI291" i="25"/>
  <c r="AH291" i="25"/>
  <c r="AG291" i="25"/>
  <c r="Z291" i="25"/>
  <c r="AJ290" i="25"/>
  <c r="AI290" i="25"/>
  <c r="AH290" i="25"/>
  <c r="AG290" i="25"/>
  <c r="Z290" i="25"/>
  <c r="AJ289" i="25"/>
  <c r="AI289" i="25"/>
  <c r="AH289" i="25"/>
  <c r="AG289" i="25"/>
  <c r="Z289" i="25"/>
  <c r="AJ288" i="25"/>
  <c r="AI288" i="25"/>
  <c r="AH288" i="25"/>
  <c r="AG288" i="25"/>
  <c r="Z288" i="25"/>
  <c r="AJ287" i="25"/>
  <c r="AI287" i="25"/>
  <c r="AH287" i="25"/>
  <c r="AG287" i="25"/>
  <c r="Z287" i="25"/>
  <c r="AJ286" i="25"/>
  <c r="AI286" i="25"/>
  <c r="AH286" i="25"/>
  <c r="AG286" i="25"/>
  <c r="Z286" i="25"/>
  <c r="AJ285" i="25"/>
  <c r="AI285" i="25"/>
  <c r="AH285" i="25"/>
  <c r="AG285" i="25"/>
  <c r="Z285" i="25"/>
  <c r="AJ284" i="25"/>
  <c r="AI284" i="25"/>
  <c r="AH284" i="25"/>
  <c r="AG284" i="25"/>
  <c r="Z284" i="25"/>
  <c r="AJ283" i="25"/>
  <c r="AI283" i="25"/>
  <c r="AH283" i="25"/>
  <c r="AG283" i="25"/>
  <c r="Z283" i="25"/>
  <c r="AJ282" i="25"/>
  <c r="AI282" i="25"/>
  <c r="AH282" i="25"/>
  <c r="AG282" i="25"/>
  <c r="Z282" i="25"/>
  <c r="AJ281" i="25"/>
  <c r="AI281" i="25"/>
  <c r="AH281" i="25"/>
  <c r="AG281" i="25"/>
  <c r="Z281" i="25"/>
  <c r="AJ280" i="25"/>
  <c r="AI280" i="25"/>
  <c r="AH280" i="25"/>
  <c r="AG280" i="25"/>
  <c r="Z280" i="25"/>
  <c r="AJ279" i="25"/>
  <c r="AI279" i="25"/>
  <c r="AH279" i="25"/>
  <c r="AG279" i="25"/>
  <c r="Z279" i="25"/>
  <c r="AJ278" i="25"/>
  <c r="AI278" i="25"/>
  <c r="AH278" i="25"/>
  <c r="AG278" i="25"/>
  <c r="Z278" i="25"/>
  <c r="AJ277" i="25"/>
  <c r="AI277" i="25"/>
  <c r="AH277" i="25"/>
  <c r="AG277" i="25"/>
  <c r="Z277" i="25"/>
  <c r="AJ276" i="25"/>
  <c r="AI276" i="25"/>
  <c r="AH276" i="25"/>
  <c r="AG276" i="25"/>
  <c r="Z276" i="25"/>
  <c r="AJ275" i="25"/>
  <c r="AI275" i="25"/>
  <c r="AH275" i="25"/>
  <c r="AG275" i="25"/>
  <c r="Z275" i="25"/>
  <c r="AJ274" i="25"/>
  <c r="AI274" i="25"/>
  <c r="AH274" i="25"/>
  <c r="AG274" i="25"/>
  <c r="Z274" i="25"/>
  <c r="AJ273" i="25"/>
  <c r="AI273" i="25"/>
  <c r="AH273" i="25"/>
  <c r="AG273" i="25"/>
  <c r="Z273" i="25"/>
  <c r="AJ272" i="25"/>
  <c r="AI272" i="25"/>
  <c r="AH272" i="25"/>
  <c r="AG272" i="25"/>
  <c r="Z272" i="25"/>
  <c r="AJ271" i="25"/>
  <c r="AI271" i="25"/>
  <c r="AH271" i="25"/>
  <c r="AG271" i="25"/>
  <c r="Z271" i="25"/>
  <c r="AJ270" i="25"/>
  <c r="AI270" i="25"/>
  <c r="AH270" i="25"/>
  <c r="AG270" i="25"/>
  <c r="Z270" i="25"/>
  <c r="AJ269" i="25"/>
  <c r="AI269" i="25"/>
  <c r="AH269" i="25"/>
  <c r="AG269" i="25"/>
  <c r="Z269" i="25"/>
  <c r="AJ268" i="25"/>
  <c r="AI268" i="25"/>
  <c r="AH268" i="25"/>
  <c r="AG268" i="25"/>
  <c r="Z268" i="25"/>
  <c r="AJ267" i="25"/>
  <c r="AI267" i="25"/>
  <c r="AH267" i="25"/>
  <c r="AG267" i="25"/>
  <c r="Z267" i="25"/>
  <c r="AJ266" i="25"/>
  <c r="AI266" i="25"/>
  <c r="AH266" i="25"/>
  <c r="AG266" i="25"/>
  <c r="Z266" i="25"/>
  <c r="AJ265" i="25"/>
  <c r="AI265" i="25"/>
  <c r="AH265" i="25"/>
  <c r="AG265" i="25"/>
  <c r="Z265" i="25"/>
  <c r="AJ264" i="25"/>
  <c r="AI264" i="25"/>
  <c r="AH264" i="25"/>
  <c r="AG264" i="25"/>
  <c r="Z264" i="25"/>
  <c r="AJ263" i="25"/>
  <c r="AI263" i="25"/>
  <c r="AH263" i="25"/>
  <c r="AG263" i="25"/>
  <c r="Z263" i="25"/>
  <c r="AJ262" i="25"/>
  <c r="AI262" i="25"/>
  <c r="AH262" i="25"/>
  <c r="AG262" i="25"/>
  <c r="Z262" i="25"/>
  <c r="AJ261" i="25"/>
  <c r="AI261" i="25"/>
  <c r="AH261" i="25"/>
  <c r="AG261" i="25"/>
  <c r="Z261" i="25"/>
  <c r="AJ260" i="25"/>
  <c r="AI260" i="25"/>
  <c r="AH260" i="25"/>
  <c r="AG260" i="25"/>
  <c r="Z260" i="25"/>
  <c r="AJ259" i="25"/>
  <c r="AI259" i="25"/>
  <c r="AH259" i="25"/>
  <c r="AG259" i="25"/>
  <c r="Z259" i="25"/>
  <c r="AJ258" i="25"/>
  <c r="AI258" i="25"/>
  <c r="AH258" i="25"/>
  <c r="AG258" i="25"/>
  <c r="Z258" i="25"/>
  <c r="AJ257" i="25"/>
  <c r="AI257" i="25"/>
  <c r="AH257" i="25"/>
  <c r="AG257" i="25"/>
  <c r="Z257" i="25"/>
  <c r="AJ256" i="25"/>
  <c r="AI256" i="25"/>
  <c r="AH256" i="25"/>
  <c r="AG256" i="25"/>
  <c r="Z256" i="25"/>
  <c r="AJ255" i="25"/>
  <c r="AI255" i="25"/>
  <c r="AH255" i="25"/>
  <c r="AG255" i="25"/>
  <c r="Z255" i="25"/>
  <c r="AJ254" i="25"/>
  <c r="AI254" i="25"/>
  <c r="AH254" i="25"/>
  <c r="AG254" i="25"/>
  <c r="Z254" i="25"/>
  <c r="AJ253" i="25"/>
  <c r="AI253" i="25"/>
  <c r="AH253" i="25"/>
  <c r="AG253" i="25"/>
  <c r="Z253" i="25"/>
  <c r="AJ252" i="25"/>
  <c r="AI252" i="25"/>
  <c r="AH252" i="25"/>
  <c r="AG252" i="25"/>
  <c r="Z252" i="25"/>
  <c r="AJ251" i="25"/>
  <c r="AI251" i="25"/>
  <c r="AH251" i="25"/>
  <c r="AG251" i="25"/>
  <c r="Z251" i="25"/>
  <c r="AJ250" i="25"/>
  <c r="AI250" i="25"/>
  <c r="AH250" i="25"/>
  <c r="AG250" i="25"/>
  <c r="Z250" i="25"/>
  <c r="AJ249" i="25"/>
  <c r="AI249" i="25"/>
  <c r="AH249" i="25"/>
  <c r="AG249" i="25"/>
  <c r="Z249" i="25"/>
  <c r="AJ248" i="25"/>
  <c r="AI248" i="25"/>
  <c r="AH248" i="25"/>
  <c r="AG248" i="25"/>
  <c r="U249" i="25"/>
  <c r="AJ247" i="25"/>
  <c r="AI247" i="25"/>
  <c r="AH247" i="25"/>
  <c r="AG247" i="25"/>
  <c r="AJ246" i="25"/>
  <c r="AI246" i="25"/>
  <c r="AH246" i="25"/>
  <c r="AG246" i="25"/>
  <c r="AJ245" i="25"/>
  <c r="AI245" i="25"/>
  <c r="AH245" i="25"/>
  <c r="AG245" i="25"/>
  <c r="AJ244" i="25"/>
  <c r="AI244" i="25"/>
  <c r="AH244" i="25"/>
  <c r="AG244" i="25"/>
  <c r="AJ243" i="25"/>
  <c r="AI243" i="25"/>
  <c r="AH243" i="25"/>
  <c r="AG243" i="25"/>
  <c r="AJ242" i="25"/>
  <c r="AI242" i="25"/>
  <c r="AH242" i="25"/>
  <c r="AG242" i="25"/>
  <c r="AJ241" i="25"/>
  <c r="AI241" i="25"/>
  <c r="AH241" i="25"/>
  <c r="AG241" i="25"/>
  <c r="AJ240" i="25"/>
  <c r="AI240" i="25"/>
  <c r="AH240" i="25"/>
  <c r="AG240" i="25"/>
  <c r="AJ239" i="25"/>
  <c r="AI239" i="25"/>
  <c r="AH239" i="25"/>
  <c r="AG239" i="25"/>
  <c r="AJ238" i="25"/>
  <c r="AI238" i="25"/>
  <c r="AH238" i="25"/>
  <c r="AG238" i="25"/>
  <c r="AJ237" i="25"/>
  <c r="AI237" i="25"/>
  <c r="AH237" i="25"/>
  <c r="AG237" i="25"/>
  <c r="AJ236" i="25"/>
  <c r="AI236" i="25"/>
  <c r="AH236" i="25"/>
  <c r="AG236" i="25"/>
  <c r="AJ235" i="25"/>
  <c r="AI235" i="25"/>
  <c r="AH235" i="25"/>
  <c r="AG235" i="25"/>
  <c r="AJ234" i="25"/>
  <c r="AI234" i="25"/>
  <c r="AH234" i="25"/>
  <c r="AG234" i="25"/>
  <c r="AJ233" i="25"/>
  <c r="AI233" i="25"/>
  <c r="AH233" i="25"/>
  <c r="AG233" i="25"/>
  <c r="AJ232" i="25"/>
  <c r="AI232" i="25"/>
  <c r="AH232" i="25"/>
  <c r="AG232" i="25"/>
  <c r="AJ231" i="25"/>
  <c r="AI231" i="25"/>
  <c r="AH231" i="25"/>
  <c r="AG231" i="25"/>
  <c r="AJ230" i="25"/>
  <c r="AI230" i="25"/>
  <c r="AH230" i="25"/>
  <c r="AG230" i="25"/>
  <c r="AJ229" i="25"/>
  <c r="AI229" i="25"/>
  <c r="AH229" i="25"/>
  <c r="AG229" i="25"/>
  <c r="AJ228" i="25"/>
  <c r="AI228" i="25"/>
  <c r="AH228" i="25"/>
  <c r="AG228" i="25"/>
  <c r="AJ227" i="25"/>
  <c r="AI227" i="25"/>
  <c r="AH227" i="25"/>
  <c r="AG227" i="25"/>
  <c r="AJ226" i="25"/>
  <c r="AI226" i="25"/>
  <c r="AH226" i="25"/>
  <c r="AG226" i="25"/>
  <c r="AJ225" i="25"/>
  <c r="AI225" i="25"/>
  <c r="AH225" i="25"/>
  <c r="AG225" i="25"/>
  <c r="AJ224" i="25"/>
  <c r="AI224" i="25"/>
  <c r="AH224" i="25"/>
  <c r="AG224" i="25"/>
  <c r="AJ223" i="25"/>
  <c r="AI223" i="25"/>
  <c r="AH223" i="25"/>
  <c r="AG223" i="25"/>
  <c r="AJ222" i="25"/>
  <c r="AI222" i="25"/>
  <c r="AH222" i="25"/>
  <c r="AG222" i="25"/>
  <c r="AJ221" i="25"/>
  <c r="AI221" i="25"/>
  <c r="AH221" i="25"/>
  <c r="AG221" i="25"/>
  <c r="AJ220" i="25"/>
  <c r="AI220" i="25"/>
  <c r="AH220" i="25"/>
  <c r="AG220" i="25"/>
  <c r="AJ219" i="25"/>
  <c r="AI219" i="25"/>
  <c r="AH219" i="25"/>
  <c r="AG219" i="25"/>
  <c r="AJ218" i="25"/>
  <c r="AI218" i="25"/>
  <c r="AH218" i="25"/>
  <c r="AG218" i="25"/>
  <c r="AJ217" i="25"/>
  <c r="AI217" i="25"/>
  <c r="AH217" i="25"/>
  <c r="AG217" i="25"/>
  <c r="AJ216" i="25"/>
  <c r="AI216" i="25"/>
  <c r="AH216" i="25"/>
  <c r="AG216" i="25"/>
  <c r="AJ215" i="25"/>
  <c r="AI215" i="25"/>
  <c r="AH215" i="25"/>
  <c r="AG215" i="25"/>
  <c r="AJ214" i="25"/>
  <c r="AI214" i="25"/>
  <c r="AH214" i="25"/>
  <c r="AG214" i="25"/>
  <c r="AJ213" i="25"/>
  <c r="AI213" i="25"/>
  <c r="AH213" i="25"/>
  <c r="AG213" i="25"/>
  <c r="AJ212" i="25"/>
  <c r="AI212" i="25"/>
  <c r="AH212" i="25"/>
  <c r="AG212" i="25"/>
  <c r="AJ211" i="25"/>
  <c r="AI211" i="25"/>
  <c r="AH211" i="25"/>
  <c r="AG211" i="25"/>
  <c r="AJ210" i="25"/>
  <c r="AI210" i="25"/>
  <c r="AH210" i="25"/>
  <c r="AG210" i="25"/>
  <c r="AJ209" i="25"/>
  <c r="AI209" i="25"/>
  <c r="AH209" i="25"/>
  <c r="AG209" i="25"/>
  <c r="AJ208" i="25"/>
  <c r="AI208" i="25"/>
  <c r="AH208" i="25"/>
  <c r="AG208" i="25"/>
  <c r="AJ207" i="25"/>
  <c r="AI207" i="25"/>
  <c r="AH207" i="25"/>
  <c r="AG207" i="25"/>
  <c r="AJ206" i="25"/>
  <c r="AI206" i="25"/>
  <c r="AH206" i="25"/>
  <c r="AG206" i="25"/>
  <c r="AJ205" i="25"/>
  <c r="AI205" i="25"/>
  <c r="AH205" i="25"/>
  <c r="AG205" i="25"/>
  <c r="AJ204" i="25"/>
  <c r="AI204" i="25"/>
  <c r="AH204" i="25"/>
  <c r="AG204" i="25"/>
  <c r="AJ203" i="25"/>
  <c r="AI203" i="25"/>
  <c r="AH203" i="25"/>
  <c r="AG203" i="25"/>
  <c r="AJ202" i="25"/>
  <c r="AI202" i="25"/>
  <c r="AH202" i="25"/>
  <c r="AG202" i="25"/>
  <c r="AJ201" i="25"/>
  <c r="AI201" i="25"/>
  <c r="AH201" i="25"/>
  <c r="AG201" i="25"/>
  <c r="AJ200" i="25"/>
  <c r="AI200" i="25"/>
  <c r="AH200" i="25"/>
  <c r="AG200" i="25"/>
  <c r="AJ199" i="25"/>
  <c r="AI199" i="25"/>
  <c r="AH199" i="25"/>
  <c r="AG199" i="25"/>
  <c r="AJ198" i="25"/>
  <c r="AI198" i="25"/>
  <c r="AH198" i="25"/>
  <c r="AG198" i="25"/>
  <c r="AJ197" i="25"/>
  <c r="AI197" i="25"/>
  <c r="AH197" i="25"/>
  <c r="AG197" i="25"/>
  <c r="AJ196" i="25"/>
  <c r="AI196" i="25"/>
  <c r="AH196" i="25"/>
  <c r="AG196" i="25"/>
  <c r="AJ195" i="25"/>
  <c r="AI195" i="25"/>
  <c r="AH195" i="25"/>
  <c r="AG195" i="25"/>
  <c r="AJ194" i="25"/>
  <c r="AI194" i="25"/>
  <c r="AH194" i="25"/>
  <c r="AG194" i="25"/>
  <c r="AJ193" i="25"/>
  <c r="AI193" i="25"/>
  <c r="AH193" i="25"/>
  <c r="AG193" i="25"/>
  <c r="AJ192" i="25"/>
  <c r="AI192" i="25"/>
  <c r="AH192" i="25"/>
  <c r="AG192" i="25"/>
  <c r="AJ191" i="25"/>
  <c r="AI191" i="25"/>
  <c r="AH191" i="25"/>
  <c r="AG191" i="25"/>
  <c r="AJ190" i="25"/>
  <c r="AI190" i="25"/>
  <c r="AH190" i="25"/>
  <c r="AG190" i="25"/>
  <c r="AJ189" i="25"/>
  <c r="AI189" i="25"/>
  <c r="AH189" i="25"/>
  <c r="AG189" i="25"/>
  <c r="AJ188" i="25"/>
  <c r="AI188" i="25"/>
  <c r="AH188" i="25"/>
  <c r="AG188" i="25"/>
  <c r="AJ187" i="25"/>
  <c r="AI187" i="25"/>
  <c r="AH187" i="25"/>
  <c r="AG187" i="25"/>
  <c r="AJ186" i="25"/>
  <c r="AI186" i="25"/>
  <c r="AH186" i="25"/>
  <c r="AG186" i="25"/>
  <c r="AJ185" i="25"/>
  <c r="AI185" i="25"/>
  <c r="AH185" i="25"/>
  <c r="AG185" i="25"/>
  <c r="AJ184" i="25"/>
  <c r="AI184" i="25"/>
  <c r="AH184" i="25"/>
  <c r="AG184" i="25"/>
  <c r="AJ183" i="25"/>
  <c r="AI183" i="25"/>
  <c r="AH183" i="25"/>
  <c r="AG183" i="25"/>
  <c r="AJ182" i="25"/>
  <c r="AI182" i="25"/>
  <c r="AH182" i="25"/>
  <c r="AG182" i="25"/>
  <c r="AJ181" i="25"/>
  <c r="AI181" i="25"/>
  <c r="AH181" i="25"/>
  <c r="AG181" i="25"/>
  <c r="AJ180" i="25"/>
  <c r="AI180" i="25"/>
  <c r="AH180" i="25"/>
  <c r="AG180" i="25"/>
  <c r="AJ179" i="25"/>
  <c r="AI179" i="25"/>
  <c r="AH179" i="25"/>
  <c r="AG179" i="25"/>
  <c r="AJ178" i="25"/>
  <c r="AI178" i="25"/>
  <c r="AH178" i="25"/>
  <c r="AG178" i="25"/>
  <c r="AJ177" i="25"/>
  <c r="AI177" i="25"/>
  <c r="AH177" i="25"/>
  <c r="AG177" i="25"/>
  <c r="AJ176" i="25"/>
  <c r="AI176" i="25"/>
  <c r="AH176" i="25"/>
  <c r="AG176" i="25"/>
  <c r="AJ175" i="25"/>
  <c r="AI175" i="25"/>
  <c r="AH175" i="25"/>
  <c r="AG175" i="25"/>
  <c r="AJ174" i="25"/>
  <c r="AI174" i="25"/>
  <c r="AH174" i="25"/>
  <c r="AG174" i="25"/>
  <c r="AJ173" i="25"/>
  <c r="AI173" i="25"/>
  <c r="AH173" i="25"/>
  <c r="AG173" i="25"/>
  <c r="AJ172" i="25"/>
  <c r="AI172" i="25"/>
  <c r="AH172" i="25"/>
  <c r="AG172" i="25"/>
  <c r="AJ171" i="25"/>
  <c r="AI171" i="25"/>
  <c r="AH171" i="25"/>
  <c r="AG171" i="25"/>
  <c r="AJ170" i="25"/>
  <c r="AI170" i="25"/>
  <c r="AH170" i="25"/>
  <c r="AG170" i="25"/>
  <c r="AJ169" i="25"/>
  <c r="AI169" i="25"/>
  <c r="AH169" i="25"/>
  <c r="AG169" i="25"/>
  <c r="AJ168" i="25"/>
  <c r="AI168" i="25"/>
  <c r="AH168" i="25"/>
  <c r="AG168" i="25"/>
  <c r="AJ167" i="25"/>
  <c r="AI167" i="25"/>
  <c r="AH167" i="25"/>
  <c r="AG167" i="25"/>
  <c r="AJ166" i="25"/>
  <c r="AI166" i="25"/>
  <c r="AH166" i="25"/>
  <c r="AG166" i="25"/>
  <c r="AJ165" i="25"/>
  <c r="AI165" i="25"/>
  <c r="AH165" i="25"/>
  <c r="AG165" i="25"/>
  <c r="AJ164" i="25"/>
  <c r="AI164" i="25"/>
  <c r="AH164" i="25"/>
  <c r="AG164" i="25"/>
  <c r="AJ163" i="25"/>
  <c r="AI163" i="25"/>
  <c r="AH163" i="25"/>
  <c r="AG163" i="25"/>
  <c r="AJ162" i="25"/>
  <c r="AI162" i="25"/>
  <c r="AH162" i="25"/>
  <c r="AG162" i="25"/>
  <c r="AJ161" i="25"/>
  <c r="AI161" i="25"/>
  <c r="AH161" i="25"/>
  <c r="AG161" i="25"/>
  <c r="AJ160" i="25"/>
  <c r="AI160" i="25"/>
  <c r="AH160" i="25"/>
  <c r="AG160" i="25"/>
  <c r="AJ159" i="25"/>
  <c r="AI159" i="25"/>
  <c r="AH159" i="25"/>
  <c r="AG159" i="25"/>
  <c r="AJ158" i="25"/>
  <c r="AI158" i="25"/>
  <c r="AH158" i="25"/>
  <c r="AG158" i="25"/>
  <c r="AJ157" i="25"/>
  <c r="AI157" i="25"/>
  <c r="AH157" i="25"/>
  <c r="AG157" i="25"/>
  <c r="AJ156" i="25"/>
  <c r="AI156" i="25"/>
  <c r="AH156" i="25"/>
  <c r="AG156" i="25"/>
  <c r="AJ155" i="25"/>
  <c r="AI155" i="25"/>
  <c r="AH155" i="25"/>
  <c r="AG155" i="25"/>
  <c r="AJ154" i="25"/>
  <c r="AI154" i="25"/>
  <c r="AH154" i="25"/>
  <c r="AG154" i="25"/>
  <c r="AJ153" i="25"/>
  <c r="AI153" i="25"/>
  <c r="AH153" i="25"/>
  <c r="AG153" i="25"/>
  <c r="AJ152" i="25"/>
  <c r="AI152" i="25"/>
  <c r="AH152" i="25"/>
  <c r="AG152" i="25"/>
  <c r="AJ151" i="25"/>
  <c r="AI151" i="25"/>
  <c r="AH151" i="25"/>
  <c r="AG151" i="25"/>
  <c r="AJ150" i="25"/>
  <c r="AI150" i="25"/>
  <c r="AH150" i="25"/>
  <c r="AG150" i="25"/>
  <c r="AJ149" i="25"/>
  <c r="AI149" i="25"/>
  <c r="AH149" i="25"/>
  <c r="AG149" i="25"/>
  <c r="AJ148" i="25"/>
  <c r="AI148" i="25"/>
  <c r="AH148" i="25"/>
  <c r="AG148" i="25"/>
  <c r="AJ147" i="25"/>
  <c r="AI147" i="25"/>
  <c r="AH147" i="25"/>
  <c r="AG147" i="25"/>
  <c r="AJ146" i="25"/>
  <c r="AI146" i="25"/>
  <c r="AH146" i="25"/>
  <c r="AG146" i="25"/>
  <c r="AJ145" i="25"/>
  <c r="AI145" i="25"/>
  <c r="AH145" i="25"/>
  <c r="AG145" i="25"/>
  <c r="AJ144" i="25"/>
  <c r="AI144" i="25"/>
  <c r="AH144" i="25"/>
  <c r="AG144" i="25"/>
  <c r="AJ143" i="25"/>
  <c r="AI143" i="25"/>
  <c r="AH143" i="25"/>
  <c r="AG143" i="25"/>
  <c r="AJ142" i="25"/>
  <c r="AI142" i="25"/>
  <c r="AH142" i="25"/>
  <c r="AG142" i="25"/>
  <c r="AJ141" i="25"/>
  <c r="AI141" i="25"/>
  <c r="AH141" i="25"/>
  <c r="AG141" i="25"/>
  <c r="AJ140" i="25"/>
  <c r="AI140" i="25"/>
  <c r="AH140" i="25"/>
  <c r="AG140" i="25"/>
  <c r="AJ139" i="25"/>
  <c r="AI139" i="25"/>
  <c r="AH139" i="25"/>
  <c r="AG139" i="25"/>
  <c r="AJ138" i="25"/>
  <c r="AI138" i="25"/>
  <c r="AH138" i="25"/>
  <c r="AG138" i="25"/>
  <c r="AJ137" i="25"/>
  <c r="AI137" i="25"/>
  <c r="AH137" i="25"/>
  <c r="AG137" i="25"/>
  <c r="AJ136" i="25"/>
  <c r="AI136" i="25"/>
  <c r="AH136" i="25"/>
  <c r="AG136" i="25"/>
  <c r="AJ135" i="25"/>
  <c r="AI135" i="25"/>
  <c r="AH135" i="25"/>
  <c r="AG135" i="25"/>
  <c r="AJ134" i="25"/>
  <c r="AI134" i="25"/>
  <c r="AH134" i="25"/>
  <c r="AG134" i="25"/>
  <c r="AJ133" i="25"/>
  <c r="AI133" i="25"/>
  <c r="AH133" i="25"/>
  <c r="AG133" i="25"/>
  <c r="AJ132" i="25"/>
  <c r="AI132" i="25"/>
  <c r="AH132" i="25"/>
  <c r="AG132" i="25"/>
  <c r="AJ131" i="25"/>
  <c r="AI131" i="25"/>
  <c r="AH131" i="25"/>
  <c r="AG131" i="25"/>
  <c r="AJ130" i="25"/>
  <c r="AI130" i="25"/>
  <c r="AH130" i="25"/>
  <c r="AG130" i="25"/>
  <c r="AJ129" i="25"/>
  <c r="AI129" i="25"/>
  <c r="AH129" i="25"/>
  <c r="AG129" i="25"/>
  <c r="AJ128" i="25"/>
  <c r="AI128" i="25"/>
  <c r="AH128" i="25"/>
  <c r="AG128" i="25"/>
  <c r="AJ127" i="25"/>
  <c r="AI127" i="25"/>
  <c r="AH127" i="25"/>
  <c r="AG127" i="25"/>
  <c r="AJ126" i="25"/>
  <c r="AI126" i="25"/>
  <c r="AH126" i="25"/>
  <c r="AG126" i="25"/>
  <c r="AJ125" i="25"/>
  <c r="AI125" i="25"/>
  <c r="AH125" i="25"/>
  <c r="AG125" i="25"/>
  <c r="Z126" i="25"/>
  <c r="P126" i="25"/>
  <c r="AJ124" i="25"/>
  <c r="AI124" i="25"/>
  <c r="AH124" i="25"/>
  <c r="AG124" i="25"/>
  <c r="AJ123" i="25"/>
  <c r="AI123" i="25"/>
  <c r="AH123" i="25"/>
  <c r="AG123" i="25"/>
  <c r="AJ122" i="25"/>
  <c r="AI122" i="25"/>
  <c r="AH122" i="25"/>
  <c r="AG122" i="25"/>
  <c r="AJ121" i="25"/>
  <c r="AI121" i="25"/>
  <c r="AH121" i="25"/>
  <c r="AG121" i="25"/>
  <c r="AJ120" i="25"/>
  <c r="AI120" i="25"/>
  <c r="AH120" i="25"/>
  <c r="AG120" i="25"/>
  <c r="AJ119" i="25"/>
  <c r="AI119" i="25"/>
  <c r="AH119" i="25"/>
  <c r="AG119" i="25"/>
  <c r="AJ118" i="25"/>
  <c r="AI118" i="25"/>
  <c r="AH118" i="25"/>
  <c r="AG118" i="25"/>
  <c r="AJ117" i="25"/>
  <c r="AI117" i="25"/>
  <c r="AH117" i="25"/>
  <c r="AG117" i="25"/>
  <c r="AJ116" i="25"/>
  <c r="AI116" i="25"/>
  <c r="AH116" i="25"/>
  <c r="AG116" i="25"/>
  <c r="AJ115" i="25"/>
  <c r="AI115" i="25"/>
  <c r="AH115" i="25"/>
  <c r="AG115" i="25"/>
  <c r="AJ114" i="25"/>
  <c r="AI114" i="25"/>
  <c r="AH114" i="25"/>
  <c r="AG114" i="25"/>
  <c r="AJ113" i="25"/>
  <c r="AI113" i="25"/>
  <c r="AH113" i="25"/>
  <c r="AG113" i="25"/>
  <c r="AJ112" i="25"/>
  <c r="AI112" i="25"/>
  <c r="AH112" i="25"/>
  <c r="AG112" i="25"/>
  <c r="AJ111" i="25"/>
  <c r="AI111" i="25"/>
  <c r="AH111" i="25"/>
  <c r="AG111" i="25"/>
  <c r="AJ110" i="25"/>
  <c r="AI110" i="25"/>
  <c r="AH110" i="25"/>
  <c r="AG110" i="25"/>
  <c r="AJ109" i="25"/>
  <c r="AI109" i="25"/>
  <c r="AH109" i="25"/>
  <c r="AG109" i="25"/>
  <c r="AJ108" i="25"/>
  <c r="AI108" i="25"/>
  <c r="AH108" i="25"/>
  <c r="AG108" i="25"/>
  <c r="AJ107" i="25"/>
  <c r="AI107" i="25"/>
  <c r="AH107" i="25"/>
  <c r="AG107" i="25"/>
  <c r="AJ106" i="25"/>
  <c r="AI106" i="25"/>
  <c r="AH106" i="25"/>
  <c r="AG106" i="25"/>
  <c r="AJ105" i="25"/>
  <c r="AI105" i="25"/>
  <c r="AH105" i="25"/>
  <c r="AG105" i="25"/>
  <c r="AJ104" i="25"/>
  <c r="AI104" i="25"/>
  <c r="AH104" i="25"/>
  <c r="AG104" i="25"/>
  <c r="AJ103" i="25"/>
  <c r="AI103" i="25"/>
  <c r="AH103" i="25"/>
  <c r="AG103" i="25"/>
  <c r="AJ102" i="25"/>
  <c r="AI102" i="25"/>
  <c r="AH102" i="25"/>
  <c r="AG102" i="25"/>
  <c r="AJ101" i="25"/>
  <c r="AI101" i="25"/>
  <c r="AH101" i="25"/>
  <c r="AG101" i="25"/>
  <c r="AJ100" i="25"/>
  <c r="AI100" i="25"/>
  <c r="AH100" i="25"/>
  <c r="AG100" i="25"/>
  <c r="AJ99" i="25"/>
  <c r="AI99" i="25"/>
  <c r="AH99" i="25"/>
  <c r="AG99" i="25"/>
  <c r="AJ98" i="25"/>
  <c r="AI98" i="25"/>
  <c r="AH98" i="25"/>
  <c r="AG98" i="25"/>
  <c r="AJ97" i="25"/>
  <c r="AI97" i="25"/>
  <c r="AH97" i="25"/>
  <c r="AG97" i="25"/>
  <c r="AJ96" i="25"/>
  <c r="AI96" i="25"/>
  <c r="AH96" i="25"/>
  <c r="AG96" i="25"/>
  <c r="AJ95" i="25"/>
  <c r="AI95" i="25"/>
  <c r="AH95" i="25"/>
  <c r="AG95" i="25"/>
  <c r="AJ94" i="25"/>
  <c r="AI94" i="25"/>
  <c r="AH94" i="25"/>
  <c r="AG94" i="25"/>
  <c r="AJ93" i="25"/>
  <c r="AI93" i="25"/>
  <c r="AH93" i="25"/>
  <c r="AG93" i="25"/>
  <c r="AJ92" i="25"/>
  <c r="AI92" i="25"/>
  <c r="AH92" i="25"/>
  <c r="AG92" i="25"/>
  <c r="AJ91" i="25"/>
  <c r="AI91" i="25"/>
  <c r="AH91" i="25"/>
  <c r="AG91" i="25"/>
  <c r="AJ90" i="25"/>
  <c r="AI90" i="25"/>
  <c r="AH90" i="25"/>
  <c r="AG90" i="25"/>
  <c r="AJ89" i="25"/>
  <c r="AI89" i="25"/>
  <c r="AH89" i="25"/>
  <c r="AG89" i="25"/>
  <c r="AJ88" i="25"/>
  <c r="AI88" i="25"/>
  <c r="AH88" i="25"/>
  <c r="AG88" i="25"/>
  <c r="AJ87" i="25"/>
  <c r="AI87" i="25"/>
  <c r="AH87" i="25"/>
  <c r="AG87" i="25"/>
  <c r="AJ86" i="25"/>
  <c r="AI86" i="25"/>
  <c r="AH86" i="25"/>
  <c r="AG86" i="25"/>
  <c r="AJ85" i="25"/>
  <c r="AI85" i="25"/>
  <c r="AH85" i="25"/>
  <c r="AG85" i="25"/>
  <c r="AJ84" i="25"/>
  <c r="AI84" i="25"/>
  <c r="AH84" i="25"/>
  <c r="AG84" i="25"/>
  <c r="AJ83" i="25"/>
  <c r="AI83" i="25"/>
  <c r="AH83" i="25"/>
  <c r="AG83" i="25"/>
  <c r="AJ82" i="25"/>
  <c r="AI82" i="25"/>
  <c r="AH82" i="25"/>
  <c r="AG82" i="25"/>
  <c r="AJ81" i="25"/>
  <c r="AI81" i="25"/>
  <c r="AH81" i="25"/>
  <c r="AG81" i="25"/>
  <c r="AJ80" i="25"/>
  <c r="AI80" i="25"/>
  <c r="AH80" i="25"/>
  <c r="AG80" i="25"/>
  <c r="AJ79" i="25"/>
  <c r="AI79" i="25"/>
  <c r="AH79" i="25"/>
  <c r="AG79" i="25"/>
  <c r="AJ78" i="25"/>
  <c r="AI78" i="25"/>
  <c r="AH78" i="25"/>
  <c r="AG78" i="25"/>
  <c r="AJ77" i="25"/>
  <c r="AI77" i="25"/>
  <c r="AH77" i="25"/>
  <c r="AG77" i="25"/>
  <c r="AJ76" i="25"/>
  <c r="AI76" i="25"/>
  <c r="AH76" i="25"/>
  <c r="AG76" i="25"/>
  <c r="AJ75" i="25"/>
  <c r="AI75" i="25"/>
  <c r="AH75" i="25"/>
  <c r="AG75" i="25"/>
  <c r="AJ74" i="25"/>
  <c r="AI74" i="25"/>
  <c r="AH74" i="25"/>
  <c r="AG74" i="25"/>
  <c r="AJ73" i="25"/>
  <c r="AI73" i="25"/>
  <c r="AH73" i="25"/>
  <c r="AG73" i="25"/>
  <c r="AJ72" i="25"/>
  <c r="AI72" i="25"/>
  <c r="AH72" i="25"/>
  <c r="AG72" i="25"/>
  <c r="AJ71" i="25"/>
  <c r="AI71" i="25"/>
  <c r="AH71" i="25"/>
  <c r="AG71" i="25"/>
  <c r="AJ70" i="25"/>
  <c r="AI70" i="25"/>
  <c r="AH70" i="25"/>
  <c r="AG70" i="25"/>
  <c r="AJ69" i="25"/>
  <c r="AI69" i="25"/>
  <c r="AH69" i="25"/>
  <c r="AG69" i="25"/>
  <c r="AJ68" i="25"/>
  <c r="AI68" i="25"/>
  <c r="AH68" i="25"/>
  <c r="AG68" i="25"/>
  <c r="AJ67" i="25"/>
  <c r="AI67" i="25"/>
  <c r="AH67" i="25"/>
  <c r="AG67" i="25"/>
  <c r="AJ66" i="25"/>
  <c r="AI66" i="25"/>
  <c r="AH66" i="25"/>
  <c r="AG66" i="25"/>
  <c r="AJ65" i="25"/>
  <c r="AI65" i="25"/>
  <c r="AH65" i="25"/>
  <c r="AG65" i="25"/>
  <c r="AJ64" i="25"/>
  <c r="AI64" i="25"/>
  <c r="AH64" i="25"/>
  <c r="AG64" i="25"/>
  <c r="AJ63" i="25"/>
  <c r="AI63" i="25"/>
  <c r="AH63" i="25"/>
  <c r="AG63" i="25"/>
  <c r="AJ62" i="25"/>
  <c r="AI62" i="25"/>
  <c r="AH62" i="25"/>
  <c r="AG62" i="25"/>
  <c r="AJ61" i="25"/>
  <c r="AI61" i="25"/>
  <c r="AH61" i="25"/>
  <c r="AG61" i="25"/>
  <c r="AJ60" i="25"/>
  <c r="AI60" i="25"/>
  <c r="AH60" i="25"/>
  <c r="AG60" i="25"/>
  <c r="AJ59" i="25"/>
  <c r="AI59" i="25"/>
  <c r="AH59" i="25"/>
  <c r="AG59" i="25"/>
  <c r="AJ58" i="25"/>
  <c r="AI58" i="25"/>
  <c r="AH58" i="25"/>
  <c r="AG58" i="25"/>
  <c r="AJ57" i="25"/>
  <c r="AI57" i="25"/>
  <c r="AH57" i="25"/>
  <c r="AG57" i="25"/>
  <c r="AJ56" i="25"/>
  <c r="AI56" i="25"/>
  <c r="AH56" i="25"/>
  <c r="AG56" i="25"/>
  <c r="AJ55" i="25"/>
  <c r="AI55" i="25"/>
  <c r="AH55" i="25"/>
  <c r="AG55" i="25"/>
  <c r="AJ54" i="25"/>
  <c r="AI54" i="25"/>
  <c r="AH54" i="25"/>
  <c r="AG54" i="25"/>
  <c r="AJ53" i="25"/>
  <c r="AI53" i="25"/>
  <c r="AH53" i="25"/>
  <c r="AG53" i="25"/>
  <c r="AJ52" i="25"/>
  <c r="AI52" i="25"/>
  <c r="AH52" i="25"/>
  <c r="AG52" i="25"/>
  <c r="AJ51" i="25"/>
  <c r="AI51" i="25"/>
  <c r="AH51" i="25"/>
  <c r="AG51" i="25"/>
  <c r="AJ50" i="25"/>
  <c r="AI50" i="25"/>
  <c r="AH50" i="25"/>
  <c r="AG50" i="25"/>
  <c r="AJ49" i="25"/>
  <c r="AI49" i="25"/>
  <c r="AH49" i="25"/>
  <c r="AG49" i="25"/>
  <c r="AJ48" i="25"/>
  <c r="AI48" i="25"/>
  <c r="AH48" i="25"/>
  <c r="AG48" i="25"/>
  <c r="AJ47" i="25"/>
  <c r="AI47" i="25"/>
  <c r="AH47" i="25"/>
  <c r="AG47" i="25"/>
  <c r="AJ46" i="25"/>
  <c r="AI46" i="25"/>
  <c r="AH46" i="25"/>
  <c r="AG46" i="25"/>
  <c r="AJ45" i="25"/>
  <c r="AI45" i="25"/>
  <c r="AH45" i="25"/>
  <c r="AG45" i="25"/>
  <c r="AJ44" i="25"/>
  <c r="AI44" i="25"/>
  <c r="AH44" i="25"/>
  <c r="AG44" i="25"/>
  <c r="AJ43" i="25"/>
  <c r="AI43" i="25"/>
  <c r="AH43" i="25"/>
  <c r="AG43" i="25"/>
  <c r="AJ42" i="25"/>
  <c r="AI42" i="25"/>
  <c r="AH42" i="25"/>
  <c r="AG42" i="25"/>
  <c r="AJ41" i="25"/>
  <c r="AI41" i="25"/>
  <c r="AH41" i="25"/>
  <c r="AG41" i="25"/>
  <c r="AJ40" i="25"/>
  <c r="AI40" i="25"/>
  <c r="AH40" i="25"/>
  <c r="AG40" i="25"/>
  <c r="AJ39" i="25"/>
  <c r="AI39" i="25"/>
  <c r="AH39" i="25"/>
  <c r="AG39" i="25"/>
  <c r="AJ38" i="25"/>
  <c r="AI38" i="25"/>
  <c r="AH38" i="25"/>
  <c r="AG38" i="25"/>
  <c r="AJ37" i="25"/>
  <c r="AI37" i="25"/>
  <c r="AH37" i="25"/>
  <c r="AG37" i="25"/>
  <c r="AJ36" i="25"/>
  <c r="AI36" i="25"/>
  <c r="AH36" i="25"/>
  <c r="AG36" i="25"/>
  <c r="AJ35" i="25"/>
  <c r="AI35" i="25"/>
  <c r="AH35" i="25"/>
  <c r="AG35" i="25"/>
  <c r="AJ34" i="25"/>
  <c r="AI34" i="25"/>
  <c r="AH34" i="25"/>
  <c r="AG34" i="25"/>
  <c r="AJ33" i="25"/>
  <c r="AI33" i="25"/>
  <c r="AH33" i="25"/>
  <c r="AG33" i="25"/>
  <c r="AJ32" i="25"/>
  <c r="AI32" i="25"/>
  <c r="AH32" i="25"/>
  <c r="AG32" i="25"/>
  <c r="AJ31" i="25"/>
  <c r="AI31" i="25"/>
  <c r="AH31" i="25"/>
  <c r="AG31" i="25"/>
  <c r="AJ30" i="25"/>
  <c r="AI30" i="25"/>
  <c r="AH30" i="25"/>
  <c r="AG30" i="25"/>
  <c r="AJ29" i="25"/>
  <c r="AI29" i="25"/>
  <c r="AH29" i="25"/>
  <c r="AG29" i="25"/>
  <c r="AJ28" i="25"/>
  <c r="AI28" i="25"/>
  <c r="AH28" i="25"/>
  <c r="AG28" i="25"/>
  <c r="AJ27" i="25"/>
  <c r="AI27" i="25"/>
  <c r="AH27" i="25"/>
  <c r="AG27" i="25"/>
  <c r="AJ26" i="25"/>
  <c r="AI26" i="25"/>
  <c r="AH26" i="25"/>
  <c r="AG26" i="25"/>
  <c r="AJ25" i="25"/>
  <c r="AI25" i="25"/>
  <c r="AH25" i="25"/>
  <c r="AG25" i="25"/>
  <c r="AJ24" i="25"/>
  <c r="AI24" i="25"/>
  <c r="AH24" i="25"/>
  <c r="AG24" i="25"/>
  <c r="AJ23" i="25"/>
  <c r="AI23" i="25"/>
  <c r="AH23" i="25"/>
  <c r="AG23" i="25"/>
  <c r="AJ22" i="25"/>
  <c r="AI22" i="25"/>
  <c r="AH22" i="25"/>
  <c r="AG22" i="25"/>
  <c r="AJ21" i="25"/>
  <c r="AI21" i="25"/>
  <c r="AH21" i="25"/>
  <c r="AG21" i="25"/>
  <c r="AJ20" i="25"/>
  <c r="AI20" i="25"/>
  <c r="AH20" i="25"/>
  <c r="AG20" i="25"/>
  <c r="AJ19" i="25"/>
  <c r="AI19" i="25"/>
  <c r="AH19" i="25"/>
  <c r="AG19" i="25"/>
  <c r="AJ18" i="25"/>
  <c r="AI18" i="25"/>
  <c r="AH18" i="25"/>
  <c r="AG18" i="25"/>
  <c r="AJ17" i="25"/>
  <c r="AI17" i="25"/>
  <c r="AH17" i="25"/>
  <c r="AG17" i="25"/>
  <c r="AJ16" i="25"/>
  <c r="AI16" i="25"/>
  <c r="AH16" i="25"/>
  <c r="AG16" i="25"/>
  <c r="AJ15" i="25"/>
  <c r="AI15" i="25"/>
  <c r="AH15" i="25"/>
  <c r="AG15" i="25"/>
  <c r="AJ14" i="25"/>
  <c r="AI14" i="25"/>
  <c r="AH14" i="25"/>
  <c r="AG14" i="25"/>
  <c r="AJ13" i="25"/>
  <c r="AI13" i="25"/>
  <c r="AH13" i="25"/>
  <c r="AG13" i="25"/>
  <c r="AJ12" i="25"/>
  <c r="AI12" i="25"/>
  <c r="AH12" i="25"/>
  <c r="AG12" i="25"/>
  <c r="AJ11" i="25"/>
  <c r="AI11" i="25"/>
  <c r="AH11" i="25"/>
  <c r="AG11" i="25"/>
  <c r="AJ10" i="25"/>
  <c r="AI10" i="25"/>
  <c r="AH10" i="25"/>
  <c r="AG10" i="25"/>
  <c r="AJ9" i="25"/>
  <c r="AI9" i="25"/>
  <c r="AH9" i="25"/>
  <c r="AG9" i="25"/>
  <c r="AJ8" i="25"/>
  <c r="AI8" i="25"/>
  <c r="AH8" i="25"/>
  <c r="AG8" i="25"/>
  <c r="AJ7" i="25"/>
  <c r="AI7" i="25"/>
  <c r="AH7" i="25"/>
  <c r="AG7" i="25"/>
  <c r="AJ6" i="25"/>
  <c r="AI6" i="25"/>
  <c r="AH6" i="25"/>
  <c r="AG6" i="25"/>
  <c r="AJ5" i="25"/>
  <c r="AI5" i="25"/>
  <c r="AH5" i="25"/>
  <c r="AG5" i="25"/>
  <c r="AJ4" i="25"/>
  <c r="AI4" i="25"/>
  <c r="AH4" i="25"/>
  <c r="AG4" i="25"/>
  <c r="Z5" i="25"/>
  <c r="P5" i="25"/>
  <c r="K5" i="25"/>
  <c r="AD3" i="25" l="1"/>
  <c r="AD125" i="25"/>
  <c r="K126" i="25"/>
  <c r="AB3" i="25"/>
  <c r="AC3" i="25"/>
  <c r="AE3" i="25" s="1"/>
  <c r="AB4" i="25"/>
  <c r="AD4" i="25"/>
  <c r="F5" i="25"/>
  <c r="AD248" i="25"/>
  <c r="F249" i="25"/>
  <c r="AD369" i="25"/>
  <c r="F370" i="25"/>
  <c r="H45" i="13"/>
  <c r="H46" i="13"/>
  <c r="H47" i="13"/>
  <c r="H44" i="13"/>
  <c r="H34" i="13"/>
  <c r="H35" i="13"/>
  <c r="H37" i="13"/>
  <c r="H40" i="13"/>
  <c r="H41" i="13"/>
  <c r="H42" i="13"/>
  <c r="H39" i="13"/>
  <c r="H33" i="13"/>
  <c r="G33" i="13"/>
  <c r="G34" i="13"/>
  <c r="G35" i="13"/>
  <c r="G37" i="13"/>
  <c r="G39" i="13"/>
  <c r="G40" i="13"/>
  <c r="G41" i="13"/>
  <c r="G42" i="13"/>
  <c r="G44" i="13"/>
  <c r="G45" i="13"/>
  <c r="G46" i="13"/>
  <c r="G47" i="13"/>
  <c r="G28" i="13"/>
  <c r="G29" i="13"/>
  <c r="G30" i="13"/>
  <c r="G31" i="13"/>
  <c r="G27" i="13"/>
  <c r="D17" i="13"/>
  <c r="AB126" i="25" l="1"/>
  <c r="AA126" i="25" s="1"/>
  <c r="Z127" i="25" s="1"/>
  <c r="AE4" i="25"/>
  <c r="AF4" i="25" s="1"/>
  <c r="AB5" i="25"/>
  <c r="AA5" i="25" s="1"/>
  <c r="AB370" i="25"/>
  <c r="AB249" i="25"/>
  <c r="H28" i="13"/>
  <c r="H27" i="13"/>
  <c r="H31" i="13"/>
  <c r="H29" i="13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2" i="2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G126" i="25" l="1"/>
  <c r="AD126" i="25" s="1"/>
  <c r="Q126" i="25"/>
  <c r="P127" i="25" s="1"/>
  <c r="L126" i="25"/>
  <c r="K127" i="25" s="1"/>
  <c r="L5" i="25"/>
  <c r="K6" i="25" s="1"/>
  <c r="Q5" i="25"/>
  <c r="P6" i="25" s="1"/>
  <c r="Q249" i="25"/>
  <c r="P250" i="25" s="1"/>
  <c r="V249" i="25"/>
  <c r="U250" i="25" s="1"/>
  <c r="Q370" i="25"/>
  <c r="P371" i="25" s="1"/>
  <c r="V370" i="25"/>
  <c r="U371" i="25" s="1"/>
  <c r="L370" i="25"/>
  <c r="K371" i="25" s="1"/>
  <c r="L249" i="25"/>
  <c r="K250" i="25" s="1"/>
  <c r="G370" i="25"/>
  <c r="G5" i="25"/>
  <c r="G249" i="25"/>
  <c r="Z6" i="25"/>
  <c r="F127" i="25" l="1"/>
  <c r="AB127" i="25" s="1"/>
  <c r="AA127" i="25" s="1"/>
  <c r="F6" i="25"/>
  <c r="AD5" i="25"/>
  <c r="AD370" i="25"/>
  <c r="F371" i="25"/>
  <c r="F250" i="25"/>
  <c r="AD249" i="25"/>
  <c r="L127" i="25" l="1"/>
  <c r="K128" i="25" s="1"/>
  <c r="Q127" i="25"/>
  <c r="P128" i="25" s="1"/>
  <c r="G127" i="25"/>
  <c r="AB250" i="25"/>
  <c r="AB371" i="25"/>
  <c r="AE5" i="25"/>
  <c r="AF5" i="25" s="1"/>
  <c r="AB6" i="25"/>
  <c r="AA6" i="25" s="1"/>
  <c r="Z128" i="25"/>
  <c r="Q250" i="25" l="1"/>
  <c r="V250" i="25"/>
  <c r="U251" i="25" s="1"/>
  <c r="Q371" i="25"/>
  <c r="V371" i="25"/>
  <c r="U372" i="25" s="1"/>
  <c r="L6" i="25"/>
  <c r="K7" i="25" s="1"/>
  <c r="Q6" i="25"/>
  <c r="P7" i="25" s="1"/>
  <c r="L371" i="25"/>
  <c r="K372" i="25" s="1"/>
  <c r="L250" i="25"/>
  <c r="K251" i="25" s="1"/>
  <c r="G6" i="25"/>
  <c r="G371" i="25"/>
  <c r="G250" i="25"/>
  <c r="AC6" i="25"/>
  <c r="Z7" i="25"/>
  <c r="P372" i="25"/>
  <c r="AD127" i="25"/>
  <c r="F128" i="25"/>
  <c r="P251" i="25"/>
  <c r="AB128" i="25" l="1"/>
  <c r="AA128" i="25" s="1"/>
  <c r="AD6" i="25"/>
  <c r="F7" i="25"/>
  <c r="AD250" i="25"/>
  <c r="F251" i="25"/>
  <c r="AD371" i="25"/>
  <c r="F372" i="25"/>
  <c r="L128" i="25" l="1"/>
  <c r="K129" i="25" s="1"/>
  <c r="Q128" i="25"/>
  <c r="P129" i="25" s="1"/>
  <c r="G128" i="25"/>
  <c r="AB372" i="25"/>
  <c r="AB251" i="25"/>
  <c r="AB7" i="25"/>
  <c r="AA7" i="25" s="1"/>
  <c r="AE6" i="25"/>
  <c r="AF6" i="25" s="1"/>
  <c r="Z129" i="25"/>
  <c r="Q372" i="25" l="1"/>
  <c r="P373" i="25" s="1"/>
  <c r="V372" i="25"/>
  <c r="Q251" i="25"/>
  <c r="V251" i="25"/>
  <c r="U252" i="25" s="1"/>
  <c r="L7" i="25"/>
  <c r="K8" i="25" s="1"/>
  <c r="Q7" i="25"/>
  <c r="P8" i="25" s="1"/>
  <c r="L251" i="25"/>
  <c r="K252" i="25" s="1"/>
  <c r="L372" i="25"/>
  <c r="K373" i="25" s="1"/>
  <c r="G7" i="25"/>
  <c r="G251" i="25"/>
  <c r="G372" i="25"/>
  <c r="AC7" i="25"/>
  <c r="Z8" i="25"/>
  <c r="P252" i="25"/>
  <c r="F129" i="25"/>
  <c r="AD128" i="25"/>
  <c r="U373" i="25"/>
  <c r="AD372" i="25" l="1"/>
  <c r="F373" i="25"/>
  <c r="AB129" i="25"/>
  <c r="AA129" i="25" s="1"/>
  <c r="F8" i="25"/>
  <c r="AD7" i="25"/>
  <c r="F252" i="25"/>
  <c r="AD251" i="25"/>
  <c r="L129" i="25" l="1"/>
  <c r="K130" i="25" s="1"/>
  <c r="Q129" i="25"/>
  <c r="P130" i="25" s="1"/>
  <c r="G129" i="25"/>
  <c r="AB252" i="25"/>
  <c r="AB8" i="25"/>
  <c r="AA8" i="25" s="1"/>
  <c r="AE7" i="25"/>
  <c r="AF7" i="25" s="1"/>
  <c r="Z130" i="25"/>
  <c r="AB373" i="25"/>
  <c r="Q252" i="25" l="1"/>
  <c r="V252" i="25"/>
  <c r="U253" i="25" s="1"/>
  <c r="Q373" i="25"/>
  <c r="P374" i="25" s="1"/>
  <c r="V373" i="25"/>
  <c r="U374" i="25" s="1"/>
  <c r="L252" i="25"/>
  <c r="K253" i="25" s="1"/>
  <c r="L8" i="25"/>
  <c r="K9" i="25" s="1"/>
  <c r="Q8" i="25"/>
  <c r="P9" i="25" s="1"/>
  <c r="L373" i="25"/>
  <c r="K374" i="25" s="1"/>
  <c r="G8" i="25"/>
  <c r="G252" i="25"/>
  <c r="G373" i="25"/>
  <c r="Z9" i="25"/>
  <c r="AC8" i="25"/>
  <c r="P253" i="25"/>
  <c r="AD129" i="25"/>
  <c r="F130" i="25"/>
  <c r="F253" i="25" l="1"/>
  <c r="AD252" i="25"/>
  <c r="AB130" i="25"/>
  <c r="AA130" i="25" s="1"/>
  <c r="AD373" i="25"/>
  <c r="F374" i="25"/>
  <c r="AD8" i="25"/>
  <c r="F9" i="25"/>
  <c r="L130" i="25" l="1"/>
  <c r="K131" i="25" s="1"/>
  <c r="Q130" i="25"/>
  <c r="G130" i="25"/>
  <c r="AE8" i="25"/>
  <c r="AF8" i="25" s="1"/>
  <c r="AB9" i="25"/>
  <c r="AA9" i="25" s="1"/>
  <c r="AB374" i="25"/>
  <c r="Z131" i="25"/>
  <c r="P131" i="25"/>
  <c r="AB253" i="25"/>
  <c r="Q374" i="25" l="1"/>
  <c r="P375" i="25" s="1"/>
  <c r="V374" i="25"/>
  <c r="Q253" i="25"/>
  <c r="V253" i="25"/>
  <c r="U254" i="25" s="1"/>
  <c r="L374" i="25"/>
  <c r="K375" i="25" s="1"/>
  <c r="L9" i="25"/>
  <c r="K10" i="25" s="1"/>
  <c r="Q9" i="25"/>
  <c r="P10" i="25" s="1"/>
  <c r="L253" i="25"/>
  <c r="K254" i="25" s="1"/>
  <c r="G374" i="25"/>
  <c r="G9" i="25"/>
  <c r="G253" i="25"/>
  <c r="AD130" i="25"/>
  <c r="F131" i="25"/>
  <c r="U375" i="25"/>
  <c r="P254" i="25"/>
  <c r="Z10" i="25"/>
  <c r="AC9" i="25"/>
  <c r="AD9" i="25" l="1"/>
  <c r="F10" i="25"/>
  <c r="F254" i="25"/>
  <c r="AD253" i="25"/>
  <c r="F375" i="25"/>
  <c r="AD374" i="25"/>
  <c r="AB131" i="25"/>
  <c r="AA131" i="25" s="1"/>
  <c r="L131" i="25" l="1"/>
  <c r="K132" i="25" s="1"/>
  <c r="Q131" i="25"/>
  <c r="P132" i="25" s="1"/>
  <c r="G131" i="25"/>
  <c r="Z132" i="25"/>
  <c r="AB375" i="25"/>
  <c r="AB10" i="25"/>
  <c r="AA10" i="25" s="1"/>
  <c r="AE9" i="25"/>
  <c r="AF9" i="25" s="1"/>
  <c r="AB254" i="25"/>
  <c r="Q375" i="25" l="1"/>
  <c r="V375" i="25"/>
  <c r="Q254" i="25"/>
  <c r="P255" i="25" s="1"/>
  <c r="V254" i="25"/>
  <c r="U255" i="25" s="1"/>
  <c r="L10" i="25"/>
  <c r="K11" i="25" s="1"/>
  <c r="Q10" i="25"/>
  <c r="P11" i="25" s="1"/>
  <c r="L375" i="25"/>
  <c r="K376" i="25" s="1"/>
  <c r="L254" i="25"/>
  <c r="K255" i="25" s="1"/>
  <c r="G375" i="25"/>
  <c r="G10" i="25"/>
  <c r="G254" i="25"/>
  <c r="AC10" i="25"/>
  <c r="Z11" i="25"/>
  <c r="U376" i="25"/>
  <c r="P376" i="25"/>
  <c r="AD131" i="25"/>
  <c r="F132" i="25"/>
  <c r="AB132" i="25" l="1"/>
  <c r="AA132" i="25" s="1"/>
  <c r="F255" i="25"/>
  <c r="AD254" i="25"/>
  <c r="F11" i="25"/>
  <c r="AD10" i="25"/>
  <c r="F376" i="25"/>
  <c r="AD375" i="25"/>
  <c r="L132" i="25" l="1"/>
  <c r="K133" i="25" s="1"/>
  <c r="Q132" i="25"/>
  <c r="P133" i="25" s="1"/>
  <c r="G132" i="25"/>
  <c r="AE10" i="25"/>
  <c r="AF10" i="25" s="1"/>
  <c r="AB11" i="25"/>
  <c r="AA11" i="25" s="1"/>
  <c r="AB255" i="25"/>
  <c r="AB376" i="25"/>
  <c r="Z133" i="25"/>
  <c r="Q376" i="25" l="1"/>
  <c r="P377" i="25" s="1"/>
  <c r="V376" i="25"/>
  <c r="Q255" i="25"/>
  <c r="P256" i="25" s="1"/>
  <c r="V255" i="25"/>
  <c r="L255" i="25"/>
  <c r="K256" i="25" s="1"/>
  <c r="L11" i="25"/>
  <c r="K12" i="25" s="1"/>
  <c r="Q11" i="25"/>
  <c r="P12" i="25" s="1"/>
  <c r="L376" i="25"/>
  <c r="K377" i="25" s="1"/>
  <c r="G255" i="25"/>
  <c r="G11" i="25"/>
  <c r="G376" i="25"/>
  <c r="AD132" i="25"/>
  <c r="F133" i="25"/>
  <c r="U377" i="25"/>
  <c r="U256" i="25"/>
  <c r="Z12" i="25"/>
  <c r="AC11" i="25"/>
  <c r="AB133" i="25" l="1"/>
  <c r="AA133" i="25" s="1"/>
  <c r="F377" i="25"/>
  <c r="AD376" i="25"/>
  <c r="F256" i="25"/>
  <c r="AD255" i="25"/>
  <c r="AD11" i="25"/>
  <c r="F12" i="25"/>
  <c r="L133" i="25" l="1"/>
  <c r="K134" i="25" s="1"/>
  <c r="Q133" i="25"/>
  <c r="P134" i="25" s="1"/>
  <c r="G133" i="25"/>
  <c r="AE11" i="25"/>
  <c r="AF11" i="25" s="1"/>
  <c r="AB12" i="25"/>
  <c r="AA12" i="25" s="1"/>
  <c r="AB256" i="25"/>
  <c r="AB377" i="25"/>
  <c r="Z134" i="25"/>
  <c r="Q256" i="25" l="1"/>
  <c r="P257" i="25" s="1"/>
  <c r="V256" i="25"/>
  <c r="U257" i="25" s="1"/>
  <c r="Q377" i="25"/>
  <c r="P378" i="25" s="1"/>
  <c r="V377" i="25"/>
  <c r="U378" i="25" s="1"/>
  <c r="L377" i="25"/>
  <c r="K378" i="25" s="1"/>
  <c r="L256" i="25"/>
  <c r="K257" i="25" s="1"/>
  <c r="L12" i="25"/>
  <c r="K13" i="25" s="1"/>
  <c r="Q12" i="25"/>
  <c r="P13" i="25" s="1"/>
  <c r="G377" i="25"/>
  <c r="G256" i="25"/>
  <c r="G12" i="25"/>
  <c r="F134" i="25"/>
  <c r="AD133" i="25"/>
  <c r="AC12" i="25"/>
  <c r="Z13" i="25"/>
  <c r="AD12" i="25" l="1"/>
  <c r="F13" i="25"/>
  <c r="AD377" i="25"/>
  <c r="F378" i="25"/>
  <c r="F257" i="25"/>
  <c r="AD256" i="25"/>
  <c r="AB134" i="25"/>
  <c r="AA134" i="25" s="1"/>
  <c r="L134" i="25" l="1"/>
  <c r="K135" i="25" s="1"/>
  <c r="Q134" i="25"/>
  <c r="P135" i="25" s="1"/>
  <c r="G134" i="25"/>
  <c r="AB257" i="25"/>
  <c r="AE12" i="25"/>
  <c r="AF12" i="25" s="1"/>
  <c r="AB13" i="25"/>
  <c r="AA13" i="25" s="1"/>
  <c r="Z135" i="25"/>
  <c r="AB378" i="25"/>
  <c r="Q257" i="25" l="1"/>
  <c r="V257" i="25"/>
  <c r="U258" i="25" s="1"/>
  <c r="Q378" i="25"/>
  <c r="P379" i="25" s="1"/>
  <c r="V378" i="25"/>
  <c r="U379" i="25" s="1"/>
  <c r="L13" i="25"/>
  <c r="K14" i="25" s="1"/>
  <c r="Q13" i="25"/>
  <c r="L378" i="25"/>
  <c r="K379" i="25" s="1"/>
  <c r="L257" i="25"/>
  <c r="K258" i="25" s="1"/>
  <c r="G13" i="25"/>
  <c r="G257" i="25"/>
  <c r="G378" i="25"/>
  <c r="AD134" i="25"/>
  <c r="F135" i="25"/>
  <c r="AC13" i="25"/>
  <c r="P14" i="25"/>
  <c r="Z14" i="25"/>
  <c r="P258" i="25"/>
  <c r="F258" i="25" l="1"/>
  <c r="AD257" i="25"/>
  <c r="AD13" i="25"/>
  <c r="F14" i="25"/>
  <c r="AD378" i="25"/>
  <c r="F379" i="25"/>
  <c r="AB135" i="25"/>
  <c r="AA135" i="25" s="1"/>
  <c r="L135" i="25" l="1"/>
  <c r="K136" i="25" s="1"/>
  <c r="Q135" i="25"/>
  <c r="P136" i="25" s="1"/>
  <c r="G135" i="25"/>
  <c r="Z136" i="25"/>
  <c r="AB379" i="25"/>
  <c r="AE13" i="25"/>
  <c r="AF13" i="25" s="1"/>
  <c r="AB14" i="25"/>
  <c r="AA14" i="25" s="1"/>
  <c r="AB258" i="25"/>
  <c r="Q379" i="25" l="1"/>
  <c r="V379" i="25"/>
  <c r="Q258" i="25"/>
  <c r="P259" i="25" s="1"/>
  <c r="V258" i="25"/>
  <c r="U259" i="25" s="1"/>
  <c r="L379" i="25"/>
  <c r="K380" i="25" s="1"/>
  <c r="L14" i="25"/>
  <c r="K15" i="25" s="1"/>
  <c r="Q14" i="25"/>
  <c r="P15" i="25" s="1"/>
  <c r="L258" i="25"/>
  <c r="K259" i="25" s="1"/>
  <c r="G14" i="25"/>
  <c r="G258" i="25"/>
  <c r="G379" i="25"/>
  <c r="U380" i="25"/>
  <c r="P380" i="25"/>
  <c r="AD135" i="25"/>
  <c r="F136" i="25"/>
  <c r="AC14" i="25"/>
  <c r="Z15" i="25"/>
  <c r="AD14" i="25" l="1"/>
  <c r="F15" i="25"/>
  <c r="AD379" i="25"/>
  <c r="F380" i="25"/>
  <c r="AB136" i="25"/>
  <c r="AA136" i="25" s="1"/>
  <c r="AD258" i="25"/>
  <c r="F259" i="25"/>
  <c r="L136" i="25" l="1"/>
  <c r="K137" i="25" s="1"/>
  <c r="Q136" i="25"/>
  <c r="G136" i="25"/>
  <c r="AB259" i="25"/>
  <c r="AB380" i="25"/>
  <c r="P137" i="25"/>
  <c r="Z137" i="25"/>
  <c r="AB15" i="25"/>
  <c r="AA15" i="25" s="1"/>
  <c r="AE14" i="25"/>
  <c r="AF14" i="25" s="1"/>
  <c r="Q259" i="25" l="1"/>
  <c r="V259" i="25"/>
  <c r="U260" i="25" s="1"/>
  <c r="Q380" i="25"/>
  <c r="P381" i="25" s="1"/>
  <c r="V380" i="25"/>
  <c r="U381" i="25" s="1"/>
  <c r="L15" i="25"/>
  <c r="K16" i="25" s="1"/>
  <c r="Q15" i="25"/>
  <c r="P16" i="25" s="1"/>
  <c r="L259" i="25"/>
  <c r="K260" i="25" s="1"/>
  <c r="L380" i="25"/>
  <c r="K381" i="25" s="1"/>
  <c r="G15" i="25"/>
  <c r="G259" i="25"/>
  <c r="G380" i="25"/>
  <c r="F137" i="25"/>
  <c r="AD136" i="25"/>
  <c r="P260" i="25"/>
  <c r="AC15" i="25"/>
  <c r="Z16" i="25"/>
  <c r="F16" i="25" l="1"/>
  <c r="AD15" i="25"/>
  <c r="F381" i="25"/>
  <c r="AD380" i="25"/>
  <c r="F260" i="25"/>
  <c r="AD259" i="25"/>
  <c r="AB137" i="25"/>
  <c r="AA137" i="25" s="1"/>
  <c r="L137" i="25" l="1"/>
  <c r="K138" i="25" s="1"/>
  <c r="Q137" i="25"/>
  <c r="P138" i="25" s="1"/>
  <c r="G137" i="25"/>
  <c r="AB260" i="25"/>
  <c r="AB381" i="25"/>
  <c r="Z138" i="25"/>
  <c r="AB16" i="25"/>
  <c r="AA16" i="25" s="1"/>
  <c r="AE15" i="25"/>
  <c r="AF15" i="25" s="1"/>
  <c r="Q381" i="25" l="1"/>
  <c r="V381" i="25"/>
  <c r="Q260" i="25"/>
  <c r="V260" i="25"/>
  <c r="L16" i="25"/>
  <c r="K17" i="25" s="1"/>
  <c r="Q16" i="25"/>
  <c r="P17" i="25" s="1"/>
  <c r="L260" i="25"/>
  <c r="K261" i="25" s="1"/>
  <c r="L381" i="25"/>
  <c r="G260" i="25"/>
  <c r="G16" i="25"/>
  <c r="G381" i="25"/>
  <c r="Z17" i="25"/>
  <c r="AC16" i="25"/>
  <c r="U261" i="25"/>
  <c r="P261" i="25"/>
  <c r="AD137" i="25"/>
  <c r="F138" i="25"/>
  <c r="AB138" i="25" l="1"/>
  <c r="AA138" i="25" s="1"/>
  <c r="F261" i="25"/>
  <c r="AD260" i="25"/>
  <c r="AD381" i="25"/>
  <c r="AD16" i="25"/>
  <c r="F17" i="25"/>
  <c r="L138" i="25" l="1"/>
  <c r="K139" i="25" s="1"/>
  <c r="Q138" i="25"/>
  <c r="P139" i="25" s="1"/>
  <c r="G138" i="25"/>
  <c r="AB261" i="25"/>
  <c r="Z139" i="25"/>
  <c r="AE16" i="25"/>
  <c r="AF16" i="25" s="1"/>
  <c r="AB17" i="25"/>
  <c r="AA17" i="25" s="1"/>
  <c r="Q261" i="25" l="1"/>
  <c r="V261" i="25"/>
  <c r="U262" i="25" s="1"/>
  <c r="L261" i="25"/>
  <c r="L17" i="25"/>
  <c r="K18" i="25" s="1"/>
  <c r="Q17" i="25"/>
  <c r="P18" i="25" s="1"/>
  <c r="G17" i="25"/>
  <c r="G261" i="25"/>
  <c r="K262" i="25"/>
  <c r="AD138" i="25"/>
  <c r="F139" i="25"/>
  <c r="P262" i="25"/>
  <c r="Z18" i="25"/>
  <c r="AC17" i="25"/>
  <c r="F262" i="25" l="1"/>
  <c r="AD261" i="25"/>
  <c r="AD17" i="25"/>
  <c r="F18" i="25"/>
  <c r="AB139" i="25"/>
  <c r="AA139" i="25" s="1"/>
  <c r="L139" i="25" l="1"/>
  <c r="Q139" i="25"/>
  <c r="P140" i="25" s="1"/>
  <c r="G139" i="25"/>
  <c r="K140" i="25"/>
  <c r="AB18" i="25"/>
  <c r="AA18" i="25" s="1"/>
  <c r="AE17" i="25"/>
  <c r="AF17" i="25" s="1"/>
  <c r="Z140" i="25"/>
  <c r="AB262" i="25"/>
  <c r="Q262" i="25" l="1"/>
  <c r="V262" i="25"/>
  <c r="U263" i="25" s="1"/>
  <c r="L18" i="25"/>
  <c r="K19" i="25" s="1"/>
  <c r="Q18" i="25"/>
  <c r="P19" i="25" s="1"/>
  <c r="L262" i="25"/>
  <c r="K263" i="25" s="1"/>
  <c r="P263" i="25"/>
  <c r="G262" i="25"/>
  <c r="G18" i="25"/>
  <c r="AD139" i="25"/>
  <c r="F140" i="25"/>
  <c r="AC18" i="25"/>
  <c r="Z19" i="25"/>
  <c r="F263" i="25" l="1"/>
  <c r="AD262" i="25"/>
  <c r="F19" i="25"/>
  <c r="AD18" i="25"/>
  <c r="AB140" i="25"/>
  <c r="AA140" i="25" s="1"/>
  <c r="L140" i="25" l="1"/>
  <c r="Q140" i="25"/>
  <c r="P141" i="25" s="1"/>
  <c r="G140" i="25"/>
  <c r="Z141" i="25"/>
  <c r="K141" i="25"/>
  <c r="AE18" i="25"/>
  <c r="AF18" i="25" s="1"/>
  <c r="AB19" i="25"/>
  <c r="AA19" i="25" s="1"/>
  <c r="AB263" i="25"/>
  <c r="Q263" i="25" l="1"/>
  <c r="V263" i="25"/>
  <c r="U264" i="25" s="1"/>
  <c r="L19" i="25"/>
  <c r="K20" i="25" s="1"/>
  <c r="Q19" i="25"/>
  <c r="P20" i="25" s="1"/>
  <c r="L263" i="25"/>
  <c r="K264" i="25" s="1"/>
  <c r="P264" i="25"/>
  <c r="G263" i="25"/>
  <c r="G19" i="25"/>
  <c r="Z20" i="25"/>
  <c r="AC19" i="25"/>
  <c r="AD140" i="25"/>
  <c r="F141" i="25"/>
  <c r="AD19" i="25" l="1"/>
  <c r="F20" i="25"/>
  <c r="AB141" i="25"/>
  <c r="AA141" i="25" s="1"/>
  <c r="AD263" i="25"/>
  <c r="F264" i="25"/>
  <c r="L141" i="25" l="1"/>
  <c r="K142" i="25" s="1"/>
  <c r="Q141" i="25"/>
  <c r="P142" i="25" s="1"/>
  <c r="G141" i="25"/>
  <c r="AB264" i="25"/>
  <c r="Z142" i="25"/>
  <c r="AE19" i="25"/>
  <c r="AF19" i="25" s="1"/>
  <c r="AB20" i="25"/>
  <c r="AA20" i="25" s="1"/>
  <c r="Q264" i="25" l="1"/>
  <c r="V264" i="25"/>
  <c r="L264" i="25"/>
  <c r="K265" i="25" s="1"/>
  <c r="P265" i="25"/>
  <c r="L20" i="25"/>
  <c r="Q20" i="25"/>
  <c r="P21" i="25" s="1"/>
  <c r="G20" i="25"/>
  <c r="K21" i="25"/>
  <c r="G264" i="25"/>
  <c r="F142" i="25"/>
  <c r="AD141" i="25"/>
  <c r="U265" i="25"/>
  <c r="AC20" i="25"/>
  <c r="Z21" i="25"/>
  <c r="F265" i="25" l="1"/>
  <c r="AD264" i="25"/>
  <c r="AD20" i="25"/>
  <c r="F21" i="25"/>
  <c r="AB142" i="25"/>
  <c r="AA142" i="25" s="1"/>
  <c r="L142" i="25" l="1"/>
  <c r="K143" i="25" s="1"/>
  <c r="Q142" i="25"/>
  <c r="P143" i="25" s="1"/>
  <c r="G142" i="25"/>
  <c r="Z143" i="25"/>
  <c r="AE20" i="25"/>
  <c r="AF20" i="25" s="1"/>
  <c r="AB21" i="25"/>
  <c r="AA21" i="25" s="1"/>
  <c r="AB265" i="25"/>
  <c r="Q265" i="25" l="1"/>
  <c r="V265" i="25"/>
  <c r="L21" i="25"/>
  <c r="Q21" i="25"/>
  <c r="P22" i="25" s="1"/>
  <c r="L265" i="25"/>
  <c r="K266" i="25" s="1"/>
  <c r="G265" i="25"/>
  <c r="G21" i="25"/>
  <c r="K22" i="25"/>
  <c r="AC21" i="25"/>
  <c r="Z22" i="25"/>
  <c r="F143" i="25"/>
  <c r="AD142" i="25"/>
  <c r="U266" i="25"/>
  <c r="P266" i="25"/>
  <c r="AB143" i="25" l="1"/>
  <c r="AA143" i="25" s="1"/>
  <c r="F266" i="25"/>
  <c r="AD265" i="25"/>
  <c r="AD21" i="25"/>
  <c r="F22" i="25"/>
  <c r="L143" i="25" l="1"/>
  <c r="K144" i="25" s="1"/>
  <c r="Q143" i="25"/>
  <c r="P144" i="25" s="1"/>
  <c r="G143" i="25"/>
  <c r="AE21" i="25"/>
  <c r="AF21" i="25" s="1"/>
  <c r="AB22" i="25"/>
  <c r="AA22" i="25" s="1"/>
  <c r="AB266" i="25"/>
  <c r="Z144" i="25"/>
  <c r="Q266" i="25" l="1"/>
  <c r="P267" i="25" s="1"/>
  <c r="V266" i="25"/>
  <c r="U267" i="25" s="1"/>
  <c r="L266" i="25"/>
  <c r="K267" i="25" s="1"/>
  <c r="L22" i="25"/>
  <c r="K23" i="25" s="1"/>
  <c r="Q22" i="25"/>
  <c r="P23" i="25" s="1"/>
  <c r="G266" i="25"/>
  <c r="G22" i="25"/>
  <c r="AD143" i="25"/>
  <c r="F144" i="25"/>
  <c r="AC22" i="25"/>
  <c r="Z23" i="25"/>
  <c r="F267" i="25" l="1"/>
  <c r="AD266" i="25"/>
  <c r="AD22" i="25"/>
  <c r="F23" i="25"/>
  <c r="AB144" i="25"/>
  <c r="AA144" i="25" s="1"/>
  <c r="L144" i="25" l="1"/>
  <c r="K145" i="25" s="1"/>
  <c r="Q144" i="25"/>
  <c r="P145" i="25" s="1"/>
  <c r="G144" i="25"/>
  <c r="Z145" i="25"/>
  <c r="AB23" i="25"/>
  <c r="AA23" i="25" s="1"/>
  <c r="AE22" i="25"/>
  <c r="AF22" i="25" s="1"/>
  <c r="AB267" i="25"/>
  <c r="Q267" i="25" l="1"/>
  <c r="P268" i="25" s="1"/>
  <c r="V267" i="25"/>
  <c r="L23" i="25"/>
  <c r="K24" i="25" s="1"/>
  <c r="Q23" i="25"/>
  <c r="P24" i="25" s="1"/>
  <c r="L267" i="25"/>
  <c r="K268" i="25" s="1"/>
  <c r="G267" i="25"/>
  <c r="G23" i="25"/>
  <c r="AC23" i="25"/>
  <c r="Z24" i="25"/>
  <c r="AD144" i="25"/>
  <c r="F145" i="25"/>
  <c r="U268" i="25"/>
  <c r="AB145" i="25" l="1"/>
  <c r="AA145" i="25" s="1"/>
  <c r="AD267" i="25"/>
  <c r="F268" i="25"/>
  <c r="F24" i="25"/>
  <c r="AD23" i="25"/>
  <c r="L145" i="25" l="1"/>
  <c r="K146" i="25" s="1"/>
  <c r="Q145" i="25"/>
  <c r="G145" i="25"/>
  <c r="AB268" i="25"/>
  <c r="AB24" i="25"/>
  <c r="AA24" i="25" s="1"/>
  <c r="AE23" i="25"/>
  <c r="AF23" i="25" s="1"/>
  <c r="P146" i="25"/>
  <c r="Z146" i="25"/>
  <c r="Q268" i="25" l="1"/>
  <c r="P269" i="25" s="1"/>
  <c r="V268" i="25"/>
  <c r="L24" i="25"/>
  <c r="K25" i="25" s="1"/>
  <c r="Q24" i="25"/>
  <c r="P25" i="25" s="1"/>
  <c r="L268" i="25"/>
  <c r="K269" i="25" s="1"/>
  <c r="G24" i="25"/>
  <c r="G268" i="25"/>
  <c r="AD145" i="25"/>
  <c r="F146" i="25"/>
  <c r="Z25" i="25"/>
  <c r="AC24" i="25"/>
  <c r="U269" i="25"/>
  <c r="AD24" i="25" l="1"/>
  <c r="F25" i="25"/>
  <c r="F269" i="25"/>
  <c r="AD268" i="25"/>
  <c r="AB146" i="25"/>
  <c r="AA146" i="25" s="1"/>
  <c r="L146" i="25" l="1"/>
  <c r="K147" i="25" s="1"/>
  <c r="Q146" i="25"/>
  <c r="P147" i="25" s="1"/>
  <c r="G146" i="25"/>
  <c r="AB269" i="25"/>
  <c r="Z147" i="25"/>
  <c r="AE24" i="25"/>
  <c r="AF24" i="25" s="1"/>
  <c r="AB25" i="25"/>
  <c r="AA25" i="25" s="1"/>
  <c r="Q269" i="25" l="1"/>
  <c r="V269" i="25"/>
  <c r="U270" i="25" s="1"/>
  <c r="L269" i="25"/>
  <c r="L25" i="25"/>
  <c r="K26" i="25" s="1"/>
  <c r="Q25" i="25"/>
  <c r="P26" i="25" s="1"/>
  <c r="G25" i="25"/>
  <c r="G269" i="25"/>
  <c r="K270" i="25"/>
  <c r="AD146" i="25"/>
  <c r="F147" i="25"/>
  <c r="P270" i="25"/>
  <c r="Z26" i="25"/>
  <c r="AC25" i="25"/>
  <c r="F270" i="25" l="1"/>
  <c r="AD269" i="25"/>
  <c r="AD25" i="25"/>
  <c r="F26" i="25"/>
  <c r="AB147" i="25"/>
  <c r="AA147" i="25" s="1"/>
  <c r="L147" i="25" l="1"/>
  <c r="Q147" i="25"/>
  <c r="P148" i="25" s="1"/>
  <c r="G147" i="25"/>
  <c r="K148" i="25"/>
  <c r="AB26" i="25"/>
  <c r="AA26" i="25" s="1"/>
  <c r="AE25" i="25"/>
  <c r="AF25" i="25" s="1"/>
  <c r="AB270" i="25"/>
  <c r="Z148" i="25"/>
  <c r="Q270" i="25" l="1"/>
  <c r="V270" i="25"/>
  <c r="U271" i="25" s="1"/>
  <c r="L270" i="25"/>
  <c r="K271" i="25" s="1"/>
  <c r="L26" i="25"/>
  <c r="K27" i="25" s="1"/>
  <c r="Q26" i="25"/>
  <c r="P27" i="25" s="1"/>
  <c r="G26" i="25"/>
  <c r="G270" i="25"/>
  <c r="F148" i="25"/>
  <c r="AD147" i="25"/>
  <c r="P271" i="25"/>
  <c r="AC26" i="25"/>
  <c r="Z27" i="25"/>
  <c r="AD270" i="25" l="1"/>
  <c r="F271" i="25"/>
  <c r="F27" i="25"/>
  <c r="AD26" i="25"/>
  <c r="AB148" i="25"/>
  <c r="AA148" i="25" s="1"/>
  <c r="L148" i="25" l="1"/>
  <c r="K149" i="25" s="1"/>
  <c r="Q148" i="25"/>
  <c r="P149" i="25" s="1"/>
  <c r="G148" i="25"/>
  <c r="AE26" i="25"/>
  <c r="AF26" i="25" s="1"/>
  <c r="AB27" i="25"/>
  <c r="AA27" i="25" s="1"/>
  <c r="Z149" i="25"/>
  <c r="AB271" i="25"/>
  <c r="Q271" i="25" l="1"/>
  <c r="P272" i="25" s="1"/>
  <c r="V271" i="25"/>
  <c r="L27" i="25"/>
  <c r="K28" i="25" s="1"/>
  <c r="Q27" i="25"/>
  <c r="P28" i="25" s="1"/>
  <c r="L271" i="25"/>
  <c r="K272" i="25" s="1"/>
  <c r="G271" i="25"/>
  <c r="G27" i="25"/>
  <c r="AD148" i="25"/>
  <c r="F149" i="25"/>
  <c r="Z28" i="25"/>
  <c r="AC27" i="25"/>
  <c r="U272" i="25"/>
  <c r="AD27" i="25" l="1"/>
  <c r="F28" i="25"/>
  <c r="AD271" i="25"/>
  <c r="F272" i="25"/>
  <c r="AB149" i="25"/>
  <c r="AA149" i="25" s="1"/>
  <c r="L149" i="25" l="1"/>
  <c r="K150" i="25" s="1"/>
  <c r="Q149" i="25"/>
  <c r="P150" i="25" s="1"/>
  <c r="G149" i="25"/>
  <c r="Z150" i="25"/>
  <c r="AB272" i="25"/>
  <c r="AE27" i="25"/>
  <c r="AF27" i="25" s="1"/>
  <c r="AB28" i="25"/>
  <c r="AA28" i="25" s="1"/>
  <c r="Q272" i="25" l="1"/>
  <c r="V272" i="25"/>
  <c r="L272" i="25"/>
  <c r="K273" i="25" s="1"/>
  <c r="L28" i="25"/>
  <c r="K29" i="25" s="1"/>
  <c r="Q28" i="25"/>
  <c r="P29" i="25" s="1"/>
  <c r="G28" i="25"/>
  <c r="G272" i="25"/>
  <c r="U273" i="25"/>
  <c r="P273" i="25"/>
  <c r="F150" i="25"/>
  <c r="AD149" i="25"/>
  <c r="AC28" i="25"/>
  <c r="Z29" i="25"/>
  <c r="AB150" i="25" l="1"/>
  <c r="AA150" i="25" s="1"/>
  <c r="AD272" i="25"/>
  <c r="F273" i="25"/>
  <c r="AD28" i="25"/>
  <c r="F29" i="25"/>
  <c r="L150" i="25" l="1"/>
  <c r="K151" i="25" s="1"/>
  <c r="Q150" i="25"/>
  <c r="P151" i="25" s="1"/>
  <c r="G150" i="25"/>
  <c r="AB273" i="25"/>
  <c r="AE28" i="25"/>
  <c r="AF28" i="25" s="1"/>
  <c r="AB29" i="25"/>
  <c r="AA29" i="25" s="1"/>
  <c r="Z151" i="25"/>
  <c r="Q273" i="25" l="1"/>
  <c r="V273" i="25"/>
  <c r="U274" i="25" s="1"/>
  <c r="L29" i="25"/>
  <c r="K30" i="25" s="1"/>
  <c r="Q29" i="25"/>
  <c r="P30" i="25" s="1"/>
  <c r="L273" i="25"/>
  <c r="K274" i="25" s="1"/>
  <c r="P274" i="25"/>
  <c r="G273" i="25"/>
  <c r="G29" i="25"/>
  <c r="AC29" i="25"/>
  <c r="Z30" i="25"/>
  <c r="AD150" i="25"/>
  <c r="F151" i="25"/>
  <c r="F274" i="25" l="1"/>
  <c r="AD273" i="25"/>
  <c r="AB151" i="25"/>
  <c r="AA151" i="25" s="1"/>
  <c r="AD29" i="25"/>
  <c r="F30" i="25"/>
  <c r="L151" i="25" l="1"/>
  <c r="K152" i="25" s="1"/>
  <c r="Q151" i="25"/>
  <c r="P152" i="25" s="1"/>
  <c r="G151" i="25"/>
  <c r="AE29" i="25"/>
  <c r="AF29" i="25" s="1"/>
  <c r="AB30" i="25"/>
  <c r="AA30" i="25" s="1"/>
  <c r="Z152" i="25"/>
  <c r="AB274" i="25"/>
  <c r="Q274" i="25" l="1"/>
  <c r="P275" i="25" s="1"/>
  <c r="V274" i="25"/>
  <c r="U275" i="25" s="1"/>
  <c r="L30" i="25"/>
  <c r="K31" i="25" s="1"/>
  <c r="Q30" i="25"/>
  <c r="P31" i="25" s="1"/>
  <c r="L274" i="25"/>
  <c r="K275" i="25" s="1"/>
  <c r="G274" i="25"/>
  <c r="G30" i="25"/>
  <c r="AD151" i="25"/>
  <c r="F152" i="25"/>
  <c r="AC30" i="25"/>
  <c r="Z31" i="25"/>
  <c r="AB152" i="25" l="1"/>
  <c r="AA152" i="25" s="1"/>
  <c r="AD274" i="25"/>
  <c r="F275" i="25"/>
  <c r="AD30" i="25"/>
  <c r="F31" i="25"/>
  <c r="L152" i="25" l="1"/>
  <c r="K153" i="25" s="1"/>
  <c r="Q152" i="25"/>
  <c r="P153" i="25" s="1"/>
  <c r="G152" i="25"/>
  <c r="AB31" i="25"/>
  <c r="AA31" i="25" s="1"/>
  <c r="AE30" i="25"/>
  <c r="AF30" i="25" s="1"/>
  <c r="AB275" i="25"/>
  <c r="Z153" i="25"/>
  <c r="Q275" i="25" l="1"/>
  <c r="P276" i="25" s="1"/>
  <c r="V275" i="25"/>
  <c r="U276" i="25" s="1"/>
  <c r="L275" i="25"/>
  <c r="K276" i="25" s="1"/>
  <c r="L31" i="25"/>
  <c r="K32" i="25" s="1"/>
  <c r="Q31" i="25"/>
  <c r="P32" i="25" s="1"/>
  <c r="G31" i="25"/>
  <c r="G275" i="25"/>
  <c r="AD152" i="25"/>
  <c r="F153" i="25"/>
  <c r="Z32" i="25"/>
  <c r="AC31" i="25" l="1"/>
  <c r="AD275" i="25"/>
  <c r="F276" i="25"/>
  <c r="F32" i="25"/>
  <c r="AD31" i="25"/>
  <c r="AB153" i="25"/>
  <c r="AA153" i="25" s="1"/>
  <c r="L153" i="25" l="1"/>
  <c r="K154" i="25" s="1"/>
  <c r="Q153" i="25"/>
  <c r="P154" i="25" s="1"/>
  <c r="G153" i="25"/>
  <c r="AB32" i="25"/>
  <c r="AA32" i="25" s="1"/>
  <c r="AE31" i="25"/>
  <c r="AF31" i="25" s="1"/>
  <c r="Z154" i="25"/>
  <c r="AB276" i="25"/>
  <c r="Q276" i="25" l="1"/>
  <c r="P277" i="25" s="1"/>
  <c r="V276" i="25"/>
  <c r="U277" i="25" s="1"/>
  <c r="L276" i="25"/>
  <c r="K277" i="25" s="1"/>
  <c r="L32" i="25"/>
  <c r="K33" i="25" s="1"/>
  <c r="Q32" i="25"/>
  <c r="P33" i="25" s="1"/>
  <c r="G32" i="25"/>
  <c r="G276" i="25"/>
  <c r="AD153" i="25"/>
  <c r="F154" i="25"/>
  <c r="Z33" i="25"/>
  <c r="AC32" i="25" l="1"/>
  <c r="AD276" i="25"/>
  <c r="F277" i="25"/>
  <c r="AD32" i="25"/>
  <c r="F33" i="25"/>
  <c r="AB154" i="25"/>
  <c r="AA154" i="25" s="1"/>
  <c r="L154" i="25" l="1"/>
  <c r="K155" i="25" s="1"/>
  <c r="Q154" i="25"/>
  <c r="P155" i="25" s="1"/>
  <c r="G154" i="25"/>
  <c r="Z155" i="25"/>
  <c r="AE32" i="25"/>
  <c r="AF32" i="25" s="1"/>
  <c r="AB33" i="25"/>
  <c r="AA33" i="25" s="1"/>
  <c r="AB277" i="25"/>
  <c r="Q277" i="25" l="1"/>
  <c r="V277" i="25"/>
  <c r="L33" i="25"/>
  <c r="K34" i="25" s="1"/>
  <c r="Q33" i="25"/>
  <c r="P34" i="25" s="1"/>
  <c r="L277" i="25"/>
  <c r="K278" i="25" s="1"/>
  <c r="P278" i="25"/>
  <c r="G277" i="25"/>
  <c r="G33" i="25"/>
  <c r="Z34" i="25"/>
  <c r="AC33" i="25"/>
  <c r="AD154" i="25"/>
  <c r="F155" i="25"/>
  <c r="U278" i="25"/>
  <c r="AB155" i="25" l="1"/>
  <c r="AA155" i="25" s="1"/>
  <c r="AD33" i="25"/>
  <c r="F34" i="25"/>
  <c r="AD277" i="25"/>
  <c r="F278" i="25"/>
  <c r="L155" i="25" l="1"/>
  <c r="K156" i="25" s="1"/>
  <c r="Q155" i="25"/>
  <c r="P156" i="25" s="1"/>
  <c r="G155" i="25"/>
  <c r="AB34" i="25"/>
  <c r="AA34" i="25" s="1"/>
  <c r="AE33" i="25"/>
  <c r="AF33" i="25" s="1"/>
  <c r="AB278" i="25"/>
  <c r="Z156" i="25"/>
  <c r="Q278" i="25" l="1"/>
  <c r="P279" i="25" s="1"/>
  <c r="V278" i="25"/>
  <c r="U279" i="25" s="1"/>
  <c r="L278" i="25"/>
  <c r="K279" i="25" s="1"/>
  <c r="L34" i="25"/>
  <c r="K35" i="25" s="1"/>
  <c r="Q34" i="25"/>
  <c r="P35" i="25" s="1"/>
  <c r="G34" i="25"/>
  <c r="G278" i="25"/>
  <c r="F156" i="25"/>
  <c r="AD155" i="25"/>
  <c r="AC34" i="25"/>
  <c r="Z35" i="25"/>
  <c r="F35" i="25" l="1"/>
  <c r="AD34" i="25"/>
  <c r="AD278" i="25"/>
  <c r="F279" i="25"/>
  <c r="AB156" i="25"/>
  <c r="AA156" i="25" s="1"/>
  <c r="L156" i="25" l="1"/>
  <c r="K157" i="25" s="1"/>
  <c r="Q156" i="25"/>
  <c r="P157" i="25" s="1"/>
  <c r="G156" i="25"/>
  <c r="Z157" i="25"/>
  <c r="AB279" i="25"/>
  <c r="AE34" i="25"/>
  <c r="AF34" i="25" s="1"/>
  <c r="AB35" i="25"/>
  <c r="AA35" i="25" s="1"/>
  <c r="Q279" i="25" l="1"/>
  <c r="P280" i="25" s="1"/>
  <c r="V279" i="25"/>
  <c r="U280" i="25" s="1"/>
  <c r="L279" i="25"/>
  <c r="K280" i="25" s="1"/>
  <c r="L35" i="25"/>
  <c r="K36" i="25" s="1"/>
  <c r="Q35" i="25"/>
  <c r="P36" i="25" s="1"/>
  <c r="G279" i="25"/>
  <c r="G35" i="25"/>
  <c r="AD156" i="25"/>
  <c r="F157" i="25"/>
  <c r="Z36" i="25"/>
  <c r="AC35" i="25"/>
  <c r="AB157" i="25" l="1"/>
  <c r="AA157" i="25" s="1"/>
  <c r="AD279" i="25"/>
  <c r="F280" i="25"/>
  <c r="AD35" i="25"/>
  <c r="F36" i="25"/>
  <c r="L157" i="25" l="1"/>
  <c r="Q157" i="25"/>
  <c r="P158" i="25" s="1"/>
  <c r="G157" i="25"/>
  <c r="AB280" i="25"/>
  <c r="Z158" i="25"/>
  <c r="K158" i="25"/>
  <c r="AE35" i="25"/>
  <c r="AF35" i="25" s="1"/>
  <c r="AB36" i="25"/>
  <c r="AA36" i="25" s="1"/>
  <c r="Q280" i="25" l="1"/>
  <c r="P281" i="25" s="1"/>
  <c r="V280" i="25"/>
  <c r="U281" i="25" s="1"/>
  <c r="L280" i="25"/>
  <c r="K281" i="25" s="1"/>
  <c r="L36" i="25"/>
  <c r="K37" i="25" s="1"/>
  <c r="Q36" i="25"/>
  <c r="P37" i="25" s="1"/>
  <c r="G280" i="25"/>
  <c r="G36" i="25"/>
  <c r="F158" i="25"/>
  <c r="AD157" i="25"/>
  <c r="AC36" i="25"/>
  <c r="Z37" i="25"/>
  <c r="AD280" i="25" l="1"/>
  <c r="F281" i="25"/>
  <c r="AD36" i="25"/>
  <c r="F37" i="25"/>
  <c r="AB158" i="25"/>
  <c r="AA158" i="25" s="1"/>
  <c r="L158" i="25" l="1"/>
  <c r="K159" i="25" s="1"/>
  <c r="Q158" i="25"/>
  <c r="P159" i="25" s="1"/>
  <c r="G158" i="25"/>
  <c r="Z159" i="25"/>
  <c r="AE36" i="25"/>
  <c r="AF36" i="25" s="1"/>
  <c r="AB37" i="25"/>
  <c r="AA37" i="25" s="1"/>
  <c r="AB281" i="25"/>
  <c r="Q281" i="25" l="1"/>
  <c r="P282" i="25" s="1"/>
  <c r="V281" i="25"/>
  <c r="L37" i="25"/>
  <c r="K38" i="25" s="1"/>
  <c r="Q37" i="25"/>
  <c r="P38" i="25" s="1"/>
  <c r="L281" i="25"/>
  <c r="K282" i="25" s="1"/>
  <c r="G281" i="25"/>
  <c r="G37" i="25"/>
  <c r="AC37" i="25"/>
  <c r="Z38" i="25"/>
  <c r="F159" i="25"/>
  <c r="AD158" i="25"/>
  <c r="U282" i="25"/>
  <c r="AB159" i="25" l="1"/>
  <c r="AA159" i="25" s="1"/>
  <c r="AD37" i="25"/>
  <c r="F38" i="25"/>
  <c r="AD281" i="25"/>
  <c r="F282" i="25"/>
  <c r="L159" i="25" l="1"/>
  <c r="K160" i="25" s="1"/>
  <c r="Q159" i="25"/>
  <c r="P160" i="25" s="1"/>
  <c r="G159" i="25"/>
  <c r="AB282" i="25"/>
  <c r="AE37" i="25"/>
  <c r="AF37" i="25" s="1"/>
  <c r="AB38" i="25"/>
  <c r="AA38" i="25" s="1"/>
  <c r="Z160" i="25"/>
  <c r="Q282" i="25" l="1"/>
  <c r="P283" i="25" s="1"/>
  <c r="V282" i="25"/>
  <c r="U283" i="25" s="1"/>
  <c r="L38" i="25"/>
  <c r="K39" i="25" s="1"/>
  <c r="Q38" i="25"/>
  <c r="P39" i="25" s="1"/>
  <c r="L282" i="25"/>
  <c r="K283" i="25" s="1"/>
  <c r="G38" i="25"/>
  <c r="G282" i="25"/>
  <c r="AC38" i="25"/>
  <c r="Z39" i="25"/>
  <c r="AD159" i="25"/>
  <c r="F160" i="25"/>
  <c r="AD282" i="25" l="1"/>
  <c r="F283" i="25"/>
  <c r="AB160" i="25"/>
  <c r="AA160" i="25" s="1"/>
  <c r="AD38" i="25"/>
  <c r="F39" i="25"/>
  <c r="L160" i="25" l="1"/>
  <c r="Q160" i="25"/>
  <c r="G160" i="25"/>
  <c r="AB39" i="25"/>
  <c r="AA39" i="25" s="1"/>
  <c r="AE38" i="25"/>
  <c r="AF38" i="25" s="1"/>
  <c r="K161" i="25"/>
  <c r="P161" i="25"/>
  <c r="Z161" i="25"/>
  <c r="AB283" i="25"/>
  <c r="Q283" i="25" l="1"/>
  <c r="V283" i="25"/>
  <c r="U284" i="25" s="1"/>
  <c r="L39" i="25"/>
  <c r="K40" i="25" s="1"/>
  <c r="Q39" i="25"/>
  <c r="P40" i="25" s="1"/>
  <c r="L283" i="25"/>
  <c r="K284" i="25" s="1"/>
  <c r="P284" i="25"/>
  <c r="G39" i="25"/>
  <c r="G283" i="25"/>
  <c r="AD160" i="25"/>
  <c r="F161" i="25"/>
  <c r="AC39" i="25"/>
  <c r="Z40" i="25"/>
  <c r="AD283" i="25" l="1"/>
  <c r="F284" i="25"/>
  <c r="F40" i="25"/>
  <c r="AD39" i="25"/>
  <c r="AB161" i="25"/>
  <c r="AA161" i="25" s="1"/>
  <c r="L161" i="25" l="1"/>
  <c r="K162" i="25" s="1"/>
  <c r="Q161" i="25"/>
  <c r="P162" i="25" s="1"/>
  <c r="G161" i="25"/>
  <c r="AB40" i="25"/>
  <c r="AA40" i="25" s="1"/>
  <c r="AE39" i="25"/>
  <c r="AF39" i="25" s="1"/>
  <c r="Z162" i="25"/>
  <c r="AB284" i="25"/>
  <c r="Q284" i="25" l="1"/>
  <c r="V284" i="25"/>
  <c r="U285" i="25" s="1"/>
  <c r="L40" i="25"/>
  <c r="K41" i="25" s="1"/>
  <c r="Q40" i="25"/>
  <c r="P41" i="25" s="1"/>
  <c r="L284" i="25"/>
  <c r="K285" i="25" s="1"/>
  <c r="P285" i="25"/>
  <c r="G284" i="25"/>
  <c r="G40" i="25"/>
  <c r="AD161" i="25"/>
  <c r="F162" i="25"/>
  <c r="Z41" i="25"/>
  <c r="AC40" i="25"/>
  <c r="AD284" i="25" l="1"/>
  <c r="F285" i="25"/>
  <c r="AD40" i="25"/>
  <c r="F41" i="25"/>
  <c r="AB162" i="25"/>
  <c r="AA162" i="25" s="1"/>
  <c r="L162" i="25" l="1"/>
  <c r="Q162" i="25"/>
  <c r="P163" i="25" s="1"/>
  <c r="G162" i="25"/>
  <c r="AB285" i="25"/>
  <c r="Z163" i="25"/>
  <c r="K163" i="25"/>
  <c r="AE40" i="25"/>
  <c r="AF40" i="25" s="1"/>
  <c r="AB41" i="25"/>
  <c r="AA41" i="25" s="1"/>
  <c r="Q285" i="25" l="1"/>
  <c r="P286" i="25" s="1"/>
  <c r="V285" i="25"/>
  <c r="U286" i="25" s="1"/>
  <c r="L285" i="25"/>
  <c r="K286" i="25" s="1"/>
  <c r="L41" i="25"/>
  <c r="K42" i="25" s="1"/>
  <c r="Q41" i="25"/>
  <c r="P42" i="25" s="1"/>
  <c r="G41" i="25"/>
  <c r="G285" i="25"/>
  <c r="AD162" i="25"/>
  <c r="F163" i="25"/>
  <c r="Z42" i="25"/>
  <c r="AC41" i="25"/>
  <c r="AB163" i="25" l="1"/>
  <c r="AA163" i="25" s="1"/>
  <c r="AD285" i="25"/>
  <c r="F286" i="25"/>
  <c r="AD41" i="25"/>
  <c r="F42" i="25"/>
  <c r="L163" i="25" l="1"/>
  <c r="K164" i="25" s="1"/>
  <c r="Q163" i="25"/>
  <c r="G163" i="25"/>
  <c r="AB42" i="25"/>
  <c r="AA42" i="25" s="1"/>
  <c r="AE41" i="25"/>
  <c r="AF41" i="25" s="1"/>
  <c r="AB286" i="25"/>
  <c r="Z164" i="25"/>
  <c r="P164" i="25"/>
  <c r="Q286" i="25" l="1"/>
  <c r="P287" i="25" s="1"/>
  <c r="V286" i="25"/>
  <c r="U287" i="25" s="1"/>
  <c r="L286" i="25"/>
  <c r="K287" i="25" s="1"/>
  <c r="L42" i="25"/>
  <c r="K43" i="25" s="1"/>
  <c r="Q42" i="25"/>
  <c r="P43" i="25" s="1"/>
  <c r="G42" i="25"/>
  <c r="G286" i="25"/>
  <c r="F164" i="25"/>
  <c r="AD163" i="25"/>
  <c r="AC42" i="25"/>
  <c r="Z43" i="25"/>
  <c r="F43" i="25" l="1"/>
  <c r="AD42" i="25"/>
  <c r="F287" i="25"/>
  <c r="AD286" i="25"/>
  <c r="AB164" i="25"/>
  <c r="AA164" i="25" s="1"/>
  <c r="L164" i="25" l="1"/>
  <c r="K165" i="25" s="1"/>
  <c r="Q164" i="25"/>
  <c r="P165" i="25" s="1"/>
  <c r="G164" i="25"/>
  <c r="Z165" i="25"/>
  <c r="AB287" i="25"/>
  <c r="AE42" i="25"/>
  <c r="AF42" i="25" s="1"/>
  <c r="AB43" i="25"/>
  <c r="AA43" i="25" s="1"/>
  <c r="Q287" i="25" l="1"/>
  <c r="P288" i="25" s="1"/>
  <c r="V287" i="25"/>
  <c r="L287" i="25"/>
  <c r="K288" i="25" s="1"/>
  <c r="L43" i="25"/>
  <c r="K44" i="25" s="1"/>
  <c r="Q43" i="25"/>
  <c r="P44" i="25" s="1"/>
  <c r="G43" i="25"/>
  <c r="G287" i="25"/>
  <c r="U288" i="25"/>
  <c r="AD164" i="25"/>
  <c r="F165" i="25"/>
  <c r="Z44" i="25"/>
  <c r="AC43" i="25"/>
  <c r="AB165" i="25" l="1"/>
  <c r="AA165" i="25" s="1"/>
  <c r="AD287" i="25"/>
  <c r="F288" i="25"/>
  <c r="AD43" i="25"/>
  <c r="F44" i="25"/>
  <c r="L165" i="25" l="1"/>
  <c r="Q165" i="25"/>
  <c r="G165" i="25"/>
  <c r="AE43" i="25"/>
  <c r="AF43" i="25" s="1"/>
  <c r="AB44" i="25"/>
  <c r="AA44" i="25" s="1"/>
  <c r="AB288" i="25"/>
  <c r="Z166" i="25"/>
  <c r="P166" i="25"/>
  <c r="K166" i="25"/>
  <c r="Q288" i="25" l="1"/>
  <c r="P289" i="25" s="1"/>
  <c r="V288" i="25"/>
  <c r="U289" i="25" s="1"/>
  <c r="L288" i="25"/>
  <c r="K289" i="25" s="1"/>
  <c r="L44" i="25"/>
  <c r="K45" i="25" s="1"/>
  <c r="Q44" i="25"/>
  <c r="P45" i="25" s="1"/>
  <c r="G288" i="25"/>
  <c r="G44" i="25"/>
  <c r="F166" i="25"/>
  <c r="AD165" i="25"/>
  <c r="AC44" i="25"/>
  <c r="Z45" i="25"/>
  <c r="AD288" i="25" l="1"/>
  <c r="F289" i="25"/>
  <c r="AD44" i="25"/>
  <c r="F45" i="25"/>
  <c r="AB166" i="25"/>
  <c r="AA166" i="25" s="1"/>
  <c r="L166" i="25" l="1"/>
  <c r="K167" i="25" s="1"/>
  <c r="Q166" i="25"/>
  <c r="P167" i="25" s="1"/>
  <c r="G166" i="25"/>
  <c r="Z167" i="25"/>
  <c r="AE44" i="25"/>
  <c r="AF44" i="25" s="1"/>
  <c r="AB45" i="25"/>
  <c r="AA45" i="25" s="1"/>
  <c r="AB289" i="25"/>
  <c r="Q289" i="25" l="1"/>
  <c r="P290" i="25" s="1"/>
  <c r="V289" i="25"/>
  <c r="U290" i="25" s="1"/>
  <c r="L45" i="25"/>
  <c r="K46" i="25" s="1"/>
  <c r="Q45" i="25"/>
  <c r="P46" i="25" s="1"/>
  <c r="L289" i="25"/>
  <c r="K290" i="25" s="1"/>
  <c r="G45" i="25"/>
  <c r="G289" i="25"/>
  <c r="AC45" i="25"/>
  <c r="Z46" i="25"/>
  <c r="F167" i="25"/>
  <c r="AD166" i="25"/>
  <c r="AB167" i="25" l="1"/>
  <c r="AA167" i="25" s="1"/>
  <c r="AD45" i="25"/>
  <c r="F46" i="25"/>
  <c r="AD289" i="25"/>
  <c r="F290" i="25"/>
  <c r="L167" i="25" l="1"/>
  <c r="K168" i="25" s="1"/>
  <c r="Q167" i="25"/>
  <c r="P168" i="25" s="1"/>
  <c r="G167" i="25"/>
  <c r="AB290" i="25"/>
  <c r="AE45" i="25"/>
  <c r="AF45" i="25" s="1"/>
  <c r="AB46" i="25"/>
  <c r="AA46" i="25" s="1"/>
  <c r="Z168" i="25"/>
  <c r="Q290" i="25" l="1"/>
  <c r="P291" i="25" s="1"/>
  <c r="V290" i="25"/>
  <c r="L46" i="25"/>
  <c r="K47" i="25" s="1"/>
  <c r="Q46" i="25"/>
  <c r="P47" i="25" s="1"/>
  <c r="L290" i="25"/>
  <c r="K291" i="25" s="1"/>
  <c r="G290" i="25"/>
  <c r="G46" i="25"/>
  <c r="AD167" i="25"/>
  <c r="F168" i="25"/>
  <c r="AC46" i="25"/>
  <c r="Z47" i="25"/>
  <c r="U291" i="25"/>
  <c r="F291" i="25" l="1"/>
  <c r="AD290" i="25"/>
  <c r="AD46" i="25"/>
  <c r="F47" i="25"/>
  <c r="AB168" i="25"/>
  <c r="AA168" i="25" s="1"/>
  <c r="L168" i="25" l="1"/>
  <c r="K169" i="25" s="1"/>
  <c r="Q168" i="25"/>
  <c r="P169" i="25" s="1"/>
  <c r="G168" i="25"/>
  <c r="Z169" i="25"/>
  <c r="AB47" i="25"/>
  <c r="AA47" i="25" s="1"/>
  <c r="AE46" i="25"/>
  <c r="AF46" i="25" s="1"/>
  <c r="AB291" i="25"/>
  <c r="Q291" i="25" l="1"/>
  <c r="V291" i="25"/>
  <c r="U292" i="25" s="1"/>
  <c r="L47" i="25"/>
  <c r="Q47" i="25"/>
  <c r="P48" i="25" s="1"/>
  <c r="L291" i="25"/>
  <c r="K292" i="25" s="1"/>
  <c r="G291" i="25"/>
  <c r="G47" i="25"/>
  <c r="K48" i="25"/>
  <c r="AC47" i="25"/>
  <c r="Z48" i="25"/>
  <c r="AD168" i="25"/>
  <c r="F169" i="25"/>
  <c r="P292" i="25"/>
  <c r="F48" i="25" l="1"/>
  <c r="AD47" i="25"/>
  <c r="AB169" i="25"/>
  <c r="AA169" i="25" s="1"/>
  <c r="AD291" i="25"/>
  <c r="F292" i="25"/>
  <c r="L169" i="25" l="1"/>
  <c r="K170" i="25" s="1"/>
  <c r="Q169" i="25"/>
  <c r="P170" i="25" s="1"/>
  <c r="G169" i="25"/>
  <c r="AB292" i="25"/>
  <c r="Z170" i="25"/>
  <c r="AB48" i="25"/>
  <c r="AA48" i="25" s="1"/>
  <c r="AE47" i="25"/>
  <c r="AF47" i="25" s="1"/>
  <c r="Q292" i="25" l="1"/>
  <c r="P293" i="25" s="1"/>
  <c r="V292" i="25"/>
  <c r="L48" i="25"/>
  <c r="K49" i="25" s="1"/>
  <c r="Q48" i="25"/>
  <c r="P49" i="25" s="1"/>
  <c r="L292" i="25"/>
  <c r="K293" i="25" s="1"/>
  <c r="G48" i="25"/>
  <c r="G292" i="25"/>
  <c r="Z49" i="25"/>
  <c r="AC48" i="25"/>
  <c r="AD169" i="25"/>
  <c r="F170" i="25"/>
  <c r="U293" i="25"/>
  <c r="AB170" i="25" l="1"/>
  <c r="AA170" i="25" s="1"/>
  <c r="AD292" i="25"/>
  <c r="F293" i="25"/>
  <c r="AD48" i="25"/>
  <c r="F49" i="25"/>
  <c r="L170" i="25" l="1"/>
  <c r="K171" i="25" s="1"/>
  <c r="Q170" i="25"/>
  <c r="G170" i="25"/>
  <c r="AE48" i="25"/>
  <c r="AF48" i="25" s="1"/>
  <c r="AB49" i="25"/>
  <c r="AA49" i="25" s="1"/>
  <c r="AB293" i="25"/>
  <c r="Z171" i="25"/>
  <c r="P171" i="25"/>
  <c r="Q293" i="25" l="1"/>
  <c r="V293" i="25"/>
  <c r="U294" i="25" s="1"/>
  <c r="L293" i="25"/>
  <c r="K294" i="25" s="1"/>
  <c r="L49" i="25"/>
  <c r="Q49" i="25"/>
  <c r="P50" i="25" s="1"/>
  <c r="G293" i="25"/>
  <c r="G49" i="25"/>
  <c r="K50" i="25"/>
  <c r="AD170" i="25"/>
  <c r="F171" i="25"/>
  <c r="P294" i="25"/>
  <c r="Z50" i="25"/>
  <c r="AC49" i="25"/>
  <c r="AD293" i="25" l="1"/>
  <c r="F294" i="25"/>
  <c r="AD49" i="25"/>
  <c r="F50" i="25"/>
  <c r="AB171" i="25"/>
  <c r="AA171" i="25" s="1"/>
  <c r="L171" i="25" l="1"/>
  <c r="K172" i="25" s="1"/>
  <c r="Q171" i="25"/>
  <c r="P172" i="25" s="1"/>
  <c r="G171" i="25"/>
  <c r="Z172" i="25"/>
  <c r="AB50" i="25"/>
  <c r="AA50" i="25" s="1"/>
  <c r="AE49" i="25"/>
  <c r="AF49" i="25" s="1"/>
  <c r="AB294" i="25"/>
  <c r="Q294" i="25" l="1"/>
  <c r="V294" i="25"/>
  <c r="U295" i="25" s="1"/>
  <c r="L50" i="25"/>
  <c r="K51" i="25" s="1"/>
  <c r="Q50" i="25"/>
  <c r="P51" i="25" s="1"/>
  <c r="L294" i="25"/>
  <c r="K295" i="25" s="1"/>
  <c r="P295" i="25"/>
  <c r="G50" i="25"/>
  <c r="G294" i="25"/>
  <c r="AC50" i="25"/>
  <c r="Z51" i="25"/>
  <c r="F172" i="25"/>
  <c r="AD171" i="25"/>
  <c r="F51" i="25" l="1"/>
  <c r="AD50" i="25"/>
  <c r="AB172" i="25"/>
  <c r="AA172" i="25" s="1"/>
  <c r="F295" i="25"/>
  <c r="AD294" i="25"/>
  <c r="L172" i="25" l="1"/>
  <c r="K173" i="25" s="1"/>
  <c r="Q172" i="25"/>
  <c r="P173" i="25" s="1"/>
  <c r="G172" i="25"/>
  <c r="AB295" i="25"/>
  <c r="Z173" i="25"/>
  <c r="AE50" i="25"/>
  <c r="AF50" i="25" s="1"/>
  <c r="AB51" i="25"/>
  <c r="AA51" i="25" s="1"/>
  <c r="Q295" i="25" l="1"/>
  <c r="P296" i="25" s="1"/>
  <c r="V295" i="25"/>
  <c r="U296" i="25" s="1"/>
  <c r="L295" i="25"/>
  <c r="K296" i="25" s="1"/>
  <c r="L51" i="25"/>
  <c r="K52" i="25" s="1"/>
  <c r="Q51" i="25"/>
  <c r="P52" i="25" s="1"/>
  <c r="G51" i="25"/>
  <c r="G295" i="25"/>
  <c r="AD172" i="25"/>
  <c r="F173" i="25"/>
  <c r="Z52" i="25"/>
  <c r="AC51" i="25"/>
  <c r="AD51" i="25" l="1"/>
  <c r="F52" i="25"/>
  <c r="F296" i="25"/>
  <c r="AD295" i="25"/>
  <c r="AB173" i="25"/>
  <c r="AA173" i="25" s="1"/>
  <c r="L173" i="25" l="1"/>
  <c r="K174" i="25" s="1"/>
  <c r="Q173" i="25"/>
  <c r="P174" i="25" s="1"/>
  <c r="G173" i="25"/>
  <c r="Z174" i="25"/>
  <c r="AB296" i="25"/>
  <c r="AE51" i="25"/>
  <c r="AF51" i="25" s="1"/>
  <c r="AB52" i="25"/>
  <c r="AA52" i="25" s="1"/>
  <c r="Q296" i="25" l="1"/>
  <c r="P297" i="25" s="1"/>
  <c r="V296" i="25"/>
  <c r="L296" i="25"/>
  <c r="K297" i="25" s="1"/>
  <c r="L52" i="25"/>
  <c r="K53" i="25" s="1"/>
  <c r="Q52" i="25"/>
  <c r="P53" i="25" s="1"/>
  <c r="G52" i="25"/>
  <c r="G296" i="25"/>
  <c r="U297" i="25"/>
  <c r="F174" i="25"/>
  <c r="AD173" i="25"/>
  <c r="AC52" i="25"/>
  <c r="Z53" i="25"/>
  <c r="AB174" i="25" l="1"/>
  <c r="AA174" i="25" s="1"/>
  <c r="AD296" i="25"/>
  <c r="F297" i="25"/>
  <c r="AD52" i="25"/>
  <c r="F53" i="25"/>
  <c r="L174" i="25" l="1"/>
  <c r="K175" i="25" s="1"/>
  <c r="Q174" i="25"/>
  <c r="P175" i="25" s="1"/>
  <c r="G174" i="25"/>
  <c r="AE52" i="25"/>
  <c r="AF52" i="25" s="1"/>
  <c r="AB53" i="25"/>
  <c r="AA53" i="25" s="1"/>
  <c r="AB297" i="25"/>
  <c r="Z175" i="25"/>
  <c r="Q297" i="25" l="1"/>
  <c r="P298" i="25" s="1"/>
  <c r="V297" i="25"/>
  <c r="U298" i="25" s="1"/>
  <c r="L297" i="25"/>
  <c r="K298" i="25" s="1"/>
  <c r="L53" i="25"/>
  <c r="K54" i="25" s="1"/>
  <c r="Q53" i="25"/>
  <c r="P54" i="25" s="1"/>
  <c r="G53" i="25"/>
  <c r="G297" i="25"/>
  <c r="F175" i="25"/>
  <c r="AD174" i="25"/>
  <c r="AC53" i="25"/>
  <c r="Z54" i="25"/>
  <c r="AD297" i="25" l="1"/>
  <c r="F298" i="25"/>
  <c r="AD53" i="25"/>
  <c r="F54" i="25"/>
  <c r="AB175" i="25"/>
  <c r="AA175" i="25" s="1"/>
  <c r="L175" i="25" l="1"/>
  <c r="K176" i="25" s="1"/>
  <c r="Q175" i="25"/>
  <c r="P176" i="25" s="1"/>
  <c r="G175" i="25"/>
  <c r="Z176" i="25"/>
  <c r="AE53" i="25"/>
  <c r="AF53" i="25" s="1"/>
  <c r="AB54" i="25"/>
  <c r="AA54" i="25" s="1"/>
  <c r="AB298" i="25"/>
  <c r="Q298" i="25" l="1"/>
  <c r="V298" i="25"/>
  <c r="L54" i="25"/>
  <c r="K55" i="25" s="1"/>
  <c r="Q54" i="25"/>
  <c r="P55" i="25" s="1"/>
  <c r="L298" i="25"/>
  <c r="K299" i="25" s="1"/>
  <c r="G298" i="25"/>
  <c r="G54" i="25"/>
  <c r="AC54" i="25"/>
  <c r="Z55" i="25"/>
  <c r="AD175" i="25"/>
  <c r="F176" i="25"/>
  <c r="U299" i="25"/>
  <c r="P299" i="25"/>
  <c r="AB176" i="25" l="1"/>
  <c r="AA176" i="25" s="1"/>
  <c r="AD298" i="25"/>
  <c r="F299" i="25"/>
  <c r="AD54" i="25"/>
  <c r="F55" i="25"/>
  <c r="L176" i="25" l="1"/>
  <c r="K177" i="25" s="1"/>
  <c r="Q176" i="25"/>
  <c r="P177" i="25" s="1"/>
  <c r="G176" i="25"/>
  <c r="AB55" i="25"/>
  <c r="AA55" i="25" s="1"/>
  <c r="AE54" i="25"/>
  <c r="AF54" i="25" s="1"/>
  <c r="AB299" i="25"/>
  <c r="Z177" i="25"/>
  <c r="Q299" i="25" l="1"/>
  <c r="P300" i="25" s="1"/>
  <c r="V299" i="25"/>
  <c r="U300" i="25" s="1"/>
  <c r="L299" i="25"/>
  <c r="K300" i="25" s="1"/>
  <c r="L55" i="25"/>
  <c r="K56" i="25" s="1"/>
  <c r="Q55" i="25"/>
  <c r="P56" i="25" s="1"/>
  <c r="G299" i="25"/>
  <c r="G55" i="25"/>
  <c r="AD176" i="25"/>
  <c r="F177" i="25"/>
  <c r="AC55" i="25"/>
  <c r="Z56" i="25"/>
  <c r="F300" i="25" l="1"/>
  <c r="AD299" i="25"/>
  <c r="F56" i="25"/>
  <c r="AD55" i="25"/>
  <c r="AB177" i="25"/>
  <c r="AA177" i="25" s="1"/>
  <c r="L177" i="25" l="1"/>
  <c r="K178" i="25" s="1"/>
  <c r="Q177" i="25"/>
  <c r="P178" i="25" s="1"/>
  <c r="G177" i="25"/>
  <c r="Z178" i="25"/>
  <c r="AB300" i="25"/>
  <c r="AB56" i="25"/>
  <c r="AA56" i="25" s="1"/>
  <c r="AE55" i="25"/>
  <c r="AF55" i="25" s="1"/>
  <c r="Q300" i="25" l="1"/>
  <c r="P301" i="25" s="1"/>
  <c r="V300" i="25"/>
  <c r="U301" i="25" s="1"/>
  <c r="L56" i="25"/>
  <c r="K57" i="25" s="1"/>
  <c r="Q56" i="25"/>
  <c r="P57" i="25" s="1"/>
  <c r="L300" i="25"/>
  <c r="K301" i="25" s="1"/>
  <c r="G56" i="25"/>
  <c r="G300" i="25"/>
  <c r="AD177" i="25"/>
  <c r="F178" i="25"/>
  <c r="Z57" i="25"/>
  <c r="AC56" i="25"/>
  <c r="AB178" i="25" l="1"/>
  <c r="AA178" i="25" s="1"/>
  <c r="AD300" i="25"/>
  <c r="F301" i="25"/>
  <c r="AD56" i="25"/>
  <c r="F57" i="25"/>
  <c r="L178" i="25" l="1"/>
  <c r="Q178" i="25"/>
  <c r="P179" i="25" s="1"/>
  <c r="G178" i="25"/>
  <c r="AE56" i="25"/>
  <c r="AF56" i="25" s="1"/>
  <c r="AB57" i="25"/>
  <c r="AA57" i="25" s="1"/>
  <c r="AB301" i="25"/>
  <c r="Z179" i="25"/>
  <c r="K179" i="25"/>
  <c r="Q301" i="25" l="1"/>
  <c r="P302" i="25" s="1"/>
  <c r="V301" i="25"/>
  <c r="U302" i="25" s="1"/>
  <c r="L301" i="25"/>
  <c r="K302" i="25" s="1"/>
  <c r="L57" i="25"/>
  <c r="K58" i="25" s="1"/>
  <c r="Q57" i="25"/>
  <c r="P58" i="25" s="1"/>
  <c r="G301" i="25"/>
  <c r="G57" i="25"/>
  <c r="AD178" i="25"/>
  <c r="F179" i="25"/>
  <c r="Z58" i="25"/>
  <c r="AC57" i="25"/>
  <c r="AD301" i="25" l="1"/>
  <c r="F302" i="25"/>
  <c r="AD57" i="25"/>
  <c r="F58" i="25"/>
  <c r="AB179" i="25"/>
  <c r="AA179" i="25" s="1"/>
  <c r="L179" i="25" l="1"/>
  <c r="K180" i="25" s="1"/>
  <c r="Q179" i="25"/>
  <c r="P180" i="25" s="1"/>
  <c r="G179" i="25"/>
  <c r="Z180" i="25"/>
  <c r="AB58" i="25"/>
  <c r="AA58" i="25" s="1"/>
  <c r="AE57" i="25"/>
  <c r="AF57" i="25" s="1"/>
  <c r="AB302" i="25"/>
  <c r="Q302" i="25" l="1"/>
  <c r="P303" i="25" s="1"/>
  <c r="V302" i="25"/>
  <c r="U303" i="25" s="1"/>
  <c r="L58" i="25"/>
  <c r="K59" i="25" s="1"/>
  <c r="Q58" i="25"/>
  <c r="P59" i="25" s="1"/>
  <c r="L302" i="25"/>
  <c r="K303" i="25" s="1"/>
  <c r="G302" i="25"/>
  <c r="G58" i="25"/>
  <c r="AC58" i="25"/>
  <c r="Z59" i="25"/>
  <c r="AD179" i="25"/>
  <c r="F180" i="25"/>
  <c r="AD302" i="25" l="1"/>
  <c r="F303" i="25"/>
  <c r="AD58" i="25"/>
  <c r="F59" i="25"/>
  <c r="AB180" i="25"/>
  <c r="AA180" i="25" s="1"/>
  <c r="L180" i="25" l="1"/>
  <c r="K181" i="25" s="1"/>
  <c r="Q180" i="25"/>
  <c r="P181" i="25" s="1"/>
  <c r="G180" i="25"/>
  <c r="AB303" i="25"/>
  <c r="Z181" i="25"/>
  <c r="AB59" i="25"/>
  <c r="AA59" i="25" s="1"/>
  <c r="AE58" i="25"/>
  <c r="AF58" i="25" s="1"/>
  <c r="Q303" i="25" l="1"/>
  <c r="P304" i="25" s="1"/>
  <c r="V303" i="25"/>
  <c r="U304" i="25" s="1"/>
  <c r="L59" i="25"/>
  <c r="K60" i="25" s="1"/>
  <c r="Q59" i="25"/>
  <c r="P60" i="25" s="1"/>
  <c r="L303" i="25"/>
  <c r="K304" i="25" s="1"/>
  <c r="G59" i="25"/>
  <c r="G303" i="25"/>
  <c r="AC59" i="25"/>
  <c r="Z60" i="25"/>
  <c r="F181" i="25"/>
  <c r="AD180" i="25"/>
  <c r="AB181" i="25" l="1"/>
  <c r="AA181" i="25" s="1"/>
  <c r="F304" i="25"/>
  <c r="AD303" i="25"/>
  <c r="F60" i="25"/>
  <c r="AD59" i="25"/>
  <c r="L181" i="25" l="1"/>
  <c r="K182" i="25" s="1"/>
  <c r="Q181" i="25"/>
  <c r="P182" i="25" s="1"/>
  <c r="G181" i="25"/>
  <c r="AB60" i="25"/>
  <c r="AA60" i="25" s="1"/>
  <c r="AE59" i="25"/>
  <c r="AF59" i="25" s="1"/>
  <c r="AB304" i="25"/>
  <c r="Z182" i="25"/>
  <c r="Q304" i="25" l="1"/>
  <c r="P305" i="25" s="1"/>
  <c r="V304" i="25"/>
  <c r="U305" i="25" s="1"/>
  <c r="L60" i="25"/>
  <c r="K61" i="25" s="1"/>
  <c r="Q60" i="25"/>
  <c r="P61" i="25" s="1"/>
  <c r="L304" i="25"/>
  <c r="K305" i="25" s="1"/>
  <c r="G304" i="25"/>
  <c r="G60" i="25"/>
  <c r="F182" i="25"/>
  <c r="AD181" i="25"/>
  <c r="Z61" i="25"/>
  <c r="AC60" i="25"/>
  <c r="AD304" i="25" l="1"/>
  <c r="F305" i="25"/>
  <c r="AB182" i="25"/>
  <c r="AA182" i="25" s="1"/>
  <c r="AD60" i="25"/>
  <c r="F61" i="25"/>
  <c r="L182" i="25" l="1"/>
  <c r="K183" i="25" s="1"/>
  <c r="Q182" i="25"/>
  <c r="G182" i="25"/>
  <c r="AE60" i="25"/>
  <c r="AF60" i="25" s="1"/>
  <c r="AB61" i="25"/>
  <c r="AA61" i="25" s="1"/>
  <c r="Z183" i="25"/>
  <c r="P183" i="25"/>
  <c r="AB305" i="25"/>
  <c r="Q305" i="25" l="1"/>
  <c r="P306" i="25" s="1"/>
  <c r="V305" i="25"/>
  <c r="L61" i="25"/>
  <c r="K62" i="25" s="1"/>
  <c r="Q61" i="25"/>
  <c r="P62" i="25" s="1"/>
  <c r="L305" i="25"/>
  <c r="K306" i="25" s="1"/>
  <c r="G305" i="25"/>
  <c r="G61" i="25"/>
  <c r="AD182" i="25"/>
  <c r="F183" i="25"/>
  <c r="AC61" i="25"/>
  <c r="Z62" i="25"/>
  <c r="U306" i="25"/>
  <c r="F62" i="25" l="1"/>
  <c r="AD61" i="25"/>
  <c r="AD305" i="25"/>
  <c r="F306" i="25"/>
  <c r="AB183" i="25"/>
  <c r="AA183" i="25" s="1"/>
  <c r="L183" i="25" l="1"/>
  <c r="Q183" i="25"/>
  <c r="P184" i="25" s="1"/>
  <c r="G183" i="25"/>
  <c r="K184" i="25"/>
  <c r="Z184" i="25"/>
  <c r="AB62" i="25"/>
  <c r="AA62" i="25" s="1"/>
  <c r="AE61" i="25"/>
  <c r="AF61" i="25" s="1"/>
  <c r="AB306" i="25"/>
  <c r="Q306" i="25" l="1"/>
  <c r="P307" i="25" s="1"/>
  <c r="V306" i="25"/>
  <c r="L62" i="25"/>
  <c r="K63" i="25" s="1"/>
  <c r="Q62" i="25"/>
  <c r="P63" i="25" s="1"/>
  <c r="L306" i="25"/>
  <c r="K307" i="25" s="1"/>
  <c r="G306" i="25"/>
  <c r="G62" i="25"/>
  <c r="AC62" i="25"/>
  <c r="Z63" i="25"/>
  <c r="AD183" i="25"/>
  <c r="F184" i="25"/>
  <c r="U307" i="25"/>
  <c r="AB184" i="25" l="1"/>
  <c r="AA184" i="25" s="1"/>
  <c r="AD62" i="25"/>
  <c r="F63" i="25"/>
  <c r="AD306" i="25"/>
  <c r="F307" i="25"/>
  <c r="L184" i="25" l="1"/>
  <c r="K185" i="25" s="1"/>
  <c r="Q184" i="25"/>
  <c r="P185" i="25" s="1"/>
  <c r="G184" i="25"/>
  <c r="AB307" i="25"/>
  <c r="AE62" i="25"/>
  <c r="AF62" i="25" s="1"/>
  <c r="AB63" i="25"/>
  <c r="AA63" i="25" s="1"/>
  <c r="Z185" i="25"/>
  <c r="Q307" i="25" l="1"/>
  <c r="P308" i="25" s="1"/>
  <c r="V307" i="25"/>
  <c r="U308" i="25" s="1"/>
  <c r="L63" i="25"/>
  <c r="K64" i="25" s="1"/>
  <c r="Q63" i="25"/>
  <c r="P64" i="25" s="1"/>
  <c r="L307" i="25"/>
  <c r="K308" i="25" s="1"/>
  <c r="G63" i="25"/>
  <c r="G307" i="25"/>
  <c r="Z64" i="25"/>
  <c r="AC63" i="25"/>
  <c r="F185" i="25"/>
  <c r="AD184" i="25"/>
  <c r="AB185" i="25" l="1"/>
  <c r="AA185" i="25" s="1"/>
  <c r="F308" i="25"/>
  <c r="AD307" i="25"/>
  <c r="AD63" i="25"/>
  <c r="F64" i="25"/>
  <c r="L185" i="25" l="1"/>
  <c r="K186" i="25" s="1"/>
  <c r="Q185" i="25"/>
  <c r="P186" i="25" s="1"/>
  <c r="G185" i="25"/>
  <c r="AB64" i="25"/>
  <c r="AA64" i="25" s="1"/>
  <c r="AE63" i="25"/>
  <c r="AF63" i="25" s="1"/>
  <c r="AB308" i="25"/>
  <c r="Z186" i="25"/>
  <c r="Q308" i="25" l="1"/>
  <c r="V308" i="25"/>
  <c r="L64" i="25"/>
  <c r="K65" i="25" s="1"/>
  <c r="Q64" i="25"/>
  <c r="P65" i="25" s="1"/>
  <c r="L308" i="25"/>
  <c r="K309" i="25" s="1"/>
  <c r="P309" i="25"/>
  <c r="G64" i="25"/>
  <c r="G308" i="25"/>
  <c r="AC64" i="25"/>
  <c r="Z65" i="25"/>
  <c r="F186" i="25"/>
  <c r="AD185" i="25"/>
  <c r="U309" i="25"/>
  <c r="AB186" i="25" l="1"/>
  <c r="AA186" i="25" s="1"/>
  <c r="AD308" i="25"/>
  <c r="F309" i="25"/>
  <c r="F65" i="25"/>
  <c r="AD64" i="25"/>
  <c r="L186" i="25" l="1"/>
  <c r="Q186" i="25"/>
  <c r="P187" i="25" s="1"/>
  <c r="G186" i="25"/>
  <c r="AE64" i="25"/>
  <c r="AF64" i="25" s="1"/>
  <c r="AB65" i="25"/>
  <c r="AA65" i="25" s="1"/>
  <c r="AB309" i="25"/>
  <c r="Z187" i="25"/>
  <c r="K187" i="25"/>
  <c r="Q309" i="25" l="1"/>
  <c r="P310" i="25" s="1"/>
  <c r="V309" i="25"/>
  <c r="U310" i="25" s="1"/>
  <c r="L309" i="25"/>
  <c r="K310" i="25" s="1"/>
  <c r="L65" i="25"/>
  <c r="K66" i="25" s="1"/>
  <c r="Q65" i="25"/>
  <c r="P66" i="25" s="1"/>
  <c r="G309" i="25"/>
  <c r="G65" i="25"/>
  <c r="AC65" i="25"/>
  <c r="Z66" i="25"/>
  <c r="AD186" i="25"/>
  <c r="F187" i="25"/>
  <c r="AD309" i="25" l="1"/>
  <c r="F310" i="25"/>
  <c r="AB187" i="25"/>
  <c r="AA187" i="25" s="1"/>
  <c r="AD65" i="25"/>
  <c r="F66" i="25"/>
  <c r="L187" i="25" l="1"/>
  <c r="K188" i="25" s="1"/>
  <c r="Q187" i="25"/>
  <c r="P188" i="25" s="1"/>
  <c r="G187" i="25"/>
  <c r="AE65" i="25"/>
  <c r="AF65" i="25" s="1"/>
  <c r="AB66" i="25"/>
  <c r="AA66" i="25" s="1"/>
  <c r="Z188" i="25"/>
  <c r="AB310" i="25"/>
  <c r="Q310" i="25" l="1"/>
  <c r="P311" i="25" s="1"/>
  <c r="V310" i="25"/>
  <c r="L310" i="25"/>
  <c r="K311" i="25" s="1"/>
  <c r="L66" i="25"/>
  <c r="K67" i="25" s="1"/>
  <c r="Q66" i="25"/>
  <c r="P67" i="25" s="1"/>
  <c r="G310" i="25"/>
  <c r="G66" i="25"/>
  <c r="AD187" i="25"/>
  <c r="F188" i="25"/>
  <c r="AC66" i="25"/>
  <c r="Z67" i="25"/>
  <c r="U311" i="25"/>
  <c r="AD66" i="25" l="1"/>
  <c r="F67" i="25"/>
  <c r="AD310" i="25"/>
  <c r="F311" i="25"/>
  <c r="AB188" i="25"/>
  <c r="AA188" i="25" s="1"/>
  <c r="L188" i="25" l="1"/>
  <c r="K189" i="25" s="1"/>
  <c r="Q188" i="25"/>
  <c r="P189" i="25" s="1"/>
  <c r="G188" i="25"/>
  <c r="Z189" i="25"/>
  <c r="AB311" i="25"/>
  <c r="AE66" i="25"/>
  <c r="AF66" i="25" s="1"/>
  <c r="AB67" i="25"/>
  <c r="AA67" i="25" s="1"/>
  <c r="Q311" i="25" l="1"/>
  <c r="V311" i="25"/>
  <c r="U312" i="25" s="1"/>
  <c r="L67" i="25"/>
  <c r="K68" i="25" s="1"/>
  <c r="Q67" i="25"/>
  <c r="P68" i="25" s="1"/>
  <c r="L311" i="25"/>
  <c r="K312" i="25" s="1"/>
  <c r="P312" i="25"/>
  <c r="G67" i="25"/>
  <c r="G311" i="25"/>
  <c r="F189" i="25"/>
  <c r="AD188" i="25"/>
  <c r="AC67" i="25"/>
  <c r="Z68" i="25"/>
  <c r="AB189" i="25" l="1"/>
  <c r="AA189" i="25" s="1"/>
  <c r="AD67" i="25"/>
  <c r="F68" i="25"/>
  <c r="F312" i="25"/>
  <c r="AD311" i="25"/>
  <c r="L189" i="25" l="1"/>
  <c r="K190" i="25" s="1"/>
  <c r="Q189" i="25"/>
  <c r="P190" i="25" s="1"/>
  <c r="G189" i="25"/>
  <c r="AB312" i="25"/>
  <c r="AE67" i="25"/>
  <c r="AF67" i="25" s="1"/>
  <c r="AB68" i="25"/>
  <c r="AA68" i="25" s="1"/>
  <c r="Z190" i="25"/>
  <c r="Q312" i="25" l="1"/>
  <c r="V312" i="25"/>
  <c r="U313" i="25" s="1"/>
  <c r="L68" i="25"/>
  <c r="K69" i="25" s="1"/>
  <c r="Q68" i="25"/>
  <c r="P69" i="25" s="1"/>
  <c r="L312" i="25"/>
  <c r="K313" i="25" s="1"/>
  <c r="P313" i="25"/>
  <c r="G68" i="25"/>
  <c r="G312" i="25"/>
  <c r="AC68" i="25"/>
  <c r="Z69" i="25"/>
  <c r="AD189" i="25"/>
  <c r="F190" i="25"/>
  <c r="AD312" i="25" l="1"/>
  <c r="F313" i="25"/>
  <c r="AB190" i="25"/>
  <c r="AA190" i="25" s="1"/>
  <c r="AD68" i="25"/>
  <c r="F69" i="25"/>
  <c r="L190" i="25" l="1"/>
  <c r="Q190" i="25"/>
  <c r="P191" i="25" s="1"/>
  <c r="G190" i="25"/>
  <c r="K191" i="25"/>
  <c r="AB69" i="25"/>
  <c r="AA69" i="25" s="1"/>
  <c r="AE68" i="25"/>
  <c r="AF68" i="25" s="1"/>
  <c r="Z191" i="25"/>
  <c r="AB313" i="25"/>
  <c r="Q313" i="25" l="1"/>
  <c r="V313" i="25"/>
  <c r="U314" i="25" s="1"/>
  <c r="L69" i="25"/>
  <c r="K70" i="25" s="1"/>
  <c r="Q69" i="25"/>
  <c r="P70" i="25" s="1"/>
  <c r="L313" i="25"/>
  <c r="K314" i="25" s="1"/>
  <c r="P314" i="25"/>
  <c r="G69" i="25"/>
  <c r="G313" i="25"/>
  <c r="AD190" i="25"/>
  <c r="F191" i="25"/>
  <c r="AC69" i="25"/>
  <c r="Z70" i="25"/>
  <c r="AD313" i="25" l="1"/>
  <c r="F314" i="25"/>
  <c r="AB191" i="25"/>
  <c r="AA191" i="25" s="1"/>
  <c r="F70" i="25"/>
  <c r="AD69" i="25"/>
  <c r="L191" i="25" l="1"/>
  <c r="Q191" i="25"/>
  <c r="P192" i="25" s="1"/>
  <c r="G191" i="25"/>
  <c r="AB70" i="25"/>
  <c r="AA70" i="25" s="1"/>
  <c r="AE69" i="25"/>
  <c r="AF69" i="25" s="1"/>
  <c r="K192" i="25"/>
  <c r="Z192" i="25"/>
  <c r="AB314" i="25"/>
  <c r="Q314" i="25" l="1"/>
  <c r="V314" i="25"/>
  <c r="U315" i="25" s="1"/>
  <c r="L70" i="25"/>
  <c r="K71" i="25" s="1"/>
  <c r="Q70" i="25"/>
  <c r="P71" i="25" s="1"/>
  <c r="L314" i="25"/>
  <c r="K315" i="25" s="1"/>
  <c r="P315" i="25"/>
  <c r="G314" i="25"/>
  <c r="G70" i="25"/>
  <c r="AD191" i="25"/>
  <c r="F192" i="25"/>
  <c r="Z71" i="25"/>
  <c r="AC70" i="25"/>
  <c r="F315" i="25" l="1"/>
  <c r="AD314" i="25"/>
  <c r="F71" i="25"/>
  <c r="AD70" i="25"/>
  <c r="AB192" i="25"/>
  <c r="AA192" i="25" s="1"/>
  <c r="L192" i="25" l="1"/>
  <c r="K193" i="25" s="1"/>
  <c r="Q192" i="25"/>
  <c r="P193" i="25" s="1"/>
  <c r="G192" i="25"/>
  <c r="Z193" i="25"/>
  <c r="AE70" i="25"/>
  <c r="AF70" i="25" s="1"/>
  <c r="AB71" i="25"/>
  <c r="AA71" i="25" s="1"/>
  <c r="AB315" i="25"/>
  <c r="Q315" i="25" l="1"/>
  <c r="V315" i="25"/>
  <c r="L71" i="25"/>
  <c r="K72" i="25" s="1"/>
  <c r="Q71" i="25"/>
  <c r="P72" i="25" s="1"/>
  <c r="L315" i="25"/>
  <c r="K316" i="25" s="1"/>
  <c r="G315" i="25"/>
  <c r="G71" i="25"/>
  <c r="F193" i="25"/>
  <c r="AD192" i="25"/>
  <c r="Z72" i="25"/>
  <c r="AC71" i="25"/>
  <c r="P316" i="25"/>
  <c r="U316" i="25"/>
  <c r="AD71" i="25" l="1"/>
  <c r="F72" i="25"/>
  <c r="AD315" i="25"/>
  <c r="F316" i="25"/>
  <c r="AB193" i="25"/>
  <c r="AA193" i="25" s="1"/>
  <c r="L193" i="25" l="1"/>
  <c r="Q193" i="25"/>
  <c r="P194" i="25" s="1"/>
  <c r="G193" i="25"/>
  <c r="AB316" i="25"/>
  <c r="Z194" i="25"/>
  <c r="K194" i="25"/>
  <c r="AE71" i="25"/>
  <c r="AF71" i="25" s="1"/>
  <c r="AB72" i="25"/>
  <c r="AA72" i="25" s="1"/>
  <c r="Q316" i="25" l="1"/>
  <c r="P317" i="25" s="1"/>
  <c r="V316" i="25"/>
  <c r="L316" i="25"/>
  <c r="K317" i="25" s="1"/>
  <c r="L72" i="25"/>
  <c r="K73" i="25" s="1"/>
  <c r="Q72" i="25"/>
  <c r="P73" i="25" s="1"/>
  <c r="G72" i="25"/>
  <c r="G316" i="25"/>
  <c r="AD193" i="25"/>
  <c r="F194" i="25"/>
  <c r="AC72" i="25"/>
  <c r="Z73" i="25"/>
  <c r="U317" i="25"/>
  <c r="F73" i="25" l="1"/>
  <c r="AD72" i="25"/>
  <c r="F317" i="25"/>
  <c r="AD316" i="25"/>
  <c r="AB194" i="25"/>
  <c r="AA194" i="25" s="1"/>
  <c r="L194" i="25" l="1"/>
  <c r="K195" i="25" s="1"/>
  <c r="Q194" i="25"/>
  <c r="P195" i="25" s="1"/>
  <c r="G194" i="25"/>
  <c r="Z195" i="25"/>
  <c r="AB317" i="25"/>
  <c r="AE72" i="25"/>
  <c r="AF72" i="25" s="1"/>
  <c r="AB73" i="25"/>
  <c r="AA73" i="25" s="1"/>
  <c r="Q317" i="25" l="1"/>
  <c r="P318" i="25" s="1"/>
  <c r="V317" i="25"/>
  <c r="U318" i="25" s="1"/>
  <c r="L317" i="25"/>
  <c r="K318" i="25" s="1"/>
  <c r="L73" i="25"/>
  <c r="K74" i="25" s="1"/>
  <c r="Q73" i="25"/>
  <c r="P74" i="25" s="1"/>
  <c r="G73" i="25"/>
  <c r="G317" i="25"/>
  <c r="AC73" i="25"/>
  <c r="Z74" i="25"/>
  <c r="AD194" i="25"/>
  <c r="F195" i="25"/>
  <c r="F318" i="25" l="1"/>
  <c r="AD317" i="25"/>
  <c r="AD73" i="25"/>
  <c r="F74" i="25"/>
  <c r="AB195" i="25"/>
  <c r="AA195" i="25" s="1"/>
  <c r="L195" i="25" l="1"/>
  <c r="K196" i="25" s="1"/>
  <c r="Q195" i="25"/>
  <c r="P196" i="25" s="1"/>
  <c r="G195" i="25"/>
  <c r="Z196" i="25"/>
  <c r="AE73" i="25"/>
  <c r="AF73" i="25" s="1"/>
  <c r="AB74" i="25"/>
  <c r="AA74" i="25" s="1"/>
  <c r="AB318" i="25"/>
  <c r="Q318" i="25" l="1"/>
  <c r="P319" i="25" s="1"/>
  <c r="V318" i="25"/>
  <c r="U319" i="25" s="1"/>
  <c r="L74" i="25"/>
  <c r="K75" i="25" s="1"/>
  <c r="Q74" i="25"/>
  <c r="P75" i="25" s="1"/>
  <c r="L318" i="25"/>
  <c r="K319" i="25" s="1"/>
  <c r="G318" i="25"/>
  <c r="G74" i="25"/>
  <c r="AC74" i="25"/>
  <c r="Z75" i="25"/>
  <c r="AD195" i="25"/>
  <c r="F196" i="25"/>
  <c r="AB196" i="25" l="1"/>
  <c r="AA196" i="25" s="1"/>
  <c r="AD318" i="25"/>
  <c r="F319" i="25"/>
  <c r="AD74" i="25"/>
  <c r="F75" i="25"/>
  <c r="L196" i="25" l="1"/>
  <c r="K197" i="25" s="1"/>
  <c r="Q196" i="25"/>
  <c r="G196" i="25"/>
  <c r="AE74" i="25"/>
  <c r="AF74" i="25" s="1"/>
  <c r="AB75" i="25"/>
  <c r="AA75" i="25" s="1"/>
  <c r="AB319" i="25"/>
  <c r="P197" i="25"/>
  <c r="Z197" i="25"/>
  <c r="Q319" i="25" l="1"/>
  <c r="P320" i="25" s="1"/>
  <c r="V319" i="25"/>
  <c r="U320" i="25" s="1"/>
  <c r="L75" i="25"/>
  <c r="K76" i="25" s="1"/>
  <c r="Q75" i="25"/>
  <c r="P76" i="25" s="1"/>
  <c r="L319" i="25"/>
  <c r="K320" i="25" s="1"/>
  <c r="G319" i="25"/>
  <c r="G75" i="25"/>
  <c r="AD196" i="25"/>
  <c r="F197" i="25"/>
  <c r="AC75" i="25"/>
  <c r="Z76" i="25"/>
  <c r="AD319" i="25" l="1"/>
  <c r="F320" i="25"/>
  <c r="AD75" i="25"/>
  <c r="F76" i="25"/>
  <c r="AB197" i="25"/>
  <c r="AA197" i="25" s="1"/>
  <c r="L197" i="25" l="1"/>
  <c r="K198" i="25" s="1"/>
  <c r="Q197" i="25"/>
  <c r="P198" i="25" s="1"/>
  <c r="G197" i="25"/>
  <c r="AB320" i="25"/>
  <c r="Z198" i="25"/>
  <c r="AE75" i="25"/>
  <c r="AF75" i="25" s="1"/>
  <c r="AB76" i="25"/>
  <c r="AA76" i="25" s="1"/>
  <c r="Q320" i="25" l="1"/>
  <c r="V320" i="25"/>
  <c r="U321" i="25" s="1"/>
  <c r="L320" i="25"/>
  <c r="K321" i="25" s="1"/>
  <c r="P321" i="25"/>
  <c r="L76" i="25"/>
  <c r="K77" i="25" s="1"/>
  <c r="Q76" i="25"/>
  <c r="P77" i="25" s="1"/>
  <c r="G76" i="25"/>
  <c r="G320" i="25"/>
  <c r="Z77" i="25"/>
  <c r="AD197" i="25"/>
  <c r="F198" i="25"/>
  <c r="AD76" i="25" l="1"/>
  <c r="F77" i="25"/>
  <c r="AB198" i="25"/>
  <c r="AA198" i="25" s="1"/>
  <c r="F321" i="25"/>
  <c r="AD320" i="25"/>
  <c r="AC76" i="25"/>
  <c r="L198" i="25" l="1"/>
  <c r="K199" i="25" s="1"/>
  <c r="Q198" i="25"/>
  <c r="P199" i="25" s="1"/>
  <c r="G198" i="25"/>
  <c r="AB321" i="25"/>
  <c r="Z199" i="25"/>
  <c r="AB77" i="25"/>
  <c r="AA77" i="25" s="1"/>
  <c r="AE76" i="25"/>
  <c r="AF76" i="25" s="1"/>
  <c r="Q321" i="25" l="1"/>
  <c r="V321" i="25"/>
  <c r="U322" i="25" s="1"/>
  <c r="L77" i="25"/>
  <c r="K78" i="25" s="1"/>
  <c r="Q77" i="25"/>
  <c r="P78" i="25" s="1"/>
  <c r="L321" i="25"/>
  <c r="K322" i="25" s="1"/>
  <c r="G77" i="25"/>
  <c r="G321" i="25"/>
  <c r="AD198" i="25"/>
  <c r="F199" i="25"/>
  <c r="AC77" i="25"/>
  <c r="Z78" i="25"/>
  <c r="P322" i="25"/>
  <c r="F78" i="25" l="1"/>
  <c r="AD77" i="25"/>
  <c r="AD321" i="25"/>
  <c r="F322" i="25"/>
  <c r="AB199" i="25"/>
  <c r="AA199" i="25" s="1"/>
  <c r="L199" i="25" l="1"/>
  <c r="K200" i="25" s="1"/>
  <c r="Q199" i="25"/>
  <c r="P200" i="25" s="1"/>
  <c r="G199" i="25"/>
  <c r="Z200" i="25"/>
  <c r="AB78" i="25"/>
  <c r="AA78" i="25" s="1"/>
  <c r="AE77" i="25"/>
  <c r="AF77" i="25" s="1"/>
  <c r="AB322" i="25"/>
  <c r="Q322" i="25" l="1"/>
  <c r="P323" i="25" s="1"/>
  <c r="V322" i="25"/>
  <c r="U323" i="25" s="1"/>
  <c r="L78" i="25"/>
  <c r="K79" i="25" s="1"/>
  <c r="Q78" i="25"/>
  <c r="P79" i="25" s="1"/>
  <c r="L322" i="25"/>
  <c r="K323" i="25" s="1"/>
  <c r="G322" i="25"/>
  <c r="G78" i="25"/>
  <c r="Z79" i="25"/>
  <c r="AC78" i="25"/>
  <c r="AD199" i="25"/>
  <c r="F200" i="25"/>
  <c r="AD322" i="25" l="1"/>
  <c r="F323" i="25"/>
  <c r="AB200" i="25"/>
  <c r="AA200" i="25" s="1"/>
  <c r="AD78" i="25"/>
  <c r="F79" i="25"/>
  <c r="L200" i="25" l="1"/>
  <c r="K201" i="25" s="1"/>
  <c r="Q200" i="25"/>
  <c r="G200" i="25"/>
  <c r="AB323" i="25"/>
  <c r="AE78" i="25"/>
  <c r="AF78" i="25" s="1"/>
  <c r="AB79" i="25"/>
  <c r="AA79" i="25" s="1"/>
  <c r="Z201" i="25"/>
  <c r="P201" i="25"/>
  <c r="Q323" i="25" l="1"/>
  <c r="P324" i="25" s="1"/>
  <c r="V323" i="25"/>
  <c r="U324" i="25" s="1"/>
  <c r="L79" i="25"/>
  <c r="K80" i="25" s="1"/>
  <c r="Q79" i="25"/>
  <c r="P80" i="25" s="1"/>
  <c r="L323" i="25"/>
  <c r="K324" i="25" s="1"/>
  <c r="G323" i="25"/>
  <c r="G79" i="25"/>
  <c r="Z80" i="25"/>
  <c r="AC79" i="25"/>
  <c r="F201" i="25"/>
  <c r="AD200" i="25"/>
  <c r="F324" i="25" l="1"/>
  <c r="AD323" i="25"/>
  <c r="AD79" i="25"/>
  <c r="F80" i="25"/>
  <c r="AB201" i="25"/>
  <c r="AA201" i="25" s="1"/>
  <c r="L201" i="25" l="1"/>
  <c r="K202" i="25" s="1"/>
  <c r="Q201" i="25"/>
  <c r="P202" i="25" s="1"/>
  <c r="G201" i="25"/>
  <c r="Z202" i="25"/>
  <c r="AB80" i="25"/>
  <c r="AA80" i="25" s="1"/>
  <c r="AE79" i="25"/>
  <c r="AF79" i="25" s="1"/>
  <c r="AB324" i="25"/>
  <c r="Q324" i="25" l="1"/>
  <c r="P325" i="25" s="1"/>
  <c r="V324" i="25"/>
  <c r="U325" i="25" s="1"/>
  <c r="L80" i="25"/>
  <c r="K81" i="25" s="1"/>
  <c r="Q80" i="25"/>
  <c r="P81" i="25" s="1"/>
  <c r="L324" i="25"/>
  <c r="K325" i="25" s="1"/>
  <c r="G80" i="25"/>
  <c r="G324" i="25"/>
  <c r="AC80" i="25"/>
  <c r="Z81" i="25"/>
  <c r="AD201" i="25"/>
  <c r="F202" i="25"/>
  <c r="AB202" i="25" l="1"/>
  <c r="AA202" i="25" s="1"/>
  <c r="F81" i="25"/>
  <c r="AD80" i="25"/>
  <c r="F325" i="25"/>
  <c r="AD324" i="25"/>
  <c r="L202" i="25" l="1"/>
  <c r="K203" i="25" s="1"/>
  <c r="Q202" i="25"/>
  <c r="P203" i="25" s="1"/>
  <c r="G202" i="25"/>
  <c r="AB325" i="25"/>
  <c r="Z203" i="25"/>
  <c r="AE80" i="25"/>
  <c r="AF80" i="25" s="1"/>
  <c r="AB81" i="25"/>
  <c r="AA81" i="25" s="1"/>
  <c r="Q325" i="25" l="1"/>
  <c r="V325" i="25"/>
  <c r="L325" i="25"/>
  <c r="K326" i="25" s="1"/>
  <c r="L81" i="25"/>
  <c r="Q81" i="25"/>
  <c r="P82" i="25" s="1"/>
  <c r="G325" i="25"/>
  <c r="G81" i="25"/>
  <c r="K82" i="25"/>
  <c r="Z82" i="25"/>
  <c r="AC81" i="25"/>
  <c r="AD202" i="25"/>
  <c r="F203" i="25"/>
  <c r="P326" i="25"/>
  <c r="U326" i="25"/>
  <c r="AB203" i="25" l="1"/>
  <c r="AA203" i="25" s="1"/>
  <c r="AD325" i="25"/>
  <c r="F326" i="25"/>
  <c r="AD81" i="25"/>
  <c r="F82" i="25"/>
  <c r="L203" i="25" l="1"/>
  <c r="K204" i="25" s="1"/>
  <c r="Q203" i="25"/>
  <c r="P204" i="25" s="1"/>
  <c r="G203" i="25"/>
  <c r="AE81" i="25"/>
  <c r="AF81" i="25" s="1"/>
  <c r="AB82" i="25"/>
  <c r="AA82" i="25" s="1"/>
  <c r="Z204" i="25"/>
  <c r="AB326" i="25"/>
  <c r="Q326" i="25" l="1"/>
  <c r="P327" i="25" s="1"/>
  <c r="V326" i="25"/>
  <c r="U327" i="25" s="1"/>
  <c r="L326" i="25"/>
  <c r="K327" i="25" s="1"/>
  <c r="L82" i="25"/>
  <c r="K83" i="25" s="1"/>
  <c r="Q82" i="25"/>
  <c r="P83" i="25" s="1"/>
  <c r="G326" i="25"/>
  <c r="G82" i="25"/>
  <c r="AD203" i="25"/>
  <c r="F204" i="25"/>
  <c r="AC82" i="25"/>
  <c r="Z83" i="25"/>
  <c r="AD82" i="25" l="1"/>
  <c r="F83" i="25"/>
  <c r="AD326" i="25"/>
  <c r="F327" i="25"/>
  <c r="AB204" i="25"/>
  <c r="AA204" i="25" s="1"/>
  <c r="L204" i="25" l="1"/>
  <c r="K205" i="25" s="1"/>
  <c r="Q204" i="25"/>
  <c r="P205" i="25" s="1"/>
  <c r="G204" i="25"/>
  <c r="AB327" i="25"/>
  <c r="Z205" i="25"/>
  <c r="AE82" i="25"/>
  <c r="AF82" i="25" s="1"/>
  <c r="AB83" i="25"/>
  <c r="AA83" i="25" s="1"/>
  <c r="Q327" i="25" l="1"/>
  <c r="P328" i="25" s="1"/>
  <c r="V327" i="25"/>
  <c r="L327" i="25"/>
  <c r="K328" i="25" s="1"/>
  <c r="L83" i="25"/>
  <c r="K84" i="25" s="1"/>
  <c r="Q83" i="25"/>
  <c r="P84" i="25" s="1"/>
  <c r="G83" i="25"/>
  <c r="G327" i="25"/>
  <c r="AD204" i="25"/>
  <c r="F205" i="25"/>
  <c r="AC83" i="25"/>
  <c r="Z84" i="25"/>
  <c r="U328" i="25"/>
  <c r="AD327" i="25" l="1"/>
  <c r="F328" i="25"/>
  <c r="AD83" i="25"/>
  <c r="F84" i="25"/>
  <c r="AB205" i="25"/>
  <c r="AA205" i="25" s="1"/>
  <c r="L205" i="25" l="1"/>
  <c r="K206" i="25" s="1"/>
  <c r="Q205" i="25"/>
  <c r="G205" i="25"/>
  <c r="AB328" i="25"/>
  <c r="Z206" i="25"/>
  <c r="P206" i="25"/>
  <c r="AE83" i="25"/>
  <c r="AF83" i="25" s="1"/>
  <c r="AB84" i="25"/>
  <c r="AA84" i="25" s="1"/>
  <c r="Q328" i="25" l="1"/>
  <c r="P329" i="25" s="1"/>
  <c r="V328" i="25"/>
  <c r="U329" i="25" s="1"/>
  <c r="L328" i="25"/>
  <c r="K329" i="25" s="1"/>
  <c r="L84" i="25"/>
  <c r="K85" i="25" s="1"/>
  <c r="Q84" i="25"/>
  <c r="P85" i="25" s="1"/>
  <c r="G328" i="25"/>
  <c r="G84" i="25"/>
  <c r="AC84" i="25"/>
  <c r="Z85" i="25"/>
  <c r="AD205" i="25"/>
  <c r="F206" i="25"/>
  <c r="AB206" i="25" l="1"/>
  <c r="AA206" i="25" s="1"/>
  <c r="F329" i="25"/>
  <c r="AD328" i="25"/>
  <c r="AD84" i="25"/>
  <c r="F85" i="25"/>
  <c r="L206" i="25" l="1"/>
  <c r="K207" i="25" s="1"/>
  <c r="Q206" i="25"/>
  <c r="P207" i="25" s="1"/>
  <c r="G206" i="25"/>
  <c r="AB85" i="25"/>
  <c r="AA85" i="25" s="1"/>
  <c r="AE84" i="25"/>
  <c r="AF84" i="25" s="1"/>
  <c r="AB329" i="25"/>
  <c r="Z207" i="25"/>
  <c r="Q329" i="25" l="1"/>
  <c r="P330" i="25" s="1"/>
  <c r="V329" i="25"/>
  <c r="U330" i="25" s="1"/>
  <c r="L329" i="25"/>
  <c r="K330" i="25" s="1"/>
  <c r="L85" i="25"/>
  <c r="K86" i="25" s="1"/>
  <c r="Q85" i="25"/>
  <c r="P86" i="25" s="1"/>
  <c r="G85" i="25"/>
  <c r="G329" i="25"/>
  <c r="AC85" i="25"/>
  <c r="Z86" i="25"/>
  <c r="AD206" i="25"/>
  <c r="F207" i="25"/>
  <c r="AB207" i="25" l="1"/>
  <c r="AA207" i="25" s="1"/>
  <c r="F330" i="25"/>
  <c r="AD329" i="25"/>
  <c r="F86" i="25"/>
  <c r="AD85" i="25"/>
  <c r="L207" i="25" l="1"/>
  <c r="K208" i="25" s="1"/>
  <c r="Q207" i="25"/>
  <c r="P208" i="25" s="1"/>
  <c r="G207" i="25"/>
  <c r="AB330" i="25"/>
  <c r="AB86" i="25"/>
  <c r="AA86" i="25" s="1"/>
  <c r="AE85" i="25"/>
  <c r="AF85" i="25" s="1"/>
  <c r="Z208" i="25"/>
  <c r="Q330" i="25" l="1"/>
  <c r="P331" i="25" s="1"/>
  <c r="V330" i="25"/>
  <c r="U331" i="25" s="1"/>
  <c r="L330" i="25"/>
  <c r="K331" i="25" s="1"/>
  <c r="L86" i="25"/>
  <c r="K87" i="25" s="1"/>
  <c r="Q86" i="25"/>
  <c r="P87" i="25" s="1"/>
  <c r="G86" i="25"/>
  <c r="G330" i="25"/>
  <c r="AD207" i="25"/>
  <c r="F208" i="25"/>
  <c r="Z87" i="25"/>
  <c r="AC86" i="25"/>
  <c r="AD86" i="25" l="1"/>
  <c r="F87" i="25"/>
  <c r="AD330" i="25"/>
  <c r="F331" i="25"/>
  <c r="AB208" i="25"/>
  <c r="AA208" i="25" s="1"/>
  <c r="L208" i="25" l="1"/>
  <c r="K209" i="25" s="1"/>
  <c r="Q208" i="25"/>
  <c r="P209" i="25" s="1"/>
  <c r="G208" i="25"/>
  <c r="Z209" i="25"/>
  <c r="AB331" i="25"/>
  <c r="AE86" i="25"/>
  <c r="AF86" i="25" s="1"/>
  <c r="AB87" i="25"/>
  <c r="AA87" i="25" s="1"/>
  <c r="Q331" i="25" l="1"/>
  <c r="P332" i="25" s="1"/>
  <c r="V331" i="25"/>
  <c r="U332" i="25" s="1"/>
  <c r="L331" i="25"/>
  <c r="K332" i="25" s="1"/>
  <c r="L87" i="25"/>
  <c r="K88" i="25" s="1"/>
  <c r="Q87" i="25"/>
  <c r="P88" i="25" s="1"/>
  <c r="G87" i="25"/>
  <c r="G331" i="25"/>
  <c r="Z88" i="25"/>
  <c r="AC87" i="25"/>
  <c r="F209" i="25"/>
  <c r="AD208" i="25"/>
  <c r="AD87" i="25" l="1"/>
  <c r="F88" i="25"/>
  <c r="F332" i="25"/>
  <c r="AD331" i="25"/>
  <c r="AB209" i="25"/>
  <c r="AA209" i="25" s="1"/>
  <c r="L209" i="25" l="1"/>
  <c r="K210" i="25" s="1"/>
  <c r="Q209" i="25"/>
  <c r="P210" i="25" s="1"/>
  <c r="G209" i="25"/>
  <c r="Z210" i="25"/>
  <c r="AB332" i="25"/>
  <c r="AB88" i="25"/>
  <c r="AA88" i="25" s="1"/>
  <c r="AE87" i="25"/>
  <c r="AF87" i="25" s="1"/>
  <c r="Q332" i="25" l="1"/>
  <c r="P333" i="25" s="1"/>
  <c r="V332" i="25"/>
  <c r="U333" i="25" s="1"/>
  <c r="L332" i="25"/>
  <c r="K333" i="25" s="1"/>
  <c r="L88" i="25"/>
  <c r="K89" i="25" s="1"/>
  <c r="Q88" i="25"/>
  <c r="P89" i="25" s="1"/>
  <c r="G332" i="25"/>
  <c r="G88" i="25"/>
  <c r="F210" i="25"/>
  <c r="AD209" i="25"/>
  <c r="AC88" i="25"/>
  <c r="Z89" i="25"/>
  <c r="AB210" i="25" l="1"/>
  <c r="AA210" i="25" s="1"/>
  <c r="F89" i="25"/>
  <c r="AD88" i="25"/>
  <c r="AD332" i="25"/>
  <c r="F333" i="25"/>
  <c r="L210" i="25" l="1"/>
  <c r="K211" i="25" s="1"/>
  <c r="Q210" i="25"/>
  <c r="P211" i="25" s="1"/>
  <c r="G210" i="25"/>
  <c r="AB333" i="25"/>
  <c r="Z211" i="25"/>
  <c r="AE88" i="25"/>
  <c r="AF88" i="25" s="1"/>
  <c r="AB89" i="25"/>
  <c r="AA89" i="25" s="1"/>
  <c r="Q333" i="25" l="1"/>
  <c r="P334" i="25" s="1"/>
  <c r="V333" i="25"/>
  <c r="U334" i="25" s="1"/>
  <c r="L333" i="25"/>
  <c r="K334" i="25" s="1"/>
  <c r="L89" i="25"/>
  <c r="K90" i="25" s="1"/>
  <c r="Q89" i="25"/>
  <c r="P90" i="25" s="1"/>
  <c r="G89" i="25"/>
  <c r="G333" i="25"/>
  <c r="AD210" i="25"/>
  <c r="F211" i="25"/>
  <c r="AC89" i="25"/>
  <c r="Z90" i="25"/>
  <c r="AD333" i="25" l="1"/>
  <c r="F334" i="25"/>
  <c r="AB211" i="25"/>
  <c r="AA211" i="25" s="1"/>
  <c r="AD89" i="25"/>
  <c r="F90" i="25"/>
  <c r="L211" i="25" l="1"/>
  <c r="K212" i="25" s="1"/>
  <c r="Q211" i="25"/>
  <c r="G211" i="25"/>
  <c r="AE89" i="25"/>
  <c r="AF89" i="25" s="1"/>
  <c r="AB90" i="25"/>
  <c r="AA90" i="25" s="1"/>
  <c r="AB334" i="25"/>
  <c r="P212" i="25"/>
  <c r="Z212" i="25"/>
  <c r="Q334" i="25" l="1"/>
  <c r="P335" i="25" s="1"/>
  <c r="V334" i="25"/>
  <c r="U335" i="25" s="1"/>
  <c r="L90" i="25"/>
  <c r="K91" i="25" s="1"/>
  <c r="Q90" i="25"/>
  <c r="P91" i="25" s="1"/>
  <c r="L334" i="25"/>
  <c r="K335" i="25" s="1"/>
  <c r="G90" i="25"/>
  <c r="G334" i="25"/>
  <c r="AD211" i="25"/>
  <c r="F212" i="25"/>
  <c r="AC90" i="25"/>
  <c r="Z91" i="25"/>
  <c r="AD334" i="25" l="1"/>
  <c r="F335" i="25"/>
  <c r="AD90" i="25"/>
  <c r="F91" i="25"/>
  <c r="AB212" i="25"/>
  <c r="AA212" i="25" s="1"/>
  <c r="L212" i="25" l="1"/>
  <c r="K213" i="25" s="1"/>
  <c r="Q212" i="25"/>
  <c r="P213" i="25" s="1"/>
  <c r="G212" i="25"/>
  <c r="Z213" i="25"/>
  <c r="AE90" i="25"/>
  <c r="AF90" i="25" s="1"/>
  <c r="AB91" i="25"/>
  <c r="AA91" i="25" s="1"/>
  <c r="AB335" i="25"/>
  <c r="Q335" i="25" l="1"/>
  <c r="P336" i="25" s="1"/>
  <c r="V335" i="25"/>
  <c r="U336" i="25" s="1"/>
  <c r="L91" i="25"/>
  <c r="K92" i="25" s="1"/>
  <c r="Q91" i="25"/>
  <c r="P92" i="25" s="1"/>
  <c r="L335" i="25"/>
  <c r="K336" i="25" s="1"/>
  <c r="G91" i="25"/>
  <c r="G335" i="25"/>
  <c r="AC91" i="25"/>
  <c r="Z92" i="25"/>
  <c r="AD212" i="25"/>
  <c r="F213" i="25"/>
  <c r="AD91" i="25" l="1"/>
  <c r="F92" i="25"/>
  <c r="AB213" i="25"/>
  <c r="AA213" i="25" s="1"/>
  <c r="AD335" i="25"/>
  <c r="F336" i="25"/>
  <c r="L213" i="25" l="1"/>
  <c r="K214" i="25" s="1"/>
  <c r="Q213" i="25"/>
  <c r="P214" i="25" s="1"/>
  <c r="G213" i="25"/>
  <c r="Z214" i="25"/>
  <c r="AB336" i="25"/>
  <c r="AE91" i="25"/>
  <c r="AF91" i="25" s="1"/>
  <c r="AB92" i="25"/>
  <c r="AA92" i="25" s="1"/>
  <c r="Q336" i="25" l="1"/>
  <c r="P337" i="25" s="1"/>
  <c r="V336" i="25"/>
  <c r="U337" i="25" s="1"/>
  <c r="L336" i="25"/>
  <c r="K337" i="25" s="1"/>
  <c r="L92" i="25"/>
  <c r="K93" i="25" s="1"/>
  <c r="Q92" i="25"/>
  <c r="P93" i="25" s="1"/>
  <c r="G92" i="25"/>
  <c r="G336" i="25"/>
  <c r="AD213" i="25"/>
  <c r="F214" i="25"/>
  <c r="AC92" i="25"/>
  <c r="Z93" i="25"/>
  <c r="AB214" i="25" l="1"/>
  <c r="AA214" i="25" s="1"/>
  <c r="AD336" i="25"/>
  <c r="F337" i="25"/>
  <c r="AD92" i="25"/>
  <c r="F93" i="25"/>
  <c r="L214" i="25" l="1"/>
  <c r="Q214" i="25"/>
  <c r="P215" i="25" s="1"/>
  <c r="G214" i="25"/>
  <c r="AB93" i="25"/>
  <c r="AA93" i="25" s="1"/>
  <c r="AE92" i="25"/>
  <c r="AF92" i="25" s="1"/>
  <c r="K215" i="25"/>
  <c r="Z215" i="25"/>
  <c r="AB337" i="25"/>
  <c r="Q337" i="25" l="1"/>
  <c r="P338" i="25" s="1"/>
  <c r="V337" i="25"/>
  <c r="L93" i="25"/>
  <c r="K94" i="25" s="1"/>
  <c r="Q93" i="25"/>
  <c r="P94" i="25" s="1"/>
  <c r="L337" i="25"/>
  <c r="K338" i="25" s="1"/>
  <c r="G337" i="25"/>
  <c r="G93" i="25"/>
  <c r="AC93" i="25"/>
  <c r="Z94" i="25"/>
  <c r="AD214" i="25"/>
  <c r="F215" i="25"/>
  <c r="U338" i="25"/>
  <c r="AB215" i="25" l="1"/>
  <c r="AA215" i="25" s="1"/>
  <c r="AD337" i="25"/>
  <c r="F338" i="25"/>
  <c r="F94" i="25"/>
  <c r="AD93" i="25"/>
  <c r="L215" i="25" l="1"/>
  <c r="K216" i="25" s="1"/>
  <c r="Q215" i="25"/>
  <c r="G215" i="25"/>
  <c r="AB94" i="25"/>
  <c r="AA94" i="25" s="1"/>
  <c r="AE93" i="25"/>
  <c r="AF93" i="25" s="1"/>
  <c r="AB338" i="25"/>
  <c r="Z216" i="25"/>
  <c r="P216" i="25"/>
  <c r="Q338" i="25" l="1"/>
  <c r="P339" i="25" s="1"/>
  <c r="V338" i="25"/>
  <c r="U339" i="25" s="1"/>
  <c r="L338" i="25"/>
  <c r="K339" i="25" s="1"/>
  <c r="L94" i="25"/>
  <c r="K95" i="25" s="1"/>
  <c r="Q94" i="25"/>
  <c r="P95" i="25" s="1"/>
  <c r="G94" i="25"/>
  <c r="G338" i="25"/>
  <c r="AD215" i="25"/>
  <c r="F216" i="25"/>
  <c r="Z95" i="25"/>
  <c r="AD94" i="25" l="1"/>
  <c r="F95" i="25"/>
  <c r="AC94" i="25"/>
  <c r="AD338" i="25"/>
  <c r="F339" i="25"/>
  <c r="AB216" i="25"/>
  <c r="AA216" i="25" s="1"/>
  <c r="L216" i="25" l="1"/>
  <c r="K217" i="25" s="1"/>
  <c r="Q216" i="25"/>
  <c r="P217" i="25" s="1"/>
  <c r="G216" i="25"/>
  <c r="Z217" i="25"/>
  <c r="AB339" i="25"/>
  <c r="AE94" i="25"/>
  <c r="AF94" i="25" s="1"/>
  <c r="AB95" i="25"/>
  <c r="AA95" i="25" s="1"/>
  <c r="Q339" i="25" l="1"/>
  <c r="P340" i="25" s="1"/>
  <c r="V339" i="25"/>
  <c r="U340" i="25" s="1"/>
  <c r="L339" i="25"/>
  <c r="K340" i="25" s="1"/>
  <c r="L95" i="25"/>
  <c r="K96" i="25" s="1"/>
  <c r="Q95" i="25"/>
  <c r="P96" i="25" s="1"/>
  <c r="G95" i="25"/>
  <c r="G339" i="25"/>
  <c r="F217" i="25"/>
  <c r="AD216" i="25"/>
  <c r="Z96" i="25"/>
  <c r="AC95" i="25"/>
  <c r="AB217" i="25" l="1"/>
  <c r="AA217" i="25" s="1"/>
  <c r="AD339" i="25"/>
  <c r="F340" i="25"/>
  <c r="AD95" i="25"/>
  <c r="F96" i="25"/>
  <c r="L217" i="25" l="1"/>
  <c r="K218" i="25" s="1"/>
  <c r="Q217" i="25"/>
  <c r="P218" i="25" s="1"/>
  <c r="G217" i="25"/>
  <c r="AE95" i="25"/>
  <c r="AF95" i="25" s="1"/>
  <c r="AB96" i="25"/>
  <c r="AA96" i="25" s="1"/>
  <c r="AB340" i="25"/>
  <c r="Z218" i="25"/>
  <c r="Q340" i="25" l="1"/>
  <c r="P341" i="25" s="1"/>
  <c r="V340" i="25"/>
  <c r="U341" i="25" s="1"/>
  <c r="L340" i="25"/>
  <c r="K341" i="25" s="1"/>
  <c r="L96" i="25"/>
  <c r="K97" i="25" s="1"/>
  <c r="Q96" i="25"/>
  <c r="P97" i="25" s="1"/>
  <c r="G340" i="25"/>
  <c r="G96" i="25"/>
  <c r="AC96" i="25"/>
  <c r="Z97" i="25"/>
  <c r="AD217" i="25"/>
  <c r="F218" i="25"/>
  <c r="F341" i="25" l="1"/>
  <c r="AD340" i="25"/>
  <c r="AB218" i="25"/>
  <c r="AA218" i="25" s="1"/>
  <c r="F97" i="25"/>
  <c r="AD96" i="25"/>
  <c r="L218" i="25" l="1"/>
  <c r="K219" i="25" s="1"/>
  <c r="Q218" i="25"/>
  <c r="P219" i="25" s="1"/>
  <c r="G218" i="25"/>
  <c r="AE96" i="25"/>
  <c r="AF96" i="25" s="1"/>
  <c r="AB97" i="25"/>
  <c r="AA97" i="25" s="1"/>
  <c r="AB341" i="25"/>
  <c r="Z219" i="25"/>
  <c r="Q341" i="25" l="1"/>
  <c r="P342" i="25" s="1"/>
  <c r="V341" i="25"/>
  <c r="U342" i="25" s="1"/>
  <c r="L341" i="25"/>
  <c r="K342" i="25" s="1"/>
  <c r="L97" i="25"/>
  <c r="K98" i="25" s="1"/>
  <c r="Q97" i="25"/>
  <c r="P98" i="25" s="1"/>
  <c r="G97" i="25"/>
  <c r="G341" i="25"/>
  <c r="F219" i="25"/>
  <c r="AD218" i="25"/>
  <c r="AC97" i="25"/>
  <c r="Z98" i="25"/>
  <c r="AD341" i="25" l="1"/>
  <c r="F342" i="25"/>
  <c r="AD97" i="25"/>
  <c r="F98" i="25"/>
  <c r="AB219" i="25"/>
  <c r="AA219" i="25" s="1"/>
  <c r="L219" i="25" l="1"/>
  <c r="K220" i="25" s="1"/>
  <c r="Q219" i="25"/>
  <c r="P220" i="25" s="1"/>
  <c r="G219" i="25"/>
  <c r="Z220" i="25"/>
  <c r="AE97" i="25"/>
  <c r="AF97" i="25" s="1"/>
  <c r="AB98" i="25"/>
  <c r="AA98" i="25" s="1"/>
  <c r="AB342" i="25"/>
  <c r="Q342" i="25" l="1"/>
  <c r="P343" i="25" s="1"/>
  <c r="V342" i="25"/>
  <c r="U343" i="25" s="1"/>
  <c r="L342" i="25"/>
  <c r="K343" i="25" s="1"/>
  <c r="L98" i="25"/>
  <c r="K99" i="25" s="1"/>
  <c r="Q98" i="25"/>
  <c r="P99" i="25" s="1"/>
  <c r="G342" i="25"/>
  <c r="G98" i="25"/>
  <c r="AC98" i="25"/>
  <c r="Z99" i="25"/>
  <c r="F220" i="25"/>
  <c r="AD219" i="25"/>
  <c r="AB220" i="25" l="1"/>
  <c r="AA220" i="25" s="1"/>
  <c r="F343" i="25"/>
  <c r="AD342" i="25"/>
  <c r="AD98" i="25"/>
  <c r="F99" i="25"/>
  <c r="L220" i="25" l="1"/>
  <c r="K221" i="25" s="1"/>
  <c r="Q220" i="25"/>
  <c r="G220" i="25"/>
  <c r="AE98" i="25"/>
  <c r="AF98" i="25" s="1"/>
  <c r="AB99" i="25"/>
  <c r="AA99" i="25" s="1"/>
  <c r="Z221" i="25"/>
  <c r="P221" i="25"/>
  <c r="AB343" i="25"/>
  <c r="Q343" i="25" l="1"/>
  <c r="V343" i="25"/>
  <c r="L343" i="25"/>
  <c r="K344" i="25" s="1"/>
  <c r="L99" i="25"/>
  <c r="K100" i="25" s="1"/>
  <c r="Q99" i="25"/>
  <c r="P100" i="25" s="1"/>
  <c r="G99" i="25"/>
  <c r="G343" i="25"/>
  <c r="U344" i="25"/>
  <c r="P344" i="25"/>
  <c r="AD220" i="25"/>
  <c r="F221" i="25"/>
  <c r="AC99" i="25"/>
  <c r="Z100" i="25"/>
  <c r="AB221" i="25" l="1"/>
  <c r="AA221" i="25" s="1"/>
  <c r="F344" i="25"/>
  <c r="AD343" i="25"/>
  <c r="AD99" i="25"/>
  <c r="F100" i="25"/>
  <c r="L221" i="25" l="1"/>
  <c r="K222" i="25" s="1"/>
  <c r="Q221" i="25"/>
  <c r="G221" i="25"/>
  <c r="AB344" i="25"/>
  <c r="P222" i="25"/>
  <c r="Z222" i="25"/>
  <c r="AE99" i="25"/>
  <c r="AF99" i="25" s="1"/>
  <c r="AB100" i="25"/>
  <c r="AA100" i="25" s="1"/>
  <c r="Q344" i="25" l="1"/>
  <c r="P345" i="25" s="1"/>
  <c r="V344" i="25"/>
  <c r="L100" i="25"/>
  <c r="K101" i="25" s="1"/>
  <c r="Q100" i="25"/>
  <c r="P101" i="25" s="1"/>
  <c r="L344" i="25"/>
  <c r="K345" i="25" s="1"/>
  <c r="G100" i="25"/>
  <c r="G344" i="25"/>
  <c r="AD221" i="25"/>
  <c r="F222" i="25"/>
  <c r="AC100" i="25"/>
  <c r="Z101" i="25"/>
  <c r="U345" i="25"/>
  <c r="AD344" i="25" l="1"/>
  <c r="F345" i="25"/>
  <c r="AD100" i="25"/>
  <c r="F101" i="25"/>
  <c r="AB222" i="25"/>
  <c r="AA222" i="25" s="1"/>
  <c r="L222" i="25" l="1"/>
  <c r="K223" i="25" s="1"/>
  <c r="Q222" i="25"/>
  <c r="P223" i="25" s="1"/>
  <c r="G222" i="25"/>
  <c r="AB345" i="25"/>
  <c r="Z223" i="25"/>
  <c r="AB101" i="25"/>
  <c r="AA101" i="25" s="1"/>
  <c r="AE100" i="25"/>
  <c r="AF100" i="25" s="1"/>
  <c r="Q345" i="25" l="1"/>
  <c r="P346" i="25" s="1"/>
  <c r="V345" i="25"/>
  <c r="U346" i="25" s="1"/>
  <c r="L101" i="25"/>
  <c r="K102" i="25" s="1"/>
  <c r="Q101" i="25"/>
  <c r="P102" i="25" s="1"/>
  <c r="L345" i="25"/>
  <c r="K346" i="25" s="1"/>
  <c r="G101" i="25"/>
  <c r="G345" i="25"/>
  <c r="AC101" i="25"/>
  <c r="Z102" i="25"/>
  <c r="F223" i="25"/>
  <c r="AD222" i="25"/>
  <c r="AB223" i="25" l="1"/>
  <c r="AA223" i="25" s="1"/>
  <c r="F102" i="25"/>
  <c r="AD101" i="25"/>
  <c r="AD345" i="25"/>
  <c r="F346" i="25"/>
  <c r="L223" i="25" l="1"/>
  <c r="K224" i="25" s="1"/>
  <c r="Q223" i="25"/>
  <c r="P224" i="25" s="1"/>
  <c r="G223" i="25"/>
  <c r="AB346" i="25"/>
  <c r="AB102" i="25"/>
  <c r="AA102" i="25" s="1"/>
  <c r="AE101" i="25"/>
  <c r="AF101" i="25" s="1"/>
  <c r="Z224" i="25"/>
  <c r="Q346" i="25" l="1"/>
  <c r="P347" i="25" s="1"/>
  <c r="V346" i="25"/>
  <c r="U347" i="25" s="1"/>
  <c r="L346" i="25"/>
  <c r="K347" i="25" s="1"/>
  <c r="L102" i="25"/>
  <c r="K103" i="25" s="1"/>
  <c r="Q102" i="25"/>
  <c r="P103" i="25" s="1"/>
  <c r="G102" i="25"/>
  <c r="G346" i="25"/>
  <c r="Z103" i="25"/>
  <c r="AC102" i="25"/>
  <c r="AD223" i="25"/>
  <c r="F224" i="25"/>
  <c r="F347" i="25" l="1"/>
  <c r="AD346" i="25"/>
  <c r="AB224" i="25"/>
  <c r="AA224" i="25" s="1"/>
  <c r="AD102" i="25"/>
  <c r="F103" i="25"/>
  <c r="L224" i="25" l="1"/>
  <c r="K225" i="25" s="1"/>
  <c r="Q224" i="25"/>
  <c r="P225" i="25" s="1"/>
  <c r="G224" i="25"/>
  <c r="AE102" i="25"/>
  <c r="AF102" i="25" s="1"/>
  <c r="AB103" i="25"/>
  <c r="AA103" i="25" s="1"/>
  <c r="AB347" i="25"/>
  <c r="Z225" i="25"/>
  <c r="Q347" i="25" l="1"/>
  <c r="P348" i="25" s="1"/>
  <c r="V347" i="25"/>
  <c r="U348" i="25" s="1"/>
  <c r="L347" i="25"/>
  <c r="K348" i="25" s="1"/>
  <c r="L103" i="25"/>
  <c r="K104" i="25" s="1"/>
  <c r="Q103" i="25"/>
  <c r="P104" i="25" s="1"/>
  <c r="G347" i="25"/>
  <c r="G103" i="25"/>
  <c r="Z104" i="25"/>
  <c r="AC103" i="25"/>
  <c r="AD224" i="25"/>
  <c r="F225" i="25"/>
  <c r="F348" i="25" l="1"/>
  <c r="AD347" i="25"/>
  <c r="AB225" i="25"/>
  <c r="AA225" i="25" s="1"/>
  <c r="AD103" i="25"/>
  <c r="F104" i="25"/>
  <c r="L225" i="25" l="1"/>
  <c r="K226" i="25" s="1"/>
  <c r="Q225" i="25"/>
  <c r="P226" i="25" s="1"/>
  <c r="G225" i="25"/>
  <c r="AB104" i="25"/>
  <c r="AA104" i="25" s="1"/>
  <c r="AE103" i="25"/>
  <c r="AF103" i="25" s="1"/>
  <c r="Z226" i="25"/>
  <c r="AB348" i="25"/>
  <c r="Q348" i="25" l="1"/>
  <c r="P349" i="25" s="1"/>
  <c r="V348" i="25"/>
  <c r="U349" i="25" s="1"/>
  <c r="L104" i="25"/>
  <c r="K105" i="25" s="1"/>
  <c r="Q104" i="25"/>
  <c r="P105" i="25" s="1"/>
  <c r="L348" i="25"/>
  <c r="K349" i="25" s="1"/>
  <c r="G348" i="25"/>
  <c r="G104" i="25"/>
  <c r="AD225" i="25"/>
  <c r="F226" i="25"/>
  <c r="AC104" i="25"/>
  <c r="Z105" i="25"/>
  <c r="AD348" i="25" l="1"/>
  <c r="F349" i="25"/>
  <c r="F105" i="25"/>
  <c r="AD104" i="25"/>
  <c r="AB226" i="25"/>
  <c r="AA226" i="25" s="1"/>
  <c r="L226" i="25" l="1"/>
  <c r="K227" i="25" s="1"/>
  <c r="Q226" i="25"/>
  <c r="P227" i="25" s="1"/>
  <c r="G226" i="25"/>
  <c r="Z227" i="25"/>
  <c r="AE104" i="25"/>
  <c r="AF104" i="25" s="1"/>
  <c r="AB105" i="25"/>
  <c r="AA105" i="25" s="1"/>
  <c r="AB349" i="25"/>
  <c r="Q349" i="25" l="1"/>
  <c r="P350" i="25" s="1"/>
  <c r="V349" i="25"/>
  <c r="L349" i="25"/>
  <c r="K350" i="25" s="1"/>
  <c r="L105" i="25"/>
  <c r="K106" i="25" s="1"/>
  <c r="Q105" i="25"/>
  <c r="P106" i="25" s="1"/>
  <c r="G349" i="25"/>
  <c r="G105" i="25"/>
  <c r="Z106" i="25"/>
  <c r="AC105" i="25"/>
  <c r="F227" i="25"/>
  <c r="AD226" i="25"/>
  <c r="U350" i="25"/>
  <c r="AB227" i="25" l="1"/>
  <c r="AA227" i="25" s="1"/>
  <c r="AD349" i="25"/>
  <c r="F350" i="25"/>
  <c r="AD105" i="25"/>
  <c r="F106" i="25"/>
  <c r="L227" i="25" l="1"/>
  <c r="K228" i="25" s="1"/>
  <c r="Q227" i="25"/>
  <c r="P228" i="25" s="1"/>
  <c r="G227" i="25"/>
  <c r="AE105" i="25"/>
  <c r="AF105" i="25" s="1"/>
  <c r="AB106" i="25"/>
  <c r="AA106" i="25" s="1"/>
  <c r="AB350" i="25"/>
  <c r="Z228" i="25"/>
  <c r="Q350" i="25" l="1"/>
  <c r="P351" i="25" s="1"/>
  <c r="V350" i="25"/>
  <c r="U351" i="25" s="1"/>
  <c r="L350" i="25"/>
  <c r="K351" i="25" s="1"/>
  <c r="L106" i="25"/>
  <c r="K107" i="25" s="1"/>
  <c r="Q106" i="25"/>
  <c r="P107" i="25" s="1"/>
  <c r="G106" i="25"/>
  <c r="G350" i="25"/>
  <c r="F228" i="25"/>
  <c r="AD227" i="25"/>
  <c r="AC106" i="25"/>
  <c r="Z107" i="25"/>
  <c r="AD350" i="25" l="1"/>
  <c r="F351" i="25"/>
  <c r="AB228" i="25"/>
  <c r="AA228" i="25" s="1"/>
  <c r="AD106" i="25"/>
  <c r="F107" i="25"/>
  <c r="L228" i="25" l="1"/>
  <c r="K229" i="25" s="1"/>
  <c r="Q228" i="25"/>
  <c r="P229" i="25" s="1"/>
  <c r="G228" i="25"/>
  <c r="AE106" i="25"/>
  <c r="AF106" i="25" s="1"/>
  <c r="AB107" i="25"/>
  <c r="AA107" i="25" s="1"/>
  <c r="Z229" i="25"/>
  <c r="AB351" i="25"/>
  <c r="Q351" i="25" l="1"/>
  <c r="P352" i="25" s="1"/>
  <c r="V351" i="25"/>
  <c r="U352" i="25" s="1"/>
  <c r="L107" i="25"/>
  <c r="K108" i="25" s="1"/>
  <c r="Q107" i="25"/>
  <c r="P108" i="25" s="1"/>
  <c r="L351" i="25"/>
  <c r="K352" i="25" s="1"/>
  <c r="G351" i="25"/>
  <c r="G107" i="25"/>
  <c r="AD228" i="25"/>
  <c r="F229" i="25"/>
  <c r="AC107" i="25"/>
  <c r="Z108" i="25"/>
  <c r="AD107" i="25" l="1"/>
  <c r="F108" i="25"/>
  <c r="AD351" i="25"/>
  <c r="F352" i="25"/>
  <c r="AB229" i="25"/>
  <c r="AA229" i="25" s="1"/>
  <c r="L229" i="25" l="1"/>
  <c r="K230" i="25" s="1"/>
  <c r="Q229" i="25"/>
  <c r="G229" i="25"/>
  <c r="AE107" i="25"/>
  <c r="AF107" i="25" s="1"/>
  <c r="AB108" i="25"/>
  <c r="AA108" i="25" s="1"/>
  <c r="P230" i="25"/>
  <c r="Z230" i="25"/>
  <c r="AB352" i="25"/>
  <c r="Q352" i="25" l="1"/>
  <c r="P353" i="25" s="1"/>
  <c r="V352" i="25"/>
  <c r="L108" i="25"/>
  <c r="K109" i="25" s="1"/>
  <c r="Q108" i="25"/>
  <c r="P109" i="25" s="1"/>
  <c r="L352" i="25"/>
  <c r="K353" i="25" s="1"/>
  <c r="G108" i="25"/>
  <c r="G352" i="25"/>
  <c r="AD229" i="25"/>
  <c r="F230" i="25"/>
  <c r="AC108" i="25"/>
  <c r="Z109" i="25"/>
  <c r="U353" i="25"/>
  <c r="AD108" i="25" l="1"/>
  <c r="F109" i="25"/>
  <c r="AD352" i="25"/>
  <c r="F353" i="25"/>
  <c r="AB230" i="25"/>
  <c r="AA230" i="25" s="1"/>
  <c r="L230" i="25" l="1"/>
  <c r="K231" i="25" s="1"/>
  <c r="Q230" i="25"/>
  <c r="P231" i="25" s="1"/>
  <c r="G230" i="25"/>
  <c r="Z231" i="25"/>
  <c r="AB353" i="25"/>
  <c r="AB109" i="25"/>
  <c r="AA109" i="25" s="1"/>
  <c r="AE108" i="25"/>
  <c r="AF108" i="25" s="1"/>
  <c r="Q353" i="25" l="1"/>
  <c r="P354" i="25" s="1"/>
  <c r="V353" i="25"/>
  <c r="U354" i="25" s="1"/>
  <c r="L109" i="25"/>
  <c r="K110" i="25" s="1"/>
  <c r="Q109" i="25"/>
  <c r="P110" i="25" s="1"/>
  <c r="L353" i="25"/>
  <c r="K354" i="25" s="1"/>
  <c r="G353" i="25"/>
  <c r="G109" i="25"/>
  <c r="AC109" i="25"/>
  <c r="Z110" i="25"/>
  <c r="AD230" i="25"/>
  <c r="F231" i="25"/>
  <c r="AB231" i="25" l="1"/>
  <c r="AA231" i="25" s="1"/>
  <c r="AD353" i="25"/>
  <c r="F354" i="25"/>
  <c r="F110" i="25"/>
  <c r="AD109" i="25"/>
  <c r="L231" i="25" l="1"/>
  <c r="K232" i="25" s="1"/>
  <c r="Q231" i="25"/>
  <c r="P232" i="25" s="1"/>
  <c r="G231" i="25"/>
  <c r="AB110" i="25"/>
  <c r="AA110" i="25" s="1"/>
  <c r="AE109" i="25"/>
  <c r="AF109" i="25" s="1"/>
  <c r="AB354" i="25"/>
  <c r="Z232" i="25"/>
  <c r="Q354" i="25" l="1"/>
  <c r="P355" i="25" s="1"/>
  <c r="V354" i="25"/>
  <c r="U355" i="25" s="1"/>
  <c r="L110" i="25"/>
  <c r="K111" i="25" s="1"/>
  <c r="Q110" i="25"/>
  <c r="P111" i="25" s="1"/>
  <c r="L354" i="25"/>
  <c r="K355" i="25" s="1"/>
  <c r="G354" i="25"/>
  <c r="G110" i="25"/>
  <c r="AD231" i="25"/>
  <c r="F232" i="25"/>
  <c r="Z111" i="25"/>
  <c r="AC110" i="25"/>
  <c r="AB232" i="25" l="1"/>
  <c r="AA232" i="25" s="1"/>
  <c r="F111" i="25"/>
  <c r="AD110" i="25"/>
  <c r="AD354" i="25"/>
  <c r="F355" i="25"/>
  <c r="L232" i="25" l="1"/>
  <c r="K233" i="25" s="1"/>
  <c r="Q232" i="25"/>
  <c r="P233" i="25" s="1"/>
  <c r="G232" i="25"/>
  <c r="AB355" i="25"/>
  <c r="AE110" i="25"/>
  <c r="AF110" i="25" s="1"/>
  <c r="AB111" i="25"/>
  <c r="AA111" i="25" s="1"/>
  <c r="Z233" i="25"/>
  <c r="Q355" i="25" l="1"/>
  <c r="P356" i="25" s="1"/>
  <c r="V355" i="25"/>
  <c r="L355" i="25"/>
  <c r="K356" i="25" s="1"/>
  <c r="L111" i="25"/>
  <c r="K112" i="25" s="1"/>
  <c r="Q111" i="25"/>
  <c r="P112" i="25" s="1"/>
  <c r="G111" i="25"/>
  <c r="G355" i="25"/>
  <c r="AD232" i="25"/>
  <c r="F233" i="25"/>
  <c r="Z112" i="25"/>
  <c r="AC111" i="25"/>
  <c r="U356" i="25"/>
  <c r="AD111" i="25" l="1"/>
  <c r="F112" i="25"/>
  <c r="F356" i="25"/>
  <c r="AD355" i="25"/>
  <c r="AB233" i="25"/>
  <c r="AA233" i="25" s="1"/>
  <c r="L233" i="25" l="1"/>
  <c r="K234" i="25" s="1"/>
  <c r="Q233" i="25"/>
  <c r="P234" i="25" s="1"/>
  <c r="G233" i="25"/>
  <c r="Z234" i="25"/>
  <c r="AB356" i="25"/>
  <c r="AB112" i="25"/>
  <c r="AA112" i="25" s="1"/>
  <c r="AE111" i="25"/>
  <c r="AF111" i="25" s="1"/>
  <c r="Q356" i="25" l="1"/>
  <c r="P357" i="25" s="1"/>
  <c r="V356" i="25"/>
  <c r="U357" i="25" s="1"/>
  <c r="L112" i="25"/>
  <c r="K113" i="25" s="1"/>
  <c r="Q112" i="25"/>
  <c r="P113" i="25" s="1"/>
  <c r="L356" i="25"/>
  <c r="K357" i="25" s="1"/>
  <c r="G356" i="25"/>
  <c r="G112" i="25"/>
  <c r="AC112" i="25"/>
  <c r="Z113" i="25"/>
  <c r="AD233" i="25"/>
  <c r="F234" i="25"/>
  <c r="F113" i="25" l="1"/>
  <c r="AD112" i="25"/>
  <c r="AB234" i="25"/>
  <c r="AA234" i="25" s="1"/>
  <c r="F357" i="25"/>
  <c r="AD356" i="25"/>
  <c r="L234" i="25" l="1"/>
  <c r="Q234" i="25"/>
  <c r="P235" i="25" s="1"/>
  <c r="G234" i="25"/>
  <c r="AB357" i="25"/>
  <c r="Z235" i="25"/>
  <c r="K235" i="25"/>
  <c r="AE112" i="25"/>
  <c r="AF112" i="25" s="1"/>
  <c r="AB113" i="25"/>
  <c r="AA113" i="25" s="1"/>
  <c r="Q357" i="25" l="1"/>
  <c r="P358" i="25" s="1"/>
  <c r="V357" i="25"/>
  <c r="L357" i="25"/>
  <c r="K358" i="25" s="1"/>
  <c r="L113" i="25"/>
  <c r="K114" i="25" s="1"/>
  <c r="Q113" i="25"/>
  <c r="P114" i="25" s="1"/>
  <c r="G113" i="25"/>
  <c r="G357" i="25"/>
  <c r="F235" i="25"/>
  <c r="AD234" i="25"/>
  <c r="U358" i="25"/>
  <c r="AC113" i="25"/>
  <c r="Z114" i="25"/>
  <c r="AD357" i="25" l="1"/>
  <c r="F358" i="25"/>
  <c r="AD113" i="25"/>
  <c r="F114" i="25"/>
  <c r="AB235" i="25"/>
  <c r="AA235" i="25" s="1"/>
  <c r="L235" i="25" l="1"/>
  <c r="K236" i="25" s="1"/>
  <c r="Q235" i="25"/>
  <c r="G235" i="25"/>
  <c r="Z236" i="25"/>
  <c r="P236" i="25"/>
  <c r="AE113" i="25"/>
  <c r="AF113" i="25" s="1"/>
  <c r="AB114" i="25"/>
  <c r="AA114" i="25" s="1"/>
  <c r="AB358" i="25"/>
  <c r="Q358" i="25" l="1"/>
  <c r="P359" i="25" s="1"/>
  <c r="V358" i="25"/>
  <c r="L114" i="25"/>
  <c r="K115" i="25" s="1"/>
  <c r="Q114" i="25"/>
  <c r="P115" i="25" s="1"/>
  <c r="L358" i="25"/>
  <c r="K359" i="25" s="1"/>
  <c r="G358" i="25"/>
  <c r="G114" i="25"/>
  <c r="AC114" i="25"/>
  <c r="Z115" i="25"/>
  <c r="AD235" i="25"/>
  <c r="F236" i="25"/>
  <c r="U359" i="25"/>
  <c r="F359" i="25" l="1"/>
  <c r="AD358" i="25"/>
  <c r="AB236" i="25"/>
  <c r="AA236" i="25" s="1"/>
  <c r="AD114" i="25"/>
  <c r="F115" i="25"/>
  <c r="L236" i="25" l="1"/>
  <c r="K237" i="25" s="1"/>
  <c r="Q236" i="25"/>
  <c r="P237" i="25" s="1"/>
  <c r="G236" i="25"/>
  <c r="AE114" i="25"/>
  <c r="AF114" i="25" s="1"/>
  <c r="AB115" i="25"/>
  <c r="AA115" i="25" s="1"/>
  <c r="Z237" i="25"/>
  <c r="AB359" i="25"/>
  <c r="Q359" i="25" l="1"/>
  <c r="P360" i="25" s="1"/>
  <c r="V359" i="25"/>
  <c r="U360" i="25" s="1"/>
  <c r="L115" i="25"/>
  <c r="K116" i="25" s="1"/>
  <c r="Q115" i="25"/>
  <c r="P116" i="25" s="1"/>
  <c r="L359" i="25"/>
  <c r="K360" i="25" s="1"/>
  <c r="G359" i="25"/>
  <c r="G115" i="25"/>
  <c r="AD236" i="25"/>
  <c r="F237" i="25"/>
  <c r="AC115" i="25"/>
  <c r="Z116" i="25"/>
  <c r="AB237" i="25" l="1"/>
  <c r="AA237" i="25" s="1"/>
  <c r="F360" i="25"/>
  <c r="AD359" i="25"/>
  <c r="AD115" i="25"/>
  <c r="F116" i="25"/>
  <c r="L237" i="25" l="1"/>
  <c r="K238" i="25" s="1"/>
  <c r="Q237" i="25"/>
  <c r="P238" i="25" s="1"/>
  <c r="G237" i="25"/>
  <c r="AE115" i="25"/>
  <c r="AF115" i="25" s="1"/>
  <c r="AB116" i="25"/>
  <c r="AA116" i="25" s="1"/>
  <c r="AB360" i="25"/>
  <c r="Z238" i="25"/>
  <c r="Q360" i="25" l="1"/>
  <c r="P361" i="25" s="1"/>
  <c r="V360" i="25"/>
  <c r="U361" i="25" s="1"/>
  <c r="L116" i="25"/>
  <c r="K117" i="25" s="1"/>
  <c r="Q116" i="25"/>
  <c r="P117" i="25" s="1"/>
  <c r="L360" i="25"/>
  <c r="K361" i="25" s="1"/>
  <c r="G360" i="25"/>
  <c r="G116" i="25"/>
  <c r="AD237" i="25"/>
  <c r="F238" i="25"/>
  <c r="AC116" i="25"/>
  <c r="Z117" i="25"/>
  <c r="AD116" i="25" l="1"/>
  <c r="F117" i="25"/>
  <c r="AB238" i="25"/>
  <c r="AA238" i="25" s="1"/>
  <c r="AD360" i="25"/>
  <c r="F361" i="25"/>
  <c r="L238" i="25" l="1"/>
  <c r="K239" i="25" s="1"/>
  <c r="Q238" i="25"/>
  <c r="P239" i="25" s="1"/>
  <c r="G238" i="25"/>
  <c r="AB361" i="25"/>
  <c r="Z239" i="25"/>
  <c r="AB117" i="25"/>
  <c r="AA117" i="25" s="1"/>
  <c r="AE116" i="25"/>
  <c r="AF116" i="25" s="1"/>
  <c r="Q361" i="25" l="1"/>
  <c r="V361" i="25"/>
  <c r="U362" i="25" s="1"/>
  <c r="L117" i="25"/>
  <c r="K118" i="25" s="1"/>
  <c r="Q117" i="25"/>
  <c r="P118" i="25" s="1"/>
  <c r="L361" i="25"/>
  <c r="K362" i="25" s="1"/>
  <c r="G117" i="25"/>
  <c r="G361" i="25"/>
  <c r="AC117" i="25"/>
  <c r="Z118" i="25"/>
  <c r="AD238" i="25"/>
  <c r="F239" i="25"/>
  <c r="P362" i="25"/>
  <c r="AB239" i="25" l="1"/>
  <c r="AA239" i="25" s="1"/>
  <c r="AD361" i="25"/>
  <c r="F362" i="25"/>
  <c r="F118" i="25"/>
  <c r="AD117" i="25"/>
  <c r="L239" i="25" l="1"/>
  <c r="K240" i="25" s="1"/>
  <c r="Q239" i="25"/>
  <c r="P240" i="25" s="1"/>
  <c r="G239" i="25"/>
  <c r="AB118" i="25"/>
  <c r="AA118" i="25" s="1"/>
  <c r="AE117" i="25"/>
  <c r="AF117" i="25" s="1"/>
  <c r="AB362" i="25"/>
  <c r="Z240" i="25"/>
  <c r="Q362" i="25" l="1"/>
  <c r="P363" i="25" s="1"/>
  <c r="V362" i="25"/>
  <c r="U363" i="25" s="1"/>
  <c r="L118" i="25"/>
  <c r="K119" i="25" s="1"/>
  <c r="Q118" i="25"/>
  <c r="P119" i="25" s="1"/>
  <c r="L362" i="25"/>
  <c r="K363" i="25" s="1"/>
  <c r="G362" i="25"/>
  <c r="G118" i="25"/>
  <c r="AD239" i="25"/>
  <c r="F240" i="25"/>
  <c r="Z119" i="25"/>
  <c r="AC118" i="25"/>
  <c r="AD118" i="25" l="1"/>
  <c r="F119" i="25"/>
  <c r="AD362" i="25"/>
  <c r="F363" i="25"/>
  <c r="AB240" i="25"/>
  <c r="AA240" i="25" s="1"/>
  <c r="L240" i="25" l="1"/>
  <c r="K241" i="25" s="1"/>
  <c r="Q240" i="25"/>
  <c r="P241" i="25" s="1"/>
  <c r="G240" i="25"/>
  <c r="Z241" i="25"/>
  <c r="AB363" i="25"/>
  <c r="AE118" i="25"/>
  <c r="AF118" i="25" s="1"/>
  <c r="AB119" i="25"/>
  <c r="AA119" i="25" s="1"/>
  <c r="Q363" i="25" l="1"/>
  <c r="P364" i="25" s="1"/>
  <c r="V363" i="25"/>
  <c r="L363" i="25"/>
  <c r="K364" i="25" s="1"/>
  <c r="L119" i="25"/>
  <c r="K120" i="25" s="1"/>
  <c r="Q119" i="25"/>
  <c r="P120" i="25" s="1"/>
  <c r="G363" i="25"/>
  <c r="G119" i="25"/>
  <c r="U364" i="25"/>
  <c r="AD240" i="25"/>
  <c r="F241" i="25"/>
  <c r="Z120" i="25"/>
  <c r="AC119" i="25"/>
  <c r="AB241" i="25" l="1"/>
  <c r="AA241" i="25" s="1"/>
  <c r="AD119" i="25"/>
  <c r="F120" i="25"/>
  <c r="AD363" i="25"/>
  <c r="F364" i="25"/>
  <c r="L241" i="25" l="1"/>
  <c r="K242" i="25" s="1"/>
  <c r="Q241" i="25"/>
  <c r="G241" i="25"/>
  <c r="AB364" i="25"/>
  <c r="AB120" i="25"/>
  <c r="AA120" i="25" s="1"/>
  <c r="AE119" i="25"/>
  <c r="AF119" i="25" s="1"/>
  <c r="Z242" i="25"/>
  <c r="P242" i="25"/>
  <c r="Q364" i="25" l="1"/>
  <c r="P365" i="25" s="1"/>
  <c r="V364" i="25"/>
  <c r="U365" i="25" s="1"/>
  <c r="L364" i="25"/>
  <c r="K365" i="25" s="1"/>
  <c r="L120" i="25"/>
  <c r="K121" i="25" s="1"/>
  <c r="Q120" i="25"/>
  <c r="P121" i="25" s="1"/>
  <c r="G120" i="25"/>
  <c r="G364" i="25"/>
  <c r="AD241" i="25"/>
  <c r="F242" i="25"/>
  <c r="AC120" i="25"/>
  <c r="Z121" i="25"/>
  <c r="AD364" i="25" l="1"/>
  <c r="F365" i="25"/>
  <c r="F121" i="25"/>
  <c r="AD120" i="25"/>
  <c r="AB242" i="25"/>
  <c r="AA242" i="25" s="1"/>
  <c r="L242" i="25" l="1"/>
  <c r="K243" i="25" s="1"/>
  <c r="Q242" i="25"/>
  <c r="P243" i="25" s="1"/>
  <c r="G242" i="25"/>
  <c r="Z243" i="25"/>
  <c r="AE120" i="25"/>
  <c r="AF120" i="25" s="1"/>
  <c r="AB121" i="25"/>
  <c r="AA121" i="25" s="1"/>
  <c r="AB365" i="25"/>
  <c r="Q365" i="25" l="1"/>
  <c r="P366" i="25" s="1"/>
  <c r="V365" i="25"/>
  <c r="U366" i="25" s="1"/>
  <c r="L121" i="25"/>
  <c r="Q121" i="25"/>
  <c r="P122" i="25" s="1"/>
  <c r="L365" i="25"/>
  <c r="K366" i="25" s="1"/>
  <c r="G365" i="25"/>
  <c r="G121" i="25"/>
  <c r="K122" i="25"/>
  <c r="AC121" i="25"/>
  <c r="Z122" i="25"/>
  <c r="F243" i="25"/>
  <c r="AD242" i="25"/>
  <c r="AB243" i="25" l="1"/>
  <c r="AA243" i="25" s="1"/>
  <c r="AD121" i="25"/>
  <c r="F122" i="25"/>
  <c r="AD365" i="25"/>
  <c r="F366" i="25"/>
  <c r="L243" i="25" l="1"/>
  <c r="K244" i="25" s="1"/>
  <c r="Q243" i="25"/>
  <c r="G243" i="25"/>
  <c r="AB366" i="25"/>
  <c r="AE121" i="25"/>
  <c r="AF121" i="25" s="1"/>
  <c r="AB122" i="25"/>
  <c r="AA122" i="25" s="1"/>
  <c r="Z244" i="25"/>
  <c r="P244" i="25"/>
  <c r="Q366" i="25" l="1"/>
  <c r="P367" i="25" s="1"/>
  <c r="V366" i="25"/>
  <c r="L366" i="25"/>
  <c r="K367" i="25" s="1"/>
  <c r="L122" i="25"/>
  <c r="K123" i="25" s="1"/>
  <c r="Q122" i="25"/>
  <c r="P123" i="25" s="1"/>
  <c r="G366" i="25"/>
  <c r="G122" i="25"/>
  <c r="AC122" i="25"/>
  <c r="Z123" i="25"/>
  <c r="AD243" i="25"/>
  <c r="F244" i="25"/>
  <c r="U367" i="25"/>
  <c r="AD366" i="25" l="1"/>
  <c r="F367" i="25"/>
  <c r="AB244" i="25"/>
  <c r="AA244" i="25" s="1"/>
  <c r="AD122" i="25"/>
  <c r="F123" i="25"/>
  <c r="L244" i="25" l="1"/>
  <c r="Q244" i="25"/>
  <c r="P245" i="25" s="1"/>
  <c r="G244" i="25"/>
  <c r="AE122" i="25"/>
  <c r="AF122" i="25" s="1"/>
  <c r="AB123" i="25"/>
  <c r="AA123" i="25" s="1"/>
  <c r="Z245" i="25"/>
  <c r="K245" i="25"/>
  <c r="AB367" i="25"/>
  <c r="Q367" i="25" l="1"/>
  <c r="P368" i="25" s="1"/>
  <c r="V367" i="25"/>
  <c r="L123" i="25"/>
  <c r="K124" i="25" s="1"/>
  <c r="Q123" i="25"/>
  <c r="P124" i="25" s="1"/>
  <c r="L367" i="25"/>
  <c r="K368" i="25" s="1"/>
  <c r="G367" i="25"/>
  <c r="G123" i="25"/>
  <c r="U368" i="25"/>
  <c r="AD244" i="25"/>
  <c r="F245" i="25"/>
  <c r="AC123" i="25"/>
  <c r="Z124" i="25"/>
  <c r="AB245" i="25" l="1"/>
  <c r="AA245" i="25" s="1"/>
  <c r="AD123" i="25"/>
  <c r="F124" i="25"/>
  <c r="AD367" i="25"/>
  <c r="F368" i="25"/>
  <c r="L245" i="25" l="1"/>
  <c r="K246" i="25" s="1"/>
  <c r="Q245" i="25"/>
  <c r="P246" i="25" s="1"/>
  <c r="G245" i="25"/>
  <c r="AB368" i="25"/>
  <c r="AE123" i="25"/>
  <c r="AF123" i="25" s="1"/>
  <c r="AB124" i="25"/>
  <c r="AA124" i="25" s="1"/>
  <c r="Z246" i="25"/>
  <c r="Q368" i="25" l="1"/>
  <c r="P369" i="25" s="1"/>
  <c r="V368" i="25"/>
  <c r="U369" i="25" s="1"/>
  <c r="L124" i="25"/>
  <c r="K125" i="25" s="1"/>
  <c r="Q124" i="25"/>
  <c r="P125" i="25" s="1"/>
  <c r="L368" i="25"/>
  <c r="K369" i="25" s="1"/>
  <c r="G124" i="25"/>
  <c r="G368" i="25"/>
  <c r="AD245" i="25"/>
  <c r="F246" i="25"/>
  <c r="AC124" i="25"/>
  <c r="Z125" i="25"/>
  <c r="AD124" i="25" l="1"/>
  <c r="F125" i="25"/>
  <c r="AD368" i="25"/>
  <c r="F369" i="25"/>
  <c r="AB246" i="25"/>
  <c r="AA246" i="25" s="1"/>
  <c r="L246" i="25" l="1"/>
  <c r="K247" i="25" s="1"/>
  <c r="Q246" i="25"/>
  <c r="P247" i="25" s="1"/>
  <c r="G246" i="25"/>
  <c r="Z247" i="25"/>
  <c r="AB369" i="25"/>
  <c r="AB125" i="25"/>
  <c r="AC125" i="25" s="1"/>
  <c r="AE124" i="25"/>
  <c r="AF124" i="25" s="1"/>
  <c r="AE125" i="25" l="1"/>
  <c r="AF125" i="25" s="1"/>
  <c r="AC126" i="25"/>
  <c r="AD246" i="25"/>
  <c r="F247" i="25"/>
  <c r="AB247" i="25" l="1"/>
  <c r="AA247" i="25" s="1"/>
  <c r="AE126" i="25"/>
  <c r="AF126" i="25" s="1"/>
  <c r="AC127" i="25"/>
  <c r="L247" i="25" l="1"/>
  <c r="K248" i="25" s="1"/>
  <c r="Q247" i="25"/>
  <c r="P248" i="25" s="1"/>
  <c r="G247" i="25"/>
  <c r="AE127" i="25"/>
  <c r="AF127" i="25" s="1"/>
  <c r="AC128" i="25"/>
  <c r="AD247" i="25" l="1"/>
  <c r="F248" i="25"/>
  <c r="AE128" i="25"/>
  <c r="AF128" i="25" s="1"/>
  <c r="AC129" i="25"/>
  <c r="AE129" i="25" l="1"/>
  <c r="AF129" i="25" s="1"/>
  <c r="AC130" i="25"/>
  <c r="AB248" i="25"/>
  <c r="AE130" i="25" l="1"/>
  <c r="AF130" i="25" s="1"/>
  <c r="AC131" i="25"/>
  <c r="AE131" i="25" l="1"/>
  <c r="AF131" i="25" s="1"/>
  <c r="AC132" i="25"/>
  <c r="AE132" i="25" l="1"/>
  <c r="AF132" i="25" s="1"/>
  <c r="AC133" i="25"/>
  <c r="AE133" i="25" l="1"/>
  <c r="AF133" i="25" s="1"/>
  <c r="AC134" i="25"/>
  <c r="AE134" i="25" l="1"/>
  <c r="AF134" i="25" s="1"/>
  <c r="AC135" i="25"/>
  <c r="AE135" i="25" l="1"/>
  <c r="AF135" i="25" s="1"/>
  <c r="AC136" i="25"/>
  <c r="AE136" i="25" l="1"/>
  <c r="AF136" i="25" s="1"/>
  <c r="AC137" i="25"/>
  <c r="AE137" i="25" l="1"/>
  <c r="AF137" i="25" s="1"/>
  <c r="AC138" i="25"/>
  <c r="AE138" i="25" l="1"/>
  <c r="AF138" i="25" s="1"/>
  <c r="AC139" i="25"/>
  <c r="AE139" i="25" l="1"/>
  <c r="AF139" i="25" s="1"/>
  <c r="AC140" i="25"/>
  <c r="AE140" i="25" l="1"/>
  <c r="AF140" i="25" s="1"/>
  <c r="AC141" i="25"/>
  <c r="AE141" i="25" l="1"/>
  <c r="AF141" i="25" s="1"/>
  <c r="AC142" i="25"/>
  <c r="AE142" i="25" l="1"/>
  <c r="AF142" i="25" s="1"/>
  <c r="AC143" i="25"/>
  <c r="AE143" i="25" l="1"/>
  <c r="AF143" i="25" s="1"/>
  <c r="AC144" i="25"/>
  <c r="AE144" i="25" l="1"/>
  <c r="AF144" i="25" s="1"/>
  <c r="AC145" i="25"/>
  <c r="AE145" i="25" l="1"/>
  <c r="AF145" i="25" s="1"/>
  <c r="AC146" i="25"/>
  <c r="AE146" i="25" l="1"/>
  <c r="AF146" i="25" s="1"/>
  <c r="AC147" i="25"/>
  <c r="AE147" i="25" l="1"/>
  <c r="AF147" i="25" s="1"/>
  <c r="AC148" i="25"/>
  <c r="AE148" i="25" l="1"/>
  <c r="AF148" i="25" s="1"/>
  <c r="AC149" i="25"/>
  <c r="AE149" i="25" l="1"/>
  <c r="AF149" i="25" s="1"/>
  <c r="AC150" i="25"/>
  <c r="AE150" i="25" l="1"/>
  <c r="AF150" i="25" s="1"/>
  <c r="AC151" i="25"/>
  <c r="AE151" i="25" l="1"/>
  <c r="AF151" i="25" s="1"/>
  <c r="AC152" i="25"/>
  <c r="AE152" i="25" l="1"/>
  <c r="AF152" i="25" s="1"/>
  <c r="AC153" i="25"/>
  <c r="AE153" i="25" l="1"/>
  <c r="AF153" i="25" s="1"/>
  <c r="AC154" i="25"/>
  <c r="AE154" i="25" l="1"/>
  <c r="AF154" i="25" s="1"/>
  <c r="AC155" i="25"/>
  <c r="AE155" i="25" l="1"/>
  <c r="AF155" i="25" s="1"/>
  <c r="AC156" i="25"/>
  <c r="AE156" i="25" l="1"/>
  <c r="AF156" i="25" s="1"/>
  <c r="AC157" i="25"/>
  <c r="AE157" i="25" l="1"/>
  <c r="AF157" i="25" s="1"/>
  <c r="AC158" i="25"/>
  <c r="AE158" i="25" l="1"/>
  <c r="AF158" i="25" s="1"/>
  <c r="AC159" i="25"/>
  <c r="AE159" i="25" l="1"/>
  <c r="AF159" i="25" s="1"/>
  <c r="AC160" i="25"/>
  <c r="AE160" i="25" l="1"/>
  <c r="AF160" i="25" s="1"/>
  <c r="AC161" i="25"/>
  <c r="AE161" i="25" l="1"/>
  <c r="AF161" i="25" s="1"/>
  <c r="AC162" i="25"/>
  <c r="AE162" i="25" l="1"/>
  <c r="AF162" i="25" s="1"/>
  <c r="AC163" i="25"/>
  <c r="AE163" i="25" l="1"/>
  <c r="AF163" i="25" s="1"/>
  <c r="AC164" i="25"/>
  <c r="AE164" i="25" l="1"/>
  <c r="AF164" i="25" s="1"/>
  <c r="AC165" i="25"/>
  <c r="AE165" i="25" l="1"/>
  <c r="AF165" i="25" s="1"/>
  <c r="AC166" i="25"/>
  <c r="AE166" i="25" l="1"/>
  <c r="AF166" i="25" s="1"/>
  <c r="AC167" i="25"/>
  <c r="AE167" i="25" l="1"/>
  <c r="AF167" i="25" s="1"/>
  <c r="AC168" i="25"/>
  <c r="AE168" i="25" l="1"/>
  <c r="AF168" i="25" s="1"/>
  <c r="AC169" i="25"/>
  <c r="AE169" i="25" l="1"/>
  <c r="AF169" i="25" s="1"/>
  <c r="AC170" i="25"/>
  <c r="AE170" i="25" l="1"/>
  <c r="AF170" i="25" s="1"/>
  <c r="AC171" i="25"/>
  <c r="AE171" i="25" l="1"/>
  <c r="AF171" i="25" s="1"/>
  <c r="AC172" i="25"/>
  <c r="AE172" i="25" l="1"/>
  <c r="AF172" i="25" s="1"/>
  <c r="AC173" i="25"/>
  <c r="AE173" i="25" l="1"/>
  <c r="AF173" i="25" s="1"/>
  <c r="AC174" i="25"/>
  <c r="AE174" i="25" l="1"/>
  <c r="AF174" i="25" s="1"/>
  <c r="AC175" i="25"/>
  <c r="AE175" i="25" l="1"/>
  <c r="AF175" i="25" s="1"/>
  <c r="AC176" i="25"/>
  <c r="AE176" i="25" l="1"/>
  <c r="AF176" i="25" s="1"/>
  <c r="AC177" i="25"/>
  <c r="AE177" i="25" l="1"/>
  <c r="AF177" i="25" s="1"/>
  <c r="AC178" i="25"/>
  <c r="AE178" i="25" l="1"/>
  <c r="AF178" i="25" s="1"/>
  <c r="AC179" i="25"/>
  <c r="AE179" i="25" l="1"/>
  <c r="AF179" i="25" s="1"/>
  <c r="AC180" i="25"/>
  <c r="AE180" i="25" l="1"/>
  <c r="AF180" i="25" s="1"/>
  <c r="AC181" i="25"/>
  <c r="AE181" i="25" l="1"/>
  <c r="AF181" i="25" s="1"/>
  <c r="AC182" i="25"/>
  <c r="AE182" i="25" l="1"/>
  <c r="AF182" i="25" s="1"/>
  <c r="AC183" i="25"/>
  <c r="AE183" i="25" l="1"/>
  <c r="AF183" i="25" s="1"/>
  <c r="AC184" i="25"/>
  <c r="AE184" i="25" l="1"/>
  <c r="AF184" i="25" s="1"/>
  <c r="AC185" i="25"/>
  <c r="AE185" i="25" l="1"/>
  <c r="AF185" i="25" s="1"/>
  <c r="AC186" i="25"/>
  <c r="AE186" i="25" l="1"/>
  <c r="AF186" i="25" s="1"/>
  <c r="AC187" i="25"/>
  <c r="AE187" i="25" l="1"/>
  <c r="AF187" i="25" s="1"/>
  <c r="AC188" i="25"/>
  <c r="AE188" i="25" l="1"/>
  <c r="AF188" i="25" s="1"/>
  <c r="AC189" i="25"/>
  <c r="AE189" i="25" l="1"/>
  <c r="AF189" i="25" s="1"/>
  <c r="AC190" i="25"/>
  <c r="AE190" i="25" l="1"/>
  <c r="AF190" i="25" s="1"/>
  <c r="AC191" i="25"/>
  <c r="AE191" i="25" l="1"/>
  <c r="AF191" i="25" s="1"/>
  <c r="AC192" i="25"/>
  <c r="AE192" i="25" l="1"/>
  <c r="AF192" i="25" s="1"/>
  <c r="AC193" i="25"/>
  <c r="AE193" i="25" l="1"/>
  <c r="AF193" i="25" s="1"/>
  <c r="AC194" i="25"/>
  <c r="AE194" i="25" l="1"/>
  <c r="AF194" i="25" s="1"/>
  <c r="AC195" i="25"/>
  <c r="AE195" i="25" l="1"/>
  <c r="AF195" i="25" s="1"/>
  <c r="AC196" i="25"/>
  <c r="AE196" i="25" l="1"/>
  <c r="AF196" i="25" s="1"/>
  <c r="AC197" i="25"/>
  <c r="AE197" i="25" l="1"/>
  <c r="AF197" i="25" s="1"/>
  <c r="AC198" i="25"/>
  <c r="AE198" i="25" l="1"/>
  <c r="AF198" i="25" s="1"/>
  <c r="AC199" i="25"/>
  <c r="AE199" i="25" l="1"/>
  <c r="AF199" i="25" s="1"/>
  <c r="AC200" i="25"/>
  <c r="AE200" i="25" l="1"/>
  <c r="AF200" i="25" s="1"/>
  <c r="AC201" i="25"/>
  <c r="AE201" i="25" l="1"/>
  <c r="AF201" i="25" s="1"/>
  <c r="AC202" i="25"/>
  <c r="AE202" i="25" l="1"/>
  <c r="AF202" i="25" s="1"/>
  <c r="AC203" i="25"/>
  <c r="AE203" i="25" l="1"/>
  <c r="AF203" i="25" s="1"/>
  <c r="AC204" i="25"/>
  <c r="AE204" i="25" l="1"/>
  <c r="AF204" i="25" s="1"/>
  <c r="AC205" i="25"/>
  <c r="AE205" i="25" l="1"/>
  <c r="AF205" i="25" s="1"/>
  <c r="AC206" i="25"/>
  <c r="AE206" i="25" l="1"/>
  <c r="AF206" i="25" s="1"/>
  <c r="AC207" i="25"/>
  <c r="AE207" i="25" l="1"/>
  <c r="AF207" i="25" s="1"/>
  <c r="AC208" i="25"/>
  <c r="AE208" i="25" l="1"/>
  <c r="AF208" i="25" s="1"/>
  <c r="AC209" i="25"/>
  <c r="AE209" i="25" l="1"/>
  <c r="AF209" i="25" s="1"/>
  <c r="AC210" i="25"/>
  <c r="AE210" i="25" l="1"/>
  <c r="AF210" i="25" s="1"/>
  <c r="AC211" i="25"/>
  <c r="AE211" i="25" l="1"/>
  <c r="AF211" i="25" s="1"/>
  <c r="AC212" i="25"/>
  <c r="AE212" i="25" l="1"/>
  <c r="AF212" i="25" s="1"/>
  <c r="AC213" i="25"/>
  <c r="AE213" i="25" l="1"/>
  <c r="AF213" i="25" s="1"/>
  <c r="AC214" i="25"/>
  <c r="AE214" i="25" l="1"/>
  <c r="AF214" i="25" s="1"/>
  <c r="AC215" i="25"/>
  <c r="AE215" i="25" l="1"/>
  <c r="AF215" i="25" s="1"/>
  <c r="AC216" i="25"/>
  <c r="AE216" i="25" l="1"/>
  <c r="AF216" i="25" s="1"/>
  <c r="AC217" i="25"/>
  <c r="AE217" i="25" l="1"/>
  <c r="AF217" i="25" s="1"/>
  <c r="AC218" i="25"/>
  <c r="AE218" i="25" l="1"/>
  <c r="AF218" i="25" s="1"/>
  <c r="AC219" i="25"/>
  <c r="AE219" i="25" l="1"/>
  <c r="AF219" i="25" s="1"/>
  <c r="AC220" i="25"/>
  <c r="AE220" i="25" l="1"/>
  <c r="AF220" i="25" s="1"/>
  <c r="AC221" i="25"/>
  <c r="AE221" i="25" l="1"/>
  <c r="AF221" i="25" s="1"/>
  <c r="AC222" i="25"/>
  <c r="AE222" i="25" l="1"/>
  <c r="AF222" i="25" s="1"/>
  <c r="AC223" i="25"/>
  <c r="AE223" i="25" l="1"/>
  <c r="AF223" i="25" s="1"/>
  <c r="AC224" i="25"/>
  <c r="AE224" i="25" l="1"/>
  <c r="AF224" i="25" s="1"/>
  <c r="AC225" i="25"/>
  <c r="AE225" i="25" l="1"/>
  <c r="AF225" i="25" s="1"/>
  <c r="AC226" i="25"/>
  <c r="AE226" i="25" l="1"/>
  <c r="AF226" i="25" s="1"/>
  <c r="AC227" i="25"/>
  <c r="AE227" i="25" l="1"/>
  <c r="AF227" i="25" s="1"/>
  <c r="AC228" i="25"/>
  <c r="AE228" i="25" l="1"/>
  <c r="AF228" i="25" s="1"/>
  <c r="AC229" i="25"/>
  <c r="AE229" i="25" l="1"/>
  <c r="AF229" i="25" s="1"/>
  <c r="AC230" i="25"/>
  <c r="AE230" i="25" l="1"/>
  <c r="AF230" i="25" s="1"/>
  <c r="AC231" i="25"/>
  <c r="AE231" i="25" l="1"/>
  <c r="AF231" i="25" s="1"/>
  <c r="AC232" i="25"/>
  <c r="AE232" i="25" l="1"/>
  <c r="AF232" i="25" s="1"/>
  <c r="AC233" i="25"/>
  <c r="AE233" i="25" l="1"/>
  <c r="AF233" i="25" s="1"/>
  <c r="AC234" i="25"/>
  <c r="AE234" i="25" l="1"/>
  <c r="AF234" i="25" s="1"/>
  <c r="AC235" i="25"/>
  <c r="AE235" i="25" l="1"/>
  <c r="AF235" i="25" s="1"/>
  <c r="AC236" i="25"/>
  <c r="AE236" i="25" l="1"/>
  <c r="AF236" i="25" s="1"/>
  <c r="AC237" i="25"/>
  <c r="AE237" i="25" l="1"/>
  <c r="AF237" i="25" s="1"/>
  <c r="AC238" i="25"/>
  <c r="AE238" i="25" l="1"/>
  <c r="AF238" i="25" s="1"/>
  <c r="AC239" i="25"/>
  <c r="AE239" i="25" l="1"/>
  <c r="AF239" i="25" s="1"/>
  <c r="AC240" i="25"/>
  <c r="AE240" i="25" l="1"/>
  <c r="AF240" i="25" s="1"/>
  <c r="AC241" i="25"/>
  <c r="AE241" i="25" l="1"/>
  <c r="AF241" i="25" s="1"/>
  <c r="AC242" i="25"/>
  <c r="AE242" i="25" l="1"/>
  <c r="AF242" i="25" s="1"/>
  <c r="AC243" i="25"/>
  <c r="AE243" i="25" l="1"/>
  <c r="AF243" i="25" s="1"/>
  <c r="AC244" i="25"/>
  <c r="AE244" i="25" l="1"/>
  <c r="AF244" i="25" s="1"/>
  <c r="AC245" i="25"/>
  <c r="AE245" i="25" l="1"/>
  <c r="AF245" i="25" s="1"/>
  <c r="AC246" i="25"/>
  <c r="AE246" i="25" l="1"/>
  <c r="AF246" i="25" s="1"/>
  <c r="AC247" i="25"/>
  <c r="AE247" i="25" l="1"/>
  <c r="AF247" i="25" s="1"/>
  <c r="AC248" i="25"/>
  <c r="AE248" i="25" l="1"/>
  <c r="AF248" i="25" s="1"/>
  <c r="AC249" i="25"/>
  <c r="AE249" i="25" l="1"/>
  <c r="AF249" i="25" s="1"/>
  <c r="AC250" i="25"/>
  <c r="AE250" i="25" l="1"/>
  <c r="AF250" i="25" s="1"/>
  <c r="AC251" i="25"/>
  <c r="AE251" i="25" l="1"/>
  <c r="AF251" i="25" s="1"/>
  <c r="AC252" i="25"/>
  <c r="AE252" i="25" l="1"/>
  <c r="AF252" i="25" s="1"/>
  <c r="AC253" i="25"/>
  <c r="AE253" i="25" l="1"/>
  <c r="AF253" i="25" s="1"/>
  <c r="AC254" i="25"/>
  <c r="AE254" i="25" l="1"/>
  <c r="AF254" i="25" s="1"/>
  <c r="AC255" i="25"/>
  <c r="AE255" i="25" l="1"/>
  <c r="AF255" i="25" s="1"/>
  <c r="AC256" i="25"/>
  <c r="AE256" i="25" l="1"/>
  <c r="AF256" i="25" s="1"/>
  <c r="AC257" i="25"/>
  <c r="AE257" i="25" l="1"/>
  <c r="AF257" i="25" s="1"/>
  <c r="AC258" i="25"/>
  <c r="AE258" i="25" l="1"/>
  <c r="AF258" i="25" s="1"/>
  <c r="AC259" i="25"/>
  <c r="AE259" i="25" l="1"/>
  <c r="AF259" i="25" s="1"/>
  <c r="AC260" i="25"/>
  <c r="AE260" i="25" l="1"/>
  <c r="AF260" i="25" s="1"/>
  <c r="AC261" i="25"/>
  <c r="AE261" i="25" l="1"/>
  <c r="AF261" i="25" s="1"/>
  <c r="AC262" i="25"/>
  <c r="AE262" i="25" l="1"/>
  <c r="AF262" i="25" s="1"/>
  <c r="AC263" i="25"/>
  <c r="AE263" i="25" l="1"/>
  <c r="AF263" i="25" s="1"/>
  <c r="AC264" i="25"/>
  <c r="AE264" i="25" l="1"/>
  <c r="AF264" i="25" s="1"/>
  <c r="AC265" i="25"/>
  <c r="AE265" i="25" l="1"/>
  <c r="AF265" i="25" s="1"/>
  <c r="AC266" i="25"/>
  <c r="AE266" i="25" l="1"/>
  <c r="AF266" i="25" s="1"/>
  <c r="AC267" i="25"/>
  <c r="AE267" i="25" l="1"/>
  <c r="AF267" i="25" s="1"/>
  <c r="AC268" i="25"/>
  <c r="AE268" i="25" l="1"/>
  <c r="AF268" i="25" s="1"/>
  <c r="AC269" i="25"/>
  <c r="AE269" i="25" l="1"/>
  <c r="AF269" i="25" s="1"/>
  <c r="AC270" i="25"/>
  <c r="AE270" i="25" l="1"/>
  <c r="AF270" i="25" s="1"/>
  <c r="AC271" i="25"/>
  <c r="AE271" i="25" l="1"/>
  <c r="AF271" i="25" s="1"/>
  <c r="AC272" i="25"/>
  <c r="AE272" i="25" l="1"/>
  <c r="AF272" i="25" s="1"/>
  <c r="AC273" i="25"/>
  <c r="AE273" i="25" l="1"/>
  <c r="AF273" i="25" s="1"/>
  <c r="AC274" i="25"/>
  <c r="AE274" i="25" l="1"/>
  <c r="AF274" i="25" s="1"/>
  <c r="AC275" i="25"/>
  <c r="AE275" i="25" l="1"/>
  <c r="AF275" i="25" s="1"/>
  <c r="AC276" i="25"/>
  <c r="AE276" i="25" l="1"/>
  <c r="AF276" i="25" s="1"/>
  <c r="AC277" i="25"/>
  <c r="AE277" i="25" l="1"/>
  <c r="AF277" i="25" s="1"/>
  <c r="AC278" i="25"/>
  <c r="AE278" i="25" l="1"/>
  <c r="AF278" i="25" s="1"/>
  <c r="AC279" i="25"/>
  <c r="AE279" i="25" l="1"/>
  <c r="AF279" i="25" s="1"/>
  <c r="AC280" i="25"/>
  <c r="AE280" i="25" l="1"/>
  <c r="AF280" i="25" s="1"/>
  <c r="AC281" i="25"/>
  <c r="AE281" i="25" l="1"/>
  <c r="AF281" i="25" s="1"/>
  <c r="AC282" i="25"/>
  <c r="AE282" i="25" l="1"/>
  <c r="AF282" i="25" s="1"/>
  <c r="AC283" i="25"/>
  <c r="AE283" i="25" l="1"/>
  <c r="AF283" i="25" s="1"/>
  <c r="AC284" i="25"/>
  <c r="AE284" i="25" l="1"/>
  <c r="AF284" i="25" s="1"/>
  <c r="AC285" i="25"/>
  <c r="AE285" i="25" l="1"/>
  <c r="AF285" i="25" s="1"/>
  <c r="AC286" i="25"/>
  <c r="AE286" i="25" l="1"/>
  <c r="AF286" i="25" s="1"/>
  <c r="AC287" i="25"/>
  <c r="AE287" i="25" l="1"/>
  <c r="AF287" i="25" s="1"/>
  <c r="AC288" i="25"/>
  <c r="AE288" i="25" l="1"/>
  <c r="AF288" i="25" s="1"/>
  <c r="AC289" i="25"/>
  <c r="AE289" i="25" l="1"/>
  <c r="AF289" i="25" s="1"/>
  <c r="AC290" i="25"/>
  <c r="AE290" i="25" l="1"/>
  <c r="AF290" i="25" s="1"/>
  <c r="AC291" i="25"/>
  <c r="AE291" i="25" l="1"/>
  <c r="AF291" i="25" s="1"/>
  <c r="AC292" i="25"/>
  <c r="AE292" i="25" l="1"/>
  <c r="AF292" i="25" s="1"/>
  <c r="AC293" i="25"/>
  <c r="AE293" i="25" l="1"/>
  <c r="AF293" i="25" s="1"/>
  <c r="AC294" i="25"/>
  <c r="AE294" i="25" l="1"/>
  <c r="AF294" i="25" s="1"/>
  <c r="AC295" i="25"/>
  <c r="AE295" i="25" l="1"/>
  <c r="AF295" i="25" s="1"/>
  <c r="AC296" i="25"/>
  <c r="AE296" i="25" l="1"/>
  <c r="AF296" i="25" s="1"/>
  <c r="AC297" i="25"/>
  <c r="AE297" i="25" l="1"/>
  <c r="AF297" i="25" s="1"/>
  <c r="AC298" i="25"/>
  <c r="AE298" i="25" l="1"/>
  <c r="AF298" i="25" s="1"/>
  <c r="AC299" i="25"/>
  <c r="AE299" i="25" l="1"/>
  <c r="AF299" i="25" s="1"/>
  <c r="AC300" i="25"/>
  <c r="AE300" i="25" l="1"/>
  <c r="AF300" i="25" s="1"/>
  <c r="AC301" i="25"/>
  <c r="AE301" i="25" l="1"/>
  <c r="AF301" i="25" s="1"/>
  <c r="AC302" i="25"/>
  <c r="AE302" i="25" l="1"/>
  <c r="AF302" i="25" s="1"/>
  <c r="AC303" i="25"/>
  <c r="AE303" i="25" l="1"/>
  <c r="AF303" i="25" s="1"/>
  <c r="AC304" i="25"/>
  <c r="AE304" i="25" l="1"/>
  <c r="AF304" i="25" s="1"/>
  <c r="AC305" i="25"/>
  <c r="AE305" i="25" l="1"/>
  <c r="AF305" i="25" s="1"/>
  <c r="AC306" i="25"/>
  <c r="AE306" i="25" l="1"/>
  <c r="AF306" i="25" s="1"/>
  <c r="AC307" i="25"/>
  <c r="AE307" i="25" l="1"/>
  <c r="AF307" i="25" s="1"/>
  <c r="AC308" i="25"/>
  <c r="AE308" i="25" l="1"/>
  <c r="AF308" i="25" s="1"/>
  <c r="AC309" i="25"/>
  <c r="AE309" i="25" l="1"/>
  <c r="AF309" i="25" s="1"/>
  <c r="AC310" i="25"/>
  <c r="AE310" i="25" l="1"/>
  <c r="AF310" i="25" s="1"/>
  <c r="AC311" i="25"/>
  <c r="AE311" i="25" l="1"/>
  <c r="AF311" i="25" s="1"/>
  <c r="AC312" i="25"/>
  <c r="AE312" i="25" l="1"/>
  <c r="AF312" i="25" s="1"/>
  <c r="AC313" i="25"/>
  <c r="AE313" i="25" l="1"/>
  <c r="AF313" i="25" s="1"/>
  <c r="AC314" i="25"/>
  <c r="AE314" i="25" l="1"/>
  <c r="AF314" i="25" s="1"/>
  <c r="AC315" i="25"/>
  <c r="AE315" i="25" l="1"/>
  <c r="AF315" i="25" s="1"/>
  <c r="AC316" i="25"/>
  <c r="AE316" i="25" l="1"/>
  <c r="AF316" i="25" s="1"/>
  <c r="AC317" i="25"/>
  <c r="AE317" i="25" l="1"/>
  <c r="AF317" i="25" s="1"/>
  <c r="AC318" i="25"/>
  <c r="AE318" i="25" l="1"/>
  <c r="AF318" i="25" s="1"/>
  <c r="AC319" i="25"/>
  <c r="AE319" i="25" l="1"/>
  <c r="AF319" i="25" s="1"/>
  <c r="AC320" i="25"/>
  <c r="AE320" i="25" l="1"/>
  <c r="AF320" i="25" s="1"/>
  <c r="AC321" i="25"/>
  <c r="AE321" i="25" l="1"/>
  <c r="AF321" i="25" s="1"/>
  <c r="AC322" i="25"/>
  <c r="AE322" i="25" l="1"/>
  <c r="AF322" i="25" s="1"/>
  <c r="AC323" i="25"/>
  <c r="AE323" i="25" l="1"/>
  <c r="AF323" i="25" s="1"/>
  <c r="AC324" i="25"/>
  <c r="AE324" i="25" l="1"/>
  <c r="AF324" i="25" s="1"/>
  <c r="AC325" i="25"/>
  <c r="AE325" i="25" l="1"/>
  <c r="AF325" i="25" s="1"/>
  <c r="AC326" i="25"/>
  <c r="AE326" i="25" l="1"/>
  <c r="AF326" i="25" s="1"/>
  <c r="AC327" i="25"/>
  <c r="AE327" i="25" l="1"/>
  <c r="AF327" i="25" s="1"/>
  <c r="AC328" i="25"/>
  <c r="AE328" i="25" l="1"/>
  <c r="AF328" i="25" s="1"/>
  <c r="AC329" i="25"/>
  <c r="AE329" i="25" l="1"/>
  <c r="AF329" i="25" s="1"/>
  <c r="AC330" i="25"/>
  <c r="AE330" i="25" l="1"/>
  <c r="AF330" i="25" s="1"/>
  <c r="AC331" i="25"/>
  <c r="AE331" i="25" l="1"/>
  <c r="AF331" i="25" s="1"/>
  <c r="AC332" i="25"/>
  <c r="AE332" i="25" l="1"/>
  <c r="AF332" i="25" s="1"/>
  <c r="AC333" i="25"/>
  <c r="AE333" i="25" l="1"/>
  <c r="AF333" i="25" s="1"/>
  <c r="AC334" i="25"/>
  <c r="AE334" i="25" l="1"/>
  <c r="AF334" i="25" s="1"/>
  <c r="AC335" i="25"/>
  <c r="AE335" i="25" l="1"/>
  <c r="AF335" i="25" s="1"/>
  <c r="AC336" i="25"/>
  <c r="AE336" i="25" l="1"/>
  <c r="AF336" i="25" s="1"/>
  <c r="AC337" i="25"/>
  <c r="AE337" i="25" l="1"/>
  <c r="AF337" i="25" s="1"/>
  <c r="AC338" i="25"/>
  <c r="AE338" i="25" l="1"/>
  <c r="AF338" i="25" s="1"/>
  <c r="AC339" i="25"/>
  <c r="AE339" i="25" l="1"/>
  <c r="AF339" i="25" s="1"/>
  <c r="AC340" i="25"/>
  <c r="AE340" i="25" l="1"/>
  <c r="AF340" i="25" s="1"/>
  <c r="AC341" i="25"/>
  <c r="AE341" i="25" l="1"/>
  <c r="AF341" i="25" s="1"/>
  <c r="AC342" i="25"/>
  <c r="AE342" i="25" l="1"/>
  <c r="AF342" i="25" s="1"/>
  <c r="AC343" i="25"/>
  <c r="AE343" i="25" l="1"/>
  <c r="AF343" i="25" s="1"/>
  <c r="AC344" i="25"/>
  <c r="AE344" i="25" l="1"/>
  <c r="AF344" i="25" s="1"/>
  <c r="AC345" i="25"/>
  <c r="AE345" i="25" l="1"/>
  <c r="AF345" i="25" s="1"/>
  <c r="AC346" i="25"/>
  <c r="AE346" i="25" l="1"/>
  <c r="AF346" i="25" s="1"/>
  <c r="AC347" i="25"/>
  <c r="AE347" i="25" l="1"/>
  <c r="AF347" i="25" s="1"/>
  <c r="AC348" i="25"/>
  <c r="AE348" i="25" l="1"/>
  <c r="AF348" i="25" s="1"/>
  <c r="AC349" i="25"/>
  <c r="AE349" i="25" l="1"/>
  <c r="AF349" i="25" s="1"/>
  <c r="AC350" i="25"/>
  <c r="AE350" i="25" l="1"/>
  <c r="AF350" i="25" s="1"/>
  <c r="AC351" i="25"/>
  <c r="AE351" i="25" l="1"/>
  <c r="AF351" i="25" s="1"/>
  <c r="AC352" i="25"/>
  <c r="AE352" i="25" l="1"/>
  <c r="AF352" i="25" s="1"/>
  <c r="AC353" i="25"/>
  <c r="AE353" i="25" l="1"/>
  <c r="AF353" i="25" s="1"/>
  <c r="AC354" i="25"/>
  <c r="AE354" i="25" l="1"/>
  <c r="AF354" i="25" s="1"/>
  <c r="AC355" i="25"/>
  <c r="AE355" i="25" l="1"/>
  <c r="AF355" i="25" s="1"/>
  <c r="AC356" i="25"/>
  <c r="AE356" i="25" l="1"/>
  <c r="AF356" i="25" s="1"/>
  <c r="AC357" i="25"/>
  <c r="AE357" i="25" l="1"/>
  <c r="AF357" i="25" s="1"/>
  <c r="AC358" i="25"/>
  <c r="AE358" i="25" l="1"/>
  <c r="AF358" i="25" s="1"/>
  <c r="AC359" i="25"/>
  <c r="AE359" i="25" l="1"/>
  <c r="AF359" i="25" s="1"/>
  <c r="AC360" i="25"/>
  <c r="AE360" i="25" l="1"/>
  <c r="AF360" i="25" s="1"/>
  <c r="AC361" i="25"/>
  <c r="AE361" i="25" l="1"/>
  <c r="AF361" i="25" s="1"/>
  <c r="AC362" i="25"/>
  <c r="AE362" i="25" l="1"/>
  <c r="AF362" i="25" s="1"/>
  <c r="AC363" i="25"/>
  <c r="AE363" i="25" l="1"/>
  <c r="AF363" i="25" s="1"/>
  <c r="AC364" i="25"/>
  <c r="AE364" i="25" l="1"/>
  <c r="AF364" i="25" s="1"/>
  <c r="AC365" i="25"/>
  <c r="AE365" i="25" l="1"/>
  <c r="AF365" i="25" s="1"/>
  <c r="AC366" i="25"/>
  <c r="AE366" i="25" l="1"/>
  <c r="AF366" i="25" s="1"/>
  <c r="AC367" i="25"/>
  <c r="AE367" i="25" l="1"/>
  <c r="AF367" i="25" s="1"/>
  <c r="AC368" i="25"/>
  <c r="AE368" i="25" l="1"/>
  <c r="AF368" i="25" s="1"/>
  <c r="AC369" i="25"/>
  <c r="AE369" i="25" l="1"/>
  <c r="AF369" i="25" s="1"/>
  <c r="AC370" i="25"/>
  <c r="AE370" i="25" l="1"/>
  <c r="AF370" i="25" s="1"/>
  <c r="AC371" i="25"/>
  <c r="AE371" i="25" l="1"/>
  <c r="AF371" i="25" s="1"/>
  <c r="AC372" i="25"/>
  <c r="AE372" i="25" l="1"/>
  <c r="AF372" i="25" s="1"/>
  <c r="AC373" i="25"/>
  <c r="AE373" i="25" l="1"/>
  <c r="AF373" i="25" s="1"/>
  <c r="AC374" i="25"/>
  <c r="AE374" i="25" l="1"/>
  <c r="AF374" i="25" s="1"/>
  <c r="AC375" i="25"/>
  <c r="AE375" i="25" l="1"/>
  <c r="AF375" i="25" s="1"/>
  <c r="AC376" i="25"/>
  <c r="AE376" i="25" l="1"/>
  <c r="AF376" i="25" s="1"/>
  <c r="AC377" i="25"/>
  <c r="AE377" i="25" l="1"/>
  <c r="AF377" i="25" s="1"/>
  <c r="AC378" i="25"/>
  <c r="AE378" i="25" l="1"/>
  <c r="AF378" i="25" s="1"/>
  <c r="AC379" i="25"/>
  <c r="AE379" i="25" l="1"/>
  <c r="AF379" i="25" s="1"/>
  <c r="AC380" i="25"/>
  <c r="AE380" i="25" l="1"/>
  <c r="AF380" i="25" s="1"/>
  <c r="AC381" i="25"/>
  <c r="AE381" i="25" s="1"/>
  <c r="AF381" i="25" l="1"/>
</calcChain>
</file>

<file path=xl/sharedStrings.xml><?xml version="1.0" encoding="utf-8"?>
<sst xmlns="http://schemas.openxmlformats.org/spreadsheetml/2006/main" count="4426" uniqueCount="197">
  <si>
    <t>일자</t>
    <phoneticPr fontId="1" type="noConversion"/>
  </si>
  <si>
    <t>종목코드</t>
    <phoneticPr fontId="1" type="noConversion"/>
  </si>
  <si>
    <t>종가</t>
    <phoneticPr fontId="1" type="noConversion"/>
  </si>
  <si>
    <t>수정주가</t>
    <phoneticPr fontId="1" type="noConversion"/>
  </si>
  <si>
    <t>005930</t>
  </si>
  <si>
    <t>005930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</si>
  <si>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</si>
  <si>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</si>
  <si>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</si>
  <si>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068270</t>
  </si>
  <si>
    <t>068270</t>
    <phoneticPr fontId="1" type="noConversion"/>
  </si>
  <si>
    <t>기준가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</si>
  <si>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</si>
  <si>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</si>
  <si>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</si>
  <si>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</si>
  <si>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</si>
  <si>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</si>
  <si>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</si>
  <si>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</si>
  <si>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비교</t>
    <phoneticPr fontId="1" type="noConversion"/>
  </si>
  <si>
    <t>EVENT</t>
    <phoneticPr fontId="1" type="noConversion"/>
  </si>
  <si>
    <t>005930</t>
    <phoneticPr fontId="1" type="noConversion"/>
  </si>
  <si>
    <t>005930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</si>
  <si>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</si>
  <si>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</si>
  <si>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</si>
  <si>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</si>
  <si>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</si>
  <si>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</si>
  <si>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</si>
  <si>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비교</t>
    <phoneticPr fontId="1" type="noConversion"/>
  </si>
  <si>
    <t>추가상장(제3자배정유상증자)</t>
    <phoneticPr fontId="1" type="noConversion"/>
  </si>
  <si>
    <t>권리락(유상증자)</t>
    <phoneticPr fontId="1" type="noConversion"/>
  </si>
  <si>
    <t>추가상장(주주배정유상증자)</t>
    <phoneticPr fontId="1" type="noConversion"/>
  </si>
  <si>
    <t>비고</t>
    <phoneticPr fontId="1" type="noConversion"/>
  </si>
  <si>
    <t>배당락</t>
    <phoneticPr fontId="1" type="noConversion"/>
  </si>
  <si>
    <t>추가상장(주식매수선택권행사)</t>
    <phoneticPr fontId="1" type="noConversion"/>
  </si>
  <si>
    <t>추가상장(주식배당), 추가상장(주식매수선택권행사)</t>
    <phoneticPr fontId="1" type="noConversion"/>
  </si>
  <si>
    <t>추가상장(해외공모 CB전환)</t>
    <phoneticPr fontId="1" type="noConversion"/>
  </si>
  <si>
    <t>배당락</t>
    <phoneticPr fontId="1" type="noConversion"/>
  </si>
  <si>
    <t>추가상장(주식매수선택권 행사)</t>
    <phoneticPr fontId="1" type="noConversion"/>
  </si>
  <si>
    <t>추가상장(주식배당), 추가상장(주식매수선택권 행사)</t>
    <phoneticPr fontId="1" type="noConversion"/>
  </si>
  <si>
    <t>추가상장(해외공모전환사채(CB) 전환)</t>
    <phoneticPr fontId="1" type="noConversion"/>
  </si>
  <si>
    <t>추가상장(주식배당)</t>
    <phoneticPr fontId="1" type="noConversion"/>
  </si>
  <si>
    <t>배당락(주식배당)</t>
    <phoneticPr fontId="1" type="noConversion"/>
  </si>
  <si>
    <t>신규상장, 상장폐지(유가증권시장 상장), 셀트리온신규상장 기준가격안내, 271500</t>
    <phoneticPr fontId="1" type="noConversion"/>
  </si>
  <si>
    <t>추가상장(스톡옵션행사)</t>
    <phoneticPr fontId="1" type="noConversion"/>
  </si>
  <si>
    <t>배당락 기준가격 안내</t>
    <phoneticPr fontId="1" type="noConversion"/>
  </si>
  <si>
    <t>시작년도</t>
    <phoneticPr fontId="1" type="noConversion"/>
  </si>
  <si>
    <t>리밸런싱</t>
    <phoneticPr fontId="1" type="noConversion"/>
  </si>
  <si>
    <t>반기</t>
    <phoneticPr fontId="1" type="noConversion"/>
  </si>
  <si>
    <t>첫영업일</t>
    <phoneticPr fontId="1" type="noConversion"/>
  </si>
  <si>
    <t>종목코드</t>
    <phoneticPr fontId="1" type="noConversion"/>
  </si>
  <si>
    <t>삼성전자</t>
    <phoneticPr fontId="1" type="noConversion"/>
  </si>
  <si>
    <t>종목명</t>
    <phoneticPr fontId="1" type="noConversion"/>
  </si>
  <si>
    <t>비중</t>
    <phoneticPr fontId="1" type="noConversion"/>
  </si>
  <si>
    <t>068270</t>
    <phoneticPr fontId="1" type="noConversion"/>
  </si>
  <si>
    <t>셀트리온</t>
    <phoneticPr fontId="1" type="noConversion"/>
  </si>
  <si>
    <t>084990</t>
    <phoneticPr fontId="1" type="noConversion"/>
  </si>
  <si>
    <t>헬릭스미스</t>
    <phoneticPr fontId="1" type="noConversion"/>
  </si>
  <si>
    <t>310970</t>
    <phoneticPr fontId="1" type="noConversion"/>
  </si>
  <si>
    <t>TIGER MSCI TR ETF</t>
    <phoneticPr fontId="1" type="noConversion"/>
  </si>
  <si>
    <t>합계</t>
    <phoneticPr fontId="1" type="noConversion"/>
  </si>
  <si>
    <t xml:space="preserve">[STEP 1] </t>
    <phoneticPr fontId="1" type="noConversion"/>
  </si>
  <si>
    <t>비중을 직접 입력</t>
    <phoneticPr fontId="1" type="noConversion"/>
  </si>
  <si>
    <t>[STEP 2]</t>
    <phoneticPr fontId="1" type="noConversion"/>
  </si>
  <si>
    <t>리밸런싱 주기별 지수적용비율 계산</t>
    <phoneticPr fontId="1" type="noConversion"/>
  </si>
  <si>
    <t>날짜</t>
    <phoneticPr fontId="1" type="noConversion"/>
  </si>
  <si>
    <t>종목코드</t>
    <phoneticPr fontId="1" type="noConversion"/>
  </si>
  <si>
    <t>종목명</t>
    <phoneticPr fontId="1" type="noConversion"/>
  </si>
  <si>
    <t>상장주식수</t>
    <phoneticPr fontId="1" type="noConversion"/>
  </si>
  <si>
    <t>지수적용비율</t>
    <phoneticPr fontId="1" type="noConversion"/>
  </si>
  <si>
    <t>KRW</t>
    <phoneticPr fontId="1" type="noConversion"/>
  </si>
  <si>
    <t>현금</t>
    <phoneticPr fontId="1" type="noConversion"/>
  </si>
  <si>
    <t>상장전</t>
    <phoneticPr fontId="1" type="noConversion"/>
  </si>
  <si>
    <t>*상장일 2018.11.20</t>
    <phoneticPr fontId="1" type="noConversion"/>
  </si>
  <si>
    <t>2018.01.02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</si>
  <si>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</si>
  <si>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</si>
  <si>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</si>
  <si>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</si>
  <si>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2019.01.02</t>
    <phoneticPr fontId="1" type="noConversion"/>
  </si>
  <si>
    <t>2019.07.01</t>
    <phoneticPr fontId="1" type="noConversion"/>
  </si>
  <si>
    <t>[STEP 3]</t>
    <phoneticPr fontId="1" type="noConversion"/>
  </si>
  <si>
    <t>날짜</t>
    <phoneticPr fontId="1" type="noConversion"/>
  </si>
  <si>
    <t>TIGER MSCI TR(310970)</t>
    <phoneticPr fontId="1" type="noConversion"/>
  </si>
  <si>
    <t>리벨런싱</t>
    <phoneticPr fontId="1" type="noConversion"/>
  </si>
  <si>
    <t>N</t>
    <phoneticPr fontId="1" type="noConversion"/>
  </si>
  <si>
    <t>Y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</si>
  <si>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</si>
  <si>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</si>
  <si>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</si>
  <si>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t>RETURN</t>
    <phoneticPr fontId="1" type="noConversion"/>
  </si>
  <si>
    <t>셀트주수</t>
    <phoneticPr fontId="1" type="noConversion"/>
  </si>
  <si>
    <t>헬릭주수</t>
    <phoneticPr fontId="1" type="noConversion"/>
  </si>
  <si>
    <t>SETP1에서 설정한 종목 중 리밸런싱 기간에 포함이 안되어 있는 종목은 현금처리 한다.</t>
    <phoneticPr fontId="1" type="noConversion"/>
  </si>
  <si>
    <t>조건설정</t>
    <phoneticPr fontId="1" type="noConversion"/>
  </si>
  <si>
    <t>백테스팅(지수산출)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</si>
  <si>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</si>
  <si>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</si>
  <si>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</si>
  <si>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</si>
  <si>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</si>
  <si>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</si>
  <si>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</si>
  <si>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엘앤씨바이오</t>
    <phoneticPr fontId="1" type="noConversion"/>
  </si>
  <si>
    <t>기준가</t>
    <phoneticPr fontId="1" type="noConversion"/>
  </si>
  <si>
    <t>종가</t>
    <phoneticPr fontId="1" type="noConversion"/>
  </si>
  <si>
    <t>기준가</t>
    <phoneticPr fontId="1" type="noConversion"/>
  </si>
  <si>
    <t>종가</t>
    <phoneticPr fontId="1" type="noConversion"/>
  </si>
  <si>
    <t>종가</t>
    <phoneticPr fontId="1" type="noConversion"/>
  </si>
  <si>
    <t>EVENT발생</t>
    <phoneticPr fontId="1" type="noConversion"/>
  </si>
  <si>
    <t>종목별 Return</t>
    <phoneticPr fontId="1" type="noConversion"/>
  </si>
  <si>
    <t>삼성전자</t>
    <phoneticPr fontId="1" type="noConversion"/>
  </si>
  <si>
    <t>엘앤씨바이오</t>
    <phoneticPr fontId="1" type="noConversion"/>
  </si>
  <si>
    <t>자율비중(직접입력) -&gt; 상장주식수 반영 후 계산</t>
    <phoneticPr fontId="1" type="noConversion"/>
  </si>
  <si>
    <t>CASE 1 -&gt; 비중을 직접입력하거나, 동일가중을 적용할 경우 상장주식수는 의미 없다. 상장주식수를 1로 놓고, 수정주가로 계산한다.</t>
    <phoneticPr fontId="1" type="noConversion"/>
  </si>
  <si>
    <r>
      <t xml:space="preserve">자율비중/동일가중의 경우 상장주식수가 의미 없으나, </t>
    </r>
    <r>
      <rPr>
        <b/>
        <sz val="11"/>
        <color rgb="FFFF0000"/>
        <rFont val="맑은 고딕"/>
        <family val="3"/>
        <charset val="129"/>
        <scheme val="minor"/>
      </rPr>
      <t>시가총액가중방식과 백테스트 산출로직을 동일하게 관리</t>
    </r>
    <r>
      <rPr>
        <b/>
        <sz val="11"/>
        <color theme="1"/>
        <rFont val="맑은 고딕"/>
        <family val="3"/>
        <charset val="129"/>
        <scheme val="minor"/>
      </rPr>
      <t>하기 위해 상장주식수 반영식을 사용한다.</t>
    </r>
    <phoneticPr fontId="1" type="noConversion"/>
  </si>
  <si>
    <t>지수적용비율 = 비중 * 시가기준의 시가총핵총합 / 시가기준의 시가총액</t>
    <phoneticPr fontId="1" type="noConversion"/>
  </si>
  <si>
    <t>기준가</t>
    <phoneticPr fontId="1" type="noConversion"/>
  </si>
  <si>
    <t>시가기준 시총</t>
    <phoneticPr fontId="1" type="noConversion"/>
  </si>
  <si>
    <t>상장전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</si>
  <si>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</si>
  <si>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</si>
  <si>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지수적용비율(직전)</t>
    <phoneticPr fontId="1" type="noConversion"/>
  </si>
  <si>
    <t>삼성전자(005930) 15%</t>
    <phoneticPr fontId="1" type="noConversion"/>
  </si>
  <si>
    <t>셀트리온(068270) 15%</t>
    <phoneticPr fontId="1" type="noConversion"/>
  </si>
  <si>
    <t>헬릭스미스(084990) 30%</t>
    <phoneticPr fontId="1" type="noConversion"/>
  </si>
  <si>
    <t>TIGER MSCI TR(310970)  40%</t>
    <phoneticPr fontId="1" type="noConversion"/>
  </si>
  <si>
    <t>현금(KRW) 40%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</si>
  <si>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</si>
  <si>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</si>
  <si>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</si>
  <si>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</si>
  <si>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</si>
  <si>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CASE 2-1</t>
    <phoneticPr fontId="1" type="noConversion"/>
  </si>
  <si>
    <t>CASE 2-2</t>
    <phoneticPr fontId="1" type="noConversion"/>
  </si>
  <si>
    <t>상태</t>
    <phoneticPr fontId="1" type="noConversion"/>
  </si>
  <si>
    <t>적용비율</t>
    <phoneticPr fontId="1" type="noConversion"/>
  </si>
  <si>
    <t>삼성전자(005930)</t>
    <phoneticPr fontId="1" type="noConversion"/>
  </si>
  <si>
    <t>셀트리온(068270)</t>
    <phoneticPr fontId="1" type="noConversion"/>
  </si>
  <si>
    <t>헬릭스미스(084990)</t>
    <phoneticPr fontId="1" type="noConversion"/>
  </si>
  <si>
    <t>적용비율</t>
    <phoneticPr fontId="1" type="noConversion"/>
  </si>
  <si>
    <t>구성비</t>
    <phoneticPr fontId="1" type="noConversion"/>
  </si>
  <si>
    <t>구성비</t>
    <phoneticPr fontId="1" type="noConversion"/>
  </si>
  <si>
    <t>자율비중(직접입력) -&gt; 리벨런싱주기별로 종목비중을 다르게 적용</t>
    <phoneticPr fontId="1" type="noConversion"/>
  </si>
  <si>
    <t>CASE 2-3</t>
    <phoneticPr fontId="1" type="noConversion"/>
  </si>
  <si>
    <t>자율비중(직접입력) -&gt; 리벨런싱주기별로 구성종목 및 종목비중을 다르게 적용</t>
    <phoneticPr fontId="1" type="noConversion"/>
  </si>
  <si>
    <t>310970</t>
    <phoneticPr fontId="1" type="noConversion"/>
  </si>
  <si>
    <t>TIGER MSCI TR</t>
    <phoneticPr fontId="1" type="noConversion"/>
  </si>
  <si>
    <t>290650</t>
    <phoneticPr fontId="1" type="noConversion"/>
  </si>
  <si>
    <t>엘앤씨바이오</t>
    <phoneticPr fontId="1" type="noConversion"/>
  </si>
  <si>
    <t>18.11월상장</t>
    <phoneticPr fontId="1" type="noConversion"/>
  </si>
  <si>
    <t>상장전</t>
    <phoneticPr fontId="1" type="noConversion"/>
  </si>
  <si>
    <t>삭제</t>
    <phoneticPr fontId="1" type="noConversion"/>
  </si>
  <si>
    <t>현금</t>
    <phoneticPr fontId="1" type="noConversion"/>
  </si>
  <si>
    <t>버튼클릭후 화면</t>
    <phoneticPr fontId="1" type="noConversion"/>
  </si>
  <si>
    <t>수정후 화면</t>
    <phoneticPr fontId="1" type="noConversion"/>
  </si>
  <si>
    <t>삭제</t>
    <phoneticPr fontId="1" type="noConversion"/>
  </si>
  <si>
    <t>삭제</t>
    <phoneticPr fontId="1" type="noConversion"/>
  </si>
  <si>
    <t>삭제</t>
    <phoneticPr fontId="1" type="noConversion"/>
  </si>
  <si>
    <t>삭제</t>
    <phoneticPr fontId="1" type="noConversion"/>
  </si>
  <si>
    <t>삭제</t>
    <phoneticPr fontId="1" type="noConversion"/>
  </si>
  <si>
    <t>엘앤씨바이오(290650)</t>
    <phoneticPr fontId="1" type="noConversion"/>
  </si>
  <si>
    <t>삼성전자</t>
    <phoneticPr fontId="1" type="noConversion"/>
  </si>
  <si>
    <t>DATE</t>
    <phoneticPr fontId="1" type="noConversion"/>
  </si>
  <si>
    <t>투자비중</t>
    <phoneticPr fontId="1" type="noConversion"/>
  </si>
  <si>
    <t>셀트리온</t>
    <phoneticPr fontId="1" type="noConversion"/>
  </si>
  <si>
    <t>투자비중</t>
    <phoneticPr fontId="1" type="noConversion"/>
  </si>
  <si>
    <t>투자비중</t>
    <phoneticPr fontId="1" type="noConversion"/>
  </si>
  <si>
    <t>앨엔씨바이오</t>
    <phoneticPr fontId="1" type="noConversion"/>
  </si>
  <si>
    <t>투자비중</t>
    <phoneticPr fontId="1" type="noConversion"/>
  </si>
  <si>
    <t>투자금액</t>
    <phoneticPr fontId="1" type="noConversion"/>
  </si>
  <si>
    <t>보유주식수</t>
    <phoneticPr fontId="1" type="noConversion"/>
  </si>
  <si>
    <t>보유주식수</t>
    <phoneticPr fontId="1" type="noConversion"/>
  </si>
  <si>
    <t>보유주식수</t>
    <phoneticPr fontId="1" type="noConversion"/>
  </si>
  <si>
    <t>보유주식수</t>
    <phoneticPr fontId="1" type="noConversion"/>
  </si>
  <si>
    <t>리밸</t>
    <phoneticPr fontId="1" type="noConversion"/>
  </si>
  <si>
    <t>등락</t>
    <phoneticPr fontId="1" type="noConversion"/>
  </si>
  <si>
    <t>수장주가</t>
    <phoneticPr fontId="1" type="noConversion"/>
  </si>
  <si>
    <t xml:space="preserve">지수산출 FLOW </t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</si>
  <si>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4</t>
    </r>
    <r>
      <rPr>
        <b/>
        <sz val="11"/>
        <color theme="1"/>
        <rFont val="맑은 고딕"/>
        <family val="3"/>
        <charset val="129"/>
        <scheme val="minor"/>
      </rPr>
      <t>.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화면에서 입력받는 정보: 주기에 해당하는 종목 리스트, 배분비율
  - DB에서 입력받는 정보: 종목의 T일 기준가, 종가, 상장주식수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</si>
  <si>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6</t>
    </r>
    <r>
      <rPr>
        <b/>
        <sz val="11"/>
        <color theme="1"/>
        <rFont val="맑은 고딕"/>
        <family val="3"/>
        <charset val="129"/>
        <scheme val="minor"/>
      </rPr>
      <t>. 기준시가총액 재계산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</si>
  <si>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7</t>
    </r>
    <r>
      <rPr>
        <b/>
        <sz val="11"/>
        <color theme="1"/>
        <rFont val="맑은 고딕"/>
        <family val="3"/>
        <charset val="129"/>
        <scheme val="minor"/>
      </rPr>
      <t>. 시장조치 확인을 위한 T-1일 비교시총과 T일 시가기준 비교시총  비교</t>
    </r>
    <r>
      <rPr>
        <sz val="11"/>
        <color theme="1"/>
        <rFont val="맑은 고딕"/>
        <family val="2"/>
        <charset val="129"/>
        <scheme val="minor"/>
      </rPr>
      <t xml:space="preserve">
  - (1)T-1일 비교시가총액: 이전 루프에서 계산된 직전일의 비교시가총액 사용
  - (2)T일 시가기준 비교시가총액: SUM(기준가 * 상장주식수 * 지수적용비율)
  - (1) 과 (2) 의 값이 다를 경우 시장조치가 발생했다고 판단할 수 있다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</si>
  <si>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1</t>
    </r>
    <r>
      <rPr>
        <b/>
        <sz val="11"/>
        <color theme="1"/>
        <rFont val="맑은 고딕"/>
        <family val="3"/>
        <charset val="129"/>
        <scheme val="minor"/>
      </rPr>
      <t>. 최초일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입력받은 일자중 최초일의 리밸런싱 포트폴리오 내역을 가져온다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</si>
  <si>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3</t>
    </r>
    <r>
      <rPr>
        <b/>
        <sz val="11"/>
        <color theme="1"/>
        <rFont val="맑은 고딕"/>
        <family val="3"/>
        <charset val="129"/>
        <scheme val="minor"/>
      </rPr>
      <t>. 기준시가총액 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SUM(종가*상장주식수*지수적용비율)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</si>
  <si>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/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</si>
  <si>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/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</si>
  <si>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/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</si>
  <si>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 xml:space="preserve">. (최초일)종목별 지수적용비율 계산 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FF000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sz val="11"/>
        <color rgb="FFFF0000"/>
        <rFont val="맑은 고딕"/>
        <family val="3"/>
        <charset val="129"/>
        <scheme val="minor"/>
      </rPr>
      <t>종가</t>
    </r>
    <r>
      <rPr>
        <sz val="11"/>
        <color theme="1"/>
        <rFont val="맑은 고딕"/>
        <family val="2"/>
        <charset val="129"/>
        <scheme val="minor"/>
      </rPr>
      <t xml:space="preserve"> * 상장주식수) /  (A종목_</t>
    </r>
    <r>
      <rPr>
        <sz val="11"/>
        <color rgb="FFFF0000"/>
        <rFont val="맑은 고딕"/>
        <family val="3"/>
        <charset val="129"/>
        <scheme val="minor"/>
      </rPr>
      <t>종가</t>
    </r>
    <r>
      <rPr>
        <sz val="11"/>
        <color theme="1"/>
        <rFont val="맑은 고딕"/>
        <family val="2"/>
        <charset val="129"/>
        <scheme val="minor"/>
      </rPr>
      <t xml:space="preserve">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</si>
  <si>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5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b/>
        <sz val="11"/>
        <color rgb="FFFF0000"/>
        <rFont val="맑은 고딕"/>
        <family val="3"/>
        <charset val="129"/>
        <scheme val="minor"/>
      </rPr>
      <t xml:space="preserve"> (2.최초일 종목별 지수적용비율계산과 다르다!!)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FF000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sz val="11"/>
        <color rgb="FFFF0000"/>
        <rFont val="맑은 고딕"/>
        <family val="3"/>
        <charset val="129"/>
        <scheme val="minor"/>
      </rPr>
      <t>기준가</t>
    </r>
    <r>
      <rPr>
        <sz val="11"/>
        <color theme="1"/>
        <rFont val="맑은 고딕"/>
        <family val="2"/>
        <charset val="129"/>
        <scheme val="minor"/>
      </rPr>
      <t xml:space="preserve"> * 상장주식수) /  (A종목_</t>
    </r>
    <r>
      <rPr>
        <sz val="11"/>
        <color rgb="FFFF0000"/>
        <rFont val="맑은 고딕"/>
        <family val="3"/>
        <charset val="129"/>
        <scheme val="minor"/>
      </rPr>
      <t>기준가</t>
    </r>
    <r>
      <rPr>
        <sz val="11"/>
        <color theme="1"/>
        <rFont val="맑은 고딕"/>
        <family val="2"/>
        <charset val="129"/>
        <scheme val="minor"/>
      </rPr>
      <t xml:space="preserve">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</si>
  <si>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8. 종목별 지수적용비율 계산</t>
    </r>
    <r>
      <rPr>
        <b/>
        <sz val="11"/>
        <color rgb="FFFF0000"/>
        <rFont val="맑은 고딕"/>
        <family val="3"/>
        <charset val="129"/>
        <scheme val="minor"/>
      </rPr>
      <t xml:space="preserve"> (5. 종목별 지수적용비율 계산과 다르다!!)</t>
    </r>
    <r>
      <rPr>
        <sz val="11"/>
        <color theme="1"/>
        <rFont val="맑은 고딕"/>
        <family val="2"/>
        <charset val="129"/>
        <scheme val="minor"/>
      </rPr>
      <t xml:space="preserve">
  - [5. 종목별 지수적용비율 계산] 과 다른 점은 배분비율을 사용하는 대신 직전일(T-1)의 종목비중을 넣어 계산한다는 것이다.
  - A종목_지수적용비율 =</t>
    </r>
    <r>
      <rPr>
        <sz val="11"/>
        <color rgb="FFFF0000"/>
        <rFont val="맑은 고딕"/>
        <family val="3"/>
        <charset val="129"/>
        <scheme val="minor"/>
      </rPr>
      <t xml:space="preserve"> (T-1일_A종목종가 * T-1일_A종목상장주식수 * T-1일_A종목지수적용비율)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_상장주식수) / 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 A종목기준가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_A종목상장주식수)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</si>
  <si>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 xml:space="preserve">9. 기준시가총액 재계산 </t>
    </r>
    <r>
      <rPr>
        <b/>
        <sz val="11"/>
        <color rgb="FFFF0000"/>
        <rFont val="맑은 고딕"/>
        <family val="3"/>
        <charset val="129"/>
        <scheme val="minor"/>
      </rPr>
      <t>(6. 기준시가총액 재계산과 동일한 로직)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</si>
  <si>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10</t>
    </r>
    <r>
      <rPr>
        <b/>
        <sz val="11"/>
        <color theme="1"/>
        <rFont val="맑은 고딕"/>
        <family val="3"/>
        <charset val="129"/>
        <scheme val="minor"/>
      </rPr>
      <t>. 비교시가총액 계산</t>
    </r>
    <r>
      <rPr>
        <sz val="11"/>
        <color theme="1"/>
        <rFont val="맑은 고딕"/>
        <family val="2"/>
        <charset val="129"/>
        <scheme val="minor"/>
      </rPr>
      <t xml:space="preserve">
  - 비교시가총액 = SUM(종가*상장주식수*지수적용비율)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</si>
  <si>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11</t>
    </r>
    <r>
      <rPr>
        <b/>
        <sz val="11"/>
        <color theme="1"/>
        <rFont val="맑은 고딕"/>
        <family val="3"/>
        <charset val="129"/>
        <scheme val="minor"/>
      </rPr>
      <t>. 지수 산출</t>
    </r>
    <r>
      <rPr>
        <sz val="11"/>
        <color theme="1"/>
        <rFont val="맑은 고딕"/>
        <family val="2"/>
        <charset val="129"/>
        <scheme val="minor"/>
      </rPr>
      <t xml:space="preserve">
  - 지수 = 비교시가총액 / 기준시가총액 * 1000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</si>
  <si>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12</t>
    </r>
    <r>
      <rPr>
        <b/>
        <sz val="11"/>
        <color theme="1"/>
        <rFont val="맑은 고딕"/>
        <family val="3"/>
        <charset val="129"/>
        <scheme val="minor"/>
      </rPr>
      <t>. 지수 및 구성종목 정보 LOAD</t>
    </r>
    <r>
      <rPr>
        <sz val="11"/>
        <color theme="1"/>
        <rFont val="맑은 고딕"/>
        <family val="2"/>
        <charset val="129"/>
        <scheme val="minor"/>
      </rPr>
      <t xml:space="preserve">
  - 직전일의 지수 및 구성종목 정보는 당일에 사용되므로 관리한다.
  - 지수정보 : 기준시가총액, 비교시가총액, 지수
  - 구성종목정보 : 종목 리스트, 기준가, 종가, 상장주식수, 배분비율, 지수적용비율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</si>
</sst>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.0000%"/>
    <numFmt numFmtId="185" formatCode="0.00000000000000000000_ "/>
  </numFmts>
  <fonts count="3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b/>
      <sz val="14"/>
      <color theme="0" tint="-4.9989318521683403E-2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13"/>
      <color theme="0" tint="-4.9989318521683403E-2"/>
      <name val="맑은 고딕"/>
      <family val="3"/>
      <charset val="129"/>
      <scheme val="minor"/>
    </font>
    <font>
      <sz val="13"/>
      <color theme="0" tint="-4.9989318521683403E-2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trike/>
      <sz val="10"/>
      <color theme="1"/>
      <name val="맑은 고딕"/>
      <family val="2"/>
      <charset val="129"/>
      <scheme val="minor"/>
    </font>
    <font>
      <strike/>
      <sz val="10"/>
      <color theme="1"/>
      <name val="맑은 고딕"/>
      <family val="3"/>
      <charset val="129"/>
      <scheme val="minor"/>
    </font>
    <font>
      <b/>
      <strike/>
      <sz val="10"/>
      <color theme="3" tint="-0.249977111117893"/>
      <name val="맑은 고딕"/>
      <family val="3"/>
      <charset val="129"/>
      <scheme val="minor"/>
    </font>
    <font>
      <b/>
      <sz val="11"/>
      <color theme="0" tint="-0.14999847407452621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trike/>
      <sz val="11"/>
      <color theme="0" tint="-0.249977111117893"/>
      <name val="맑은 고딕"/>
      <family val="2"/>
      <charset val="129"/>
      <scheme val="minor"/>
    </font>
    <font>
      <strike/>
      <sz val="11"/>
      <color theme="0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4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2" fillId="4" borderId="0" xfId="0" applyFont="1" applyFill="1">
      <alignment vertical="center"/>
    </xf>
    <xf numFmtId="49" fontId="2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76" fontId="3" fillId="4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6" fillId="4" borderId="0" xfId="0" applyFont="1" applyFill="1">
      <alignment vertical="center"/>
    </xf>
    <xf numFmtId="0" fontId="5" fillId="0" borderId="1" xfId="0" applyFont="1" applyBorder="1">
      <alignment vertical="center"/>
    </xf>
    <xf numFmtId="0" fontId="5" fillId="3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3" fillId="0" borderId="2" xfId="0" quotePrefix="1" applyFont="1" applyBorder="1">
      <alignment vertical="center"/>
    </xf>
    <xf numFmtId="0" fontId="3" fillId="0" borderId="2" xfId="0" applyFont="1" applyBorder="1">
      <alignment vertical="center"/>
    </xf>
    <xf numFmtId="0" fontId="10" fillId="0" borderId="0" xfId="0" applyFont="1">
      <alignment vertical="center"/>
    </xf>
    <xf numFmtId="0" fontId="10" fillId="6" borderId="2" xfId="0" applyFont="1" applyFill="1" applyBorder="1">
      <alignment vertical="center"/>
    </xf>
    <xf numFmtId="9" fontId="0" fillId="0" borderId="2" xfId="0" applyNumberFormat="1" applyBorder="1">
      <alignment vertical="center"/>
    </xf>
    <xf numFmtId="0" fontId="10" fillId="6" borderId="2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2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0" borderId="0" xfId="0" applyBorder="1">
      <alignment vertical="center"/>
    </xf>
    <xf numFmtId="9" fontId="0" fillId="0" borderId="0" xfId="0" applyNumberFormat="1" applyBorder="1">
      <alignment vertical="center"/>
    </xf>
    <xf numFmtId="0" fontId="14" fillId="8" borderId="0" xfId="0" applyFont="1" applyFill="1">
      <alignment vertical="center"/>
    </xf>
    <xf numFmtId="0" fontId="15" fillId="8" borderId="0" xfId="0" applyFont="1" applyFill="1">
      <alignment vertical="center"/>
    </xf>
    <xf numFmtId="0" fontId="16" fillId="9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9" borderId="0" xfId="0" applyFont="1" applyFill="1">
      <alignment vertical="center"/>
    </xf>
    <xf numFmtId="0" fontId="18" fillId="9" borderId="0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176" fontId="3" fillId="3" borderId="0" xfId="0" applyNumberFormat="1" applyFont="1" applyFill="1">
      <alignment vertical="center"/>
    </xf>
    <xf numFmtId="0" fontId="4" fillId="0" borderId="2" xfId="0" quotePrefix="1" applyFont="1" applyBorder="1">
      <alignment vertical="center"/>
    </xf>
    <xf numFmtId="0" fontId="4" fillId="0" borderId="2" xfId="0" applyFont="1" applyBorder="1">
      <alignment vertical="center"/>
    </xf>
    <xf numFmtId="0" fontId="5" fillId="3" borderId="0" xfId="0" applyFont="1" applyFill="1">
      <alignment vertical="center"/>
    </xf>
    <xf numFmtId="0" fontId="5" fillId="5" borderId="0" xfId="0" applyFont="1" applyFill="1">
      <alignment vertical="center"/>
    </xf>
    <xf numFmtId="0" fontId="5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5" fillId="7" borderId="2" xfId="0" applyFont="1" applyFill="1" applyBorder="1">
      <alignment vertical="center"/>
    </xf>
    <xf numFmtId="176" fontId="5" fillId="5" borderId="2" xfId="0" applyNumberFormat="1" applyFont="1" applyFill="1" applyBorder="1">
      <alignment vertical="center"/>
    </xf>
    <xf numFmtId="177" fontId="6" fillId="7" borderId="2" xfId="0" applyNumberFormat="1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5" fillId="7" borderId="0" xfId="0" applyFont="1" applyFill="1">
      <alignment vertical="center"/>
    </xf>
    <xf numFmtId="0" fontId="22" fillId="0" borderId="0" xfId="0" applyFont="1">
      <alignment vertical="center"/>
    </xf>
    <xf numFmtId="0" fontId="0" fillId="5" borderId="2" xfId="0" applyFill="1" applyBorder="1">
      <alignment vertical="center"/>
    </xf>
    <xf numFmtId="0" fontId="0" fillId="5" borderId="2" xfId="0" quotePrefix="1" applyFill="1" applyBorder="1">
      <alignment vertical="center"/>
    </xf>
    <xf numFmtId="176" fontId="0" fillId="5" borderId="2" xfId="0" applyNumberFormat="1" applyFill="1" applyBorder="1">
      <alignment vertical="center"/>
    </xf>
    <xf numFmtId="0" fontId="2" fillId="5" borderId="2" xfId="0" applyFont="1" applyFill="1" applyBorder="1">
      <alignment vertical="center"/>
    </xf>
    <xf numFmtId="0" fontId="3" fillId="5" borderId="2" xfId="0" quotePrefix="1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0" fillId="11" borderId="2" xfId="0" applyFill="1" applyBorder="1">
      <alignment vertical="center"/>
    </xf>
    <xf numFmtId="176" fontId="0" fillId="11" borderId="2" xfId="0" applyNumberFormat="1" applyFill="1" applyBorder="1">
      <alignment vertical="center"/>
    </xf>
    <xf numFmtId="0" fontId="5" fillId="12" borderId="0" xfId="0" applyFont="1" applyFill="1">
      <alignment vertical="center"/>
    </xf>
    <xf numFmtId="0" fontId="6" fillId="5" borderId="2" xfId="0" applyFont="1" applyFill="1" applyBorder="1">
      <alignment vertical="center"/>
    </xf>
    <xf numFmtId="0" fontId="6" fillId="0" borderId="0" xfId="0" applyFont="1">
      <alignment vertical="center"/>
    </xf>
    <xf numFmtId="176" fontId="20" fillId="5" borderId="2" xfId="0" applyNumberFormat="1" applyFont="1" applyFill="1" applyBorder="1">
      <alignment vertical="center"/>
    </xf>
    <xf numFmtId="0" fontId="23" fillId="5" borderId="2" xfId="0" applyFont="1" applyFill="1" applyBorder="1">
      <alignment vertical="center"/>
    </xf>
    <xf numFmtId="0" fontId="24" fillId="5" borderId="2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5" borderId="2" xfId="0" applyFont="1" applyFill="1" applyBorder="1">
      <alignment vertical="center"/>
    </xf>
    <xf numFmtId="0" fontId="7" fillId="13" borderId="0" xfId="0" applyFont="1" applyFill="1">
      <alignment vertical="center"/>
    </xf>
    <xf numFmtId="0" fontId="5" fillId="13" borderId="0" xfId="0" applyFont="1" applyFill="1">
      <alignment vertical="center"/>
    </xf>
    <xf numFmtId="0" fontId="20" fillId="5" borderId="2" xfId="0" applyFont="1" applyFill="1" applyBorder="1">
      <alignment vertical="center"/>
    </xf>
    <xf numFmtId="176" fontId="7" fillId="5" borderId="2" xfId="0" applyNumberFormat="1" applyFont="1" applyFill="1" applyBorder="1">
      <alignment vertical="center"/>
    </xf>
    <xf numFmtId="0" fontId="5" fillId="5" borderId="9" xfId="0" applyFont="1" applyFill="1" applyBorder="1">
      <alignment vertical="center"/>
    </xf>
    <xf numFmtId="0" fontId="23" fillId="3" borderId="2" xfId="0" applyFont="1" applyFill="1" applyBorder="1">
      <alignment vertical="center"/>
    </xf>
    <xf numFmtId="0" fontId="24" fillId="3" borderId="2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9" fillId="7" borderId="2" xfId="0" applyFont="1" applyFill="1" applyBorder="1">
      <alignment vertical="center"/>
    </xf>
    <xf numFmtId="176" fontId="5" fillId="7" borderId="2" xfId="0" applyNumberFormat="1" applyFont="1" applyFill="1" applyBorder="1">
      <alignment vertical="center"/>
    </xf>
    <xf numFmtId="176" fontId="6" fillId="7" borderId="2" xfId="0" applyNumberFormat="1" applyFont="1" applyFill="1" applyBorder="1">
      <alignment vertical="center"/>
    </xf>
    <xf numFmtId="176" fontId="7" fillId="7" borderId="2" xfId="0" applyNumberFormat="1" applyFont="1" applyFill="1" applyBorder="1">
      <alignment vertical="center"/>
    </xf>
    <xf numFmtId="0" fontId="21" fillId="7" borderId="2" xfId="0" applyFont="1" applyFill="1" applyBorder="1">
      <alignment vertical="center"/>
    </xf>
    <xf numFmtId="177" fontId="7" fillId="7" borderId="2" xfId="0" applyNumberFormat="1" applyFont="1" applyFill="1" applyBorder="1">
      <alignment vertical="center"/>
    </xf>
    <xf numFmtId="0" fontId="0" fillId="0" borderId="0" xfId="0" applyAlignment="1">
      <alignment vertical="top"/>
    </xf>
    <xf numFmtId="185" fontId="0" fillId="5" borderId="2" xfId="0" applyNumberFormat="1" applyFill="1" applyBorder="1">
      <alignment vertical="center"/>
    </xf>
    <xf numFmtId="0" fontId="0" fillId="0" borderId="0" xfId="0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25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8" fillId="5" borderId="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left" vertical="center" wrapText="1"/>
    </xf>
    <xf numFmtId="0" fontId="26" fillId="14" borderId="2" xfId="0" applyFont="1" applyFill="1" applyBorder="1">
      <alignment vertical="center"/>
    </xf>
    <xf numFmtId="176" fontId="27" fillId="14" borderId="2" xfId="0" applyNumberFormat="1" applyFont="1" applyFill="1" applyBorder="1">
      <alignment vertical="center"/>
    </xf>
    <xf numFmtId="0" fontId="28" fillId="14" borderId="2" xfId="0" applyFont="1" applyFill="1" applyBorder="1">
      <alignment vertical="center"/>
    </xf>
    <xf numFmtId="0" fontId="29" fillId="6" borderId="2" xfId="0" applyFont="1" applyFill="1" applyBorder="1">
      <alignment vertical="center"/>
    </xf>
    <xf numFmtId="0" fontId="30" fillId="5" borderId="2" xfId="0" applyFont="1" applyFill="1" applyBorder="1">
      <alignment vertical="center"/>
    </xf>
    <xf numFmtId="176" fontId="30" fillId="5" borderId="2" xfId="0" applyNumberFormat="1" applyFont="1" applyFill="1" applyBorder="1">
      <alignment vertical="center"/>
    </xf>
    <xf numFmtId="185" fontId="30" fillId="5" borderId="2" xfId="0" applyNumberFormat="1" applyFont="1" applyFill="1" applyBorder="1">
      <alignment vertical="center"/>
    </xf>
    <xf numFmtId="0" fontId="30" fillId="11" borderId="2" xfId="0" applyFont="1" applyFill="1" applyBorder="1">
      <alignment vertical="center"/>
    </xf>
    <xf numFmtId="176" fontId="30" fillId="11" borderId="2" xfId="0" applyNumberFormat="1" applyFont="1" applyFill="1" applyBorder="1">
      <alignment vertical="center"/>
    </xf>
    <xf numFmtId="0" fontId="7" fillId="15" borderId="2" xfId="0" applyFont="1" applyFill="1" applyBorder="1">
      <alignment vertical="center"/>
    </xf>
    <xf numFmtId="0" fontId="6" fillId="15" borderId="2" xfId="0" applyFont="1" applyFill="1" applyBorder="1">
      <alignment vertical="center"/>
    </xf>
    <xf numFmtId="0" fontId="5" fillId="15" borderId="2" xfId="0" applyFont="1" applyFill="1" applyBorder="1">
      <alignment vertical="center"/>
    </xf>
    <xf numFmtId="176" fontId="7" fillId="15" borderId="2" xfId="0" applyNumberFormat="1" applyFont="1" applyFill="1" applyBorder="1">
      <alignment vertical="center"/>
    </xf>
    <xf numFmtId="176" fontId="6" fillId="15" borderId="2" xfId="0" applyNumberFormat="1" applyFont="1" applyFill="1" applyBorder="1">
      <alignment vertical="center"/>
    </xf>
    <xf numFmtId="176" fontId="5" fillId="15" borderId="2" xfId="0" applyNumberFormat="1" applyFont="1" applyFill="1" applyBorder="1">
      <alignment vertical="center"/>
    </xf>
    <xf numFmtId="0" fontId="21" fillId="15" borderId="2" xfId="0" applyFont="1" applyFill="1" applyBorder="1">
      <alignment vertical="center"/>
    </xf>
    <xf numFmtId="177" fontId="7" fillId="15" borderId="2" xfId="0" applyNumberFormat="1" applyFont="1" applyFill="1" applyBorder="1">
      <alignment vertical="center"/>
    </xf>
    <xf numFmtId="0" fontId="7" fillId="15" borderId="0" xfId="0" applyFont="1" applyFill="1">
      <alignment vertical="center"/>
    </xf>
    <xf numFmtId="0" fontId="2" fillId="0" borderId="0" xfId="0" quotePrefix="1" applyFont="1">
      <alignment vertical="center"/>
    </xf>
    <xf numFmtId="0" fontId="3" fillId="0" borderId="0" xfId="0" quotePrefix="1" applyFont="1">
      <alignment vertical="center"/>
    </xf>
    <xf numFmtId="0" fontId="0" fillId="5" borderId="2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10" fillId="0" borderId="12" xfId="0" applyFont="1" applyBorder="1" applyAlignment="1">
      <alignment horizontal="center" vertical="center"/>
    </xf>
    <xf numFmtId="0" fontId="31" fillId="5" borderId="2" xfId="0" applyFont="1" applyFill="1" applyBorder="1">
      <alignment vertical="center"/>
    </xf>
    <xf numFmtId="0" fontId="32" fillId="5" borderId="2" xfId="0" quotePrefix="1" applyFont="1" applyFill="1" applyBorder="1">
      <alignment vertical="center"/>
    </xf>
    <xf numFmtId="0" fontId="32" fillId="5" borderId="2" xfId="0" applyFont="1" applyFill="1" applyBorder="1">
      <alignment vertical="center"/>
    </xf>
    <xf numFmtId="0" fontId="32" fillId="0" borderId="2" xfId="0" quotePrefix="1" applyFont="1" applyBorder="1">
      <alignment vertical="center"/>
    </xf>
    <xf numFmtId="0" fontId="32" fillId="0" borderId="2" xfId="0" applyFont="1" applyBorder="1">
      <alignment vertical="center"/>
    </xf>
    <xf numFmtId="0" fontId="5" fillId="5" borderId="11" xfId="0" applyFont="1" applyFill="1" applyBorder="1">
      <alignment vertical="center"/>
    </xf>
    <xf numFmtId="0" fontId="5" fillId="5" borderId="13" xfId="0" applyFont="1" applyFill="1" applyBorder="1">
      <alignment vertical="center"/>
    </xf>
    <xf numFmtId="0" fontId="5" fillId="3" borderId="11" xfId="0" applyFont="1" applyFill="1" applyBorder="1">
      <alignment vertical="center"/>
    </xf>
    <xf numFmtId="0" fontId="5" fillId="3" borderId="13" xfId="0" applyFont="1" applyFill="1" applyBorder="1">
      <alignment vertical="center"/>
    </xf>
    <xf numFmtId="0" fontId="7" fillId="16" borderId="2" xfId="0" applyFont="1" applyFill="1" applyBorder="1">
      <alignment vertical="center"/>
    </xf>
    <xf numFmtId="0" fontId="6" fillId="16" borderId="2" xfId="0" applyFont="1" applyFill="1" applyBorder="1">
      <alignment vertical="center"/>
    </xf>
    <xf numFmtId="0" fontId="5" fillId="16" borderId="2" xfId="0" applyFont="1" applyFill="1" applyBorder="1">
      <alignment vertical="center"/>
    </xf>
    <xf numFmtId="176" fontId="7" fillId="16" borderId="2" xfId="0" applyNumberFormat="1" applyFont="1" applyFill="1" applyBorder="1">
      <alignment vertical="center"/>
    </xf>
    <xf numFmtId="176" fontId="6" fillId="16" borderId="2" xfId="0" applyNumberFormat="1" applyFont="1" applyFill="1" applyBorder="1">
      <alignment vertical="center"/>
    </xf>
    <xf numFmtId="176" fontId="5" fillId="16" borderId="2" xfId="0" applyNumberFormat="1" applyFont="1" applyFill="1" applyBorder="1">
      <alignment vertical="center"/>
    </xf>
    <xf numFmtId="0" fontId="21" fillId="16" borderId="2" xfId="0" applyFont="1" applyFill="1" applyBorder="1">
      <alignment vertical="center"/>
    </xf>
    <xf numFmtId="177" fontId="7" fillId="16" borderId="2" xfId="0" applyNumberFormat="1" applyFont="1" applyFill="1" applyBorder="1">
      <alignment vertical="center"/>
    </xf>
    <xf numFmtId="0" fontId="7" fillId="16" borderId="0" xfId="0" applyFont="1" applyFill="1">
      <alignment vertical="center"/>
    </xf>
    <xf numFmtId="0" fontId="5" fillId="16" borderId="9" xfId="0" applyFont="1" applyFill="1" applyBorder="1">
      <alignment vertical="center"/>
    </xf>
    <xf numFmtId="0" fontId="5" fillId="16" borderId="1" xfId="0" applyFont="1" applyFill="1" applyBorder="1">
      <alignment vertical="center"/>
    </xf>
    <xf numFmtId="0" fontId="7" fillId="16" borderId="11" xfId="0" applyFont="1" applyFill="1" applyBorder="1">
      <alignment vertical="center"/>
    </xf>
    <xf numFmtId="0" fontId="6" fillId="0" borderId="0" xfId="0" applyFont="1" applyAlignment="1">
      <alignment horizontal="center" vertical="center"/>
    </xf>
    <xf numFmtId="0" fontId="6" fillId="2" borderId="0" xfId="0" applyFont="1" applyFill="1">
      <alignment vertical="center"/>
    </xf>
    <xf numFmtId="0" fontId="6" fillId="3" borderId="0" xfId="0" applyFont="1" applyFill="1">
      <alignment vertical="center"/>
    </xf>
    <xf numFmtId="0" fontId="6" fillId="16" borderId="0" xfId="0" applyFont="1" applyFill="1" applyBorder="1">
      <alignment vertical="center"/>
    </xf>
    <xf numFmtId="0" fontId="6" fillId="16" borderId="0" xfId="0" applyFont="1" applyFill="1">
      <alignment vertical="center"/>
    </xf>
    <xf numFmtId="0" fontId="5" fillId="16" borderId="0" xfId="0" applyFont="1" applyFill="1">
      <alignment vertical="center"/>
    </xf>
    <xf numFmtId="0" fontId="5" fillId="10" borderId="0" xfId="0" applyFont="1" applyFill="1">
      <alignment vertical="center"/>
    </xf>
    <xf numFmtId="0" fontId="6" fillId="10" borderId="0" xfId="0" applyFont="1" applyFill="1" applyBorder="1">
      <alignment vertical="center"/>
    </xf>
    <xf numFmtId="0" fontId="0" fillId="0" borderId="14" xfId="0" applyFont="1" applyBorder="1" applyAlignment="1">
      <alignment horizontal="left" vertical="top" wrapText="1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0" fillId="0" borderId="15" xfId="0" applyFont="1" applyBorder="1" applyAlignment="1">
      <alignment horizontal="left" vertical="top" wrapText="1"/>
    </xf>
    <xf numFmtId="0" fontId="0" fillId="0" borderId="16" xfId="0" applyFont="1" applyBorder="1" applyAlignment="1">
      <alignment horizontal="left" vertical="top" wrapText="1"/>
    </xf>
    <xf numFmtId="0" fontId="0" fillId="0" borderId="17" xfId="0" applyFont="1" applyBorder="1" applyAlignment="1">
      <alignment horizontal="left" vertical="top" wrapText="1"/>
    </xf>
    <xf numFmtId="0" fontId="0" fillId="0" borderId="18" xfId="0" applyFont="1" applyBorder="1" applyAlignment="1">
      <alignment horizontal="left" vertical="top" wrapText="1"/>
    </xf>
    <xf numFmtId="0" fontId="0" fillId="0" borderId="19" xfId="0" applyFont="1" applyBorder="1" applyAlignment="1">
      <alignment horizontal="left" vertical="top" wrapText="1"/>
    </xf>
    <xf numFmtId="0" fontId="0" fillId="0" borderId="22" xfId="0" applyBorder="1">
      <alignment vertical="center"/>
    </xf>
    <xf numFmtId="0" fontId="4" fillId="0" borderId="14" xfId="0" applyFont="1" applyBorder="1" applyAlignment="1">
      <alignment horizontal="left" vertical="top" wrapText="1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179293</xdr:colOff>
      <xdr:row>3</xdr:row>
      <xdr:rowOff>44824</xdr:rowOff>
    </xdr:from>
    <xdr:to>
      <xdr:col>13</xdr:col>
      <xdr:colOff>330137</xdr:colOff>
      <xdr:row>32</xdr:row>
      <xdr:rowOff>92325</xdr:rowOff>
    </xdr:to>
    <xdr:grpSp>
      <xdr:nvGrpSpPr>
        <xdr:cNvPr id="99" name="그룹 98"/>
        <xdr:cNvGrpSpPr/>
      </xdr:nvGrpSpPr>
      <xdr:grpSpPr>
        <a:xfrm>
          <a:off x="179293" y="728383"/>
          <a:ext cx="9037109" cy="6221942"/>
          <a:chOff x="1973791" y="314325"/>
          <a:chExt cx="9037109" cy="6221942"/>
        </a:xfrm>
      </xdr:grpSpPr>
      <xdr:sp macro="" textlink="">
        <xdr:nvSpPr>
          <xdr:cNvPr id="100" name="순서도: 수행의 시작/종료 99"/>
          <xdr:cNvSpPr/>
        </xdr:nvSpPr>
        <xdr:spPr>
          <a:xfrm>
            <a:off x="4768850" y="314325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시작</a:t>
            </a:r>
          </a:p>
        </xdr:txBody>
      </xdr:sp>
      <xdr:sp macro="" textlink="">
        <xdr:nvSpPr>
          <xdr:cNvPr id="101" name="순서도: 처리 100"/>
          <xdr:cNvSpPr/>
        </xdr:nvSpPr>
        <xdr:spPr>
          <a:xfrm>
            <a:off x="1973791" y="27479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12.</a:t>
            </a:r>
            <a:r>
              <a:rPr lang="ko-KR" altLang="en-US" sz="1000" b="1"/>
              <a:t>지수 구성종목 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102" name="순서도: 판단 101"/>
          <xdr:cNvSpPr/>
        </xdr:nvSpPr>
        <xdr:spPr>
          <a:xfrm>
            <a:off x="4630737" y="2034880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리밸런싱</a:t>
            </a:r>
            <a:endParaRPr lang="en-US" altLang="ko-KR" sz="1000" b="1"/>
          </a:p>
          <a:p>
            <a:pPr algn="ctr"/>
            <a:r>
              <a:rPr lang="ko-KR" altLang="en-US" sz="1000" b="1"/>
              <a:t>일자인가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103" name="순서도: 처리 102"/>
          <xdr:cNvSpPr/>
        </xdr:nvSpPr>
        <xdr:spPr>
          <a:xfrm>
            <a:off x="7016750" y="221109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4.</a:t>
            </a:r>
            <a:r>
              <a:rPr lang="ko-KR" altLang="en-US" sz="1000" b="1"/>
              <a:t>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104" name="순서도: 처리 103"/>
          <xdr:cNvSpPr/>
        </xdr:nvSpPr>
        <xdr:spPr>
          <a:xfrm>
            <a:off x="9131300" y="2211092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5.</a:t>
            </a:r>
            <a:r>
              <a:rPr lang="ko-KR" altLang="en-US" sz="1000" b="1"/>
              <a:t>종목별 지수적용비율 계산</a:t>
            </a:r>
          </a:p>
          <a:p>
            <a:pPr algn="ctr"/>
            <a:r>
              <a:rPr lang="en-US" altLang="ko-KR" sz="1000" b="1"/>
              <a:t>6.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05" name="순서도: 판단 104"/>
          <xdr:cNvSpPr/>
        </xdr:nvSpPr>
        <xdr:spPr>
          <a:xfrm>
            <a:off x="4628356" y="4029644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000" b="1"/>
              <a:t>비교시가총액 변동이 발생했나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106" name="순서도: 처리 105"/>
          <xdr:cNvSpPr/>
        </xdr:nvSpPr>
        <xdr:spPr>
          <a:xfrm>
            <a:off x="4664075" y="3344139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7.</a:t>
            </a:r>
            <a:r>
              <a:rPr lang="ko-KR" altLang="en-US" sz="1000" b="1"/>
              <a:t>시장조치 확인을 위한</a:t>
            </a:r>
            <a:endParaRPr lang="en-US" altLang="ko-KR" sz="1000" b="1"/>
          </a:p>
          <a:p>
            <a:pPr algn="ctr"/>
            <a:r>
              <a:rPr lang="ko-KR" altLang="en-US" sz="1000" b="1"/>
              <a:t>전일 비교시가총액 검사</a:t>
            </a:r>
          </a:p>
        </xdr:txBody>
      </xdr:sp>
      <xdr:sp macro="" textlink="">
        <xdr:nvSpPr>
          <xdr:cNvPr id="107" name="순서도: 처리 106"/>
          <xdr:cNvSpPr/>
        </xdr:nvSpPr>
        <xdr:spPr>
          <a:xfrm>
            <a:off x="7016750" y="4205856"/>
            <a:ext cx="1877868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8. </a:t>
            </a:r>
            <a:r>
              <a:rPr lang="ko-KR" altLang="en-US" sz="1000" b="1"/>
              <a:t>종목별 지수적용비율 계산</a:t>
            </a:r>
            <a:endParaRPr lang="en-US" altLang="ko-KR" sz="1000" b="1"/>
          </a:p>
          <a:p>
            <a:pPr algn="ctr"/>
            <a:r>
              <a:rPr lang="en-US" altLang="ko-KR" sz="1000" b="1"/>
              <a:t>9. 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08" name="순서도: 처리 107"/>
          <xdr:cNvSpPr/>
        </xdr:nvSpPr>
        <xdr:spPr>
          <a:xfrm>
            <a:off x="4661693" y="5383927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10.</a:t>
            </a:r>
            <a:r>
              <a:rPr lang="ko-KR" altLang="en-US" sz="1000" b="1"/>
              <a:t>비교시가총액 계산</a:t>
            </a:r>
            <a:endParaRPr lang="en-US" altLang="ko-KR" sz="1000" b="1"/>
          </a:p>
          <a:p>
            <a:pPr algn="ctr"/>
            <a:r>
              <a:rPr lang="en-US" altLang="ko-KR" sz="1000" b="1"/>
              <a:t>11.</a:t>
            </a:r>
            <a:r>
              <a:rPr lang="ko-KR" altLang="en-US" sz="1000" b="1"/>
              <a:t>지수산출</a:t>
            </a:r>
          </a:p>
        </xdr:txBody>
      </xdr:sp>
      <xdr:sp macro="" textlink="">
        <xdr:nvSpPr>
          <xdr:cNvPr id="109" name="순서도: 수행의 시작/종료 108"/>
          <xdr:cNvSpPr/>
        </xdr:nvSpPr>
        <xdr:spPr>
          <a:xfrm>
            <a:off x="4766468" y="6115050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</a:t>
            </a:r>
            <a:endParaRPr lang="en-US" altLang="ko-KR" sz="1000" b="1"/>
          </a:p>
          <a:p>
            <a:pPr algn="ctr"/>
            <a:r>
              <a:rPr lang="ko-KR" altLang="en-US" sz="1000" b="1"/>
              <a:t>결과 저장</a:t>
            </a:r>
          </a:p>
        </xdr:txBody>
      </xdr:sp>
      <xdr:cxnSp macro="">
        <xdr:nvCxnSpPr>
          <xdr:cNvPr id="110" name="직선 화살표 연결선 109"/>
          <xdr:cNvCxnSpPr>
            <a:stCxn id="100" idx="2"/>
            <a:endCxn id="102" idx="0"/>
          </xdr:cNvCxnSpPr>
        </xdr:nvCxnSpPr>
        <xdr:spPr>
          <a:xfrm flipH="1">
            <a:off x="5547783" y="735542"/>
            <a:ext cx="1" cy="129933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직선 화살표 연결선 110"/>
          <xdr:cNvCxnSpPr>
            <a:stCxn id="102" idx="3"/>
            <a:endCxn id="103" idx="1"/>
          </xdr:cNvCxnSpPr>
        </xdr:nvCxnSpPr>
        <xdr:spPr>
          <a:xfrm flipV="1">
            <a:off x="6464829" y="2468267"/>
            <a:ext cx="551921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" name="직선 화살표 연결선 111"/>
          <xdr:cNvCxnSpPr>
            <a:stCxn id="103" idx="3"/>
            <a:endCxn id="104" idx="1"/>
          </xdr:cNvCxnSpPr>
        </xdr:nvCxnSpPr>
        <xdr:spPr>
          <a:xfrm>
            <a:off x="8779405" y="2468267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직선 화살표 연결선 112"/>
          <xdr:cNvCxnSpPr>
            <a:stCxn id="102" idx="2"/>
            <a:endCxn id="106" idx="0"/>
          </xdr:cNvCxnSpPr>
        </xdr:nvCxnSpPr>
        <xdr:spPr>
          <a:xfrm flipH="1">
            <a:off x="5545403" y="2901655"/>
            <a:ext cx="2380" cy="44248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직선 화살표 연결선 113"/>
          <xdr:cNvCxnSpPr>
            <a:stCxn id="105" idx="3"/>
            <a:endCxn id="107" idx="1"/>
          </xdr:cNvCxnSpPr>
        </xdr:nvCxnSpPr>
        <xdr:spPr>
          <a:xfrm flipV="1">
            <a:off x="6462448" y="4463031"/>
            <a:ext cx="55430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꺾인 연결선 114"/>
          <xdr:cNvCxnSpPr>
            <a:stCxn id="104" idx="2"/>
            <a:endCxn id="108" idx="3"/>
          </xdr:cNvCxnSpPr>
        </xdr:nvCxnSpPr>
        <xdr:spPr>
          <a:xfrm rot="5400000">
            <a:off x="6789894" y="2359896"/>
            <a:ext cx="2915660" cy="364675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6" name="꺾인 연결선 115"/>
          <xdr:cNvCxnSpPr>
            <a:stCxn id="107" idx="2"/>
          </xdr:cNvCxnSpPr>
        </xdr:nvCxnSpPr>
        <xdr:spPr>
          <a:xfrm rot="5400000">
            <a:off x="6807829" y="4377213"/>
            <a:ext cx="804863" cy="1490849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7" name="꺾인 연결선 116"/>
          <xdr:cNvCxnSpPr>
            <a:endCxn id="105" idx="0"/>
          </xdr:cNvCxnSpPr>
        </xdr:nvCxnSpPr>
        <xdr:spPr>
          <a:xfrm rot="5400000">
            <a:off x="5455207" y="3939445"/>
            <a:ext cx="180395" cy="3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꺾인 연결선 117"/>
          <xdr:cNvCxnSpPr>
            <a:stCxn id="105" idx="2"/>
            <a:endCxn id="108" idx="0"/>
          </xdr:cNvCxnSpPr>
        </xdr:nvCxnSpPr>
        <xdr:spPr>
          <a:xfrm rot="5400000">
            <a:off x="5300458" y="5138983"/>
            <a:ext cx="487508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꺾인 연결선 118"/>
          <xdr:cNvCxnSpPr>
            <a:stCxn id="108" idx="2"/>
            <a:endCxn id="109" idx="0"/>
          </xdr:cNvCxnSpPr>
        </xdr:nvCxnSpPr>
        <xdr:spPr>
          <a:xfrm rot="16200000" flipH="1">
            <a:off x="5435825" y="6005472"/>
            <a:ext cx="216773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꺾인 연결선 119"/>
          <xdr:cNvCxnSpPr>
            <a:stCxn id="109" idx="1"/>
            <a:endCxn id="101" idx="2"/>
          </xdr:cNvCxnSpPr>
        </xdr:nvCxnSpPr>
        <xdr:spPr>
          <a:xfrm rot="10800000">
            <a:off x="2855120" y="3262313"/>
            <a:ext cx="1911349" cy="30633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꺾인 연결선 120"/>
          <xdr:cNvCxnSpPr>
            <a:stCxn id="101" idx="0"/>
            <a:endCxn id="100" idx="1"/>
          </xdr:cNvCxnSpPr>
        </xdr:nvCxnSpPr>
        <xdr:spPr>
          <a:xfrm rot="5400000" flipH="1" flipV="1">
            <a:off x="2700470" y="679583"/>
            <a:ext cx="2223028" cy="1913731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타원 121"/>
          <xdr:cNvSpPr/>
        </xdr:nvSpPr>
        <xdr:spPr>
          <a:xfrm>
            <a:off x="6454079" y="2182516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123" name="타원 122"/>
          <xdr:cNvSpPr/>
        </xdr:nvSpPr>
        <xdr:spPr>
          <a:xfrm>
            <a:off x="5204089" y="279500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124" name="타원 123"/>
          <xdr:cNvSpPr/>
        </xdr:nvSpPr>
        <xdr:spPr>
          <a:xfrm>
            <a:off x="6462448" y="4162993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125" name="타원 124"/>
          <xdr:cNvSpPr/>
        </xdr:nvSpPr>
        <xdr:spPr>
          <a:xfrm>
            <a:off x="5184510" y="4910706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126" name="순서도: 판단 125"/>
          <xdr:cNvSpPr/>
        </xdr:nvSpPr>
        <xdr:spPr>
          <a:xfrm>
            <a:off x="4629223" y="882717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최초일인가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127" name="타원 126"/>
          <xdr:cNvSpPr/>
        </xdr:nvSpPr>
        <xdr:spPr>
          <a:xfrm>
            <a:off x="5184509" y="1657723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128" name="타원 127"/>
          <xdr:cNvSpPr/>
        </xdr:nvSpPr>
        <xdr:spPr>
          <a:xfrm>
            <a:off x="6333860" y="927959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129" name="순서도: 처리 128"/>
          <xdr:cNvSpPr/>
        </xdr:nvSpPr>
        <xdr:spPr>
          <a:xfrm>
            <a:off x="6976269" y="1043125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1.</a:t>
            </a:r>
            <a:r>
              <a:rPr lang="ko-KR" altLang="en-US" sz="1000" b="1"/>
              <a:t>최초일 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130" name="순서도: 처리 129"/>
          <xdr:cNvSpPr/>
        </xdr:nvSpPr>
        <xdr:spPr>
          <a:xfrm>
            <a:off x="9090819" y="1043125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2.</a:t>
            </a:r>
            <a:r>
              <a:rPr lang="ko-KR" altLang="en-US" sz="1000" b="1"/>
              <a:t>종목별 지수적용비율 계산</a:t>
            </a:r>
          </a:p>
          <a:p>
            <a:pPr algn="ctr"/>
            <a:r>
              <a:rPr lang="en-US" altLang="ko-KR" sz="1000" b="1"/>
              <a:t>3.</a:t>
            </a:r>
            <a:r>
              <a:rPr lang="ko-KR" altLang="en-US" sz="1000" b="1"/>
              <a:t>기준시가총액  계산</a:t>
            </a:r>
            <a:endParaRPr lang="en-US" altLang="ko-KR" sz="1000" b="1"/>
          </a:p>
        </xdr:txBody>
      </xdr:sp>
      <xdr:cxnSp macro="">
        <xdr:nvCxnSpPr>
          <xdr:cNvPr id="131" name="직선 화살표 연결선 130"/>
          <xdr:cNvCxnSpPr>
            <a:endCxn id="129" idx="1"/>
          </xdr:cNvCxnSpPr>
        </xdr:nvCxnSpPr>
        <xdr:spPr>
          <a:xfrm flipV="1">
            <a:off x="6424348" y="1300300"/>
            <a:ext cx="551921" cy="2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직선 화살표 연결선 131"/>
          <xdr:cNvCxnSpPr>
            <a:stCxn id="129" idx="3"/>
            <a:endCxn id="130" idx="1"/>
          </xdr:cNvCxnSpPr>
        </xdr:nvCxnSpPr>
        <xdr:spPr>
          <a:xfrm>
            <a:off x="8738924" y="1300300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꺾인 연결선 132"/>
          <xdr:cNvCxnSpPr>
            <a:stCxn id="130" idx="3"/>
          </xdr:cNvCxnSpPr>
        </xdr:nvCxnSpPr>
        <xdr:spPr>
          <a:xfrm flipH="1">
            <a:off x="6404769" y="1300300"/>
            <a:ext cx="4565650" cy="4453955"/>
          </a:xfrm>
          <a:prstGeom prst="bentConnector3">
            <a:avLst>
              <a:gd name="adj1" fmla="val -5007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81"/>
  <sheetViews>
    <sheetView tabSelected="1" zoomScale="85" zoomScaleNormal="85" workbookViewId="0">
      <selection activeCell="A69" sqref="A69:N70"/>
    </sheetView>
  </sheetViews>
  <sheetFormatPr defaultRowHeight="16.5" x14ac:dyDescent="0.3"/>
  <sheetData>
    <row r="2" spans="1:14" ht="20.25" x14ac:dyDescent="0.3">
      <c r="A2" s="90" t="s">
        <v>181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4" spans="1:18" ht="17.25" thickBot="1" x14ac:dyDescent="0.35"/>
    <row r="35" spans="1:18" x14ac:dyDescent="0.3">
      <c r="A35" s="159" t="s">
        <v>185</v>
      </c>
      <c r="B35" s="160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1:18" ht="17.25" thickBot="1" x14ac:dyDescent="0.35">
      <c r="A36" s="162"/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4"/>
    </row>
    <row r="37" spans="1:18" ht="17.25" thickBot="1" x14ac:dyDescent="0.35"/>
    <row r="38" spans="1:18" x14ac:dyDescent="0.3">
      <c r="A38" s="159" t="s">
        <v>190</v>
      </c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1:18" x14ac:dyDescent="0.3">
      <c r="A39" s="165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166"/>
      <c r="R39" s="172"/>
    </row>
    <row r="40" spans="1:18" x14ac:dyDescent="0.3">
      <c r="A40" s="165"/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166"/>
    </row>
    <row r="41" spans="1:18" ht="17.25" thickBot="1" x14ac:dyDescent="0.35">
      <c r="A41" s="162"/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4"/>
    </row>
    <row r="42" spans="1:18" ht="17.25" thickBot="1" x14ac:dyDescent="0.35"/>
    <row r="43" spans="1:18" x14ac:dyDescent="0.3">
      <c r="A43" s="159" t="s">
        <v>186</v>
      </c>
      <c r="B43" s="167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8"/>
    </row>
    <row r="44" spans="1:18" ht="17.25" thickBot="1" x14ac:dyDescent="0.35">
      <c r="A44" s="169"/>
      <c r="B44" s="170"/>
      <c r="C44" s="170"/>
      <c r="D44" s="170"/>
      <c r="E44" s="170"/>
      <c r="F44" s="170"/>
      <c r="G44" s="170"/>
      <c r="H44" s="170"/>
      <c r="I44" s="170"/>
      <c r="J44" s="170"/>
      <c r="K44" s="170"/>
      <c r="L44" s="170"/>
      <c r="M44" s="170"/>
      <c r="N44" s="171"/>
    </row>
    <row r="45" spans="1:18" ht="17.25" thickBot="1" x14ac:dyDescent="0.35"/>
    <row r="46" spans="1:18" ht="16.5" customHeight="1" x14ac:dyDescent="0.3">
      <c r="A46" s="159" t="s">
        <v>182</v>
      </c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  <c r="O46" s="86"/>
    </row>
    <row r="47" spans="1:18" x14ac:dyDescent="0.3">
      <c r="A47" s="165"/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166"/>
      <c r="O47" s="86"/>
    </row>
    <row r="48" spans="1:18" x14ac:dyDescent="0.3">
      <c r="A48" s="165"/>
      <c r="B48" s="89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166"/>
      <c r="O48" s="86"/>
    </row>
    <row r="49" spans="1:15" ht="17.25" thickBot="1" x14ac:dyDescent="0.35">
      <c r="A49" s="162"/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4"/>
      <c r="O49" s="86"/>
    </row>
    <row r="50" spans="1:15" ht="17.25" thickBot="1" x14ac:dyDescent="0.3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</row>
    <row r="51" spans="1:15" x14ac:dyDescent="0.3">
      <c r="A51" s="159" t="s">
        <v>191</v>
      </c>
      <c r="B51" s="160"/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  <c r="O51" s="86"/>
    </row>
    <row r="52" spans="1:15" x14ac:dyDescent="0.3">
      <c r="A52" s="165"/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166"/>
    </row>
    <row r="53" spans="1:15" x14ac:dyDescent="0.3">
      <c r="A53" s="165"/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166"/>
    </row>
    <row r="54" spans="1:15" ht="17.25" thickBot="1" x14ac:dyDescent="0.35">
      <c r="A54" s="162"/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4"/>
    </row>
    <row r="55" spans="1:15" ht="17.25" thickBot="1" x14ac:dyDescent="0.35"/>
    <row r="56" spans="1:15" ht="16.5" customHeight="1" x14ac:dyDescent="0.3">
      <c r="A56" s="159" t="s">
        <v>183</v>
      </c>
      <c r="B56" s="167"/>
      <c r="C56" s="167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8"/>
    </row>
    <row r="57" spans="1:15" ht="17.25" thickBot="1" x14ac:dyDescent="0.35">
      <c r="A57" s="169"/>
      <c r="B57" s="170"/>
      <c r="C57" s="170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1"/>
    </row>
    <row r="58" spans="1:15" ht="17.25" thickBot="1" x14ac:dyDescent="0.35"/>
    <row r="59" spans="1:15" x14ac:dyDescent="0.3">
      <c r="A59" s="159" t="s">
        <v>184</v>
      </c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1"/>
    </row>
    <row r="60" spans="1:15" x14ac:dyDescent="0.3">
      <c r="A60" s="165"/>
      <c r="B60" s="89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166"/>
    </row>
    <row r="61" spans="1:15" x14ac:dyDescent="0.3">
      <c r="A61" s="165"/>
      <c r="B61" s="89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166"/>
    </row>
    <row r="62" spans="1:15" ht="17.25" thickBot="1" x14ac:dyDescent="0.35">
      <c r="A62" s="162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4"/>
    </row>
    <row r="63" spans="1:15" ht="17.25" thickBot="1" x14ac:dyDescent="0.35"/>
    <row r="64" spans="1:15" x14ac:dyDescent="0.3">
      <c r="A64" s="173" t="s">
        <v>192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1"/>
    </row>
    <row r="65" spans="1:14" x14ac:dyDescent="0.3">
      <c r="A65" s="165"/>
      <c r="B65" s="89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166"/>
    </row>
    <row r="66" spans="1:14" x14ac:dyDescent="0.3">
      <c r="A66" s="165"/>
      <c r="B66" s="89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166"/>
    </row>
    <row r="67" spans="1:14" ht="17.25" thickBot="1" x14ac:dyDescent="0.35">
      <c r="A67" s="162"/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4"/>
    </row>
    <row r="68" spans="1:14" ht="17.25" thickBot="1" x14ac:dyDescent="0.35"/>
    <row r="69" spans="1:14" x14ac:dyDescent="0.3">
      <c r="A69" s="173" t="s">
        <v>193</v>
      </c>
      <c r="B69" s="167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167"/>
      <c r="N69" s="168"/>
    </row>
    <row r="70" spans="1:14" ht="17.25" thickBot="1" x14ac:dyDescent="0.35">
      <c r="A70" s="169"/>
      <c r="B70" s="170"/>
      <c r="C70" s="170"/>
      <c r="D70" s="170"/>
      <c r="E70" s="170"/>
      <c r="F70" s="170"/>
      <c r="G70" s="170"/>
      <c r="H70" s="170"/>
      <c r="I70" s="170"/>
      <c r="J70" s="170"/>
      <c r="K70" s="170"/>
      <c r="L70" s="170"/>
      <c r="M70" s="170"/>
      <c r="N70" s="171"/>
    </row>
    <row r="71" spans="1:14" ht="17.25" thickBot="1" x14ac:dyDescent="0.35"/>
    <row r="72" spans="1:14" ht="16.5" customHeight="1" x14ac:dyDescent="0.3">
      <c r="A72" s="159" t="s">
        <v>194</v>
      </c>
      <c r="B72" s="167"/>
      <c r="C72" s="167"/>
      <c r="D72" s="167"/>
      <c r="E72" s="167"/>
      <c r="F72" s="167"/>
      <c r="G72" s="167"/>
      <c r="H72" s="167"/>
      <c r="I72" s="167"/>
      <c r="J72" s="167"/>
      <c r="K72" s="167"/>
      <c r="L72" s="167"/>
      <c r="M72" s="167"/>
      <c r="N72" s="168"/>
    </row>
    <row r="73" spans="1:14" ht="17.25" thickBot="1" x14ac:dyDescent="0.35">
      <c r="A73" s="169"/>
      <c r="B73" s="170"/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1"/>
    </row>
    <row r="74" spans="1:14" ht="17.25" thickBot="1" x14ac:dyDescent="0.35"/>
    <row r="75" spans="1:14" ht="16.5" customHeight="1" x14ac:dyDescent="0.3">
      <c r="A75" s="159" t="s">
        <v>195</v>
      </c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8"/>
    </row>
    <row r="76" spans="1:14" ht="17.25" thickBot="1" x14ac:dyDescent="0.35">
      <c r="A76" s="169"/>
      <c r="B76" s="170"/>
      <c r="C76" s="170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1"/>
    </row>
    <row r="77" spans="1:14" ht="17.25" thickBot="1" x14ac:dyDescent="0.35"/>
    <row r="78" spans="1:14" x14ac:dyDescent="0.3">
      <c r="A78" s="159" t="s">
        <v>196</v>
      </c>
      <c r="B78" s="160"/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1"/>
    </row>
    <row r="79" spans="1:14" x14ac:dyDescent="0.3">
      <c r="A79" s="165"/>
      <c r="B79" s="89"/>
      <c r="C79" s="89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166"/>
    </row>
    <row r="80" spans="1:14" x14ac:dyDescent="0.3">
      <c r="A80" s="165"/>
      <c r="B80" s="89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166"/>
    </row>
    <row r="81" spans="1:14" ht="17.25" thickBot="1" x14ac:dyDescent="0.35">
      <c r="A81" s="162"/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4"/>
    </row>
  </sheetData>
  <mergeCells count="13">
    <mergeCell ref="A78:N81"/>
    <mergeCell ref="A56:N57"/>
    <mergeCell ref="A72:N73"/>
    <mergeCell ref="A75:N76"/>
    <mergeCell ref="A2:N2"/>
    <mergeCell ref="A46:N49"/>
    <mergeCell ref="A51:N54"/>
    <mergeCell ref="A59:N62"/>
    <mergeCell ref="A69:N70"/>
    <mergeCell ref="A35:N36"/>
    <mergeCell ref="A38:N41"/>
    <mergeCell ref="A43:N44"/>
    <mergeCell ref="A64:N67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5"/>
  <sheetViews>
    <sheetView topLeftCell="A34" workbookViewId="0">
      <selection activeCell="H56" sqref="H56"/>
    </sheetView>
  </sheetViews>
  <sheetFormatPr defaultColWidth="8.875" defaultRowHeight="16.5" x14ac:dyDescent="0.3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5" s="34" customFormat="1" ht="20.25" x14ac:dyDescent="0.3">
      <c r="A1" s="33" t="s">
        <v>136</v>
      </c>
      <c r="B1" s="33" t="s">
        <v>116</v>
      </c>
    </row>
    <row r="2" spans="1:5" x14ac:dyDescent="0.3">
      <c r="A2" s="24" t="s">
        <v>118</v>
      </c>
    </row>
    <row r="3" spans="1:5" x14ac:dyDescent="0.3">
      <c r="A3" s="55" t="s">
        <v>117</v>
      </c>
    </row>
    <row r="4" spans="1:5" x14ac:dyDescent="0.3">
      <c r="A4" s="55"/>
    </row>
    <row r="5" spans="1:5" x14ac:dyDescent="0.3">
      <c r="A5" s="24" t="s">
        <v>97</v>
      </c>
    </row>
    <row r="6" spans="1:5" x14ac:dyDescent="0.3">
      <c r="A6" s="25" t="s">
        <v>49</v>
      </c>
      <c r="B6" s="20">
        <v>2018</v>
      </c>
      <c r="C6" s="20"/>
    </row>
    <row r="7" spans="1:5" x14ac:dyDescent="0.3">
      <c r="A7" s="25" t="s">
        <v>50</v>
      </c>
      <c r="B7" s="20" t="s">
        <v>51</v>
      </c>
      <c r="C7" s="20" t="s">
        <v>52</v>
      </c>
    </row>
    <row r="10" spans="1:5" s="36" customFormat="1" ht="19.5" x14ac:dyDescent="0.3">
      <c r="A10" s="35" t="s">
        <v>64</v>
      </c>
      <c r="B10" s="35" t="s">
        <v>65</v>
      </c>
    </row>
    <row r="11" spans="1:5" s="30" customFormat="1" x14ac:dyDescent="0.3">
      <c r="A11" s="29"/>
      <c r="B11" s="29"/>
    </row>
    <row r="12" spans="1:5" x14ac:dyDescent="0.3">
      <c r="B12" s="27" t="s">
        <v>53</v>
      </c>
      <c r="C12" s="27" t="s">
        <v>55</v>
      </c>
      <c r="D12" s="27" t="s">
        <v>56</v>
      </c>
    </row>
    <row r="13" spans="1:5" x14ac:dyDescent="0.3">
      <c r="A13" s="15"/>
      <c r="B13" s="21" t="s">
        <v>5</v>
      </c>
      <c r="C13" s="20" t="s">
        <v>54</v>
      </c>
      <c r="D13" s="26">
        <v>0.15</v>
      </c>
    </row>
    <row r="14" spans="1:5" x14ac:dyDescent="0.3">
      <c r="A14" s="15"/>
      <c r="B14" s="21" t="s">
        <v>57</v>
      </c>
      <c r="C14" s="20" t="s">
        <v>58</v>
      </c>
      <c r="D14" s="26">
        <v>0.15</v>
      </c>
    </row>
    <row r="15" spans="1:5" x14ac:dyDescent="0.3">
      <c r="A15" s="15"/>
      <c r="B15" s="21" t="s">
        <v>59</v>
      </c>
      <c r="C15" s="20" t="s">
        <v>60</v>
      </c>
      <c r="D15" s="26">
        <v>0.3</v>
      </c>
    </row>
    <row r="16" spans="1:5" x14ac:dyDescent="0.3">
      <c r="A16" s="15"/>
      <c r="B16" s="21" t="s">
        <v>61</v>
      </c>
      <c r="C16" s="20" t="s">
        <v>62</v>
      </c>
      <c r="D16" s="26">
        <v>0.4</v>
      </c>
      <c r="E16" t="s">
        <v>76</v>
      </c>
    </row>
    <row r="17" spans="1:9" x14ac:dyDescent="0.3">
      <c r="B17" s="20" t="s">
        <v>63</v>
      </c>
      <c r="C17" s="20"/>
      <c r="D17" s="26">
        <f>SUM(D13:D16)</f>
        <v>1</v>
      </c>
    </row>
    <row r="18" spans="1:9" x14ac:dyDescent="0.3">
      <c r="B18" s="31"/>
      <c r="C18" s="31"/>
      <c r="D18" s="32"/>
    </row>
    <row r="20" spans="1:9" s="36" customFormat="1" ht="19.5" x14ac:dyDescent="0.3">
      <c r="A20" s="35" t="s">
        <v>66</v>
      </c>
      <c r="B20" s="35" t="s">
        <v>67</v>
      </c>
    </row>
    <row r="21" spans="1:9" x14ac:dyDescent="0.3">
      <c r="A21" s="24"/>
      <c r="B21" s="24"/>
    </row>
    <row r="22" spans="1:9" ht="17.25" thickBot="1" x14ac:dyDescent="0.35">
      <c r="A22" s="24" t="s">
        <v>96</v>
      </c>
    </row>
    <row r="23" spans="1:9" ht="32.25" customHeight="1" x14ac:dyDescent="0.3">
      <c r="A23" s="106" t="s">
        <v>119</v>
      </c>
      <c r="B23" s="91"/>
      <c r="C23" s="92"/>
    </row>
    <row r="24" spans="1:9" ht="10.5" customHeight="1" thickBot="1" x14ac:dyDescent="0.35">
      <c r="A24" s="93"/>
      <c r="B24" s="94"/>
      <c r="C24" s="95"/>
    </row>
    <row r="26" spans="1:9" x14ac:dyDescent="0.3">
      <c r="A26" s="25" t="s">
        <v>68</v>
      </c>
      <c r="B26" s="25" t="s">
        <v>69</v>
      </c>
      <c r="C26" s="25" t="s">
        <v>70</v>
      </c>
      <c r="D26" s="25" t="s">
        <v>56</v>
      </c>
      <c r="E26" s="25" t="s">
        <v>120</v>
      </c>
      <c r="F26" s="25" t="s">
        <v>71</v>
      </c>
      <c r="G26" s="25" t="s">
        <v>121</v>
      </c>
      <c r="H26" s="25" t="s">
        <v>72</v>
      </c>
    </row>
    <row r="27" spans="1:9" x14ac:dyDescent="0.3">
      <c r="A27" s="56" t="s">
        <v>77</v>
      </c>
      <c r="B27" s="57" t="s">
        <v>5</v>
      </c>
      <c r="C27" s="56" t="s">
        <v>54</v>
      </c>
      <c r="D27" s="56">
        <v>0.15</v>
      </c>
      <c r="E27" s="56">
        <v>2548000</v>
      </c>
      <c r="F27" s="56">
        <v>129098494</v>
      </c>
      <c r="G27" s="58">
        <f>E27*F27</f>
        <v>328942962712000</v>
      </c>
      <c r="H27" s="56">
        <f>D27*SUM($G$27:$G$31)/G27</f>
        <v>0.16355583200168378</v>
      </c>
    </row>
    <row r="28" spans="1:9" x14ac:dyDescent="0.3">
      <c r="A28" s="56" t="s">
        <v>77</v>
      </c>
      <c r="B28" s="57" t="s">
        <v>57</v>
      </c>
      <c r="C28" s="56" t="s">
        <v>58</v>
      </c>
      <c r="D28" s="56">
        <v>0.15</v>
      </c>
      <c r="E28" s="56">
        <v>221100</v>
      </c>
      <c r="F28" s="58">
        <v>122666424</v>
      </c>
      <c r="G28" s="58">
        <f t="shared" ref="G28:G47" si="0">E28*F28</f>
        <v>27121546346400</v>
      </c>
      <c r="H28" s="56">
        <f t="shared" ref="H28:H31" si="1">D28*SUM($G$27:$G$31)/G28</f>
        <v>1.9836826138271153</v>
      </c>
    </row>
    <row r="29" spans="1:9" x14ac:dyDescent="0.3">
      <c r="A29" s="56" t="s">
        <v>77</v>
      </c>
      <c r="B29" s="57" t="s">
        <v>59</v>
      </c>
      <c r="C29" s="56" t="s">
        <v>60</v>
      </c>
      <c r="D29" s="56">
        <v>0.3</v>
      </c>
      <c r="E29" s="56">
        <v>163300</v>
      </c>
      <c r="F29" s="56">
        <v>15956260</v>
      </c>
      <c r="G29" s="58">
        <f t="shared" si="0"/>
        <v>2605657258000</v>
      </c>
      <c r="H29" s="87">
        <f t="shared" si="1"/>
        <v>41.295177853709873</v>
      </c>
    </row>
    <row r="30" spans="1:9" x14ac:dyDescent="0.3">
      <c r="A30" s="59" t="s">
        <v>77</v>
      </c>
      <c r="B30" s="60" t="s">
        <v>61</v>
      </c>
      <c r="C30" s="61" t="s">
        <v>62</v>
      </c>
      <c r="D30" s="61">
        <v>0</v>
      </c>
      <c r="E30" s="61">
        <v>0</v>
      </c>
      <c r="F30" s="61">
        <v>0</v>
      </c>
      <c r="G30" s="58">
        <f t="shared" si="0"/>
        <v>0</v>
      </c>
      <c r="H30" s="56">
        <v>0</v>
      </c>
      <c r="I30" t="s">
        <v>122</v>
      </c>
    </row>
    <row r="31" spans="1:9" x14ac:dyDescent="0.3">
      <c r="A31" s="56" t="s">
        <v>77</v>
      </c>
      <c r="B31" s="56" t="s">
        <v>73</v>
      </c>
      <c r="C31" s="56" t="s">
        <v>74</v>
      </c>
      <c r="D31" s="56">
        <v>0.4</v>
      </c>
      <c r="E31" s="56">
        <v>1</v>
      </c>
      <c r="F31" s="56">
        <v>100000000</v>
      </c>
      <c r="G31" s="58">
        <f t="shared" si="0"/>
        <v>100000000</v>
      </c>
      <c r="H31" s="56">
        <f t="shared" si="1"/>
        <v>1434681.0652656001</v>
      </c>
    </row>
    <row r="32" spans="1:9" ht="3" customHeight="1" x14ac:dyDescent="0.3">
      <c r="A32" s="62"/>
      <c r="B32" s="62"/>
      <c r="C32" s="62"/>
      <c r="D32" s="62"/>
      <c r="E32" s="62"/>
      <c r="F32" s="62"/>
      <c r="G32" s="63"/>
      <c r="H32" s="62"/>
    </row>
    <row r="33" spans="1:9" x14ac:dyDescent="0.3">
      <c r="A33" s="56" t="s">
        <v>78</v>
      </c>
      <c r="B33" s="57" t="s">
        <v>5</v>
      </c>
      <c r="C33" s="56" t="s">
        <v>54</v>
      </c>
      <c r="D33" s="56">
        <v>0.15</v>
      </c>
      <c r="E33" s="56">
        <v>46650</v>
      </c>
      <c r="F33" s="56">
        <v>6419324700</v>
      </c>
      <c r="G33" s="58">
        <f t="shared" si="0"/>
        <v>299461497255000</v>
      </c>
      <c r="H33" s="56">
        <f>D33*SUM($G$33:$G$37)/G33</f>
        <v>0.17094612419283317</v>
      </c>
    </row>
    <row r="34" spans="1:9" x14ac:dyDescent="0.3">
      <c r="A34" s="56" t="s">
        <v>79</v>
      </c>
      <c r="B34" s="57" t="s">
        <v>57</v>
      </c>
      <c r="C34" s="56" t="s">
        <v>58</v>
      </c>
      <c r="D34" s="56">
        <v>0.15</v>
      </c>
      <c r="E34" s="56">
        <v>303500</v>
      </c>
      <c r="F34" s="58">
        <v>125395903</v>
      </c>
      <c r="G34" s="58">
        <f t="shared" si="0"/>
        <v>38057656560500</v>
      </c>
      <c r="H34" s="56">
        <f t="shared" ref="H34:H37" si="2">D34*SUM($G$33:$G$37)/G34</f>
        <v>1.3451112582128057</v>
      </c>
    </row>
    <row r="35" spans="1:9" x14ac:dyDescent="0.3">
      <c r="A35" s="56" t="s">
        <v>80</v>
      </c>
      <c r="B35" s="57" t="s">
        <v>59</v>
      </c>
      <c r="C35" s="56" t="s">
        <v>60</v>
      </c>
      <c r="D35" s="56">
        <v>0.3</v>
      </c>
      <c r="E35" s="56">
        <v>235600</v>
      </c>
      <c r="F35" s="56">
        <v>15956260</v>
      </c>
      <c r="G35" s="58">
        <f t="shared" si="0"/>
        <v>3759294856000</v>
      </c>
      <c r="H35" s="56">
        <f t="shared" si="2"/>
        <v>27.234779000652562</v>
      </c>
    </row>
    <row r="36" spans="1:9" x14ac:dyDescent="0.3">
      <c r="A36" s="59" t="s">
        <v>81</v>
      </c>
      <c r="B36" s="60" t="s">
        <v>61</v>
      </c>
      <c r="C36" s="61" t="s">
        <v>62</v>
      </c>
      <c r="D36" s="61">
        <v>0</v>
      </c>
      <c r="E36" s="61">
        <v>0</v>
      </c>
      <c r="F36" s="61">
        <v>0</v>
      </c>
      <c r="G36" s="58">
        <v>0</v>
      </c>
      <c r="H36" s="56">
        <v>0</v>
      </c>
      <c r="I36" t="s">
        <v>122</v>
      </c>
    </row>
    <row r="37" spans="1:9" x14ac:dyDescent="0.3">
      <c r="A37" s="56" t="s">
        <v>78</v>
      </c>
      <c r="B37" s="56" t="s">
        <v>73</v>
      </c>
      <c r="C37" s="56" t="s">
        <v>74</v>
      </c>
      <c r="D37" s="56">
        <v>0.4</v>
      </c>
      <c r="E37" s="56">
        <v>1</v>
      </c>
      <c r="F37" s="56">
        <v>100000000</v>
      </c>
      <c r="G37" s="58">
        <f t="shared" si="0"/>
        <v>100000000</v>
      </c>
      <c r="H37" s="56">
        <f t="shared" si="2"/>
        <v>1365114.194686</v>
      </c>
    </row>
    <row r="38" spans="1:9" ht="3" customHeight="1" x14ac:dyDescent="0.3">
      <c r="A38" s="62"/>
      <c r="B38" s="62"/>
      <c r="C38" s="62"/>
      <c r="D38" s="62"/>
      <c r="E38" s="62"/>
      <c r="F38" s="62"/>
      <c r="G38" s="63"/>
      <c r="H38" s="62"/>
    </row>
    <row r="39" spans="1:9" x14ac:dyDescent="0.3">
      <c r="A39" s="56" t="s">
        <v>82</v>
      </c>
      <c r="B39" s="57" t="s">
        <v>5</v>
      </c>
      <c r="C39" s="56" t="s">
        <v>54</v>
      </c>
      <c r="D39" s="56">
        <v>0.15</v>
      </c>
      <c r="E39" s="56">
        <v>38700</v>
      </c>
      <c r="F39" s="56">
        <v>5969782550</v>
      </c>
      <c r="G39" s="58">
        <f t="shared" si="0"/>
        <v>231030584685000</v>
      </c>
      <c r="H39" s="56">
        <f>D39*SUM($G$39:$G$42)/G39</f>
        <v>0.1711597722073912</v>
      </c>
    </row>
    <row r="40" spans="1:9" x14ac:dyDescent="0.3">
      <c r="A40" s="56" t="s">
        <v>82</v>
      </c>
      <c r="B40" s="57" t="s">
        <v>57</v>
      </c>
      <c r="C40" s="56" t="s">
        <v>58</v>
      </c>
      <c r="D40" s="56">
        <v>0.15</v>
      </c>
      <c r="E40" s="56">
        <v>222500</v>
      </c>
      <c r="F40" s="58">
        <v>125456133</v>
      </c>
      <c r="G40" s="58">
        <f t="shared" si="0"/>
        <v>27913989592500</v>
      </c>
      <c r="H40" s="56">
        <f t="shared" ref="H40:H42" si="3">D40*SUM($G$39:$G$42)/G40</f>
        <v>1.4166066128451071</v>
      </c>
    </row>
    <row r="41" spans="1:9" x14ac:dyDescent="0.3">
      <c r="A41" s="56" t="s">
        <v>82</v>
      </c>
      <c r="B41" s="57" t="s">
        <v>59</v>
      </c>
      <c r="C41" s="56" t="s">
        <v>60</v>
      </c>
      <c r="D41" s="56">
        <v>0.3</v>
      </c>
      <c r="E41" s="56">
        <v>254000</v>
      </c>
      <c r="F41" s="56">
        <v>15956260</v>
      </c>
      <c r="G41" s="58">
        <f t="shared" si="0"/>
        <v>4052890040000</v>
      </c>
      <c r="H41" s="56">
        <f t="shared" si="3"/>
        <v>19.513552974472013</v>
      </c>
    </row>
    <row r="42" spans="1:9" x14ac:dyDescent="0.3">
      <c r="A42" s="56" t="s">
        <v>82</v>
      </c>
      <c r="B42" s="57" t="s">
        <v>61</v>
      </c>
      <c r="C42" s="56" t="s">
        <v>62</v>
      </c>
      <c r="D42" s="56">
        <v>0.4</v>
      </c>
      <c r="E42" s="56">
        <v>10040</v>
      </c>
      <c r="F42" s="56">
        <v>62100000</v>
      </c>
      <c r="G42" s="58">
        <f t="shared" si="0"/>
        <v>623484000000</v>
      </c>
      <c r="H42" s="56">
        <f t="shared" si="3"/>
        <v>169.12764293390046</v>
      </c>
    </row>
    <row r="43" spans="1:9" ht="3" customHeight="1" x14ac:dyDescent="0.3">
      <c r="A43" s="62"/>
      <c r="B43" s="62"/>
      <c r="C43" s="62"/>
      <c r="D43" s="62"/>
      <c r="E43" s="62"/>
      <c r="F43" s="62"/>
      <c r="G43" s="63"/>
      <c r="H43" s="62"/>
    </row>
    <row r="44" spans="1:9" x14ac:dyDescent="0.3">
      <c r="A44" s="56" t="s">
        <v>83</v>
      </c>
      <c r="B44" s="57" t="s">
        <v>5</v>
      </c>
      <c r="C44" s="56" t="s">
        <v>54</v>
      </c>
      <c r="D44" s="56">
        <v>0.15</v>
      </c>
      <c r="E44" s="56">
        <v>47000</v>
      </c>
      <c r="F44" s="56">
        <v>5969782550</v>
      </c>
      <c r="G44" s="58">
        <f t="shared" si="0"/>
        <v>280579779850000</v>
      </c>
      <c r="H44" s="56">
        <f>D44*SUM($G$44:$G$47)/G44</f>
        <v>0.1659288966779407</v>
      </c>
    </row>
    <row r="45" spans="1:9" x14ac:dyDescent="0.3">
      <c r="A45" s="56" t="s">
        <v>83</v>
      </c>
      <c r="B45" s="57" t="s">
        <v>57</v>
      </c>
      <c r="C45" s="56" t="s">
        <v>58</v>
      </c>
      <c r="D45" s="56">
        <v>0.15</v>
      </c>
      <c r="E45" s="56">
        <v>205500</v>
      </c>
      <c r="F45" s="58">
        <v>128329070</v>
      </c>
      <c r="G45" s="58">
        <f t="shared" si="0"/>
        <v>26371623885000</v>
      </c>
      <c r="H45" s="56">
        <f t="shared" ref="H45:H47" si="4">D45*SUM($G$44:$G$47)/G45</f>
        <v>1.7653934965730684</v>
      </c>
    </row>
    <row r="46" spans="1:9" x14ac:dyDescent="0.3">
      <c r="A46" s="56" t="s">
        <v>83</v>
      </c>
      <c r="B46" s="57" t="s">
        <v>59</v>
      </c>
      <c r="C46" s="56" t="s">
        <v>60</v>
      </c>
      <c r="D46" s="56">
        <v>0.3</v>
      </c>
      <c r="E46" s="56">
        <v>168600</v>
      </c>
      <c r="F46" s="56">
        <v>15956260</v>
      </c>
      <c r="G46" s="58">
        <f t="shared" si="0"/>
        <v>2690225436000</v>
      </c>
      <c r="H46" s="56">
        <f t="shared" si="4"/>
        <v>34.611443842321918</v>
      </c>
    </row>
    <row r="47" spans="1:9" x14ac:dyDescent="0.3">
      <c r="A47" s="56" t="s">
        <v>83</v>
      </c>
      <c r="B47" s="57" t="s">
        <v>61</v>
      </c>
      <c r="C47" s="56" t="s">
        <v>62</v>
      </c>
      <c r="D47" s="56">
        <v>0.4</v>
      </c>
      <c r="E47" s="56">
        <v>10805</v>
      </c>
      <c r="F47" s="56">
        <v>67900000</v>
      </c>
      <c r="G47" s="58">
        <f t="shared" si="0"/>
        <v>733659500000</v>
      </c>
      <c r="H47" s="56">
        <f t="shared" si="4"/>
        <v>169.22034740693741</v>
      </c>
    </row>
    <row r="49" spans="1:7" s="37" customFormat="1" ht="19.5" x14ac:dyDescent="0.3">
      <c r="A49" s="37" t="s">
        <v>84</v>
      </c>
      <c r="B49" s="38" t="s">
        <v>98</v>
      </c>
    </row>
    <row r="50" spans="1:7" x14ac:dyDescent="0.3">
      <c r="B50" s="28"/>
    </row>
    <row r="51" spans="1:7" ht="16.5" customHeight="1" x14ac:dyDescent="0.3">
      <c r="A51" s="96" t="s">
        <v>187</v>
      </c>
      <c r="B51" s="97"/>
      <c r="C51" s="97"/>
      <c r="D51" s="97"/>
      <c r="E51" s="97"/>
      <c r="F51" s="97"/>
      <c r="G51" s="39"/>
    </row>
    <row r="52" spans="1:7" x14ac:dyDescent="0.3">
      <c r="A52" s="97"/>
      <c r="B52" s="97"/>
      <c r="C52" s="97"/>
      <c r="D52" s="97"/>
      <c r="E52" s="97"/>
      <c r="F52" s="97"/>
      <c r="G52" s="39"/>
    </row>
    <row r="53" spans="1:7" x14ac:dyDescent="0.3">
      <c r="A53" s="97"/>
      <c r="B53" s="97"/>
      <c r="C53" s="97"/>
      <c r="D53" s="97"/>
      <c r="E53" s="97"/>
      <c r="F53" s="97"/>
      <c r="G53" s="39"/>
    </row>
    <row r="54" spans="1:7" x14ac:dyDescent="0.3">
      <c r="A54" s="97"/>
      <c r="B54" s="97"/>
      <c r="C54" s="97"/>
      <c r="D54" s="97"/>
      <c r="E54" s="97"/>
      <c r="F54" s="97"/>
      <c r="G54" s="39"/>
    </row>
    <row r="55" spans="1:7" x14ac:dyDescent="0.3">
      <c r="A55" s="97"/>
      <c r="B55" s="97"/>
      <c r="C55" s="97"/>
      <c r="D55" s="97"/>
      <c r="E55" s="97"/>
      <c r="F55" s="97"/>
      <c r="G55" s="39"/>
    </row>
    <row r="56" spans="1:7" x14ac:dyDescent="0.3">
      <c r="A56" s="97"/>
      <c r="B56" s="97"/>
      <c r="C56" s="97"/>
      <c r="D56" s="97"/>
      <c r="E56" s="97"/>
      <c r="F56" s="97"/>
      <c r="G56" s="39"/>
    </row>
    <row r="57" spans="1:7" x14ac:dyDescent="0.3">
      <c r="A57" s="97"/>
      <c r="B57" s="97"/>
      <c r="C57" s="97"/>
      <c r="D57" s="97"/>
      <c r="E57" s="97"/>
      <c r="F57" s="97"/>
      <c r="G57" s="39"/>
    </row>
    <row r="58" spans="1:7" x14ac:dyDescent="0.3">
      <c r="A58" s="97"/>
      <c r="B58" s="97"/>
      <c r="C58" s="97"/>
      <c r="D58" s="97"/>
      <c r="E58" s="97"/>
      <c r="F58" s="97"/>
      <c r="G58" s="39"/>
    </row>
    <row r="59" spans="1:7" x14ac:dyDescent="0.3">
      <c r="A59" s="97"/>
      <c r="B59" s="97"/>
      <c r="C59" s="97"/>
      <c r="D59" s="97"/>
      <c r="E59" s="97"/>
      <c r="F59" s="97"/>
      <c r="G59" s="39"/>
    </row>
    <row r="60" spans="1:7" x14ac:dyDescent="0.3">
      <c r="A60" s="97"/>
      <c r="B60" s="97"/>
      <c r="C60" s="97"/>
      <c r="D60" s="97"/>
      <c r="E60" s="97"/>
      <c r="F60" s="97"/>
      <c r="G60" s="39"/>
    </row>
    <row r="61" spans="1:7" x14ac:dyDescent="0.3">
      <c r="A61" s="97"/>
      <c r="B61" s="97"/>
      <c r="C61" s="97"/>
      <c r="D61" s="97"/>
      <c r="E61" s="97"/>
      <c r="F61" s="97"/>
      <c r="G61" s="39"/>
    </row>
    <row r="62" spans="1:7" x14ac:dyDescent="0.3">
      <c r="A62" s="97"/>
      <c r="B62" s="97"/>
      <c r="C62" s="97"/>
      <c r="D62" s="97"/>
      <c r="E62" s="97"/>
      <c r="F62" s="97"/>
      <c r="G62" s="39"/>
    </row>
    <row r="63" spans="1:7" x14ac:dyDescent="0.3">
      <c r="A63" s="97"/>
      <c r="B63" s="97"/>
      <c r="C63" s="97"/>
      <c r="D63" s="97"/>
      <c r="E63" s="97"/>
      <c r="F63" s="97"/>
      <c r="G63" s="39"/>
    </row>
    <row r="64" spans="1:7" x14ac:dyDescent="0.3">
      <c r="A64" s="97"/>
      <c r="B64" s="97"/>
      <c r="C64" s="97"/>
      <c r="D64" s="97"/>
      <c r="E64" s="97"/>
      <c r="F64" s="97"/>
      <c r="G64" s="39"/>
    </row>
    <row r="65" spans="1:7" x14ac:dyDescent="0.3">
      <c r="A65" s="97"/>
      <c r="B65" s="97"/>
      <c r="C65" s="97"/>
      <c r="D65" s="97"/>
      <c r="E65" s="97"/>
      <c r="F65" s="97"/>
      <c r="G65" s="39"/>
    </row>
  </sheetData>
  <mergeCells count="2">
    <mergeCell ref="A23:C24"/>
    <mergeCell ref="A51:F6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N16" zoomScale="85" zoomScaleNormal="85" workbookViewId="0">
      <selection activeCell="AC31" sqref="AC31"/>
    </sheetView>
  </sheetViews>
  <sheetFormatPr defaultColWidth="8.875" defaultRowHeight="13.5" x14ac:dyDescent="0.3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3.125" style="16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45" customWidth="1"/>
    <col min="29" max="29" width="23.5" style="45" customWidth="1"/>
    <col min="30" max="30" width="16.125" style="45" bestFit="1" customWidth="1"/>
    <col min="31" max="31" width="15" style="45" customWidth="1"/>
    <col min="32" max="32" width="9.375" style="45" bestFit="1" customWidth="1"/>
    <col min="33" max="35" width="9" style="54" bestFit="1" customWidth="1"/>
    <col min="36" max="36" width="12.375" style="54" customWidth="1"/>
    <col min="37" max="16384" width="8.875" style="16"/>
  </cols>
  <sheetData>
    <row r="1" spans="1:36" x14ac:dyDescent="0.3">
      <c r="A1" s="48"/>
      <c r="B1" s="48"/>
      <c r="C1" s="99" t="s">
        <v>126</v>
      </c>
      <c r="D1" s="100"/>
      <c r="E1" s="100"/>
      <c r="F1" s="100"/>
      <c r="G1" s="101"/>
      <c r="H1" s="102" t="s">
        <v>127</v>
      </c>
      <c r="I1" s="103"/>
      <c r="J1" s="103"/>
      <c r="K1" s="103"/>
      <c r="L1" s="104"/>
      <c r="M1" s="99" t="s">
        <v>128</v>
      </c>
      <c r="N1" s="100"/>
      <c r="O1" s="100"/>
      <c r="P1" s="100"/>
      <c r="Q1" s="101"/>
      <c r="R1" s="102" t="s">
        <v>129</v>
      </c>
      <c r="S1" s="103"/>
      <c r="T1" s="103"/>
      <c r="U1" s="103"/>
      <c r="V1" s="104"/>
      <c r="W1" s="99" t="s">
        <v>130</v>
      </c>
      <c r="X1" s="100"/>
      <c r="Y1" s="100"/>
      <c r="Z1" s="100"/>
      <c r="AA1" s="101"/>
      <c r="AB1" s="105" t="s">
        <v>92</v>
      </c>
      <c r="AC1" s="105"/>
      <c r="AD1" s="105"/>
      <c r="AE1" s="105"/>
      <c r="AF1" s="105"/>
      <c r="AG1" s="98" t="s">
        <v>113</v>
      </c>
      <c r="AH1" s="98"/>
      <c r="AI1" s="98"/>
      <c r="AJ1" s="98"/>
    </row>
    <row r="2" spans="1:36" x14ac:dyDescent="0.3">
      <c r="A2" s="48" t="s">
        <v>85</v>
      </c>
      <c r="B2" s="48" t="s">
        <v>87</v>
      </c>
      <c r="C2" s="49" t="s">
        <v>107</v>
      </c>
      <c r="D2" s="49" t="s">
        <v>108</v>
      </c>
      <c r="E2" s="49" t="s">
        <v>17</v>
      </c>
      <c r="F2" s="77" t="s">
        <v>131</v>
      </c>
      <c r="G2" s="78" t="s">
        <v>123</v>
      </c>
      <c r="H2" s="48" t="s">
        <v>14</v>
      </c>
      <c r="I2" s="48" t="s">
        <v>15</v>
      </c>
      <c r="J2" s="48" t="s">
        <v>17</v>
      </c>
      <c r="K2" s="68" t="s">
        <v>124</v>
      </c>
      <c r="L2" s="69" t="s">
        <v>132</v>
      </c>
      <c r="M2" s="49" t="s">
        <v>109</v>
      </c>
      <c r="N2" s="49" t="s">
        <v>110</v>
      </c>
      <c r="O2" s="49" t="s">
        <v>17</v>
      </c>
      <c r="P2" s="77" t="s">
        <v>133</v>
      </c>
      <c r="Q2" s="78" t="s">
        <v>132</v>
      </c>
      <c r="R2" s="48" t="s">
        <v>14</v>
      </c>
      <c r="S2" s="48" t="s">
        <v>111</v>
      </c>
      <c r="T2" s="48" t="s">
        <v>17</v>
      </c>
      <c r="U2" s="68" t="s">
        <v>133</v>
      </c>
      <c r="V2" s="69" t="s">
        <v>134</v>
      </c>
      <c r="W2" s="49" t="s">
        <v>14</v>
      </c>
      <c r="X2" s="49" t="s">
        <v>111</v>
      </c>
      <c r="Y2" s="49" t="s">
        <v>17</v>
      </c>
      <c r="Z2" s="77" t="s">
        <v>135</v>
      </c>
      <c r="AA2" s="78" t="s">
        <v>123</v>
      </c>
      <c r="AB2" s="50" t="s">
        <v>112</v>
      </c>
      <c r="AC2" s="50" t="s">
        <v>90</v>
      </c>
      <c r="AD2" s="50" t="s">
        <v>91</v>
      </c>
      <c r="AE2" s="80" t="s">
        <v>92</v>
      </c>
      <c r="AF2" s="50" t="s">
        <v>93</v>
      </c>
      <c r="AG2" s="48" t="s">
        <v>114</v>
      </c>
      <c r="AH2" s="48" t="s">
        <v>94</v>
      </c>
      <c r="AI2" s="48" t="s">
        <v>95</v>
      </c>
      <c r="AJ2" s="48" t="s">
        <v>115</v>
      </c>
    </row>
    <row r="3" spans="1:36" x14ac:dyDescent="0.3">
      <c r="A3" s="107">
        <v>20171228</v>
      </c>
      <c r="B3" s="107" t="s">
        <v>88</v>
      </c>
      <c r="C3" s="107">
        <v>2468000</v>
      </c>
      <c r="D3" s="107">
        <v>2548000</v>
      </c>
      <c r="E3" s="107">
        <v>129098494</v>
      </c>
      <c r="F3" s="107">
        <f>ROUND(0.15*(D3*E3+I3*J3+N3*O3+X3*Y3)/(D3*E3),17)</f>
        <v>0.163555832001684</v>
      </c>
      <c r="G3" s="107">
        <f>ROUND(0.15*(D3*E3+I3*J3+N3*O3+X3*Y3)/(D3*E3),17)</f>
        <v>0.163555832001684</v>
      </c>
      <c r="H3" s="107">
        <v>220000</v>
      </c>
      <c r="I3" s="107">
        <v>221100</v>
      </c>
      <c r="J3" s="108">
        <v>122666424</v>
      </c>
      <c r="K3" s="107">
        <f>ROUND(0.15*(D3*E3+I3*J3+N3*O3+X3*Y3)/(I3*J3),17)</f>
        <v>1.98368261382712</v>
      </c>
      <c r="L3" s="107">
        <f>ROUND(0.15*(D3*E3+I3*J3+N3*O3+X3*Y3)/(I3*J3),17)</f>
        <v>1.98368261382712</v>
      </c>
      <c r="M3" s="107">
        <v>160000</v>
      </c>
      <c r="N3" s="107">
        <v>163300</v>
      </c>
      <c r="O3" s="107">
        <v>15956260</v>
      </c>
      <c r="P3" s="107">
        <f>ROUND(0.3*(D3*E3+I3*J3+N3*O3+X3*Y3)/(N3*O3),17)</f>
        <v>41.295177853709902</v>
      </c>
      <c r="Q3" s="107">
        <f>ROUND(0.3*(D3*E3+I3*J3+N3*O3+X3*Y3)/(N3*O3),17)</f>
        <v>41.295177853709902</v>
      </c>
      <c r="R3" s="107">
        <v>0</v>
      </c>
      <c r="S3" s="107"/>
      <c r="T3" s="107">
        <v>0</v>
      </c>
      <c r="U3" s="107">
        <v>0</v>
      </c>
      <c r="V3" s="107"/>
      <c r="W3" s="107">
        <v>1</v>
      </c>
      <c r="X3" s="107">
        <v>1</v>
      </c>
      <c r="Y3" s="107">
        <v>100000000</v>
      </c>
      <c r="Z3" s="107">
        <f>ROUND(0.4*(D3*E3+I3*J3+N3*O3+X3*Y3)/(X3*Y3),17)</f>
        <v>1434681.0652656001</v>
      </c>
      <c r="AA3" s="107">
        <f>ROUND(0.4*(D3*E3+I3*J3+N3*O3+X3*Y3)/(X3*Y3),17)</f>
        <v>1434681.0652656001</v>
      </c>
      <c r="AB3" s="108" t="e">
        <f>C3*E3*F3+H3*J3*K3+M3*O3*P3+#REF!*#REF!*#REF!</f>
        <v>#REF!</v>
      </c>
      <c r="AC3" s="108">
        <f>D3*E3*G3+I3*J3*L3+N3*O3*Q3+X3*Y3*AA3</f>
        <v>358670266316400.25</v>
      </c>
      <c r="AD3" s="108">
        <f t="shared" ref="AD3:AD66" si="0">D3*E3*G3+I3*J3*L3+N3*O3*Q3+X3*Y3*AA3</f>
        <v>358670266316400.25</v>
      </c>
      <c r="AE3" s="109">
        <f>AD3/AC3*1000</f>
        <v>1000</v>
      </c>
      <c r="AF3" s="107"/>
      <c r="AG3" s="107"/>
      <c r="AH3" s="107"/>
      <c r="AI3" s="107"/>
      <c r="AJ3" s="107"/>
    </row>
    <row r="4" spans="1:36" s="17" customFormat="1" x14ac:dyDescent="0.3">
      <c r="A4" s="65">
        <v>20180102</v>
      </c>
      <c r="B4" s="65" t="s">
        <v>89</v>
      </c>
      <c r="C4" s="49">
        <v>2548000</v>
      </c>
      <c r="D4" s="49">
        <v>2551000</v>
      </c>
      <c r="E4" s="49">
        <v>129098494</v>
      </c>
      <c r="F4" s="49">
        <f>ROUND(0.15*(D4*E4+I4*J4+N4*O4+X4*Y4)/(D4*E4),17)</f>
        <v>0.163829873112531</v>
      </c>
      <c r="G4" s="49">
        <f>ROUND(0.15*(D4*E4+I4*J4+N4*O4+X4*Y4)/(D4*E4),17)</f>
        <v>0.163829873112531</v>
      </c>
      <c r="H4" s="48">
        <v>221100</v>
      </c>
      <c r="I4" s="48">
        <v>225900</v>
      </c>
      <c r="J4" s="51">
        <v>122666424</v>
      </c>
      <c r="K4" s="48">
        <f>ROUND(0.15*(D4*E4+I4*J4+N4*O4+X4*Y4)/(I4*J4),17)</f>
        <v>1.94707550766514</v>
      </c>
      <c r="L4" s="48">
        <f>ROUND(0.15*(D4*E4+I4*J4+N4*O4+X4*Y4)/(I4*J4),17)</f>
        <v>1.94707550766514</v>
      </c>
      <c r="M4" s="49">
        <v>163300</v>
      </c>
      <c r="N4" s="49">
        <v>166300</v>
      </c>
      <c r="O4" s="49">
        <v>15956260</v>
      </c>
      <c r="P4" s="49">
        <f>ROUND(0.3*(D4*E4+I4*J4+N4*O4+X4*Y4)/(N4*O4),17)</f>
        <v>40.665992071972298</v>
      </c>
      <c r="Q4" s="49">
        <f>ROUND(0.3*(D4*E4+I4*J4+N4*O4+X4*Y4)/(N4*O4),17)</f>
        <v>40.665992071972298</v>
      </c>
      <c r="R4" s="48">
        <v>0</v>
      </c>
      <c r="S4" s="48"/>
      <c r="T4" s="48">
        <v>0</v>
      </c>
      <c r="U4" s="48">
        <v>0</v>
      </c>
      <c r="V4" s="48"/>
      <c r="W4" s="49">
        <v>1</v>
      </c>
      <c r="X4" s="49">
        <v>1</v>
      </c>
      <c r="Y4" s="49">
        <v>100000000</v>
      </c>
      <c r="Z4" s="49">
        <f>ROUND(0.4*(D4*E4+I4*J4+N4*O4+X4*Y4)/(X4*Y4),17)</f>
        <v>1438776.9176544</v>
      </c>
      <c r="AA4" s="49">
        <f>ROUND(0.4*(D4*E4+I4*J4+N4*O4+X4*Y4)/(X4*Y4),17)</f>
        <v>1438776.9176544</v>
      </c>
      <c r="AB4" s="82">
        <f t="shared" ref="AB4:AB67" si="1">IF(AD3&lt;&gt;(C4*E4*F4+H4*J4*K4+M4*O4*P4+W4*Y4*Z4),1,0)</f>
        <v>1</v>
      </c>
      <c r="AC4" s="82">
        <f>D4*E4*G4+I4*J4*L4+N4*O4*Q4+X4*Y4*AA4</f>
        <v>359694229413600.25</v>
      </c>
      <c r="AD4" s="81">
        <f t="shared" si="0"/>
        <v>359694229413600.25</v>
      </c>
      <c r="AE4" s="80">
        <f t="shared" ref="AE4:AE67" si="2">AD4/AC4*1000</f>
        <v>1000</v>
      </c>
      <c r="AF4" s="52">
        <f>(AE4-AE3)/AE3</f>
        <v>0</v>
      </c>
      <c r="AG4" s="48">
        <f t="shared" ref="AG4:AG67" si="3">(D4-C4)/C4</f>
        <v>1.1773940345368916E-3</v>
      </c>
      <c r="AH4" s="48">
        <f>(I4-H4)/H4</f>
        <v>2.1709633649932156E-2</v>
      </c>
      <c r="AI4" s="48">
        <f>(N4-M4)/M4</f>
        <v>1.8371096142069811E-2</v>
      </c>
      <c r="AJ4" s="48">
        <f>(X4-W4)/X4</f>
        <v>0</v>
      </c>
    </row>
    <row r="5" spans="1:36" x14ac:dyDescent="0.3">
      <c r="A5" s="48">
        <v>20180103</v>
      </c>
      <c r="B5" s="48" t="s">
        <v>88</v>
      </c>
      <c r="C5" s="49">
        <v>2551000</v>
      </c>
      <c r="D5" s="49">
        <v>2581000</v>
      </c>
      <c r="E5" s="49">
        <v>129098494</v>
      </c>
      <c r="F5" s="49">
        <f t="shared" ref="F5:F68" si="4">G4</f>
        <v>0.163829873112531</v>
      </c>
      <c r="G5" s="49">
        <f t="shared" ref="G5:G68" si="5">IF(B5="Y",ROUND(0.15*(C5*E5+H5*J5+M5*O5+W5*Y5)/(C5*E5),17),IF(AB5=0,F5,ROUND(D4*E4*G4/AD4*(C5*E5+H5*J5+M5*O5+W5*Y5)/(C5*E5),17)))</f>
        <v>0.163829873112531</v>
      </c>
      <c r="H5" s="48">
        <v>225900</v>
      </c>
      <c r="I5" s="48">
        <v>246700</v>
      </c>
      <c r="J5" s="51">
        <v>122666424</v>
      </c>
      <c r="K5" s="48">
        <f t="shared" ref="K5:K68" si="6">L4</f>
        <v>1.94707550766514</v>
      </c>
      <c r="L5" s="48">
        <f t="shared" ref="L5:L68" si="7">IF(B5="Y",ROUND(0.15*(C5*E5+H5*J5+M5*O5+W5*Y5)/(H5*J5),17),IF(AB5=0,K5,ROUND(I4*J4*L4/AD4*(C5*E5+H5*J5+M5*O5+W5*Y5)/(H5*J5),17)))</f>
        <v>1.94707550766514</v>
      </c>
      <c r="M5" s="49">
        <v>166300</v>
      </c>
      <c r="N5" s="49">
        <v>164200</v>
      </c>
      <c r="O5" s="49">
        <v>15956260</v>
      </c>
      <c r="P5" s="49">
        <f t="shared" ref="P5:P68" si="8">Q4</f>
        <v>40.665992071972298</v>
      </c>
      <c r="Q5" s="49">
        <f t="shared" ref="Q5:Q68" si="9">IF(B5="Y",ROUND(0.3*(C5*E5+H5*J5+M5*O5+W5*Y5)/(M5*O5),17),IF(AB5=0,P5,ROUND(N4*O4*Q4/AD4*(C5*E5+H5*J5+M5*O5+W5*Y5)/(M5*O5),17)))</f>
        <v>40.665992071972298</v>
      </c>
      <c r="R5" s="48">
        <v>0</v>
      </c>
      <c r="S5" s="48"/>
      <c r="T5" s="48">
        <v>0</v>
      </c>
      <c r="U5" s="48">
        <v>0</v>
      </c>
      <c r="V5" s="48"/>
      <c r="W5" s="49">
        <v>1</v>
      </c>
      <c r="X5" s="49">
        <v>1</v>
      </c>
      <c r="Y5" s="49">
        <v>100000000</v>
      </c>
      <c r="Z5" s="49">
        <f t="shared" ref="Z5:Z68" si="10">AA4</f>
        <v>1438776.9176544</v>
      </c>
      <c r="AA5" s="49">
        <f t="shared" ref="AA5:AA68" si="11">IF(B5="Y",ROUND(0.4*(C5*E5+H5*J5+M5*O5+W5*Y5)/(W5*Y5),17),IF(AB5=0,Z5,ROUND(X4*Y4*AA4/AD4*(C5*E5+H5*J5+M5*O5+W5*Y5)/(W5*Y5),17)))</f>
        <v>1438776.9176544</v>
      </c>
      <c r="AB5" s="82">
        <f t="shared" si="1"/>
        <v>0</v>
      </c>
      <c r="AC5" s="82">
        <f>IF(AND(AB5=0,B5="N"),AC4,AC4*(C5*E5*G5+H5*J5*L5+M5*O5*Q5+W5*Y5*AA5)/AD4)</f>
        <v>359694229413600.25</v>
      </c>
      <c r="AD5" s="81">
        <f t="shared" si="0"/>
        <v>363933981538240.87</v>
      </c>
      <c r="AE5" s="80">
        <f t="shared" si="2"/>
        <v>1011.7871007593104</v>
      </c>
      <c r="AF5" s="52">
        <f t="shared" ref="AF5:AF68" si="12">(AE5-AE4)/AE4</f>
        <v>1.178710075931042E-2</v>
      </c>
      <c r="AG5" s="48">
        <f t="shared" si="3"/>
        <v>1.1760094080752646E-2</v>
      </c>
      <c r="AH5" s="48">
        <f t="shared" ref="AH5:AH68" si="13">(I5-H5)/H5</f>
        <v>9.2076139884904831E-2</v>
      </c>
      <c r="AI5" s="48">
        <f t="shared" ref="AI5:AI68" si="14">(N5-M5)/M5</f>
        <v>-1.2627781118460614E-2</v>
      </c>
      <c r="AJ5" s="48">
        <f t="shared" ref="AJ5:AJ68" si="15">(X5-W5)/X5</f>
        <v>0</v>
      </c>
    </row>
    <row r="6" spans="1:36" x14ac:dyDescent="0.3">
      <c r="A6" s="48">
        <v>20180104</v>
      </c>
      <c r="B6" s="48" t="s">
        <v>88</v>
      </c>
      <c r="C6" s="49">
        <v>2581000</v>
      </c>
      <c r="D6" s="49">
        <v>2554000</v>
      </c>
      <c r="E6" s="49">
        <v>129098494</v>
      </c>
      <c r="F6" s="49">
        <f t="shared" si="4"/>
        <v>0.163829873112531</v>
      </c>
      <c r="G6" s="49">
        <f t="shared" si="5"/>
        <v>0.163829873112531</v>
      </c>
      <c r="H6" s="48">
        <v>246700</v>
      </c>
      <c r="I6" s="48">
        <v>250000</v>
      </c>
      <c r="J6" s="51">
        <v>122666424</v>
      </c>
      <c r="K6" s="48">
        <f t="shared" si="6"/>
        <v>1.94707550766514</v>
      </c>
      <c r="L6" s="48">
        <f t="shared" si="7"/>
        <v>1.94707550766514</v>
      </c>
      <c r="M6" s="49">
        <v>164200</v>
      </c>
      <c r="N6" s="49">
        <v>164400</v>
      </c>
      <c r="O6" s="49">
        <v>15956260</v>
      </c>
      <c r="P6" s="49">
        <f t="shared" si="8"/>
        <v>40.665992071972298</v>
      </c>
      <c r="Q6" s="49">
        <f t="shared" si="9"/>
        <v>40.665992071972298</v>
      </c>
      <c r="R6" s="48">
        <v>0</v>
      </c>
      <c r="S6" s="48"/>
      <c r="T6" s="48">
        <v>0</v>
      </c>
      <c r="U6" s="48">
        <v>0</v>
      </c>
      <c r="V6" s="48"/>
      <c r="W6" s="49">
        <v>1</v>
      </c>
      <c r="X6" s="49">
        <v>1</v>
      </c>
      <c r="Y6" s="49">
        <v>100000000</v>
      </c>
      <c r="Z6" s="49">
        <f t="shared" si="10"/>
        <v>1438776.9176544</v>
      </c>
      <c r="AA6" s="49">
        <f t="shared" si="11"/>
        <v>1438776.9176544</v>
      </c>
      <c r="AB6" s="82">
        <f t="shared" si="1"/>
        <v>0</v>
      </c>
      <c r="AC6" s="82">
        <f t="shared" ref="AC4:AC67" si="16">IF(AND(AB6=0,B6="N"),AC5,AC5*(C6*E6*G6+H6*J6*L6+M6*O6*Q6+W6*Y6*AA6)/AD5)</f>
        <v>359694229413600.25</v>
      </c>
      <c r="AD6" s="81">
        <f t="shared" si="0"/>
        <v>364280876445999.25</v>
      </c>
      <c r="AE6" s="80">
        <f t="shared" si="2"/>
        <v>1012.7515168644114</v>
      </c>
      <c r="AF6" s="52">
        <f t="shared" si="12"/>
        <v>9.5318086618938766E-4</v>
      </c>
      <c r="AG6" s="48">
        <f t="shared" si="3"/>
        <v>-1.0461061604029445E-2</v>
      </c>
      <c r="AH6" s="48">
        <f t="shared" si="13"/>
        <v>1.3376570733684636E-2</v>
      </c>
      <c r="AI6" s="48">
        <f t="shared" si="14"/>
        <v>1.2180267965895249E-3</v>
      </c>
      <c r="AJ6" s="48">
        <f t="shared" si="15"/>
        <v>0</v>
      </c>
    </row>
    <row r="7" spans="1:36" x14ac:dyDescent="0.3">
      <c r="A7" s="48">
        <v>20180105</v>
      </c>
      <c r="B7" s="48" t="s">
        <v>88</v>
      </c>
      <c r="C7" s="49">
        <v>2554000</v>
      </c>
      <c r="D7" s="49">
        <v>2606000</v>
      </c>
      <c r="E7" s="49">
        <v>129098494</v>
      </c>
      <c r="F7" s="49">
        <f t="shared" si="4"/>
        <v>0.163829873112531</v>
      </c>
      <c r="G7" s="49">
        <f t="shared" si="5"/>
        <v>0.163829873112531</v>
      </c>
      <c r="H7" s="48">
        <v>250000</v>
      </c>
      <c r="I7" s="48">
        <v>266900</v>
      </c>
      <c r="J7" s="51">
        <v>122666424</v>
      </c>
      <c r="K7" s="48">
        <f t="shared" si="6"/>
        <v>1.94707550766514</v>
      </c>
      <c r="L7" s="48">
        <f t="shared" si="7"/>
        <v>1.94707550766514</v>
      </c>
      <c r="M7" s="49">
        <v>164400</v>
      </c>
      <c r="N7" s="49">
        <v>170500</v>
      </c>
      <c r="O7" s="49">
        <v>15956260</v>
      </c>
      <c r="P7" s="49">
        <f t="shared" si="8"/>
        <v>40.665992071972298</v>
      </c>
      <c r="Q7" s="49">
        <f t="shared" si="9"/>
        <v>40.665992071972298</v>
      </c>
      <c r="R7" s="48">
        <v>0</v>
      </c>
      <c r="S7" s="48"/>
      <c r="T7" s="48">
        <v>0</v>
      </c>
      <c r="U7" s="48">
        <v>0</v>
      </c>
      <c r="V7" s="48"/>
      <c r="W7" s="49">
        <v>1</v>
      </c>
      <c r="X7" s="49">
        <v>1</v>
      </c>
      <c r="Y7" s="49">
        <v>100000000</v>
      </c>
      <c r="Z7" s="49">
        <f t="shared" si="10"/>
        <v>1438776.9176544</v>
      </c>
      <c r="AA7" s="49">
        <f t="shared" si="11"/>
        <v>1438776.9176544</v>
      </c>
      <c r="AB7" s="82">
        <f t="shared" si="1"/>
        <v>0</v>
      </c>
      <c r="AC7" s="82">
        <f t="shared" si="16"/>
        <v>359694229413600.25</v>
      </c>
      <c r="AD7" s="81">
        <f t="shared" si="0"/>
        <v>373375246237886.31</v>
      </c>
      <c r="AE7" s="80">
        <f t="shared" si="2"/>
        <v>1038.0351301342528</v>
      </c>
      <c r="AF7" s="52">
        <f t="shared" si="12"/>
        <v>2.4965268230969576E-2</v>
      </c>
      <c r="AG7" s="48">
        <f t="shared" si="3"/>
        <v>2.0360219263899765E-2</v>
      </c>
      <c r="AH7" s="48">
        <f t="shared" si="13"/>
        <v>6.7599999999999993E-2</v>
      </c>
      <c r="AI7" s="48">
        <f t="shared" si="14"/>
        <v>3.7104622871046232E-2</v>
      </c>
      <c r="AJ7" s="48">
        <f t="shared" si="15"/>
        <v>0</v>
      </c>
    </row>
    <row r="8" spans="1:36" x14ac:dyDescent="0.3">
      <c r="A8" s="48">
        <v>20180108</v>
      </c>
      <c r="B8" s="48" t="s">
        <v>88</v>
      </c>
      <c r="C8" s="49">
        <v>2606000</v>
      </c>
      <c r="D8" s="49">
        <v>2601000</v>
      </c>
      <c r="E8" s="49">
        <v>129098494</v>
      </c>
      <c r="F8" s="49">
        <f t="shared" si="4"/>
        <v>0.163829873112531</v>
      </c>
      <c r="G8" s="49">
        <f t="shared" si="5"/>
        <v>0.163829873112531</v>
      </c>
      <c r="H8" s="48">
        <v>266900</v>
      </c>
      <c r="I8" s="48">
        <v>302500</v>
      </c>
      <c r="J8" s="51">
        <v>122666424</v>
      </c>
      <c r="K8" s="48">
        <f t="shared" si="6"/>
        <v>1.94707550766514</v>
      </c>
      <c r="L8" s="48">
        <f t="shared" si="7"/>
        <v>1.94707550766514</v>
      </c>
      <c r="M8" s="49">
        <v>170500</v>
      </c>
      <c r="N8" s="49">
        <v>170200</v>
      </c>
      <c r="O8" s="49">
        <v>15956260</v>
      </c>
      <c r="P8" s="49">
        <f t="shared" si="8"/>
        <v>40.665992071972298</v>
      </c>
      <c r="Q8" s="49">
        <f t="shared" si="9"/>
        <v>40.665992071972298</v>
      </c>
      <c r="R8" s="48">
        <v>0</v>
      </c>
      <c r="S8" s="48"/>
      <c r="T8" s="48">
        <v>0</v>
      </c>
      <c r="U8" s="48">
        <v>0</v>
      </c>
      <c r="V8" s="48"/>
      <c r="W8" s="49">
        <v>1</v>
      </c>
      <c r="X8" s="49">
        <v>1</v>
      </c>
      <c r="Y8" s="49">
        <v>100000000</v>
      </c>
      <c r="Z8" s="49">
        <f t="shared" si="10"/>
        <v>1438776.9176544</v>
      </c>
      <c r="AA8" s="49">
        <f t="shared" si="11"/>
        <v>1438776.9176544</v>
      </c>
      <c r="AB8" s="82">
        <f t="shared" si="1"/>
        <v>0</v>
      </c>
      <c r="AC8" s="82">
        <f t="shared" si="16"/>
        <v>359694229413600.25</v>
      </c>
      <c r="AD8" s="81">
        <f t="shared" si="0"/>
        <v>381577564261917.94</v>
      </c>
      <c r="AE8" s="80">
        <f t="shared" si="2"/>
        <v>1060.838715383323</v>
      </c>
      <c r="AF8" s="52">
        <f t="shared" si="12"/>
        <v>2.1968028428980983E-2</v>
      </c>
      <c r="AG8" s="48">
        <f t="shared" si="3"/>
        <v>-1.918649270913277E-3</v>
      </c>
      <c r="AH8" s="48">
        <f t="shared" si="13"/>
        <v>0.13338328962158111</v>
      </c>
      <c r="AI8" s="48">
        <f t="shared" si="14"/>
        <v>-1.7595307917888563E-3</v>
      </c>
      <c r="AJ8" s="48">
        <f t="shared" si="15"/>
        <v>0</v>
      </c>
    </row>
    <row r="9" spans="1:36" x14ac:dyDescent="0.3">
      <c r="A9" s="48">
        <v>20180109</v>
      </c>
      <c r="B9" s="48" t="s">
        <v>88</v>
      </c>
      <c r="C9" s="49">
        <v>2601000</v>
      </c>
      <c r="D9" s="49">
        <v>2520000</v>
      </c>
      <c r="E9" s="49">
        <v>129098494</v>
      </c>
      <c r="F9" s="49">
        <f t="shared" si="4"/>
        <v>0.163829873112531</v>
      </c>
      <c r="G9" s="49">
        <f t="shared" si="5"/>
        <v>0.163829873112531</v>
      </c>
      <c r="H9" s="48">
        <v>302500</v>
      </c>
      <c r="I9" s="48">
        <v>292500</v>
      </c>
      <c r="J9" s="51">
        <v>122666424</v>
      </c>
      <c r="K9" s="48">
        <f t="shared" si="6"/>
        <v>1.94707550766514</v>
      </c>
      <c r="L9" s="48">
        <f t="shared" si="7"/>
        <v>1.94707550766514</v>
      </c>
      <c r="M9" s="49">
        <v>170200</v>
      </c>
      <c r="N9" s="49">
        <v>164000</v>
      </c>
      <c r="O9" s="49">
        <v>15956260</v>
      </c>
      <c r="P9" s="49">
        <f t="shared" si="8"/>
        <v>40.665992071972298</v>
      </c>
      <c r="Q9" s="49">
        <f t="shared" si="9"/>
        <v>40.665992071972298</v>
      </c>
      <c r="R9" s="48">
        <v>0</v>
      </c>
      <c r="S9" s="48"/>
      <c r="T9" s="48">
        <v>0</v>
      </c>
      <c r="U9" s="48">
        <v>0</v>
      </c>
      <c r="V9" s="48"/>
      <c r="W9" s="49">
        <v>1</v>
      </c>
      <c r="X9" s="49">
        <v>1</v>
      </c>
      <c r="Y9" s="49">
        <v>100000000</v>
      </c>
      <c r="Z9" s="49">
        <f t="shared" si="10"/>
        <v>1438776.9176544</v>
      </c>
      <c r="AA9" s="49">
        <f t="shared" si="11"/>
        <v>1438776.9176544</v>
      </c>
      <c r="AB9" s="82">
        <f t="shared" si="1"/>
        <v>0</v>
      </c>
      <c r="AC9" s="82">
        <f t="shared" si="16"/>
        <v>359694229413600.25</v>
      </c>
      <c r="AD9" s="81">
        <f t="shared" si="0"/>
        <v>373452952698429.5</v>
      </c>
      <c r="AE9" s="80">
        <f t="shared" si="2"/>
        <v>1038.2511649054247</v>
      </c>
      <c r="AF9" s="52">
        <f t="shared" si="12"/>
        <v>-2.1292162654279165E-2</v>
      </c>
      <c r="AG9" s="48">
        <f t="shared" si="3"/>
        <v>-3.1141868512110725E-2</v>
      </c>
      <c r="AH9" s="48">
        <f t="shared" si="13"/>
        <v>-3.3057851239669422E-2</v>
      </c>
      <c r="AI9" s="48">
        <f t="shared" si="14"/>
        <v>-3.6427732079905996E-2</v>
      </c>
      <c r="AJ9" s="48">
        <f t="shared" si="15"/>
        <v>0</v>
      </c>
    </row>
    <row r="10" spans="1:36" x14ac:dyDescent="0.3">
      <c r="A10" s="48">
        <v>20180110</v>
      </c>
      <c r="B10" s="48" t="s">
        <v>88</v>
      </c>
      <c r="C10" s="49">
        <v>2520000</v>
      </c>
      <c r="D10" s="49">
        <v>2442000</v>
      </c>
      <c r="E10" s="49">
        <v>129098494</v>
      </c>
      <c r="F10" s="49">
        <f t="shared" si="4"/>
        <v>0.163829873112531</v>
      </c>
      <c r="G10" s="49">
        <f t="shared" si="5"/>
        <v>0.163829873112531</v>
      </c>
      <c r="H10" s="48">
        <v>292500</v>
      </c>
      <c r="I10" s="48">
        <v>296000</v>
      </c>
      <c r="J10" s="51">
        <v>122666424</v>
      </c>
      <c r="K10" s="48">
        <f t="shared" si="6"/>
        <v>1.94707550766514</v>
      </c>
      <c r="L10" s="48">
        <f t="shared" si="7"/>
        <v>1.94707550766514</v>
      </c>
      <c r="M10" s="49">
        <v>164000</v>
      </c>
      <c r="N10" s="49">
        <v>164000</v>
      </c>
      <c r="O10" s="49">
        <v>15956260</v>
      </c>
      <c r="P10" s="49">
        <f t="shared" si="8"/>
        <v>40.665992071972298</v>
      </c>
      <c r="Q10" s="49">
        <f t="shared" si="9"/>
        <v>40.665992071972298</v>
      </c>
      <c r="R10" s="48">
        <v>0</v>
      </c>
      <c r="S10" s="48"/>
      <c r="T10" s="48">
        <v>0</v>
      </c>
      <c r="U10" s="48">
        <v>0</v>
      </c>
      <c r="V10" s="48"/>
      <c r="W10" s="49">
        <v>1</v>
      </c>
      <c r="X10" s="49">
        <v>1</v>
      </c>
      <c r="Y10" s="49">
        <v>100000000</v>
      </c>
      <c r="Z10" s="49">
        <f t="shared" si="10"/>
        <v>1438776.9176544</v>
      </c>
      <c r="AA10" s="49">
        <f t="shared" si="11"/>
        <v>1438776.9176544</v>
      </c>
      <c r="AB10" s="82">
        <f t="shared" si="1"/>
        <v>0</v>
      </c>
      <c r="AC10" s="82">
        <f t="shared" si="16"/>
        <v>359694229413600.25</v>
      </c>
      <c r="AD10" s="81">
        <f t="shared" si="0"/>
        <v>372639180651169.87</v>
      </c>
      <c r="AE10" s="80">
        <f t="shared" si="2"/>
        <v>1035.9887653985261</v>
      </c>
      <c r="AF10" s="52">
        <f t="shared" si="12"/>
        <v>-2.1790483684212673E-3</v>
      </c>
      <c r="AG10" s="48">
        <f t="shared" si="3"/>
        <v>-3.0952380952380953E-2</v>
      </c>
      <c r="AH10" s="48">
        <f t="shared" si="13"/>
        <v>1.1965811965811967E-2</v>
      </c>
      <c r="AI10" s="48">
        <f t="shared" si="14"/>
        <v>0</v>
      </c>
      <c r="AJ10" s="48">
        <f t="shared" si="15"/>
        <v>0</v>
      </c>
    </row>
    <row r="11" spans="1:36" x14ac:dyDescent="0.3">
      <c r="A11" s="48">
        <v>20180111</v>
      </c>
      <c r="B11" s="48" t="s">
        <v>88</v>
      </c>
      <c r="C11" s="49">
        <v>2442000</v>
      </c>
      <c r="D11" s="49">
        <v>2412000</v>
      </c>
      <c r="E11" s="49">
        <v>129098494</v>
      </c>
      <c r="F11" s="49">
        <f t="shared" si="4"/>
        <v>0.163829873112531</v>
      </c>
      <c r="G11" s="49">
        <f t="shared" si="5"/>
        <v>0.163829873112531</v>
      </c>
      <c r="H11" s="48">
        <v>296000</v>
      </c>
      <c r="I11" s="48">
        <v>307000</v>
      </c>
      <c r="J11" s="51">
        <v>122666424</v>
      </c>
      <c r="K11" s="48">
        <f t="shared" si="6"/>
        <v>1.94707550766514</v>
      </c>
      <c r="L11" s="48">
        <f t="shared" si="7"/>
        <v>1.94707550766514</v>
      </c>
      <c r="M11" s="49">
        <v>164000</v>
      </c>
      <c r="N11" s="49">
        <v>169000</v>
      </c>
      <c r="O11" s="49">
        <v>15956260</v>
      </c>
      <c r="P11" s="49">
        <f t="shared" si="8"/>
        <v>40.665992071972298</v>
      </c>
      <c r="Q11" s="49">
        <f t="shared" si="9"/>
        <v>40.665992071972298</v>
      </c>
      <c r="R11" s="48">
        <v>0</v>
      </c>
      <c r="S11" s="48"/>
      <c r="T11" s="48">
        <v>0</v>
      </c>
      <c r="U11" s="48">
        <v>0</v>
      </c>
      <c r="V11" s="48"/>
      <c r="W11" s="49">
        <v>1</v>
      </c>
      <c r="X11" s="49">
        <v>1</v>
      </c>
      <c r="Y11" s="49">
        <v>100000000</v>
      </c>
      <c r="Z11" s="49">
        <f t="shared" si="10"/>
        <v>1438776.9176544</v>
      </c>
      <c r="AA11" s="49">
        <f t="shared" si="11"/>
        <v>1438776.9176544</v>
      </c>
      <c r="AB11" s="82">
        <f t="shared" si="1"/>
        <v>0</v>
      </c>
      <c r="AC11" s="82">
        <f t="shared" si="16"/>
        <v>359694229413600.25</v>
      </c>
      <c r="AD11" s="81">
        <f t="shared" si="0"/>
        <v>377876309355346.31</v>
      </c>
      <c r="AE11" s="80">
        <f t="shared" si="2"/>
        <v>1050.5487118083263</v>
      </c>
      <c r="AF11" s="52">
        <f t="shared" si="12"/>
        <v>1.4054154732266094E-2</v>
      </c>
      <c r="AG11" s="48">
        <f t="shared" si="3"/>
        <v>-1.2285012285012284E-2</v>
      </c>
      <c r="AH11" s="48">
        <f t="shared" si="13"/>
        <v>3.7162162162162164E-2</v>
      </c>
      <c r="AI11" s="48">
        <f t="shared" si="14"/>
        <v>3.048780487804878E-2</v>
      </c>
      <c r="AJ11" s="48">
        <f t="shared" si="15"/>
        <v>0</v>
      </c>
    </row>
    <row r="12" spans="1:36" x14ac:dyDescent="0.3">
      <c r="A12" s="48">
        <v>20180112</v>
      </c>
      <c r="B12" s="48" t="s">
        <v>88</v>
      </c>
      <c r="C12" s="49">
        <v>2412000</v>
      </c>
      <c r="D12" s="49">
        <v>2410000</v>
      </c>
      <c r="E12" s="49">
        <v>129098494</v>
      </c>
      <c r="F12" s="49">
        <f t="shared" si="4"/>
        <v>0.163829873112531</v>
      </c>
      <c r="G12" s="49">
        <f t="shared" si="5"/>
        <v>0.163829873112531</v>
      </c>
      <c r="H12" s="48">
        <v>307000</v>
      </c>
      <c r="I12" s="48">
        <v>341500</v>
      </c>
      <c r="J12" s="51">
        <v>122666424</v>
      </c>
      <c r="K12" s="48">
        <f t="shared" si="6"/>
        <v>1.94707550766514</v>
      </c>
      <c r="L12" s="48">
        <f t="shared" si="7"/>
        <v>1.94707550766514</v>
      </c>
      <c r="M12" s="49">
        <v>169000</v>
      </c>
      <c r="N12" s="49">
        <v>177500</v>
      </c>
      <c r="O12" s="49">
        <v>15956260</v>
      </c>
      <c r="P12" s="49">
        <f t="shared" si="8"/>
        <v>40.665992071972298</v>
      </c>
      <c r="Q12" s="49">
        <f t="shared" si="9"/>
        <v>40.665992071972298</v>
      </c>
      <c r="R12" s="48">
        <v>0</v>
      </c>
      <c r="S12" s="48"/>
      <c r="T12" s="48">
        <v>0</v>
      </c>
      <c r="U12" s="48">
        <v>0</v>
      </c>
      <c r="V12" s="48"/>
      <c r="W12" s="49">
        <v>1</v>
      </c>
      <c r="X12" s="49">
        <v>1</v>
      </c>
      <c r="Y12" s="49">
        <v>100000000</v>
      </c>
      <c r="Z12" s="49">
        <f t="shared" si="10"/>
        <v>1438776.9176544</v>
      </c>
      <c r="AA12" s="49">
        <f t="shared" si="11"/>
        <v>1438776.9176544</v>
      </c>
      <c r="AB12" s="82">
        <f t="shared" si="1"/>
        <v>0</v>
      </c>
      <c r="AC12" s="82">
        <f t="shared" si="16"/>
        <v>359694229413600.25</v>
      </c>
      <c r="AD12" s="81">
        <f t="shared" si="0"/>
        <v>391589471935682.75</v>
      </c>
      <c r="AE12" s="80">
        <f t="shared" si="2"/>
        <v>1088.6732116166568</v>
      </c>
      <c r="AF12" s="52">
        <f t="shared" si="12"/>
        <v>3.6290082867938771E-2</v>
      </c>
      <c r="AG12" s="48">
        <f t="shared" si="3"/>
        <v>-8.2918739635157548E-4</v>
      </c>
      <c r="AH12" s="48">
        <f t="shared" si="13"/>
        <v>0.11237785016286644</v>
      </c>
      <c r="AI12" s="48">
        <f t="shared" si="14"/>
        <v>5.0295857988165681E-2</v>
      </c>
      <c r="AJ12" s="48">
        <f t="shared" si="15"/>
        <v>0</v>
      </c>
    </row>
    <row r="13" spans="1:36" x14ac:dyDescent="0.3">
      <c r="A13" s="48">
        <v>20180115</v>
      </c>
      <c r="B13" s="48" t="s">
        <v>88</v>
      </c>
      <c r="C13" s="49">
        <v>2410000</v>
      </c>
      <c r="D13" s="49">
        <v>2427000</v>
      </c>
      <c r="E13" s="49">
        <v>129098494</v>
      </c>
      <c r="F13" s="49">
        <f t="shared" si="4"/>
        <v>0.163829873112531</v>
      </c>
      <c r="G13" s="49">
        <f t="shared" si="5"/>
        <v>0.163829873112531</v>
      </c>
      <c r="H13" s="48">
        <v>341500</v>
      </c>
      <c r="I13" s="48">
        <v>350000</v>
      </c>
      <c r="J13" s="51">
        <v>122666424</v>
      </c>
      <c r="K13" s="48">
        <f t="shared" si="6"/>
        <v>1.94707550766514</v>
      </c>
      <c r="L13" s="48">
        <f t="shared" si="7"/>
        <v>1.94707550766514</v>
      </c>
      <c r="M13" s="49">
        <v>177500</v>
      </c>
      <c r="N13" s="49">
        <v>230700</v>
      </c>
      <c r="O13" s="49">
        <v>15956260</v>
      </c>
      <c r="P13" s="49">
        <f t="shared" si="8"/>
        <v>40.665992071972298</v>
      </c>
      <c r="Q13" s="49">
        <f t="shared" si="9"/>
        <v>40.665992071972298</v>
      </c>
      <c r="R13" s="48">
        <v>0</v>
      </c>
      <c r="S13" s="48"/>
      <c r="T13" s="48">
        <v>0</v>
      </c>
      <c r="U13" s="48">
        <v>0</v>
      </c>
      <c r="V13" s="48"/>
      <c r="W13" s="49">
        <v>1</v>
      </c>
      <c r="X13" s="49">
        <v>1</v>
      </c>
      <c r="Y13" s="49">
        <v>100000000</v>
      </c>
      <c r="Z13" s="49">
        <f t="shared" si="10"/>
        <v>1438776.9176544</v>
      </c>
      <c r="AA13" s="49">
        <f t="shared" si="11"/>
        <v>1438776.9176544</v>
      </c>
      <c r="AB13" s="82">
        <f t="shared" si="1"/>
        <v>0</v>
      </c>
      <c r="AC13" s="82">
        <f t="shared" si="16"/>
        <v>359694229413600.25</v>
      </c>
      <c r="AD13" s="81">
        <f t="shared" si="0"/>
        <v>428499435866411.25</v>
      </c>
      <c r="AE13" s="80">
        <f t="shared" si="2"/>
        <v>1191.2880464192663</v>
      </c>
      <c r="AF13" s="52">
        <f t="shared" si="12"/>
        <v>9.4256783126158331E-2</v>
      </c>
      <c r="AG13" s="48">
        <f t="shared" si="3"/>
        <v>7.053941908713693E-3</v>
      </c>
      <c r="AH13" s="48">
        <f t="shared" si="13"/>
        <v>2.4890190336749635E-2</v>
      </c>
      <c r="AI13" s="48">
        <f t="shared" si="14"/>
        <v>0.29971830985915493</v>
      </c>
      <c r="AJ13" s="48">
        <f t="shared" si="15"/>
        <v>0</v>
      </c>
    </row>
    <row r="14" spans="1:36" x14ac:dyDescent="0.3">
      <c r="A14" s="48">
        <v>20180116</v>
      </c>
      <c r="B14" s="48" t="s">
        <v>88</v>
      </c>
      <c r="C14" s="49">
        <v>2427000</v>
      </c>
      <c r="D14" s="49">
        <v>2500000</v>
      </c>
      <c r="E14" s="49">
        <v>129098494</v>
      </c>
      <c r="F14" s="49">
        <f t="shared" si="4"/>
        <v>0.163829873112531</v>
      </c>
      <c r="G14" s="49">
        <f t="shared" si="5"/>
        <v>0.163829873112531</v>
      </c>
      <c r="H14" s="48">
        <v>350000</v>
      </c>
      <c r="I14" s="48">
        <v>347400</v>
      </c>
      <c r="J14" s="51">
        <v>122666424</v>
      </c>
      <c r="K14" s="48">
        <f t="shared" si="6"/>
        <v>1.94707550766514</v>
      </c>
      <c r="L14" s="48">
        <f t="shared" si="7"/>
        <v>1.94707550766514</v>
      </c>
      <c r="M14" s="49">
        <v>230700</v>
      </c>
      <c r="N14" s="49">
        <v>229700</v>
      </c>
      <c r="O14" s="49">
        <v>15956260</v>
      </c>
      <c r="P14" s="49">
        <f t="shared" si="8"/>
        <v>40.665992071972298</v>
      </c>
      <c r="Q14" s="49">
        <f t="shared" si="9"/>
        <v>40.665992071972298</v>
      </c>
      <c r="R14" s="48">
        <v>0</v>
      </c>
      <c r="S14" s="48"/>
      <c r="T14" s="48">
        <v>0</v>
      </c>
      <c r="U14" s="48">
        <v>0</v>
      </c>
      <c r="V14" s="48"/>
      <c r="W14" s="49">
        <v>1</v>
      </c>
      <c r="X14" s="49">
        <v>1</v>
      </c>
      <c r="Y14" s="49">
        <v>100000000</v>
      </c>
      <c r="Z14" s="49">
        <f t="shared" si="10"/>
        <v>1438776.9176544</v>
      </c>
      <c r="AA14" s="49">
        <f t="shared" si="11"/>
        <v>1438776.9176544</v>
      </c>
      <c r="AB14" s="82">
        <f t="shared" si="1"/>
        <v>0</v>
      </c>
      <c r="AC14" s="82">
        <f t="shared" si="16"/>
        <v>359694229413600.25</v>
      </c>
      <c r="AD14" s="81">
        <f t="shared" si="0"/>
        <v>428773536532362.25</v>
      </c>
      <c r="AE14" s="80">
        <f t="shared" si="2"/>
        <v>1192.0500844046903</v>
      </c>
      <c r="AF14" s="52">
        <f t="shared" si="12"/>
        <v>6.3967567517744046E-4</v>
      </c>
      <c r="AG14" s="48">
        <f t="shared" si="3"/>
        <v>3.0078285949732178E-2</v>
      </c>
      <c r="AH14" s="48">
        <f t="shared" si="13"/>
        <v>-7.4285714285714285E-3</v>
      </c>
      <c r="AI14" s="48">
        <f t="shared" si="14"/>
        <v>-4.3346337234503683E-3</v>
      </c>
      <c r="AJ14" s="48">
        <f t="shared" si="15"/>
        <v>0</v>
      </c>
    </row>
    <row r="15" spans="1:36" x14ac:dyDescent="0.3">
      <c r="A15" s="48">
        <v>20180117</v>
      </c>
      <c r="B15" s="48" t="s">
        <v>88</v>
      </c>
      <c r="C15" s="49">
        <v>2500000</v>
      </c>
      <c r="D15" s="49">
        <v>2481000</v>
      </c>
      <c r="E15" s="49">
        <v>129098494</v>
      </c>
      <c r="F15" s="49">
        <f t="shared" si="4"/>
        <v>0.163829873112531</v>
      </c>
      <c r="G15" s="49">
        <f t="shared" si="5"/>
        <v>0.163829873112531</v>
      </c>
      <c r="H15" s="48">
        <v>347400</v>
      </c>
      <c r="I15" s="48">
        <v>313500</v>
      </c>
      <c r="J15" s="51">
        <v>122666424</v>
      </c>
      <c r="K15" s="48">
        <f t="shared" si="6"/>
        <v>1.94707550766514</v>
      </c>
      <c r="L15" s="48">
        <f t="shared" si="7"/>
        <v>1.94707550766514</v>
      </c>
      <c r="M15" s="49">
        <v>229700</v>
      </c>
      <c r="N15" s="49">
        <v>249200</v>
      </c>
      <c r="O15" s="49">
        <v>15956260</v>
      </c>
      <c r="P15" s="49">
        <f t="shared" si="8"/>
        <v>40.665992071972298</v>
      </c>
      <c r="Q15" s="49">
        <f t="shared" si="9"/>
        <v>40.665992071972298</v>
      </c>
      <c r="R15" s="48">
        <v>0</v>
      </c>
      <c r="S15" s="48"/>
      <c r="T15" s="48">
        <v>0</v>
      </c>
      <c r="U15" s="48">
        <v>0</v>
      </c>
      <c r="V15" s="48"/>
      <c r="W15" s="49">
        <v>1</v>
      </c>
      <c r="X15" s="49">
        <v>1</v>
      </c>
      <c r="Y15" s="49">
        <v>100000000</v>
      </c>
      <c r="Z15" s="49">
        <f t="shared" si="10"/>
        <v>1438776.9176544</v>
      </c>
      <c r="AA15" s="49">
        <f t="shared" si="11"/>
        <v>1438776.9176544</v>
      </c>
      <c r="AB15" s="82">
        <f t="shared" si="1"/>
        <v>0</v>
      </c>
      <c r="AC15" s="82">
        <f t="shared" si="16"/>
        <v>359694229413600.25</v>
      </c>
      <c r="AD15" s="81">
        <f t="shared" si="0"/>
        <v>432928084432617.19</v>
      </c>
      <c r="AE15" s="80">
        <f t="shared" si="2"/>
        <v>1203.6003055662252</v>
      </c>
      <c r="AF15" s="52">
        <f t="shared" si="12"/>
        <v>9.6893757339927902E-3</v>
      </c>
      <c r="AG15" s="48">
        <f t="shared" si="3"/>
        <v>-7.6E-3</v>
      </c>
      <c r="AH15" s="48">
        <f t="shared" si="13"/>
        <v>-9.7582037996545773E-2</v>
      </c>
      <c r="AI15" s="48">
        <f t="shared" si="14"/>
        <v>8.4893339138006091E-2</v>
      </c>
      <c r="AJ15" s="48">
        <f t="shared" si="15"/>
        <v>0</v>
      </c>
    </row>
    <row r="16" spans="1:36" x14ac:dyDescent="0.3">
      <c r="A16" s="48">
        <v>20180118</v>
      </c>
      <c r="B16" s="48" t="s">
        <v>88</v>
      </c>
      <c r="C16" s="49">
        <v>2481000</v>
      </c>
      <c r="D16" s="49">
        <v>2495000</v>
      </c>
      <c r="E16" s="49">
        <v>129098494</v>
      </c>
      <c r="F16" s="49">
        <f t="shared" si="4"/>
        <v>0.163829873112531</v>
      </c>
      <c r="G16" s="49">
        <f t="shared" si="5"/>
        <v>0.163829873112531</v>
      </c>
      <c r="H16" s="48">
        <v>313500</v>
      </c>
      <c r="I16" s="48">
        <v>319300</v>
      </c>
      <c r="J16" s="51">
        <v>122666424</v>
      </c>
      <c r="K16" s="48">
        <f t="shared" si="6"/>
        <v>1.94707550766514</v>
      </c>
      <c r="L16" s="48">
        <f t="shared" si="7"/>
        <v>1.94707550766514</v>
      </c>
      <c r="M16" s="49">
        <v>249200</v>
      </c>
      <c r="N16" s="49">
        <v>252000</v>
      </c>
      <c r="O16" s="49">
        <v>15956260</v>
      </c>
      <c r="P16" s="49">
        <f t="shared" si="8"/>
        <v>40.665992071972298</v>
      </c>
      <c r="Q16" s="49">
        <f t="shared" si="9"/>
        <v>40.665992071972298</v>
      </c>
      <c r="R16" s="48">
        <v>0</v>
      </c>
      <c r="S16" s="48"/>
      <c r="T16" s="48">
        <v>0</v>
      </c>
      <c r="U16" s="48">
        <v>0</v>
      </c>
      <c r="V16" s="48"/>
      <c r="W16" s="49">
        <v>1</v>
      </c>
      <c r="X16" s="49">
        <v>1</v>
      </c>
      <c r="Y16" s="49">
        <v>100000000</v>
      </c>
      <c r="Z16" s="49">
        <f t="shared" si="10"/>
        <v>1438776.9176544</v>
      </c>
      <c r="AA16" s="49">
        <f t="shared" si="11"/>
        <v>1438776.9176544</v>
      </c>
      <c r="AB16" s="82">
        <f t="shared" si="1"/>
        <v>0</v>
      </c>
      <c r="AC16" s="82">
        <f t="shared" si="16"/>
        <v>359694229413600.25</v>
      </c>
      <c r="AD16" s="81">
        <f t="shared" si="0"/>
        <v>436426319671278</v>
      </c>
      <c r="AE16" s="80">
        <f t="shared" si="2"/>
        <v>1213.325886219448</v>
      </c>
      <c r="AF16" s="52">
        <f t="shared" si="12"/>
        <v>8.080407264974436E-3</v>
      </c>
      <c r="AG16" s="48">
        <f t="shared" si="3"/>
        <v>5.642885933091495E-3</v>
      </c>
      <c r="AH16" s="48">
        <f t="shared" si="13"/>
        <v>1.8500797448165868E-2</v>
      </c>
      <c r="AI16" s="48">
        <f t="shared" si="14"/>
        <v>1.1235955056179775E-2</v>
      </c>
      <c r="AJ16" s="48">
        <f t="shared" si="15"/>
        <v>0</v>
      </c>
    </row>
    <row r="17" spans="1:36" x14ac:dyDescent="0.3">
      <c r="A17" s="48">
        <v>20180119</v>
      </c>
      <c r="B17" s="48" t="s">
        <v>88</v>
      </c>
      <c r="C17" s="49">
        <v>2495000</v>
      </c>
      <c r="D17" s="49">
        <v>2466000</v>
      </c>
      <c r="E17" s="49">
        <v>129098494</v>
      </c>
      <c r="F17" s="49">
        <f t="shared" si="4"/>
        <v>0.163829873112531</v>
      </c>
      <c r="G17" s="49">
        <f t="shared" si="5"/>
        <v>0.163829873112531</v>
      </c>
      <c r="H17" s="48">
        <v>319300</v>
      </c>
      <c r="I17" s="48">
        <v>287800</v>
      </c>
      <c r="J17" s="51">
        <v>122666424</v>
      </c>
      <c r="K17" s="48">
        <f t="shared" si="6"/>
        <v>1.94707550766514</v>
      </c>
      <c r="L17" s="48">
        <f t="shared" si="7"/>
        <v>1.94707550766514</v>
      </c>
      <c r="M17" s="49">
        <v>252000</v>
      </c>
      <c r="N17" s="49">
        <v>236000</v>
      </c>
      <c r="O17" s="49">
        <v>15956260</v>
      </c>
      <c r="P17" s="49">
        <f t="shared" si="8"/>
        <v>40.665992071972298</v>
      </c>
      <c r="Q17" s="49">
        <f t="shared" si="9"/>
        <v>40.665992071972298</v>
      </c>
      <c r="R17" s="48">
        <v>0</v>
      </c>
      <c r="S17" s="48"/>
      <c r="T17" s="48">
        <v>0</v>
      </c>
      <c r="U17" s="48">
        <v>0</v>
      </c>
      <c r="V17" s="48"/>
      <c r="W17" s="49">
        <v>1</v>
      </c>
      <c r="X17" s="49">
        <v>1</v>
      </c>
      <c r="Y17" s="49">
        <v>100000000</v>
      </c>
      <c r="Z17" s="49">
        <f t="shared" si="10"/>
        <v>1438776.9176544</v>
      </c>
      <c r="AA17" s="49">
        <f t="shared" si="11"/>
        <v>1438776.9176544</v>
      </c>
      <c r="AB17" s="82">
        <f t="shared" si="1"/>
        <v>0</v>
      </c>
      <c r="AC17" s="82">
        <f t="shared" si="16"/>
        <v>359694229413600.25</v>
      </c>
      <c r="AD17" s="81">
        <f t="shared" si="0"/>
        <v>417907445003731.69</v>
      </c>
      <c r="AE17" s="80">
        <f t="shared" si="2"/>
        <v>1161.8408382170458</v>
      </c>
      <c r="AF17" s="52">
        <f t="shared" si="12"/>
        <v>-4.2432992312413563E-2</v>
      </c>
      <c r="AG17" s="48">
        <f t="shared" si="3"/>
        <v>-1.1623246492985972E-2</v>
      </c>
      <c r="AH17" s="48">
        <f t="shared" si="13"/>
        <v>-9.8653304102724715E-2</v>
      </c>
      <c r="AI17" s="48">
        <f t="shared" si="14"/>
        <v>-6.3492063492063489E-2</v>
      </c>
      <c r="AJ17" s="48">
        <f t="shared" si="15"/>
        <v>0</v>
      </c>
    </row>
    <row r="18" spans="1:36" x14ac:dyDescent="0.3">
      <c r="A18" s="48">
        <v>20180122</v>
      </c>
      <c r="B18" s="48" t="s">
        <v>88</v>
      </c>
      <c r="C18" s="49">
        <v>2466000</v>
      </c>
      <c r="D18" s="49">
        <v>2412000</v>
      </c>
      <c r="E18" s="49">
        <v>129098494</v>
      </c>
      <c r="F18" s="49">
        <f t="shared" si="4"/>
        <v>0.163829873112531</v>
      </c>
      <c r="G18" s="49">
        <f t="shared" si="5"/>
        <v>0.163829873112531</v>
      </c>
      <c r="H18" s="48">
        <v>287800</v>
      </c>
      <c r="I18" s="48">
        <v>280600</v>
      </c>
      <c r="J18" s="51">
        <v>122666424</v>
      </c>
      <c r="K18" s="48">
        <f t="shared" si="6"/>
        <v>1.94707550766514</v>
      </c>
      <c r="L18" s="48">
        <f t="shared" si="7"/>
        <v>1.94707550766514</v>
      </c>
      <c r="M18" s="49">
        <v>236000</v>
      </c>
      <c r="N18" s="49">
        <v>234900</v>
      </c>
      <c r="O18" s="49">
        <v>15956260</v>
      </c>
      <c r="P18" s="49">
        <f t="shared" si="8"/>
        <v>40.665992071972298</v>
      </c>
      <c r="Q18" s="49">
        <f t="shared" si="9"/>
        <v>40.665992071972298</v>
      </c>
      <c r="R18" s="48">
        <v>0</v>
      </c>
      <c r="S18" s="48"/>
      <c r="T18" s="48">
        <v>0</v>
      </c>
      <c r="U18" s="48">
        <v>0</v>
      </c>
      <c r="V18" s="48"/>
      <c r="W18" s="49">
        <v>1</v>
      </c>
      <c r="X18" s="49">
        <v>1</v>
      </c>
      <c r="Y18" s="49">
        <v>100000000</v>
      </c>
      <c r="Z18" s="49">
        <f t="shared" si="10"/>
        <v>1438776.9176544</v>
      </c>
      <c r="AA18" s="49">
        <f t="shared" si="11"/>
        <v>1438776.9176544</v>
      </c>
      <c r="AB18" s="82">
        <f t="shared" si="1"/>
        <v>0</v>
      </c>
      <c r="AC18" s="82">
        <f t="shared" si="16"/>
        <v>359694229413600.25</v>
      </c>
      <c r="AD18" s="81">
        <f t="shared" si="0"/>
        <v>414331916206251.87</v>
      </c>
      <c r="AE18" s="80">
        <f t="shared" si="2"/>
        <v>1151.900370716889</v>
      </c>
      <c r="AF18" s="52">
        <f t="shared" si="12"/>
        <v>-8.5557910973514343E-3</v>
      </c>
      <c r="AG18" s="48">
        <f t="shared" si="3"/>
        <v>-2.1897810218978103E-2</v>
      </c>
      <c r="AH18" s="48">
        <f t="shared" si="13"/>
        <v>-2.5017373175816541E-2</v>
      </c>
      <c r="AI18" s="48">
        <f t="shared" si="14"/>
        <v>-4.6610169491525426E-3</v>
      </c>
      <c r="AJ18" s="48">
        <f t="shared" si="15"/>
        <v>0</v>
      </c>
    </row>
    <row r="19" spans="1:36" x14ac:dyDescent="0.3">
      <c r="A19" s="48">
        <v>20180123</v>
      </c>
      <c r="B19" s="48" t="s">
        <v>88</v>
      </c>
      <c r="C19" s="49">
        <v>2412000</v>
      </c>
      <c r="D19" s="49">
        <v>2458000</v>
      </c>
      <c r="E19" s="49">
        <v>129098494</v>
      </c>
      <c r="F19" s="49">
        <f t="shared" si="4"/>
        <v>0.163829873112531</v>
      </c>
      <c r="G19" s="49">
        <f t="shared" si="5"/>
        <v>0.163829873112531</v>
      </c>
      <c r="H19" s="48">
        <v>280600</v>
      </c>
      <c r="I19" s="48">
        <v>299000</v>
      </c>
      <c r="J19" s="51">
        <v>122666424</v>
      </c>
      <c r="K19" s="48">
        <f t="shared" si="6"/>
        <v>1.94707550766514</v>
      </c>
      <c r="L19" s="48">
        <f t="shared" si="7"/>
        <v>1.94707550766514</v>
      </c>
      <c r="M19" s="49">
        <v>234900</v>
      </c>
      <c r="N19" s="49">
        <v>242800</v>
      </c>
      <c r="O19" s="49">
        <v>15956260</v>
      </c>
      <c r="P19" s="49">
        <f t="shared" si="8"/>
        <v>40.665992071972298</v>
      </c>
      <c r="Q19" s="49">
        <f t="shared" si="9"/>
        <v>40.665992071972298</v>
      </c>
      <c r="R19" s="48">
        <v>0</v>
      </c>
      <c r="S19" s="48"/>
      <c r="T19" s="48">
        <v>0</v>
      </c>
      <c r="U19" s="48">
        <v>0</v>
      </c>
      <c r="V19" s="48"/>
      <c r="W19" s="49">
        <v>1</v>
      </c>
      <c r="X19" s="49">
        <v>1</v>
      </c>
      <c r="Y19" s="49">
        <v>100000000</v>
      </c>
      <c r="Z19" s="49">
        <f t="shared" si="10"/>
        <v>1438776.9176544</v>
      </c>
      <c r="AA19" s="49">
        <f t="shared" si="11"/>
        <v>1438776.9176544</v>
      </c>
      <c r="AB19" s="82">
        <f t="shared" si="1"/>
        <v>0</v>
      </c>
      <c r="AC19" s="82">
        <f t="shared" si="16"/>
        <v>359694229413600.25</v>
      </c>
      <c r="AD19" s="81">
        <f t="shared" si="0"/>
        <v>424825624900252.62</v>
      </c>
      <c r="AE19" s="80">
        <f t="shared" si="2"/>
        <v>1181.0743408167386</v>
      </c>
      <c r="AF19" s="52">
        <f t="shared" si="12"/>
        <v>2.5326817180979892E-2</v>
      </c>
      <c r="AG19" s="48">
        <f t="shared" si="3"/>
        <v>1.9071310116086235E-2</v>
      </c>
      <c r="AH19" s="48">
        <f t="shared" si="13"/>
        <v>6.5573770491803282E-2</v>
      </c>
      <c r="AI19" s="48">
        <f t="shared" si="14"/>
        <v>3.3631332481907195E-2</v>
      </c>
      <c r="AJ19" s="48">
        <f t="shared" si="15"/>
        <v>0</v>
      </c>
    </row>
    <row r="20" spans="1:36" x14ac:dyDescent="0.3">
      <c r="A20" s="48">
        <v>20180124</v>
      </c>
      <c r="B20" s="48" t="s">
        <v>88</v>
      </c>
      <c r="C20" s="49">
        <v>2458000</v>
      </c>
      <c r="D20" s="49">
        <v>2467000</v>
      </c>
      <c r="E20" s="49">
        <v>129098494</v>
      </c>
      <c r="F20" s="49">
        <f t="shared" si="4"/>
        <v>0.163829873112531</v>
      </c>
      <c r="G20" s="49">
        <f t="shared" si="5"/>
        <v>0.163829873112531</v>
      </c>
      <c r="H20" s="48">
        <v>299000</v>
      </c>
      <c r="I20" s="48">
        <v>293500</v>
      </c>
      <c r="J20" s="51">
        <v>122666424</v>
      </c>
      <c r="K20" s="48">
        <f t="shared" si="6"/>
        <v>1.94707550766514</v>
      </c>
      <c r="L20" s="48">
        <f t="shared" si="7"/>
        <v>1.94707550766514</v>
      </c>
      <c r="M20" s="49">
        <v>242800</v>
      </c>
      <c r="N20" s="49">
        <v>280400</v>
      </c>
      <c r="O20" s="49">
        <v>15956260</v>
      </c>
      <c r="P20" s="49">
        <f t="shared" si="8"/>
        <v>40.665992071972298</v>
      </c>
      <c r="Q20" s="49">
        <f t="shared" si="9"/>
        <v>40.665992071972298</v>
      </c>
      <c r="R20" s="48">
        <v>0</v>
      </c>
      <c r="S20" s="48"/>
      <c r="T20" s="48">
        <v>0</v>
      </c>
      <c r="U20" s="48">
        <v>0</v>
      </c>
      <c r="V20" s="48"/>
      <c r="W20" s="49">
        <v>1</v>
      </c>
      <c r="X20" s="49">
        <v>1</v>
      </c>
      <c r="Y20" s="49">
        <v>100000000</v>
      </c>
      <c r="Z20" s="49">
        <f t="shared" si="10"/>
        <v>1438776.9176544</v>
      </c>
      <c r="AA20" s="49">
        <f t="shared" si="11"/>
        <v>1438776.9176544</v>
      </c>
      <c r="AB20" s="82">
        <f t="shared" si="1"/>
        <v>0</v>
      </c>
      <c r="AC20" s="82">
        <f t="shared" si="16"/>
        <v>359694229413600.25</v>
      </c>
      <c r="AD20" s="81">
        <f t="shared" si="0"/>
        <v>448100132829417.12</v>
      </c>
      <c r="AE20" s="80">
        <f t="shared" si="2"/>
        <v>1245.780710910883</v>
      </c>
      <c r="AF20" s="52">
        <f t="shared" si="12"/>
        <v>5.478602646586881E-2</v>
      </c>
      <c r="AG20" s="48">
        <f t="shared" si="3"/>
        <v>3.6615134255492269E-3</v>
      </c>
      <c r="AH20" s="48">
        <f t="shared" si="13"/>
        <v>-1.839464882943144E-2</v>
      </c>
      <c r="AI20" s="48">
        <f t="shared" si="14"/>
        <v>0.15485996705107083</v>
      </c>
      <c r="AJ20" s="48">
        <f t="shared" si="15"/>
        <v>0</v>
      </c>
    </row>
    <row r="21" spans="1:36" x14ac:dyDescent="0.3">
      <c r="A21" s="48">
        <v>20180125</v>
      </c>
      <c r="B21" s="48" t="s">
        <v>88</v>
      </c>
      <c r="C21" s="49">
        <v>2467000</v>
      </c>
      <c r="D21" s="49">
        <v>2513000</v>
      </c>
      <c r="E21" s="49">
        <v>129098494</v>
      </c>
      <c r="F21" s="49">
        <f t="shared" si="4"/>
        <v>0.163829873112531</v>
      </c>
      <c r="G21" s="49">
        <f t="shared" si="5"/>
        <v>0.163829873112531</v>
      </c>
      <c r="H21" s="48">
        <v>293500</v>
      </c>
      <c r="I21" s="48">
        <v>289700</v>
      </c>
      <c r="J21" s="51">
        <v>122666424</v>
      </c>
      <c r="K21" s="48">
        <f t="shared" si="6"/>
        <v>1.94707550766514</v>
      </c>
      <c r="L21" s="48">
        <f t="shared" si="7"/>
        <v>1.94707550766514</v>
      </c>
      <c r="M21" s="49">
        <v>280400</v>
      </c>
      <c r="N21" s="49">
        <v>275900</v>
      </c>
      <c r="O21" s="49">
        <v>15956260</v>
      </c>
      <c r="P21" s="49">
        <f t="shared" si="8"/>
        <v>40.665992071972298</v>
      </c>
      <c r="Q21" s="49">
        <f t="shared" si="9"/>
        <v>40.665992071972298</v>
      </c>
      <c r="R21" s="48">
        <v>0</v>
      </c>
      <c r="S21" s="48"/>
      <c r="T21" s="48">
        <v>0</v>
      </c>
      <c r="U21" s="48">
        <v>0</v>
      </c>
      <c r="V21" s="48"/>
      <c r="W21" s="49">
        <v>1</v>
      </c>
      <c r="X21" s="49">
        <v>1</v>
      </c>
      <c r="Y21" s="49">
        <v>100000000</v>
      </c>
      <c r="Z21" s="49">
        <f t="shared" si="10"/>
        <v>1438776.9176544</v>
      </c>
      <c r="AA21" s="49">
        <f t="shared" si="11"/>
        <v>1438776.9176544</v>
      </c>
      <c r="AB21" s="82">
        <f t="shared" si="1"/>
        <v>0</v>
      </c>
      <c r="AC21" s="82">
        <f t="shared" si="16"/>
        <v>359694229413600.25</v>
      </c>
      <c r="AD21" s="81">
        <f t="shared" si="0"/>
        <v>445245499421266</v>
      </c>
      <c r="AE21" s="80">
        <f t="shared" si="2"/>
        <v>1237.844432887171</v>
      </c>
      <c r="AF21" s="52">
        <f t="shared" si="12"/>
        <v>-6.3705256906002473E-3</v>
      </c>
      <c r="AG21" s="48">
        <f t="shared" si="3"/>
        <v>1.8646128901499796E-2</v>
      </c>
      <c r="AH21" s="48">
        <f t="shared" si="13"/>
        <v>-1.2947189097103918E-2</v>
      </c>
      <c r="AI21" s="48">
        <f t="shared" si="14"/>
        <v>-1.6048502139800285E-2</v>
      </c>
      <c r="AJ21" s="48">
        <f t="shared" si="15"/>
        <v>0</v>
      </c>
    </row>
    <row r="22" spans="1:36" x14ac:dyDescent="0.3">
      <c r="A22" s="48">
        <v>20180126</v>
      </c>
      <c r="B22" s="48" t="s">
        <v>88</v>
      </c>
      <c r="C22" s="49">
        <v>2513000</v>
      </c>
      <c r="D22" s="49">
        <v>2539000</v>
      </c>
      <c r="E22" s="49">
        <v>129098494</v>
      </c>
      <c r="F22" s="49">
        <f t="shared" si="4"/>
        <v>0.163829873112531</v>
      </c>
      <c r="G22" s="49">
        <f t="shared" si="5"/>
        <v>0.163829873112531</v>
      </c>
      <c r="H22" s="48">
        <v>289700</v>
      </c>
      <c r="I22" s="48">
        <v>300000</v>
      </c>
      <c r="J22" s="51">
        <v>122666424</v>
      </c>
      <c r="K22" s="48">
        <f t="shared" si="6"/>
        <v>1.94707550766514</v>
      </c>
      <c r="L22" s="48">
        <f t="shared" si="7"/>
        <v>1.94707550766514</v>
      </c>
      <c r="M22" s="49">
        <v>275900</v>
      </c>
      <c r="N22" s="49">
        <v>274400</v>
      </c>
      <c r="O22" s="49">
        <v>15956260</v>
      </c>
      <c r="P22" s="49">
        <f t="shared" si="8"/>
        <v>40.665992071972298</v>
      </c>
      <c r="Q22" s="49">
        <f t="shared" si="9"/>
        <v>40.665992071972298</v>
      </c>
      <c r="R22" s="48">
        <v>0</v>
      </c>
      <c r="S22" s="48"/>
      <c r="T22" s="48">
        <v>0</v>
      </c>
      <c r="U22" s="48">
        <v>0</v>
      </c>
      <c r="V22" s="48"/>
      <c r="W22" s="49">
        <v>1</v>
      </c>
      <c r="X22" s="49">
        <v>1</v>
      </c>
      <c r="Y22" s="49">
        <v>100000000</v>
      </c>
      <c r="Z22" s="49">
        <f t="shared" si="10"/>
        <v>1438776.9176544</v>
      </c>
      <c r="AA22" s="49">
        <f t="shared" si="11"/>
        <v>1438776.9176544</v>
      </c>
      <c r="AB22" s="82">
        <f t="shared" si="1"/>
        <v>0</v>
      </c>
      <c r="AC22" s="82">
        <f t="shared" si="16"/>
        <v>359694229413600.25</v>
      </c>
      <c r="AD22" s="81">
        <f t="shared" si="0"/>
        <v>447282148779213.25</v>
      </c>
      <c r="AE22" s="80">
        <f t="shared" si="2"/>
        <v>1243.506601449807</v>
      </c>
      <c r="AF22" s="52">
        <f t="shared" si="12"/>
        <v>4.5742166076794093E-3</v>
      </c>
      <c r="AG22" s="48">
        <f t="shared" si="3"/>
        <v>1.0346199761241544E-2</v>
      </c>
      <c r="AH22" s="48">
        <f t="shared" si="13"/>
        <v>3.5554021401449774E-2</v>
      </c>
      <c r="AI22" s="48">
        <f t="shared" si="14"/>
        <v>-5.4367524465386008E-3</v>
      </c>
      <c r="AJ22" s="48">
        <f t="shared" si="15"/>
        <v>0</v>
      </c>
    </row>
    <row r="23" spans="1:36" x14ac:dyDescent="0.3">
      <c r="A23" s="48">
        <v>20180129</v>
      </c>
      <c r="B23" s="48" t="s">
        <v>88</v>
      </c>
      <c r="C23" s="49">
        <v>2539000</v>
      </c>
      <c r="D23" s="49">
        <v>2561000</v>
      </c>
      <c r="E23" s="49">
        <v>129098494</v>
      </c>
      <c r="F23" s="49">
        <f t="shared" si="4"/>
        <v>0.163829873112531</v>
      </c>
      <c r="G23" s="49">
        <f t="shared" si="5"/>
        <v>0.163829873112531</v>
      </c>
      <c r="H23" s="48">
        <v>300000</v>
      </c>
      <c r="I23" s="48">
        <v>328300</v>
      </c>
      <c r="J23" s="51">
        <v>122666424</v>
      </c>
      <c r="K23" s="48">
        <f t="shared" si="6"/>
        <v>1.94707550766514</v>
      </c>
      <c r="L23" s="48">
        <f t="shared" si="7"/>
        <v>1.94707550766514</v>
      </c>
      <c r="M23" s="49">
        <v>274400</v>
      </c>
      <c r="N23" s="49">
        <v>290000</v>
      </c>
      <c r="O23" s="49">
        <v>15956260</v>
      </c>
      <c r="P23" s="49">
        <f t="shared" si="8"/>
        <v>40.665992071972298</v>
      </c>
      <c r="Q23" s="49">
        <f t="shared" si="9"/>
        <v>40.665992071972298</v>
      </c>
      <c r="R23" s="48">
        <v>0</v>
      </c>
      <c r="S23" s="48"/>
      <c r="T23" s="48">
        <v>0</v>
      </c>
      <c r="U23" s="48">
        <v>0</v>
      </c>
      <c r="V23" s="48"/>
      <c r="W23" s="49">
        <v>1</v>
      </c>
      <c r="X23" s="49">
        <v>1</v>
      </c>
      <c r="Y23" s="49">
        <v>100000000</v>
      </c>
      <c r="Z23" s="49">
        <f t="shared" si="10"/>
        <v>1438776.9176544</v>
      </c>
      <c r="AA23" s="49">
        <f t="shared" si="11"/>
        <v>1438776.9176544</v>
      </c>
      <c r="AB23" s="82">
        <f t="shared" si="1"/>
        <v>0</v>
      </c>
      <c r="AC23" s="82">
        <f t="shared" si="16"/>
        <v>359694229413600.25</v>
      </c>
      <c r="AD23" s="81">
        <f t="shared" si="0"/>
        <v>464629130733152.44</v>
      </c>
      <c r="AE23" s="80">
        <f t="shared" si="2"/>
        <v>1291.7336246695554</v>
      </c>
      <c r="AF23" s="52">
        <f t="shared" si="12"/>
        <v>3.8783085802295218E-2</v>
      </c>
      <c r="AG23" s="48">
        <f t="shared" si="3"/>
        <v>8.6648286727057898E-3</v>
      </c>
      <c r="AH23" s="48">
        <f t="shared" si="13"/>
        <v>9.4333333333333338E-2</v>
      </c>
      <c r="AI23" s="48">
        <f t="shared" si="14"/>
        <v>5.6851311953352766E-2</v>
      </c>
      <c r="AJ23" s="48">
        <f t="shared" si="15"/>
        <v>0</v>
      </c>
    </row>
    <row r="24" spans="1:36" x14ac:dyDescent="0.3">
      <c r="A24" s="48">
        <v>20180130</v>
      </c>
      <c r="B24" s="48" t="s">
        <v>88</v>
      </c>
      <c r="C24" s="49">
        <v>2561000</v>
      </c>
      <c r="D24" s="49">
        <v>2490000</v>
      </c>
      <c r="E24" s="49">
        <v>129098494</v>
      </c>
      <c r="F24" s="49">
        <f t="shared" si="4"/>
        <v>0.163829873112531</v>
      </c>
      <c r="G24" s="49">
        <f t="shared" si="5"/>
        <v>0.163829873112531</v>
      </c>
      <c r="H24" s="48">
        <v>328300</v>
      </c>
      <c r="I24" s="48">
        <v>326600</v>
      </c>
      <c r="J24" s="51">
        <v>122666424</v>
      </c>
      <c r="K24" s="48">
        <f t="shared" si="6"/>
        <v>1.94707550766514</v>
      </c>
      <c r="L24" s="48">
        <f t="shared" si="7"/>
        <v>1.94707550766514</v>
      </c>
      <c r="M24" s="49">
        <v>290000</v>
      </c>
      <c r="N24" s="49">
        <v>290300</v>
      </c>
      <c r="O24" s="49">
        <v>15956260</v>
      </c>
      <c r="P24" s="49">
        <f t="shared" si="8"/>
        <v>40.665992071972298</v>
      </c>
      <c r="Q24" s="49">
        <f t="shared" si="9"/>
        <v>40.665992071972298</v>
      </c>
      <c r="R24" s="48">
        <v>0</v>
      </c>
      <c r="S24" s="48"/>
      <c r="T24" s="48">
        <v>0</v>
      </c>
      <c r="U24" s="48">
        <v>0</v>
      </c>
      <c r="V24" s="48"/>
      <c r="W24" s="49">
        <v>1</v>
      </c>
      <c r="X24" s="49">
        <v>1</v>
      </c>
      <c r="Y24" s="49">
        <v>100000000</v>
      </c>
      <c r="Z24" s="49">
        <f t="shared" si="10"/>
        <v>1438776.9176544</v>
      </c>
      <c r="AA24" s="49">
        <f t="shared" si="11"/>
        <v>1438776.9176544</v>
      </c>
      <c r="AB24" s="82">
        <f t="shared" si="1"/>
        <v>0</v>
      </c>
      <c r="AC24" s="82">
        <f t="shared" si="16"/>
        <v>359694229413600.25</v>
      </c>
      <c r="AD24" s="81">
        <f t="shared" si="0"/>
        <v>462916101051054.62</v>
      </c>
      <c r="AE24" s="80">
        <f t="shared" si="2"/>
        <v>1286.9711638291617</v>
      </c>
      <c r="AF24" s="52">
        <f t="shared" si="12"/>
        <v>-3.6868753351620947E-3</v>
      </c>
      <c r="AG24" s="48">
        <f t="shared" si="3"/>
        <v>-2.7723545490042953E-2</v>
      </c>
      <c r="AH24" s="48">
        <f t="shared" si="13"/>
        <v>-5.1781906792567776E-3</v>
      </c>
      <c r="AI24" s="48">
        <f t="shared" si="14"/>
        <v>1.0344827586206897E-3</v>
      </c>
      <c r="AJ24" s="48">
        <f t="shared" si="15"/>
        <v>0</v>
      </c>
    </row>
    <row r="25" spans="1:36" x14ac:dyDescent="0.3">
      <c r="A25" s="48">
        <v>20180131</v>
      </c>
      <c r="B25" s="48" t="s">
        <v>88</v>
      </c>
      <c r="C25" s="49">
        <v>2490000</v>
      </c>
      <c r="D25" s="49">
        <v>2495000</v>
      </c>
      <c r="E25" s="49">
        <v>129098494</v>
      </c>
      <c r="F25" s="49">
        <f t="shared" si="4"/>
        <v>0.163829873112531</v>
      </c>
      <c r="G25" s="49">
        <f t="shared" si="5"/>
        <v>0.163829873112531</v>
      </c>
      <c r="H25" s="48">
        <v>326600</v>
      </c>
      <c r="I25" s="48">
        <v>315700</v>
      </c>
      <c r="J25" s="51">
        <v>122666424</v>
      </c>
      <c r="K25" s="48">
        <f t="shared" si="6"/>
        <v>1.94707550766514</v>
      </c>
      <c r="L25" s="48">
        <f t="shared" si="7"/>
        <v>1.94707550766514</v>
      </c>
      <c r="M25" s="49">
        <v>290300</v>
      </c>
      <c r="N25" s="49">
        <v>267000</v>
      </c>
      <c r="O25" s="49">
        <v>15956260</v>
      </c>
      <c r="P25" s="49">
        <f t="shared" si="8"/>
        <v>40.665992071972298</v>
      </c>
      <c r="Q25" s="49">
        <f t="shared" si="9"/>
        <v>40.665992071972298</v>
      </c>
      <c r="R25" s="48">
        <v>0</v>
      </c>
      <c r="S25" s="48"/>
      <c r="T25" s="48">
        <v>0</v>
      </c>
      <c r="U25" s="48">
        <v>0</v>
      </c>
      <c r="V25" s="48"/>
      <c r="W25" s="49">
        <v>1</v>
      </c>
      <c r="X25" s="49">
        <v>1</v>
      </c>
      <c r="Y25" s="49">
        <v>100000000</v>
      </c>
      <c r="Z25" s="49">
        <f t="shared" si="10"/>
        <v>1438776.9176544</v>
      </c>
      <c r="AA25" s="49">
        <f t="shared" si="11"/>
        <v>1438776.9176544</v>
      </c>
      <c r="AB25" s="82">
        <f t="shared" si="1"/>
        <v>0</v>
      </c>
      <c r="AC25" s="82">
        <f t="shared" si="16"/>
        <v>359694229413600.25</v>
      </c>
      <c r="AD25" s="81">
        <f t="shared" si="0"/>
        <v>445299649967933.12</v>
      </c>
      <c r="AE25" s="80">
        <f t="shared" si="2"/>
        <v>1237.9949789405659</v>
      </c>
      <c r="AF25" s="52">
        <f t="shared" si="12"/>
        <v>-3.8055386371576135E-2</v>
      </c>
      <c r="AG25" s="48">
        <f t="shared" si="3"/>
        <v>2.008032128514056E-3</v>
      </c>
      <c r="AH25" s="48">
        <f t="shared" si="13"/>
        <v>-3.3374157991426824E-2</v>
      </c>
      <c r="AI25" s="48">
        <f t="shared" si="14"/>
        <v>-8.0261798139855317E-2</v>
      </c>
      <c r="AJ25" s="48">
        <f t="shared" si="15"/>
        <v>0</v>
      </c>
    </row>
    <row r="26" spans="1:36" x14ac:dyDescent="0.3">
      <c r="A26" s="48">
        <v>20180201</v>
      </c>
      <c r="B26" s="48" t="s">
        <v>88</v>
      </c>
      <c r="C26" s="49">
        <v>2495000</v>
      </c>
      <c r="D26" s="49">
        <v>2491000</v>
      </c>
      <c r="E26" s="49">
        <v>129098494</v>
      </c>
      <c r="F26" s="49">
        <f t="shared" si="4"/>
        <v>0.163829873112531</v>
      </c>
      <c r="G26" s="49">
        <f t="shared" si="5"/>
        <v>0.163829873112531</v>
      </c>
      <c r="H26" s="48">
        <v>315700</v>
      </c>
      <c r="I26" s="48">
        <v>299800</v>
      </c>
      <c r="J26" s="51">
        <v>122666424</v>
      </c>
      <c r="K26" s="48">
        <f t="shared" si="6"/>
        <v>1.94707550766514</v>
      </c>
      <c r="L26" s="48">
        <f t="shared" si="7"/>
        <v>1.94707550766514</v>
      </c>
      <c r="M26" s="49">
        <v>267000</v>
      </c>
      <c r="N26" s="49">
        <v>245400</v>
      </c>
      <c r="O26" s="49">
        <v>15956260</v>
      </c>
      <c r="P26" s="49">
        <f t="shared" si="8"/>
        <v>40.665992071972298</v>
      </c>
      <c r="Q26" s="49">
        <f t="shared" si="9"/>
        <v>40.665992071972298</v>
      </c>
      <c r="R26" s="48">
        <v>0</v>
      </c>
      <c r="S26" s="48"/>
      <c r="T26" s="48">
        <v>0</v>
      </c>
      <c r="U26" s="48">
        <v>0</v>
      </c>
      <c r="V26" s="48"/>
      <c r="W26" s="49">
        <v>1</v>
      </c>
      <c r="X26" s="49">
        <v>1</v>
      </c>
      <c r="Y26" s="49">
        <v>100000000</v>
      </c>
      <c r="Z26" s="49">
        <f t="shared" si="10"/>
        <v>1438776.9176544</v>
      </c>
      <c r="AA26" s="49">
        <f t="shared" si="11"/>
        <v>1438776.9176544</v>
      </c>
      <c r="AB26" s="82">
        <f t="shared" si="1"/>
        <v>0</v>
      </c>
      <c r="AC26" s="82">
        <f t="shared" si="16"/>
        <v>359694229413600.25</v>
      </c>
      <c r="AD26" s="81">
        <f t="shared" si="0"/>
        <v>427401734369395.19</v>
      </c>
      <c r="AE26" s="80">
        <f t="shared" si="2"/>
        <v>1188.2362835405411</v>
      </c>
      <c r="AF26" s="52">
        <f t="shared" si="12"/>
        <v>-4.0192970283778259E-2</v>
      </c>
      <c r="AG26" s="48">
        <f t="shared" si="3"/>
        <v>-1.6032064128256513E-3</v>
      </c>
      <c r="AH26" s="48">
        <f t="shared" si="13"/>
        <v>-5.0364269876465001E-2</v>
      </c>
      <c r="AI26" s="48">
        <f t="shared" si="14"/>
        <v>-8.0898876404494377E-2</v>
      </c>
      <c r="AJ26" s="48">
        <f t="shared" si="15"/>
        <v>0</v>
      </c>
    </row>
    <row r="27" spans="1:36" x14ac:dyDescent="0.3">
      <c r="A27" s="48">
        <v>20180202</v>
      </c>
      <c r="B27" s="48" t="s">
        <v>88</v>
      </c>
      <c r="C27" s="49">
        <v>2491000</v>
      </c>
      <c r="D27" s="49">
        <v>2385000</v>
      </c>
      <c r="E27" s="49">
        <v>129098494</v>
      </c>
      <c r="F27" s="49">
        <f t="shared" si="4"/>
        <v>0.163829873112531</v>
      </c>
      <c r="G27" s="49">
        <f t="shared" si="5"/>
        <v>0.163829873112531</v>
      </c>
      <c r="H27" s="48">
        <v>299800</v>
      </c>
      <c r="I27" s="48">
        <v>301400</v>
      </c>
      <c r="J27" s="51">
        <v>122666424</v>
      </c>
      <c r="K27" s="48">
        <f t="shared" si="6"/>
        <v>1.94707550766514</v>
      </c>
      <c r="L27" s="48">
        <f t="shared" si="7"/>
        <v>1.94707550766514</v>
      </c>
      <c r="M27" s="49">
        <v>245400</v>
      </c>
      <c r="N27" s="49">
        <v>253300</v>
      </c>
      <c r="O27" s="49">
        <v>15956260</v>
      </c>
      <c r="P27" s="49">
        <f t="shared" si="8"/>
        <v>40.665992071972298</v>
      </c>
      <c r="Q27" s="49">
        <f t="shared" si="9"/>
        <v>40.665992071972298</v>
      </c>
      <c r="R27" s="48">
        <v>0</v>
      </c>
      <c r="S27" s="48"/>
      <c r="T27" s="48">
        <v>0</v>
      </c>
      <c r="U27" s="48">
        <v>0</v>
      </c>
      <c r="V27" s="48"/>
      <c r="W27" s="49">
        <v>1</v>
      </c>
      <c r="X27" s="49">
        <v>1</v>
      </c>
      <c r="Y27" s="49">
        <v>100000000</v>
      </c>
      <c r="Z27" s="49">
        <f t="shared" si="10"/>
        <v>1438776.9176544</v>
      </c>
      <c r="AA27" s="49">
        <f t="shared" si="11"/>
        <v>1438776.9176544</v>
      </c>
      <c r="AB27" s="82">
        <f t="shared" si="1"/>
        <v>0</v>
      </c>
      <c r="AC27" s="82">
        <f t="shared" si="16"/>
        <v>359694229413600.25</v>
      </c>
      <c r="AD27" s="81">
        <f t="shared" si="0"/>
        <v>430668088931599.06</v>
      </c>
      <c r="AE27" s="80">
        <f t="shared" si="2"/>
        <v>1197.3172036529627</v>
      </c>
      <c r="AF27" s="52">
        <f t="shared" si="12"/>
        <v>7.6423521467999167E-3</v>
      </c>
      <c r="AG27" s="48">
        <f t="shared" si="3"/>
        <v>-4.2553191489361701E-2</v>
      </c>
      <c r="AH27" s="48">
        <f t="shared" si="13"/>
        <v>5.3368912608405599E-3</v>
      </c>
      <c r="AI27" s="48">
        <f t="shared" si="14"/>
        <v>3.2192339038304811E-2</v>
      </c>
      <c r="AJ27" s="48">
        <f t="shared" si="15"/>
        <v>0</v>
      </c>
    </row>
    <row r="28" spans="1:36" x14ac:dyDescent="0.3">
      <c r="A28" s="48">
        <v>20180205</v>
      </c>
      <c r="B28" s="48" t="s">
        <v>88</v>
      </c>
      <c r="C28" s="49">
        <v>2385000</v>
      </c>
      <c r="D28" s="49">
        <v>2396000</v>
      </c>
      <c r="E28" s="49">
        <v>129098494</v>
      </c>
      <c r="F28" s="49">
        <f t="shared" si="4"/>
        <v>0.163829873112531</v>
      </c>
      <c r="G28" s="49">
        <f t="shared" si="5"/>
        <v>0.163829873112531</v>
      </c>
      <c r="H28" s="48">
        <v>301400</v>
      </c>
      <c r="I28" s="48">
        <v>286000</v>
      </c>
      <c r="J28" s="51">
        <v>122666424</v>
      </c>
      <c r="K28" s="48">
        <f t="shared" si="6"/>
        <v>1.94707550766514</v>
      </c>
      <c r="L28" s="48">
        <f t="shared" si="7"/>
        <v>1.94707550766514</v>
      </c>
      <c r="M28" s="49">
        <v>253300</v>
      </c>
      <c r="N28" s="49">
        <v>216000</v>
      </c>
      <c r="O28" s="49">
        <v>15956260</v>
      </c>
      <c r="P28" s="49">
        <f t="shared" si="8"/>
        <v>40.665992071972298</v>
      </c>
      <c r="Q28" s="49">
        <f t="shared" si="9"/>
        <v>40.665992071972298</v>
      </c>
      <c r="R28" s="48">
        <v>0</v>
      </c>
      <c r="S28" s="48"/>
      <c r="T28" s="48">
        <v>0</v>
      </c>
      <c r="U28" s="48">
        <v>0</v>
      </c>
      <c r="V28" s="48"/>
      <c r="W28" s="49">
        <v>1</v>
      </c>
      <c r="X28" s="49">
        <v>1</v>
      </c>
      <c r="Y28" s="49">
        <v>100000000</v>
      </c>
      <c r="Z28" s="49">
        <f t="shared" si="10"/>
        <v>1438776.9176544</v>
      </c>
      <c r="AA28" s="49">
        <f t="shared" si="11"/>
        <v>1438776.9176544</v>
      </c>
      <c r="AB28" s="82">
        <f t="shared" si="1"/>
        <v>0</v>
      </c>
      <c r="AC28" s="82">
        <f t="shared" si="16"/>
        <v>359694229413600.25</v>
      </c>
      <c r="AD28" s="81">
        <f t="shared" si="0"/>
        <v>403019475436582.5</v>
      </c>
      <c r="AE28" s="80">
        <f t="shared" si="2"/>
        <v>1120.4502115411033</v>
      </c>
      <c r="AF28" s="52">
        <f t="shared" si="12"/>
        <v>-6.4199354922272536E-2</v>
      </c>
      <c r="AG28" s="48">
        <f t="shared" si="3"/>
        <v>4.6121593291404616E-3</v>
      </c>
      <c r="AH28" s="48">
        <f t="shared" si="13"/>
        <v>-5.1094890510948905E-2</v>
      </c>
      <c r="AI28" s="48">
        <f t="shared" si="14"/>
        <v>-0.14725621792341098</v>
      </c>
      <c r="AJ28" s="48">
        <f t="shared" si="15"/>
        <v>0</v>
      </c>
    </row>
    <row r="29" spans="1:36" x14ac:dyDescent="0.3">
      <c r="A29" s="48">
        <v>20180206</v>
      </c>
      <c r="B29" s="48" t="s">
        <v>88</v>
      </c>
      <c r="C29" s="49">
        <v>2396000</v>
      </c>
      <c r="D29" s="49">
        <v>2371000</v>
      </c>
      <c r="E29" s="49">
        <v>129098494</v>
      </c>
      <c r="F29" s="49">
        <f t="shared" si="4"/>
        <v>0.163829873112531</v>
      </c>
      <c r="G29" s="49">
        <f t="shared" si="5"/>
        <v>0.163829873112531</v>
      </c>
      <c r="H29" s="48">
        <v>286000</v>
      </c>
      <c r="I29" s="48">
        <v>284200</v>
      </c>
      <c r="J29" s="51">
        <v>122666424</v>
      </c>
      <c r="K29" s="48">
        <f t="shared" si="6"/>
        <v>1.94707550766514</v>
      </c>
      <c r="L29" s="48">
        <f t="shared" si="7"/>
        <v>1.94707550766514</v>
      </c>
      <c r="M29" s="49">
        <v>216000</v>
      </c>
      <c r="N29" s="49">
        <v>231200</v>
      </c>
      <c r="O29" s="49">
        <v>15956260</v>
      </c>
      <c r="P29" s="49">
        <f t="shared" si="8"/>
        <v>40.665992071972298</v>
      </c>
      <c r="Q29" s="49">
        <f t="shared" si="9"/>
        <v>40.665992071972298</v>
      </c>
      <c r="R29" s="48">
        <v>0</v>
      </c>
      <c r="S29" s="48"/>
      <c r="T29" s="48">
        <v>0</v>
      </c>
      <c r="U29" s="48">
        <v>0</v>
      </c>
      <c r="V29" s="48"/>
      <c r="W29" s="49">
        <v>1</v>
      </c>
      <c r="X29" s="49">
        <v>1</v>
      </c>
      <c r="Y29" s="49">
        <v>100000000</v>
      </c>
      <c r="Z29" s="49">
        <f t="shared" si="10"/>
        <v>1438776.9176544</v>
      </c>
      <c r="AA29" s="49">
        <f t="shared" si="11"/>
        <v>1438776.9176544</v>
      </c>
      <c r="AB29" s="82">
        <f t="shared" si="1"/>
        <v>0</v>
      </c>
      <c r="AC29" s="82">
        <f t="shared" si="16"/>
        <v>359694229413600.25</v>
      </c>
      <c r="AD29" s="81">
        <f t="shared" si="0"/>
        <v>411923739836103.25</v>
      </c>
      <c r="AE29" s="80">
        <f t="shared" si="2"/>
        <v>1145.2053053718746</v>
      </c>
      <c r="AF29" s="52">
        <f t="shared" si="12"/>
        <v>2.2093881170072143E-2</v>
      </c>
      <c r="AG29" s="48">
        <f t="shared" si="3"/>
        <v>-1.0434056761268781E-2</v>
      </c>
      <c r="AH29" s="48">
        <f t="shared" si="13"/>
        <v>-6.2937062937062941E-3</v>
      </c>
      <c r="AI29" s="48">
        <f t="shared" si="14"/>
        <v>7.0370370370370375E-2</v>
      </c>
      <c r="AJ29" s="48">
        <f t="shared" si="15"/>
        <v>0</v>
      </c>
    </row>
    <row r="30" spans="1:36" x14ac:dyDescent="0.3">
      <c r="A30" s="48">
        <v>20180207</v>
      </c>
      <c r="B30" s="48" t="s">
        <v>88</v>
      </c>
      <c r="C30" s="49">
        <v>2371000</v>
      </c>
      <c r="D30" s="49">
        <v>2290000</v>
      </c>
      <c r="E30" s="49">
        <v>129098494</v>
      </c>
      <c r="F30" s="49">
        <f t="shared" si="4"/>
        <v>0.163829873112531</v>
      </c>
      <c r="G30" s="49">
        <f t="shared" si="5"/>
        <v>0.163829873112531</v>
      </c>
      <c r="H30" s="48">
        <v>284200</v>
      </c>
      <c r="I30" s="48">
        <v>256000</v>
      </c>
      <c r="J30" s="51">
        <v>122666424</v>
      </c>
      <c r="K30" s="48">
        <f t="shared" si="6"/>
        <v>1.94707550766514</v>
      </c>
      <c r="L30" s="48">
        <f t="shared" si="7"/>
        <v>1.94707550766514</v>
      </c>
      <c r="M30" s="49">
        <v>231200</v>
      </c>
      <c r="N30" s="49">
        <v>210000</v>
      </c>
      <c r="O30" s="49">
        <v>15956260</v>
      </c>
      <c r="P30" s="49">
        <f t="shared" si="8"/>
        <v>40.665992071972298</v>
      </c>
      <c r="Q30" s="49">
        <f t="shared" si="9"/>
        <v>40.665992071972298</v>
      </c>
      <c r="R30" s="48">
        <v>0</v>
      </c>
      <c r="S30" s="48"/>
      <c r="T30" s="48">
        <v>0</v>
      </c>
      <c r="U30" s="48">
        <v>0</v>
      </c>
      <c r="V30" s="48"/>
      <c r="W30" s="49">
        <v>1</v>
      </c>
      <c r="X30" s="49">
        <v>1</v>
      </c>
      <c r="Y30" s="49">
        <v>100000000</v>
      </c>
      <c r="Z30" s="49">
        <f t="shared" si="10"/>
        <v>1438776.9176544</v>
      </c>
      <c r="AA30" s="49">
        <f t="shared" si="11"/>
        <v>1438776.9176544</v>
      </c>
      <c r="AB30" s="82">
        <f t="shared" si="1"/>
        <v>0</v>
      </c>
      <c r="AC30" s="82">
        <f t="shared" si="16"/>
        <v>359694229413600.25</v>
      </c>
      <c r="AD30" s="81">
        <f t="shared" si="0"/>
        <v>389719068758684.37</v>
      </c>
      <c r="AE30" s="80">
        <f t="shared" si="2"/>
        <v>1083.4732305659527</v>
      </c>
      <c r="AF30" s="52">
        <f t="shared" si="12"/>
        <v>-5.3904810357018107E-2</v>
      </c>
      <c r="AG30" s="48">
        <f t="shared" si="3"/>
        <v>-3.4162800506115566E-2</v>
      </c>
      <c r="AH30" s="48">
        <f t="shared" si="13"/>
        <v>-9.9225897255453901E-2</v>
      </c>
      <c r="AI30" s="48">
        <f t="shared" si="14"/>
        <v>-9.1695501730103809E-2</v>
      </c>
      <c r="AJ30" s="48">
        <f t="shared" si="15"/>
        <v>0</v>
      </c>
    </row>
    <row r="31" spans="1:36" s="64" customFormat="1" x14ac:dyDescent="0.3">
      <c r="A31" s="65">
        <v>20180208</v>
      </c>
      <c r="B31" s="48" t="s">
        <v>88</v>
      </c>
      <c r="C31" s="49">
        <v>2290000</v>
      </c>
      <c r="D31" s="49">
        <v>2300000</v>
      </c>
      <c r="E31" s="49">
        <v>128386494</v>
      </c>
      <c r="F31" s="49">
        <f t="shared" si="4"/>
        <v>0.163829873112531</v>
      </c>
      <c r="G31" s="49">
        <f t="shared" si="5"/>
        <v>0.13896978488078299</v>
      </c>
      <c r="H31" s="48">
        <v>256000</v>
      </c>
      <c r="I31" s="48">
        <v>271400</v>
      </c>
      <c r="J31" s="51">
        <v>122666424</v>
      </c>
      <c r="K31" s="48">
        <f t="shared" si="6"/>
        <v>1.94707550766514</v>
      </c>
      <c r="L31" s="48">
        <f t="shared" si="7"/>
        <v>1.6425108510831099</v>
      </c>
      <c r="M31" s="49">
        <v>210000</v>
      </c>
      <c r="N31" s="49">
        <v>220800</v>
      </c>
      <c r="O31" s="49">
        <v>15956260</v>
      </c>
      <c r="P31" s="49">
        <f t="shared" si="8"/>
        <v>40.665992071972298</v>
      </c>
      <c r="Q31" s="49">
        <f t="shared" si="9"/>
        <v>34.3049527279872</v>
      </c>
      <c r="R31" s="48">
        <v>0</v>
      </c>
      <c r="S31" s="48"/>
      <c r="T31" s="48">
        <v>0</v>
      </c>
      <c r="U31" s="48">
        <v>0</v>
      </c>
      <c r="V31" s="48"/>
      <c r="W31" s="49">
        <v>1</v>
      </c>
      <c r="X31" s="49">
        <v>1</v>
      </c>
      <c r="Y31" s="49">
        <v>100000000</v>
      </c>
      <c r="Z31" s="49">
        <f t="shared" si="10"/>
        <v>1438776.9176544</v>
      </c>
      <c r="AA31" s="49">
        <f t="shared" si="11"/>
        <v>1213721.1372809701</v>
      </c>
      <c r="AB31" s="82">
        <f t="shared" si="1"/>
        <v>1</v>
      </c>
      <c r="AC31" s="82">
        <f t="shared" si="16"/>
        <v>303430284320243.37</v>
      </c>
      <c r="AD31" s="81">
        <f t="shared" si="0"/>
        <v>337951505644941.31</v>
      </c>
      <c r="AE31" s="80">
        <f t="shared" si="2"/>
        <v>1113.7698611792614</v>
      </c>
      <c r="AF31" s="52">
        <f t="shared" si="12"/>
        <v>2.7962509602090721E-2</v>
      </c>
      <c r="AG31" s="48">
        <f t="shared" si="3"/>
        <v>4.3668122270742356E-3</v>
      </c>
      <c r="AH31" s="48">
        <f t="shared" si="13"/>
        <v>6.0156250000000001E-2</v>
      </c>
      <c r="AI31" s="48">
        <f t="shared" si="14"/>
        <v>5.1428571428571428E-2</v>
      </c>
      <c r="AJ31" s="48">
        <f t="shared" si="15"/>
        <v>0</v>
      </c>
    </row>
    <row r="32" spans="1:36" s="47" customFormat="1" x14ac:dyDescent="0.3">
      <c r="A32" s="48">
        <v>20180209</v>
      </c>
      <c r="B32" s="48" t="s">
        <v>88</v>
      </c>
      <c r="C32" s="49">
        <v>2300000</v>
      </c>
      <c r="D32" s="49">
        <v>2235000</v>
      </c>
      <c r="E32" s="49">
        <v>128386494</v>
      </c>
      <c r="F32" s="49">
        <f t="shared" si="4"/>
        <v>0.13896978488078299</v>
      </c>
      <c r="G32" s="49">
        <f t="shared" si="5"/>
        <v>0.13657019999015099</v>
      </c>
      <c r="H32" s="74">
        <v>271500</v>
      </c>
      <c r="I32" s="74">
        <v>288000</v>
      </c>
      <c r="J32" s="67">
        <v>122666424</v>
      </c>
      <c r="K32" s="48">
        <f t="shared" si="6"/>
        <v>1.6425108510831099</v>
      </c>
      <c r="L32" s="48">
        <f t="shared" si="7"/>
        <v>1.6135551614087</v>
      </c>
      <c r="M32" s="49">
        <v>220800</v>
      </c>
      <c r="N32" s="49">
        <v>203900</v>
      </c>
      <c r="O32" s="49">
        <v>15956260</v>
      </c>
      <c r="P32" s="49">
        <f t="shared" si="8"/>
        <v>34.3049527279872</v>
      </c>
      <c r="Q32" s="49">
        <f t="shared" si="9"/>
        <v>33.712610685358698</v>
      </c>
      <c r="R32" s="48">
        <v>0</v>
      </c>
      <c r="S32" s="48"/>
      <c r="T32" s="48">
        <v>0</v>
      </c>
      <c r="U32" s="48">
        <v>0</v>
      </c>
      <c r="V32" s="48"/>
      <c r="W32" s="49">
        <v>1</v>
      </c>
      <c r="X32" s="49">
        <v>1</v>
      </c>
      <c r="Y32" s="49">
        <v>100000000</v>
      </c>
      <c r="Z32" s="49">
        <f t="shared" si="10"/>
        <v>1213721.1372809701</v>
      </c>
      <c r="AA32" s="49">
        <f t="shared" si="11"/>
        <v>1192763.87016741</v>
      </c>
      <c r="AB32" s="82">
        <f t="shared" si="1"/>
        <v>1</v>
      </c>
      <c r="AC32" s="82">
        <f t="shared" si="16"/>
        <v>298190967541853.69</v>
      </c>
      <c r="AD32" s="81">
        <f t="shared" si="0"/>
        <v>325151277349284.75</v>
      </c>
      <c r="AE32" s="80">
        <f t="shared" si="2"/>
        <v>1090.4128989207125</v>
      </c>
      <c r="AF32" s="52">
        <f t="shared" si="12"/>
        <v>-2.0971084846755104E-2</v>
      </c>
      <c r="AG32" s="48">
        <f t="shared" si="3"/>
        <v>-2.8260869565217391E-2</v>
      </c>
      <c r="AH32" s="48">
        <f t="shared" si="13"/>
        <v>6.0773480662983423E-2</v>
      </c>
      <c r="AI32" s="48">
        <f t="shared" si="14"/>
        <v>-7.6539855072463775E-2</v>
      </c>
      <c r="AJ32" s="48">
        <f t="shared" si="15"/>
        <v>0</v>
      </c>
    </row>
    <row r="33" spans="1:36" x14ac:dyDescent="0.3">
      <c r="A33" s="48">
        <v>20180212</v>
      </c>
      <c r="B33" s="48" t="s">
        <v>88</v>
      </c>
      <c r="C33" s="49">
        <v>2235000</v>
      </c>
      <c r="D33" s="49">
        <v>2286000</v>
      </c>
      <c r="E33" s="49">
        <v>128386494</v>
      </c>
      <c r="F33" s="49">
        <f t="shared" si="4"/>
        <v>0.13657019999015099</v>
      </c>
      <c r="G33" s="49">
        <f t="shared" si="5"/>
        <v>0.13657019999015099</v>
      </c>
      <c r="H33" s="48">
        <v>288000</v>
      </c>
      <c r="I33" s="48">
        <v>302500</v>
      </c>
      <c r="J33" s="51">
        <v>122666424</v>
      </c>
      <c r="K33" s="48">
        <f t="shared" si="6"/>
        <v>1.6135551614087</v>
      </c>
      <c r="L33" s="48">
        <f t="shared" si="7"/>
        <v>1.6135551614087</v>
      </c>
      <c r="M33" s="49">
        <v>203900</v>
      </c>
      <c r="N33" s="49">
        <v>216500</v>
      </c>
      <c r="O33" s="49">
        <v>15956260</v>
      </c>
      <c r="P33" s="49">
        <f t="shared" si="8"/>
        <v>33.712610685358698</v>
      </c>
      <c r="Q33" s="49">
        <f t="shared" si="9"/>
        <v>33.712610685358698</v>
      </c>
      <c r="R33" s="48">
        <v>0</v>
      </c>
      <c r="S33" s="48"/>
      <c r="T33" s="48">
        <v>0</v>
      </c>
      <c r="U33" s="48">
        <v>0</v>
      </c>
      <c r="V33" s="48"/>
      <c r="W33" s="49">
        <v>1</v>
      </c>
      <c r="X33" s="49">
        <v>1</v>
      </c>
      <c r="Y33" s="49">
        <v>100000000</v>
      </c>
      <c r="Z33" s="49">
        <f t="shared" si="10"/>
        <v>1192763.87016741</v>
      </c>
      <c r="AA33" s="49">
        <f t="shared" si="11"/>
        <v>1192763.87016741</v>
      </c>
      <c r="AB33" s="82">
        <f t="shared" si="1"/>
        <v>0</v>
      </c>
      <c r="AC33" s="82">
        <f t="shared" si="16"/>
        <v>298190967541853.69</v>
      </c>
      <c r="AD33" s="81">
        <f t="shared" si="0"/>
        <v>335693353164706.87</v>
      </c>
      <c r="AE33" s="80">
        <f t="shared" si="2"/>
        <v>1125.7663366935801</v>
      </c>
      <c r="AF33" s="52">
        <f t="shared" si="12"/>
        <v>3.2422064896573025E-2</v>
      </c>
      <c r="AG33" s="48">
        <f t="shared" si="3"/>
        <v>2.2818791946308724E-2</v>
      </c>
      <c r="AH33" s="48">
        <f t="shared" si="13"/>
        <v>5.0347222222222224E-2</v>
      </c>
      <c r="AI33" s="48">
        <f t="shared" si="14"/>
        <v>6.1794997547817559E-2</v>
      </c>
      <c r="AJ33" s="48">
        <f t="shared" si="15"/>
        <v>0</v>
      </c>
    </row>
    <row r="34" spans="1:36" x14ac:dyDescent="0.3">
      <c r="A34" s="48">
        <v>20180213</v>
      </c>
      <c r="B34" s="48" t="s">
        <v>88</v>
      </c>
      <c r="C34" s="49">
        <v>2286000</v>
      </c>
      <c r="D34" s="49">
        <v>2377000</v>
      </c>
      <c r="E34" s="49">
        <v>128386494</v>
      </c>
      <c r="F34" s="49">
        <f t="shared" si="4"/>
        <v>0.13657019999015099</v>
      </c>
      <c r="G34" s="49">
        <f t="shared" si="5"/>
        <v>0.13657019999015099</v>
      </c>
      <c r="H34" s="48">
        <v>302500</v>
      </c>
      <c r="I34" s="48">
        <v>294000</v>
      </c>
      <c r="J34" s="51">
        <v>122666424</v>
      </c>
      <c r="K34" s="48">
        <f t="shared" si="6"/>
        <v>1.6135551614087</v>
      </c>
      <c r="L34" s="48">
        <f t="shared" si="7"/>
        <v>1.6135551614087</v>
      </c>
      <c r="M34" s="49">
        <v>216500</v>
      </c>
      <c r="N34" s="49">
        <v>200200</v>
      </c>
      <c r="O34" s="49">
        <v>15956260</v>
      </c>
      <c r="P34" s="49">
        <f t="shared" si="8"/>
        <v>33.712610685358698</v>
      </c>
      <c r="Q34" s="49">
        <f t="shared" si="9"/>
        <v>33.712610685358698</v>
      </c>
      <c r="R34" s="48">
        <v>0</v>
      </c>
      <c r="S34" s="48"/>
      <c r="T34" s="48">
        <v>0</v>
      </c>
      <c r="U34" s="48">
        <v>0</v>
      </c>
      <c r="V34" s="48"/>
      <c r="W34" s="49">
        <v>1</v>
      </c>
      <c r="X34" s="49">
        <v>1</v>
      </c>
      <c r="Y34" s="49">
        <v>100000000</v>
      </c>
      <c r="Z34" s="49">
        <f t="shared" si="10"/>
        <v>1192763.87016741</v>
      </c>
      <c r="AA34" s="49">
        <f t="shared" si="11"/>
        <v>1192763.87016741</v>
      </c>
      <c r="AB34" s="82">
        <f t="shared" si="1"/>
        <v>0</v>
      </c>
      <c r="AC34" s="82">
        <f t="shared" si="16"/>
        <v>298190967541853.69</v>
      </c>
      <c r="AD34" s="81">
        <f t="shared" si="0"/>
        <v>326838316248609.37</v>
      </c>
      <c r="AE34" s="80">
        <f t="shared" si="2"/>
        <v>1096.070477730801</v>
      </c>
      <c r="AF34" s="52">
        <f t="shared" si="12"/>
        <v>-2.6378350457695321E-2</v>
      </c>
      <c r="AG34" s="48">
        <f t="shared" si="3"/>
        <v>3.9807524059492561E-2</v>
      </c>
      <c r="AH34" s="48">
        <f t="shared" si="13"/>
        <v>-2.809917355371901E-2</v>
      </c>
      <c r="AI34" s="48">
        <f t="shared" si="14"/>
        <v>-7.5288683602771356E-2</v>
      </c>
      <c r="AJ34" s="48">
        <f t="shared" si="15"/>
        <v>0</v>
      </c>
    </row>
    <row r="35" spans="1:36" x14ac:dyDescent="0.3">
      <c r="A35" s="48">
        <v>20180214</v>
      </c>
      <c r="B35" s="48" t="s">
        <v>88</v>
      </c>
      <c r="C35" s="49">
        <v>2377000</v>
      </c>
      <c r="D35" s="49">
        <v>2450000</v>
      </c>
      <c r="E35" s="49">
        <v>128386494</v>
      </c>
      <c r="F35" s="49">
        <f t="shared" si="4"/>
        <v>0.13657019999015099</v>
      </c>
      <c r="G35" s="49">
        <f t="shared" si="5"/>
        <v>0.13657019999015099</v>
      </c>
      <c r="H35" s="48">
        <v>294000</v>
      </c>
      <c r="I35" s="48">
        <v>312500</v>
      </c>
      <c r="J35" s="51">
        <v>122666424</v>
      </c>
      <c r="K35" s="48">
        <f t="shared" si="6"/>
        <v>1.6135551614087</v>
      </c>
      <c r="L35" s="48">
        <f t="shared" si="7"/>
        <v>1.6135551614087</v>
      </c>
      <c r="M35" s="49">
        <v>200200</v>
      </c>
      <c r="N35" s="49">
        <v>205600</v>
      </c>
      <c r="O35" s="49">
        <v>15956260</v>
      </c>
      <c r="P35" s="49">
        <f t="shared" si="8"/>
        <v>33.712610685358698</v>
      </c>
      <c r="Q35" s="49">
        <f t="shared" si="9"/>
        <v>33.712610685358698</v>
      </c>
      <c r="R35" s="48">
        <v>0</v>
      </c>
      <c r="S35" s="48"/>
      <c r="T35" s="48">
        <v>0</v>
      </c>
      <c r="U35" s="48">
        <v>0</v>
      </c>
      <c r="V35" s="48"/>
      <c r="W35" s="49">
        <v>1</v>
      </c>
      <c r="X35" s="49">
        <v>1</v>
      </c>
      <c r="Y35" s="49">
        <v>100000000</v>
      </c>
      <c r="Z35" s="49">
        <f t="shared" si="10"/>
        <v>1192763.87016741</v>
      </c>
      <c r="AA35" s="49">
        <f t="shared" si="11"/>
        <v>1192763.87016741</v>
      </c>
      <c r="AB35" s="82">
        <f t="shared" si="1"/>
        <v>0</v>
      </c>
      <c r="AC35" s="82">
        <f t="shared" si="16"/>
        <v>298190967541853.69</v>
      </c>
      <c r="AD35" s="81">
        <f t="shared" si="0"/>
        <v>334684775445998.56</v>
      </c>
      <c r="AE35" s="80">
        <f t="shared" si="2"/>
        <v>1122.3840151999998</v>
      </c>
      <c r="AF35" s="52">
        <f t="shared" si="12"/>
        <v>2.4007158302152051E-2</v>
      </c>
      <c r="AG35" s="48">
        <f t="shared" si="3"/>
        <v>3.0710980227177113E-2</v>
      </c>
      <c r="AH35" s="48">
        <f t="shared" si="13"/>
        <v>6.2925170068027211E-2</v>
      </c>
      <c r="AI35" s="48">
        <f t="shared" si="14"/>
        <v>2.6973026973026972E-2</v>
      </c>
      <c r="AJ35" s="48">
        <f t="shared" si="15"/>
        <v>0</v>
      </c>
    </row>
    <row r="36" spans="1:36" x14ac:dyDescent="0.3">
      <c r="A36" s="48">
        <v>20180219</v>
      </c>
      <c r="B36" s="48" t="s">
        <v>88</v>
      </c>
      <c r="C36" s="49">
        <v>2450000</v>
      </c>
      <c r="D36" s="49">
        <v>2419000</v>
      </c>
      <c r="E36" s="49">
        <v>128386494</v>
      </c>
      <c r="F36" s="49">
        <f t="shared" si="4"/>
        <v>0.13657019999015099</v>
      </c>
      <c r="G36" s="49">
        <f t="shared" si="5"/>
        <v>0.13657019999015099</v>
      </c>
      <c r="H36" s="48">
        <v>312500</v>
      </c>
      <c r="I36" s="48">
        <v>316500</v>
      </c>
      <c r="J36" s="51">
        <v>122666424</v>
      </c>
      <c r="K36" s="48">
        <f t="shared" si="6"/>
        <v>1.6135551614087</v>
      </c>
      <c r="L36" s="48">
        <f t="shared" si="7"/>
        <v>1.6135551614087</v>
      </c>
      <c r="M36" s="49">
        <v>205600</v>
      </c>
      <c r="N36" s="49">
        <v>219500</v>
      </c>
      <c r="O36" s="49">
        <v>15956260</v>
      </c>
      <c r="P36" s="49">
        <f t="shared" si="8"/>
        <v>33.712610685358698</v>
      </c>
      <c r="Q36" s="49">
        <f t="shared" si="9"/>
        <v>33.712610685358698</v>
      </c>
      <c r="R36" s="48">
        <v>0</v>
      </c>
      <c r="S36" s="48"/>
      <c r="T36" s="48">
        <v>0</v>
      </c>
      <c r="U36" s="48">
        <v>0</v>
      </c>
      <c r="V36" s="48"/>
      <c r="W36" s="49">
        <v>1</v>
      </c>
      <c r="X36" s="49">
        <v>1</v>
      </c>
      <c r="Y36" s="49">
        <v>100000000</v>
      </c>
      <c r="Z36" s="49">
        <f t="shared" si="10"/>
        <v>1192763.87016741</v>
      </c>
      <c r="AA36" s="49">
        <f t="shared" si="11"/>
        <v>1192763.87016741</v>
      </c>
      <c r="AB36" s="82">
        <f t="shared" si="1"/>
        <v>0</v>
      </c>
      <c r="AC36" s="82">
        <f t="shared" si="16"/>
        <v>298190967541853.69</v>
      </c>
      <c r="AD36" s="81">
        <f t="shared" si="0"/>
        <v>342410132589399.12</v>
      </c>
      <c r="AE36" s="80">
        <f t="shared" si="2"/>
        <v>1148.2914301934343</v>
      </c>
      <c r="AF36" s="52">
        <f t="shared" si="12"/>
        <v>2.3082487493211488E-2</v>
      </c>
      <c r="AG36" s="48">
        <f t="shared" si="3"/>
        <v>-1.2653061224489797E-2</v>
      </c>
      <c r="AH36" s="48">
        <f t="shared" si="13"/>
        <v>1.2800000000000001E-2</v>
      </c>
      <c r="AI36" s="48">
        <f t="shared" si="14"/>
        <v>6.7607003891050579E-2</v>
      </c>
      <c r="AJ36" s="48">
        <f t="shared" si="15"/>
        <v>0</v>
      </c>
    </row>
    <row r="37" spans="1:36" x14ac:dyDescent="0.3">
      <c r="A37" s="48">
        <v>20180220</v>
      </c>
      <c r="B37" s="48" t="s">
        <v>88</v>
      </c>
      <c r="C37" s="49">
        <v>2419000</v>
      </c>
      <c r="D37" s="49">
        <v>2370000</v>
      </c>
      <c r="E37" s="49">
        <v>128386494</v>
      </c>
      <c r="F37" s="49">
        <f t="shared" si="4"/>
        <v>0.13657019999015099</v>
      </c>
      <c r="G37" s="49">
        <f t="shared" si="5"/>
        <v>0.13657019999015099</v>
      </c>
      <c r="H37" s="48">
        <v>316500</v>
      </c>
      <c r="I37" s="48">
        <v>304000</v>
      </c>
      <c r="J37" s="51">
        <v>122666424</v>
      </c>
      <c r="K37" s="48">
        <f t="shared" si="6"/>
        <v>1.6135551614087</v>
      </c>
      <c r="L37" s="48">
        <f t="shared" si="7"/>
        <v>1.6135551614087</v>
      </c>
      <c r="M37" s="49">
        <v>219500</v>
      </c>
      <c r="N37" s="49">
        <v>215000</v>
      </c>
      <c r="O37" s="49">
        <v>15956260</v>
      </c>
      <c r="P37" s="49">
        <f t="shared" si="8"/>
        <v>33.712610685358698</v>
      </c>
      <c r="Q37" s="49">
        <f t="shared" si="9"/>
        <v>33.712610685358698</v>
      </c>
      <c r="R37" s="48">
        <v>0</v>
      </c>
      <c r="S37" s="48"/>
      <c r="T37" s="48">
        <v>0</v>
      </c>
      <c r="U37" s="48">
        <v>0</v>
      </c>
      <c r="V37" s="48"/>
      <c r="W37" s="49">
        <v>1</v>
      </c>
      <c r="X37" s="49">
        <v>1</v>
      </c>
      <c r="Y37" s="49">
        <v>100000000</v>
      </c>
      <c r="Z37" s="49">
        <f t="shared" si="10"/>
        <v>1192763.87016741</v>
      </c>
      <c r="AA37" s="49">
        <f t="shared" si="11"/>
        <v>1192763.87016741</v>
      </c>
      <c r="AB37" s="82">
        <f t="shared" si="1"/>
        <v>0</v>
      </c>
      <c r="AC37" s="82">
        <f t="shared" si="16"/>
        <v>298190967541853.69</v>
      </c>
      <c r="AD37" s="81">
        <f t="shared" si="0"/>
        <v>336656192564586.06</v>
      </c>
      <c r="AE37" s="80">
        <f t="shared" si="2"/>
        <v>1128.9952721902398</v>
      </c>
      <c r="AF37" s="52">
        <f t="shared" si="12"/>
        <v>-1.6804234095820051E-2</v>
      </c>
      <c r="AG37" s="48">
        <f t="shared" si="3"/>
        <v>-2.0256304257957835E-2</v>
      </c>
      <c r="AH37" s="48">
        <f t="shared" si="13"/>
        <v>-3.9494470774091628E-2</v>
      </c>
      <c r="AI37" s="48">
        <f t="shared" si="14"/>
        <v>-2.0501138952164009E-2</v>
      </c>
      <c r="AJ37" s="48">
        <f t="shared" si="15"/>
        <v>0</v>
      </c>
    </row>
    <row r="38" spans="1:36" x14ac:dyDescent="0.3">
      <c r="A38" s="48">
        <v>20180221</v>
      </c>
      <c r="B38" s="48" t="s">
        <v>88</v>
      </c>
      <c r="C38" s="49">
        <v>2370000</v>
      </c>
      <c r="D38" s="49">
        <v>2364000</v>
      </c>
      <c r="E38" s="49">
        <v>128386494</v>
      </c>
      <c r="F38" s="49">
        <f t="shared" si="4"/>
        <v>0.13657019999015099</v>
      </c>
      <c r="G38" s="49">
        <f t="shared" si="5"/>
        <v>0.13657019999015099</v>
      </c>
      <c r="H38" s="48">
        <v>304000</v>
      </c>
      <c r="I38" s="48">
        <v>307500</v>
      </c>
      <c r="J38" s="51">
        <v>122666424</v>
      </c>
      <c r="K38" s="48">
        <f t="shared" si="6"/>
        <v>1.6135551614087</v>
      </c>
      <c r="L38" s="48">
        <f t="shared" si="7"/>
        <v>1.6135551614087</v>
      </c>
      <c r="M38" s="49">
        <v>215000</v>
      </c>
      <c r="N38" s="49">
        <v>221200</v>
      </c>
      <c r="O38" s="49">
        <v>15956260</v>
      </c>
      <c r="P38" s="49">
        <f t="shared" si="8"/>
        <v>33.712610685358698</v>
      </c>
      <c r="Q38" s="49">
        <f t="shared" si="9"/>
        <v>33.712610685358698</v>
      </c>
      <c r="R38" s="48">
        <v>0</v>
      </c>
      <c r="S38" s="48"/>
      <c r="T38" s="48">
        <v>0</v>
      </c>
      <c r="U38" s="48">
        <v>0</v>
      </c>
      <c r="V38" s="48"/>
      <c r="W38" s="49">
        <v>1</v>
      </c>
      <c r="X38" s="49">
        <v>1</v>
      </c>
      <c r="Y38" s="49">
        <v>100000000</v>
      </c>
      <c r="Z38" s="49">
        <f t="shared" si="10"/>
        <v>1192763.87016741</v>
      </c>
      <c r="AA38" s="49">
        <f t="shared" si="11"/>
        <v>1192763.87016741</v>
      </c>
      <c r="AB38" s="82">
        <f t="shared" si="1"/>
        <v>0</v>
      </c>
      <c r="AC38" s="82">
        <f t="shared" si="16"/>
        <v>298190967541853.69</v>
      </c>
      <c r="AD38" s="81">
        <f t="shared" si="0"/>
        <v>340578890119656.06</v>
      </c>
      <c r="AE38" s="80">
        <f t="shared" si="2"/>
        <v>1142.1502566869431</v>
      </c>
      <c r="AF38" s="52">
        <f t="shared" si="12"/>
        <v>1.1651939401998311E-2</v>
      </c>
      <c r="AG38" s="48">
        <f t="shared" si="3"/>
        <v>-2.5316455696202532E-3</v>
      </c>
      <c r="AH38" s="48">
        <f t="shared" si="13"/>
        <v>1.1513157894736841E-2</v>
      </c>
      <c r="AI38" s="48">
        <f t="shared" si="14"/>
        <v>2.883720930232558E-2</v>
      </c>
      <c r="AJ38" s="48">
        <f t="shared" si="15"/>
        <v>0</v>
      </c>
    </row>
    <row r="39" spans="1:36" x14ac:dyDescent="0.3">
      <c r="A39" s="48">
        <v>20180222</v>
      </c>
      <c r="B39" s="48" t="s">
        <v>88</v>
      </c>
      <c r="C39" s="49">
        <v>2364000</v>
      </c>
      <c r="D39" s="49">
        <v>2338000</v>
      </c>
      <c r="E39" s="49">
        <v>128386494</v>
      </c>
      <c r="F39" s="49">
        <f t="shared" si="4"/>
        <v>0.13657019999015099</v>
      </c>
      <c r="G39" s="49">
        <f t="shared" si="5"/>
        <v>0.13657019999015099</v>
      </c>
      <c r="H39" s="48">
        <v>307500</v>
      </c>
      <c r="I39" s="48">
        <v>307500</v>
      </c>
      <c r="J39" s="51">
        <v>122666424</v>
      </c>
      <c r="K39" s="48">
        <f t="shared" si="6"/>
        <v>1.6135551614087</v>
      </c>
      <c r="L39" s="48">
        <f t="shared" si="7"/>
        <v>1.6135551614087</v>
      </c>
      <c r="M39" s="49">
        <v>221200</v>
      </c>
      <c r="N39" s="49">
        <v>219300</v>
      </c>
      <c r="O39" s="49">
        <v>15956260</v>
      </c>
      <c r="P39" s="49">
        <f t="shared" si="8"/>
        <v>33.712610685358698</v>
      </c>
      <c r="Q39" s="49">
        <f t="shared" si="9"/>
        <v>33.712610685358698</v>
      </c>
      <c r="R39" s="48">
        <v>0</v>
      </c>
      <c r="S39" s="48"/>
      <c r="T39" s="48">
        <v>0</v>
      </c>
      <c r="U39" s="48">
        <v>0</v>
      </c>
      <c r="V39" s="48"/>
      <c r="W39" s="49">
        <v>1</v>
      </c>
      <c r="X39" s="49">
        <v>1</v>
      </c>
      <c r="Y39" s="49">
        <v>100000000</v>
      </c>
      <c r="Z39" s="49">
        <f t="shared" si="10"/>
        <v>1192763.87016741</v>
      </c>
      <c r="AA39" s="49">
        <f t="shared" si="11"/>
        <v>1192763.87016741</v>
      </c>
      <c r="AB39" s="82">
        <f t="shared" si="1"/>
        <v>0</v>
      </c>
      <c r="AC39" s="82">
        <f t="shared" si="16"/>
        <v>298190967541853.69</v>
      </c>
      <c r="AD39" s="81">
        <f t="shared" si="0"/>
        <v>339100950476842.81</v>
      </c>
      <c r="AE39" s="80">
        <f t="shared" si="2"/>
        <v>1137.1939038671485</v>
      </c>
      <c r="AF39" s="52">
        <f t="shared" si="12"/>
        <v>-4.3394928038378777E-3</v>
      </c>
      <c r="AG39" s="48">
        <f t="shared" si="3"/>
        <v>-1.0998307952622674E-2</v>
      </c>
      <c r="AH39" s="48">
        <f t="shared" si="13"/>
        <v>0</v>
      </c>
      <c r="AI39" s="48">
        <f t="shared" si="14"/>
        <v>-8.5895117540687165E-3</v>
      </c>
      <c r="AJ39" s="48">
        <f t="shared" si="15"/>
        <v>0</v>
      </c>
    </row>
    <row r="40" spans="1:36" x14ac:dyDescent="0.3">
      <c r="A40" s="48">
        <v>20180223</v>
      </c>
      <c r="B40" s="48" t="s">
        <v>88</v>
      </c>
      <c r="C40" s="49">
        <v>2338000</v>
      </c>
      <c r="D40" s="49">
        <v>2361000</v>
      </c>
      <c r="E40" s="49">
        <v>128386494</v>
      </c>
      <c r="F40" s="49">
        <f t="shared" si="4"/>
        <v>0.13657019999015099</v>
      </c>
      <c r="G40" s="49">
        <f t="shared" si="5"/>
        <v>0.13657019999015099</v>
      </c>
      <c r="H40" s="48">
        <v>307500</v>
      </c>
      <c r="I40" s="48">
        <v>318000</v>
      </c>
      <c r="J40" s="51">
        <v>122666424</v>
      </c>
      <c r="K40" s="48">
        <f t="shared" si="6"/>
        <v>1.6135551614087</v>
      </c>
      <c r="L40" s="48">
        <f t="shared" si="7"/>
        <v>1.6135551614087</v>
      </c>
      <c r="M40" s="49">
        <v>219300</v>
      </c>
      <c r="N40" s="49">
        <v>222700</v>
      </c>
      <c r="O40" s="49">
        <v>15956260</v>
      </c>
      <c r="P40" s="49">
        <f t="shared" si="8"/>
        <v>33.712610685358698</v>
      </c>
      <c r="Q40" s="49">
        <f t="shared" si="9"/>
        <v>33.712610685358698</v>
      </c>
      <c r="R40" s="48">
        <v>0</v>
      </c>
      <c r="S40" s="48"/>
      <c r="T40" s="48">
        <v>0</v>
      </c>
      <c r="U40" s="48">
        <v>0</v>
      </c>
      <c r="V40" s="48"/>
      <c r="W40" s="49">
        <v>1</v>
      </c>
      <c r="X40" s="49">
        <v>1</v>
      </c>
      <c r="Y40" s="49">
        <v>100000000</v>
      </c>
      <c r="Z40" s="49">
        <f t="shared" si="10"/>
        <v>1192763.87016741</v>
      </c>
      <c r="AA40" s="49">
        <f t="shared" si="11"/>
        <v>1192763.87016741</v>
      </c>
      <c r="AB40" s="82">
        <f t="shared" si="1"/>
        <v>0</v>
      </c>
      <c r="AC40" s="82">
        <f t="shared" si="16"/>
        <v>298190967541853.69</v>
      </c>
      <c r="AD40" s="81">
        <f t="shared" si="0"/>
        <v>343411434520788.62</v>
      </c>
      <c r="AE40" s="80">
        <f t="shared" si="2"/>
        <v>1151.6493519294404</v>
      </c>
      <c r="AF40" s="52">
        <f t="shared" si="12"/>
        <v>1.2711506817909085E-2</v>
      </c>
      <c r="AG40" s="48">
        <f t="shared" si="3"/>
        <v>9.8374679213002574E-3</v>
      </c>
      <c r="AH40" s="48">
        <f t="shared" si="13"/>
        <v>3.4146341463414637E-2</v>
      </c>
      <c r="AI40" s="48">
        <f t="shared" si="14"/>
        <v>1.5503875968992248E-2</v>
      </c>
      <c r="AJ40" s="48">
        <f t="shared" si="15"/>
        <v>0</v>
      </c>
    </row>
    <row r="41" spans="1:36" x14ac:dyDescent="0.3">
      <c r="A41" s="48">
        <v>20180226</v>
      </c>
      <c r="B41" s="48" t="s">
        <v>88</v>
      </c>
      <c r="C41" s="49">
        <v>2361000</v>
      </c>
      <c r="D41" s="49">
        <v>2369000</v>
      </c>
      <c r="E41" s="49">
        <v>128386494</v>
      </c>
      <c r="F41" s="49">
        <f t="shared" si="4"/>
        <v>0.13657019999015099</v>
      </c>
      <c r="G41" s="49">
        <f t="shared" si="5"/>
        <v>0.13657019999015099</v>
      </c>
      <c r="H41" s="48">
        <v>318000</v>
      </c>
      <c r="I41" s="48">
        <v>326500</v>
      </c>
      <c r="J41" s="51">
        <v>122666424</v>
      </c>
      <c r="K41" s="48">
        <f t="shared" si="6"/>
        <v>1.6135551614087</v>
      </c>
      <c r="L41" s="48">
        <f t="shared" si="7"/>
        <v>1.6135551614087</v>
      </c>
      <c r="M41" s="49">
        <v>222700</v>
      </c>
      <c r="N41" s="49">
        <v>224300</v>
      </c>
      <c r="O41" s="49">
        <v>15956260</v>
      </c>
      <c r="P41" s="49">
        <f t="shared" si="8"/>
        <v>33.712610685358698</v>
      </c>
      <c r="Q41" s="49">
        <f t="shared" si="9"/>
        <v>33.712610685358698</v>
      </c>
      <c r="R41" s="48">
        <v>0</v>
      </c>
      <c r="S41" s="48"/>
      <c r="T41" s="48">
        <v>0</v>
      </c>
      <c r="U41" s="48">
        <v>0</v>
      </c>
      <c r="V41" s="48"/>
      <c r="W41" s="49">
        <v>1</v>
      </c>
      <c r="X41" s="49">
        <v>1</v>
      </c>
      <c r="Y41" s="49">
        <v>100000000</v>
      </c>
      <c r="Z41" s="49">
        <f t="shared" si="10"/>
        <v>1192763.87016741</v>
      </c>
      <c r="AA41" s="49">
        <f t="shared" si="11"/>
        <v>1192763.87016741</v>
      </c>
      <c r="AB41" s="82">
        <f t="shared" si="1"/>
        <v>0</v>
      </c>
      <c r="AC41" s="82">
        <f t="shared" si="16"/>
        <v>298190967541853.69</v>
      </c>
      <c r="AD41" s="81">
        <f t="shared" si="0"/>
        <v>346094785017682.87</v>
      </c>
      <c r="AE41" s="80">
        <f t="shared" si="2"/>
        <v>1160.6481171134249</v>
      </c>
      <c r="AF41" s="52">
        <f t="shared" si="12"/>
        <v>7.8138064931901237E-3</v>
      </c>
      <c r="AG41" s="48">
        <f t="shared" si="3"/>
        <v>3.3883947479881405E-3</v>
      </c>
      <c r="AH41" s="48">
        <f t="shared" si="13"/>
        <v>2.6729559748427674E-2</v>
      </c>
      <c r="AI41" s="48">
        <f t="shared" si="14"/>
        <v>7.1845532105972157E-3</v>
      </c>
      <c r="AJ41" s="48">
        <f t="shared" si="15"/>
        <v>0</v>
      </c>
    </row>
    <row r="42" spans="1:36" x14ac:dyDescent="0.3">
      <c r="A42" s="48">
        <v>20180227</v>
      </c>
      <c r="B42" s="48" t="s">
        <v>88</v>
      </c>
      <c r="C42" s="49">
        <v>2369000</v>
      </c>
      <c r="D42" s="49">
        <v>2369000</v>
      </c>
      <c r="E42" s="49">
        <v>128386494</v>
      </c>
      <c r="F42" s="49">
        <f t="shared" si="4"/>
        <v>0.13657019999015099</v>
      </c>
      <c r="G42" s="49">
        <f t="shared" si="5"/>
        <v>0.13657019999015099</v>
      </c>
      <c r="H42" s="48">
        <v>326500</v>
      </c>
      <c r="I42" s="48">
        <v>351000</v>
      </c>
      <c r="J42" s="51">
        <v>122666424</v>
      </c>
      <c r="K42" s="48">
        <f t="shared" si="6"/>
        <v>1.6135551614087</v>
      </c>
      <c r="L42" s="48">
        <f t="shared" si="7"/>
        <v>1.6135551614087</v>
      </c>
      <c r="M42" s="49">
        <v>224300</v>
      </c>
      <c r="N42" s="49">
        <v>225200</v>
      </c>
      <c r="O42" s="49">
        <v>15956260</v>
      </c>
      <c r="P42" s="49">
        <f t="shared" si="8"/>
        <v>33.712610685358698</v>
      </c>
      <c r="Q42" s="49">
        <f t="shared" si="9"/>
        <v>33.712610685358698</v>
      </c>
      <c r="R42" s="48">
        <v>0</v>
      </c>
      <c r="S42" s="48"/>
      <c r="T42" s="48">
        <v>0</v>
      </c>
      <c r="U42" s="48">
        <v>0</v>
      </c>
      <c r="V42" s="48"/>
      <c r="W42" s="49">
        <v>1</v>
      </c>
      <c r="X42" s="49">
        <v>1</v>
      </c>
      <c r="Y42" s="49">
        <v>100000000</v>
      </c>
      <c r="Z42" s="49">
        <f t="shared" si="10"/>
        <v>1192763.87016741</v>
      </c>
      <c r="AA42" s="49">
        <f t="shared" si="11"/>
        <v>1192763.87016741</v>
      </c>
      <c r="AB42" s="82">
        <f t="shared" si="1"/>
        <v>0</v>
      </c>
      <c r="AC42" s="82">
        <f t="shared" si="16"/>
        <v>298190967541853.69</v>
      </c>
      <c r="AD42" s="81">
        <f t="shared" si="0"/>
        <v>351428180999550.12</v>
      </c>
      <c r="AE42" s="80">
        <f t="shared" si="2"/>
        <v>1178.5339572709361</v>
      </c>
      <c r="AF42" s="52">
        <f t="shared" si="12"/>
        <v>1.5410217699740006E-2</v>
      </c>
      <c r="AG42" s="48">
        <f t="shared" si="3"/>
        <v>0</v>
      </c>
      <c r="AH42" s="48">
        <f t="shared" si="13"/>
        <v>7.5038284839203676E-2</v>
      </c>
      <c r="AI42" s="48">
        <f t="shared" si="14"/>
        <v>4.012483281319661E-3</v>
      </c>
      <c r="AJ42" s="48">
        <f t="shared" si="15"/>
        <v>0</v>
      </c>
    </row>
    <row r="43" spans="1:36" x14ac:dyDescent="0.3">
      <c r="A43" s="48">
        <v>20180228</v>
      </c>
      <c r="B43" s="48" t="s">
        <v>88</v>
      </c>
      <c r="C43" s="49">
        <v>2369000</v>
      </c>
      <c r="D43" s="49">
        <v>2353000</v>
      </c>
      <c r="E43" s="49">
        <v>128386494</v>
      </c>
      <c r="F43" s="49">
        <f t="shared" si="4"/>
        <v>0.13657019999015099</v>
      </c>
      <c r="G43" s="49">
        <f t="shared" si="5"/>
        <v>0.13657019999015099</v>
      </c>
      <c r="H43" s="48">
        <v>351000</v>
      </c>
      <c r="I43" s="48">
        <v>353000</v>
      </c>
      <c r="J43" s="51">
        <v>122666424</v>
      </c>
      <c r="K43" s="48">
        <f t="shared" si="6"/>
        <v>1.6135551614087</v>
      </c>
      <c r="L43" s="48">
        <f t="shared" si="7"/>
        <v>1.6135551614087</v>
      </c>
      <c r="M43" s="49">
        <v>225200</v>
      </c>
      <c r="N43" s="49">
        <v>234000</v>
      </c>
      <c r="O43" s="49">
        <v>15956260</v>
      </c>
      <c r="P43" s="49">
        <f t="shared" si="8"/>
        <v>33.712610685358698</v>
      </c>
      <c r="Q43" s="49">
        <f t="shared" si="9"/>
        <v>33.712610685358698</v>
      </c>
      <c r="R43" s="48">
        <v>0</v>
      </c>
      <c r="S43" s="48"/>
      <c r="T43" s="48">
        <v>0</v>
      </c>
      <c r="U43" s="48">
        <v>0</v>
      </c>
      <c r="V43" s="48"/>
      <c r="W43" s="49">
        <v>1</v>
      </c>
      <c r="X43" s="49">
        <v>1</v>
      </c>
      <c r="Y43" s="49">
        <v>100000000</v>
      </c>
      <c r="Z43" s="49">
        <f t="shared" si="10"/>
        <v>1192763.87016741</v>
      </c>
      <c r="AA43" s="49">
        <f t="shared" si="11"/>
        <v>1192763.87016741</v>
      </c>
      <c r="AB43" s="82">
        <f t="shared" si="1"/>
        <v>0</v>
      </c>
      <c r="AC43" s="82">
        <f t="shared" si="16"/>
        <v>298190967541853.69</v>
      </c>
      <c r="AD43" s="81">
        <f t="shared" si="0"/>
        <v>356277257972212.12</v>
      </c>
      <c r="AE43" s="80">
        <f t="shared" si="2"/>
        <v>1194.7956066851875</v>
      </c>
      <c r="AF43" s="52">
        <f t="shared" si="12"/>
        <v>1.3798201837058328E-2</v>
      </c>
      <c r="AG43" s="48">
        <f t="shared" si="3"/>
        <v>-6.7539046010975093E-3</v>
      </c>
      <c r="AH43" s="48">
        <f t="shared" si="13"/>
        <v>5.6980056980056983E-3</v>
      </c>
      <c r="AI43" s="48">
        <f t="shared" si="14"/>
        <v>3.9076376554174071E-2</v>
      </c>
      <c r="AJ43" s="48">
        <f t="shared" si="15"/>
        <v>0</v>
      </c>
    </row>
    <row r="44" spans="1:36" x14ac:dyDescent="0.3">
      <c r="A44" s="48">
        <v>20180302</v>
      </c>
      <c r="B44" s="48" t="s">
        <v>88</v>
      </c>
      <c r="C44" s="49">
        <v>2353000</v>
      </c>
      <c r="D44" s="49">
        <v>2301000</v>
      </c>
      <c r="E44" s="49">
        <v>128386494</v>
      </c>
      <c r="F44" s="49">
        <f t="shared" si="4"/>
        <v>0.13657019999015099</v>
      </c>
      <c r="G44" s="49">
        <f t="shared" si="5"/>
        <v>0.13657019999015099</v>
      </c>
      <c r="H44" s="48">
        <v>353000</v>
      </c>
      <c r="I44" s="48">
        <v>372000</v>
      </c>
      <c r="J44" s="51">
        <v>122666424</v>
      </c>
      <c r="K44" s="48">
        <f t="shared" si="6"/>
        <v>1.6135551614087</v>
      </c>
      <c r="L44" s="48">
        <f t="shared" si="7"/>
        <v>1.6135551614087</v>
      </c>
      <c r="M44" s="49">
        <v>234000</v>
      </c>
      <c r="N44" s="49">
        <v>239000</v>
      </c>
      <c r="O44" s="49">
        <v>15956260</v>
      </c>
      <c r="P44" s="49">
        <f t="shared" si="8"/>
        <v>33.712610685358698</v>
      </c>
      <c r="Q44" s="49">
        <f t="shared" si="9"/>
        <v>33.712610685358698</v>
      </c>
      <c r="R44" s="48">
        <v>0</v>
      </c>
      <c r="S44" s="48"/>
      <c r="T44" s="48">
        <v>0</v>
      </c>
      <c r="U44" s="48">
        <v>0</v>
      </c>
      <c r="V44" s="48"/>
      <c r="W44" s="49">
        <v>1</v>
      </c>
      <c r="X44" s="49">
        <v>1</v>
      </c>
      <c r="Y44" s="49">
        <v>100000000</v>
      </c>
      <c r="Z44" s="49">
        <f t="shared" si="10"/>
        <v>1192763.87016741</v>
      </c>
      <c r="AA44" s="49">
        <f t="shared" si="11"/>
        <v>1192763.87016741</v>
      </c>
      <c r="AB44" s="82">
        <f t="shared" si="1"/>
        <v>0</v>
      </c>
      <c r="AC44" s="82">
        <f t="shared" si="16"/>
        <v>298190967541853.69</v>
      </c>
      <c r="AD44" s="81">
        <f t="shared" si="0"/>
        <v>361815789672638.25</v>
      </c>
      <c r="AE44" s="80">
        <f t="shared" si="2"/>
        <v>1213.3693808879516</v>
      </c>
      <c r="AF44" s="52">
        <f t="shared" si="12"/>
        <v>1.5545566202988231E-2</v>
      </c>
      <c r="AG44" s="48">
        <f t="shared" si="3"/>
        <v>-2.2099447513812154E-2</v>
      </c>
      <c r="AH44" s="48">
        <f t="shared" si="13"/>
        <v>5.3824362606232294E-2</v>
      </c>
      <c r="AI44" s="48">
        <f t="shared" si="14"/>
        <v>2.1367521367521368E-2</v>
      </c>
      <c r="AJ44" s="48">
        <f t="shared" si="15"/>
        <v>0</v>
      </c>
    </row>
    <row r="45" spans="1:36" x14ac:dyDescent="0.3">
      <c r="A45" s="48">
        <v>20180305</v>
      </c>
      <c r="B45" s="48" t="s">
        <v>88</v>
      </c>
      <c r="C45" s="49">
        <v>2301000</v>
      </c>
      <c r="D45" s="49">
        <v>2260000</v>
      </c>
      <c r="E45" s="49">
        <v>128386494</v>
      </c>
      <c r="F45" s="49">
        <f t="shared" si="4"/>
        <v>0.13657019999015099</v>
      </c>
      <c r="G45" s="49">
        <f t="shared" si="5"/>
        <v>0.13657019999015099</v>
      </c>
      <c r="H45" s="48">
        <v>372000</v>
      </c>
      <c r="I45" s="48">
        <v>373500</v>
      </c>
      <c r="J45" s="51">
        <v>122666424</v>
      </c>
      <c r="K45" s="48">
        <f t="shared" si="6"/>
        <v>1.6135551614087</v>
      </c>
      <c r="L45" s="48">
        <f t="shared" si="7"/>
        <v>1.6135551614087</v>
      </c>
      <c r="M45" s="49">
        <v>239000</v>
      </c>
      <c r="N45" s="49">
        <v>228900</v>
      </c>
      <c r="O45" s="49">
        <v>15956260</v>
      </c>
      <c r="P45" s="49">
        <f t="shared" si="8"/>
        <v>33.712610685358698</v>
      </c>
      <c r="Q45" s="49">
        <f t="shared" si="9"/>
        <v>33.712610685358698</v>
      </c>
      <c r="R45" s="48">
        <v>0</v>
      </c>
      <c r="S45" s="48"/>
      <c r="T45" s="48">
        <v>0</v>
      </c>
      <c r="U45" s="48">
        <v>0</v>
      </c>
      <c r="V45" s="48"/>
      <c r="W45" s="49">
        <v>1</v>
      </c>
      <c r="X45" s="49">
        <v>1</v>
      </c>
      <c r="Y45" s="49">
        <v>100000000</v>
      </c>
      <c r="Z45" s="49">
        <f t="shared" si="10"/>
        <v>1192763.87016741</v>
      </c>
      <c r="AA45" s="49">
        <f t="shared" si="11"/>
        <v>1192763.87016741</v>
      </c>
      <c r="AB45" s="82">
        <f t="shared" si="1"/>
        <v>0</v>
      </c>
      <c r="AC45" s="82">
        <f t="shared" si="16"/>
        <v>298190967541853.69</v>
      </c>
      <c r="AD45" s="81">
        <f t="shared" si="0"/>
        <v>355960734167496.12</v>
      </c>
      <c r="AE45" s="80">
        <f t="shared" si="2"/>
        <v>1193.7341264957461</v>
      </c>
      <c r="AF45" s="52">
        <f t="shared" si="12"/>
        <v>-1.6182421199582537E-2</v>
      </c>
      <c r="AG45" s="48">
        <f t="shared" si="3"/>
        <v>-1.7818339852238158E-2</v>
      </c>
      <c r="AH45" s="48">
        <f t="shared" si="13"/>
        <v>4.0322580645161289E-3</v>
      </c>
      <c r="AI45" s="48">
        <f t="shared" si="14"/>
        <v>-4.225941422594142E-2</v>
      </c>
      <c r="AJ45" s="48">
        <f t="shared" si="15"/>
        <v>0</v>
      </c>
    </row>
    <row r="46" spans="1:36" x14ac:dyDescent="0.3">
      <c r="A46" s="48">
        <v>20180306</v>
      </c>
      <c r="B46" s="48" t="s">
        <v>88</v>
      </c>
      <c r="C46" s="49">
        <v>2260000</v>
      </c>
      <c r="D46" s="49">
        <v>2351000</v>
      </c>
      <c r="E46" s="49">
        <v>128386494</v>
      </c>
      <c r="F46" s="49">
        <f t="shared" si="4"/>
        <v>0.13657019999015099</v>
      </c>
      <c r="G46" s="49">
        <f t="shared" si="5"/>
        <v>0.13657019999015099</v>
      </c>
      <c r="H46" s="48">
        <v>373500</v>
      </c>
      <c r="I46" s="48">
        <v>370000</v>
      </c>
      <c r="J46" s="51">
        <v>122666424</v>
      </c>
      <c r="K46" s="48">
        <f t="shared" si="6"/>
        <v>1.6135551614087</v>
      </c>
      <c r="L46" s="48">
        <f t="shared" si="7"/>
        <v>1.6135551614087</v>
      </c>
      <c r="M46" s="49">
        <v>228900</v>
      </c>
      <c r="N46" s="49">
        <v>236700</v>
      </c>
      <c r="O46" s="49">
        <v>15956260</v>
      </c>
      <c r="P46" s="49">
        <f t="shared" si="8"/>
        <v>33.712610685358698</v>
      </c>
      <c r="Q46" s="49">
        <f t="shared" si="9"/>
        <v>33.712610685358698</v>
      </c>
      <c r="R46" s="48">
        <v>0</v>
      </c>
      <c r="S46" s="48"/>
      <c r="T46" s="48">
        <v>0</v>
      </c>
      <c r="U46" s="48">
        <v>0</v>
      </c>
      <c r="V46" s="48"/>
      <c r="W46" s="49">
        <v>1</v>
      </c>
      <c r="X46" s="49">
        <v>1</v>
      </c>
      <c r="Y46" s="49">
        <v>100000000</v>
      </c>
      <c r="Z46" s="49">
        <f t="shared" si="10"/>
        <v>1192763.87016741</v>
      </c>
      <c r="AA46" s="49">
        <f t="shared" si="11"/>
        <v>1192763.87016741</v>
      </c>
      <c r="AB46" s="82">
        <f t="shared" si="1"/>
        <v>0</v>
      </c>
      <c r="AC46" s="82">
        <f t="shared" si="16"/>
        <v>298190967541853.69</v>
      </c>
      <c r="AD46" s="81">
        <f t="shared" si="0"/>
        <v>361059387530404.44</v>
      </c>
      <c r="AE46" s="80">
        <f t="shared" si="2"/>
        <v>1210.8327442202844</v>
      </c>
      <c r="AF46" s="52">
        <f t="shared" si="12"/>
        <v>1.4323639866719771E-2</v>
      </c>
      <c r="AG46" s="48">
        <f t="shared" si="3"/>
        <v>4.026548672566372E-2</v>
      </c>
      <c r="AH46" s="48">
        <f t="shared" si="13"/>
        <v>-9.3708165997322627E-3</v>
      </c>
      <c r="AI46" s="48">
        <f t="shared" si="14"/>
        <v>3.4076015727391877E-2</v>
      </c>
      <c r="AJ46" s="48">
        <f t="shared" si="15"/>
        <v>0</v>
      </c>
    </row>
    <row r="47" spans="1:36" x14ac:dyDescent="0.3">
      <c r="A47" s="48">
        <v>20180307</v>
      </c>
      <c r="B47" s="48" t="s">
        <v>88</v>
      </c>
      <c r="C47" s="49">
        <v>2351000</v>
      </c>
      <c r="D47" s="49">
        <v>2431000</v>
      </c>
      <c r="E47" s="49">
        <v>128386494</v>
      </c>
      <c r="F47" s="49">
        <f t="shared" si="4"/>
        <v>0.13657019999015099</v>
      </c>
      <c r="G47" s="49">
        <f t="shared" si="5"/>
        <v>0.13657019999015099</v>
      </c>
      <c r="H47" s="48">
        <v>370000</v>
      </c>
      <c r="I47" s="48">
        <v>325000</v>
      </c>
      <c r="J47" s="51">
        <v>122666424</v>
      </c>
      <c r="K47" s="48">
        <f t="shared" si="6"/>
        <v>1.6135551614087</v>
      </c>
      <c r="L47" s="48">
        <f t="shared" si="7"/>
        <v>1.6135551614087</v>
      </c>
      <c r="M47" s="49">
        <v>236700</v>
      </c>
      <c r="N47" s="49">
        <v>223700</v>
      </c>
      <c r="O47" s="49">
        <v>15956260</v>
      </c>
      <c r="P47" s="49">
        <f t="shared" si="8"/>
        <v>33.712610685358698</v>
      </c>
      <c r="Q47" s="49">
        <f t="shared" si="9"/>
        <v>33.712610685358698</v>
      </c>
      <c r="R47" s="48">
        <v>0</v>
      </c>
      <c r="S47" s="48"/>
      <c r="T47" s="48">
        <v>0</v>
      </c>
      <c r="U47" s="48">
        <v>0</v>
      </c>
      <c r="V47" s="48"/>
      <c r="W47" s="49">
        <v>1</v>
      </c>
      <c r="X47" s="49">
        <v>1</v>
      </c>
      <c r="Y47" s="49">
        <v>100000000</v>
      </c>
      <c r="Z47" s="49">
        <f t="shared" si="10"/>
        <v>1192763.87016741</v>
      </c>
      <c r="AA47" s="49">
        <f t="shared" si="11"/>
        <v>1192763.87016741</v>
      </c>
      <c r="AB47" s="82">
        <f t="shared" si="1"/>
        <v>0</v>
      </c>
      <c r="AC47" s="82">
        <f t="shared" si="16"/>
        <v>298190967541853.69</v>
      </c>
      <c r="AD47" s="81">
        <f t="shared" si="0"/>
        <v>346562228834513.25</v>
      </c>
      <c r="AE47" s="80">
        <f t="shared" si="2"/>
        <v>1162.2157159601766</v>
      </c>
      <c r="AF47" s="52">
        <f t="shared" si="12"/>
        <v>-4.0151729041168933E-2</v>
      </c>
      <c r="AG47" s="48">
        <f t="shared" si="3"/>
        <v>3.4028073160357296E-2</v>
      </c>
      <c r="AH47" s="48">
        <f t="shared" si="13"/>
        <v>-0.12162162162162163</v>
      </c>
      <c r="AI47" s="48">
        <f t="shared" si="14"/>
        <v>-5.4921841994085341E-2</v>
      </c>
      <c r="AJ47" s="48">
        <f t="shared" si="15"/>
        <v>0</v>
      </c>
    </row>
    <row r="48" spans="1:36" x14ac:dyDescent="0.3">
      <c r="A48" s="48">
        <v>20180308</v>
      </c>
      <c r="B48" s="48" t="s">
        <v>88</v>
      </c>
      <c r="C48" s="49">
        <v>2431000</v>
      </c>
      <c r="D48" s="49">
        <v>2460000</v>
      </c>
      <c r="E48" s="49">
        <v>128386494</v>
      </c>
      <c r="F48" s="49">
        <f t="shared" si="4"/>
        <v>0.13657019999015099</v>
      </c>
      <c r="G48" s="49">
        <f t="shared" si="5"/>
        <v>0.13657019999015099</v>
      </c>
      <c r="H48" s="48">
        <v>325000</v>
      </c>
      <c r="I48" s="48">
        <v>354000</v>
      </c>
      <c r="J48" s="51">
        <v>122666424</v>
      </c>
      <c r="K48" s="48">
        <f t="shared" si="6"/>
        <v>1.6135551614087</v>
      </c>
      <c r="L48" s="48">
        <f t="shared" si="7"/>
        <v>1.6135551614087</v>
      </c>
      <c r="M48" s="49">
        <v>223700</v>
      </c>
      <c r="N48" s="49">
        <v>234300</v>
      </c>
      <c r="O48" s="49">
        <v>15956260</v>
      </c>
      <c r="P48" s="49">
        <f t="shared" si="8"/>
        <v>33.712610685358698</v>
      </c>
      <c r="Q48" s="49">
        <f t="shared" si="9"/>
        <v>33.712610685358698</v>
      </c>
      <c r="R48" s="48">
        <v>0</v>
      </c>
      <c r="S48" s="48"/>
      <c r="T48" s="48">
        <v>0</v>
      </c>
      <c r="U48" s="48">
        <v>0</v>
      </c>
      <c r="V48" s="48"/>
      <c r="W48" s="49">
        <v>1</v>
      </c>
      <c r="X48" s="49">
        <v>1</v>
      </c>
      <c r="Y48" s="49">
        <v>100000000</v>
      </c>
      <c r="Z48" s="49">
        <f t="shared" si="10"/>
        <v>1192763.87016741</v>
      </c>
      <c r="AA48" s="49">
        <f t="shared" si="11"/>
        <v>1192763.87016741</v>
      </c>
      <c r="AB48" s="82">
        <f t="shared" si="1"/>
        <v>0</v>
      </c>
      <c r="AC48" s="82">
        <f t="shared" si="16"/>
        <v>298190967541853.69</v>
      </c>
      <c r="AD48" s="81">
        <f t="shared" si="0"/>
        <v>358512678468493.94</v>
      </c>
      <c r="AE48" s="80">
        <f t="shared" si="2"/>
        <v>1202.2922136907905</v>
      </c>
      <c r="AF48" s="52">
        <f t="shared" si="12"/>
        <v>3.4482839270078468E-2</v>
      </c>
      <c r="AG48" s="48">
        <f t="shared" si="3"/>
        <v>1.192924722336487E-2</v>
      </c>
      <c r="AH48" s="48">
        <f t="shared" si="13"/>
        <v>8.9230769230769225E-2</v>
      </c>
      <c r="AI48" s="48">
        <f t="shared" si="14"/>
        <v>4.7384890478319175E-2</v>
      </c>
      <c r="AJ48" s="48">
        <f t="shared" si="15"/>
        <v>0</v>
      </c>
    </row>
    <row r="49" spans="1:36" x14ac:dyDescent="0.3">
      <c r="A49" s="48">
        <v>20180309</v>
      </c>
      <c r="B49" s="48" t="s">
        <v>88</v>
      </c>
      <c r="C49" s="49">
        <v>2460000</v>
      </c>
      <c r="D49" s="49">
        <v>2487000</v>
      </c>
      <c r="E49" s="49">
        <v>128386494</v>
      </c>
      <c r="F49" s="49">
        <f t="shared" si="4"/>
        <v>0.13657019999015099</v>
      </c>
      <c r="G49" s="49">
        <f t="shared" si="5"/>
        <v>0.13657019999015099</v>
      </c>
      <c r="H49" s="48">
        <v>354000</v>
      </c>
      <c r="I49" s="48">
        <v>326000</v>
      </c>
      <c r="J49" s="51">
        <v>122666424</v>
      </c>
      <c r="K49" s="48">
        <f t="shared" si="6"/>
        <v>1.6135551614087</v>
      </c>
      <c r="L49" s="48">
        <f t="shared" si="7"/>
        <v>1.6135551614087</v>
      </c>
      <c r="M49" s="49">
        <v>234300</v>
      </c>
      <c r="N49" s="49">
        <v>243200</v>
      </c>
      <c r="O49" s="49">
        <v>15956260</v>
      </c>
      <c r="P49" s="49">
        <f t="shared" si="8"/>
        <v>33.712610685358698</v>
      </c>
      <c r="Q49" s="49">
        <f t="shared" si="9"/>
        <v>33.712610685358698</v>
      </c>
      <c r="R49" s="48">
        <v>0</v>
      </c>
      <c r="S49" s="48"/>
      <c r="T49" s="48">
        <v>0</v>
      </c>
      <c r="U49" s="48">
        <v>0</v>
      </c>
      <c r="V49" s="48"/>
      <c r="W49" s="49">
        <v>1</v>
      </c>
      <c r="X49" s="49">
        <v>1</v>
      </c>
      <c r="Y49" s="49">
        <v>100000000</v>
      </c>
      <c r="Z49" s="49">
        <f t="shared" si="10"/>
        <v>1192763.87016741</v>
      </c>
      <c r="AA49" s="49">
        <f t="shared" si="11"/>
        <v>1192763.87016741</v>
      </c>
      <c r="AB49" s="82">
        <f t="shared" si="1"/>
        <v>0</v>
      </c>
      <c r="AC49" s="82">
        <f t="shared" si="16"/>
        <v>298190967541853.69</v>
      </c>
      <c r="AD49" s="81">
        <f t="shared" si="0"/>
        <v>358231628985940.37</v>
      </c>
      <c r="AE49" s="80">
        <f t="shared" si="2"/>
        <v>1201.3496986143937</v>
      </c>
      <c r="AF49" s="52">
        <f t="shared" si="12"/>
        <v>-7.839317810297569E-4</v>
      </c>
      <c r="AG49" s="48">
        <f t="shared" si="3"/>
        <v>1.097560975609756E-2</v>
      </c>
      <c r="AH49" s="48">
        <f t="shared" si="13"/>
        <v>-7.909604519774012E-2</v>
      </c>
      <c r="AI49" s="48">
        <f t="shared" si="14"/>
        <v>3.7985488689714041E-2</v>
      </c>
      <c r="AJ49" s="48">
        <f t="shared" si="15"/>
        <v>0</v>
      </c>
    </row>
    <row r="50" spans="1:36" x14ac:dyDescent="0.3">
      <c r="A50" s="48">
        <v>20180312</v>
      </c>
      <c r="B50" s="48" t="s">
        <v>88</v>
      </c>
      <c r="C50" s="49">
        <v>2487000</v>
      </c>
      <c r="D50" s="49">
        <v>2487000</v>
      </c>
      <c r="E50" s="49">
        <v>128386494</v>
      </c>
      <c r="F50" s="49">
        <f t="shared" si="4"/>
        <v>0.13657019999015099</v>
      </c>
      <c r="G50" s="49">
        <f t="shared" si="5"/>
        <v>0.13657019999015099</v>
      </c>
      <c r="H50" s="48">
        <v>326000</v>
      </c>
      <c r="I50" s="48">
        <v>322000</v>
      </c>
      <c r="J50" s="51">
        <v>122666424</v>
      </c>
      <c r="K50" s="48">
        <f t="shared" si="6"/>
        <v>1.6135551614087</v>
      </c>
      <c r="L50" s="48">
        <f t="shared" si="7"/>
        <v>1.6135551614087</v>
      </c>
      <c r="M50" s="49">
        <v>243200</v>
      </c>
      <c r="N50" s="49">
        <v>255300</v>
      </c>
      <c r="O50" s="49">
        <v>15956260</v>
      </c>
      <c r="P50" s="49">
        <f t="shared" si="8"/>
        <v>33.712610685358698</v>
      </c>
      <c r="Q50" s="49">
        <f t="shared" si="9"/>
        <v>33.712610685358698</v>
      </c>
      <c r="R50" s="48">
        <v>0</v>
      </c>
      <c r="S50" s="48"/>
      <c r="T50" s="48">
        <v>0</v>
      </c>
      <c r="U50" s="48">
        <v>0</v>
      </c>
      <c r="V50" s="48"/>
      <c r="W50" s="49">
        <v>1</v>
      </c>
      <c r="X50" s="49">
        <v>1</v>
      </c>
      <c r="Y50" s="49">
        <v>100000000</v>
      </c>
      <c r="Z50" s="49">
        <f t="shared" si="10"/>
        <v>1192763.87016741</v>
      </c>
      <c r="AA50" s="49">
        <f t="shared" si="11"/>
        <v>1192763.87016741</v>
      </c>
      <c r="AB50" s="82">
        <f t="shared" si="1"/>
        <v>0</v>
      </c>
      <c r="AC50" s="82">
        <f t="shared" si="16"/>
        <v>298190967541853.69</v>
      </c>
      <c r="AD50" s="81">
        <f t="shared" si="0"/>
        <v>363948831714263.19</v>
      </c>
      <c r="AE50" s="80">
        <f t="shared" si="2"/>
        <v>1220.5226560498679</v>
      </c>
      <c r="AF50" s="52">
        <f t="shared" si="12"/>
        <v>1.5959514084523306E-2</v>
      </c>
      <c r="AG50" s="48">
        <f t="shared" si="3"/>
        <v>0</v>
      </c>
      <c r="AH50" s="48">
        <f t="shared" si="13"/>
        <v>-1.2269938650306749E-2</v>
      </c>
      <c r="AI50" s="48">
        <f t="shared" si="14"/>
        <v>4.9753289473684209E-2</v>
      </c>
      <c r="AJ50" s="48">
        <f t="shared" si="15"/>
        <v>0</v>
      </c>
    </row>
    <row r="51" spans="1:36" x14ac:dyDescent="0.3">
      <c r="A51" s="48">
        <v>20180313</v>
      </c>
      <c r="B51" s="48" t="s">
        <v>88</v>
      </c>
      <c r="C51" s="49">
        <v>2487000</v>
      </c>
      <c r="D51" s="49">
        <v>2583000</v>
      </c>
      <c r="E51" s="49">
        <v>128386494</v>
      </c>
      <c r="F51" s="49">
        <f t="shared" si="4"/>
        <v>0.13657019999015099</v>
      </c>
      <c r="G51" s="49">
        <f t="shared" si="5"/>
        <v>0.13657019999015099</v>
      </c>
      <c r="H51" s="48">
        <v>322000</v>
      </c>
      <c r="I51" s="48">
        <v>311000</v>
      </c>
      <c r="J51" s="51">
        <v>122666424</v>
      </c>
      <c r="K51" s="48">
        <f t="shared" si="6"/>
        <v>1.6135551614087</v>
      </c>
      <c r="L51" s="48">
        <f t="shared" si="7"/>
        <v>1.6135551614087</v>
      </c>
      <c r="M51" s="49">
        <v>255300</v>
      </c>
      <c r="N51" s="49">
        <v>256000</v>
      </c>
      <c r="O51" s="49">
        <v>15956260</v>
      </c>
      <c r="P51" s="49">
        <f t="shared" si="8"/>
        <v>33.712610685358698</v>
      </c>
      <c r="Q51" s="49">
        <f t="shared" si="9"/>
        <v>33.712610685358698</v>
      </c>
      <c r="R51" s="48">
        <v>0</v>
      </c>
      <c r="S51" s="48"/>
      <c r="T51" s="48">
        <v>0</v>
      </c>
      <c r="U51" s="48">
        <v>0</v>
      </c>
      <c r="V51" s="48"/>
      <c r="W51" s="49">
        <v>1</v>
      </c>
      <c r="X51" s="49">
        <v>1</v>
      </c>
      <c r="Y51" s="49">
        <v>100000000</v>
      </c>
      <c r="Z51" s="49">
        <f t="shared" si="10"/>
        <v>1192763.87016741</v>
      </c>
      <c r="AA51" s="49">
        <f t="shared" si="11"/>
        <v>1192763.87016741</v>
      </c>
      <c r="AB51" s="82">
        <f t="shared" si="1"/>
        <v>0</v>
      </c>
      <c r="AC51" s="82">
        <f t="shared" si="16"/>
        <v>298190967541853.69</v>
      </c>
      <c r="AD51" s="81">
        <f t="shared" si="0"/>
        <v>363831403123396</v>
      </c>
      <c r="AE51" s="80">
        <f t="shared" si="2"/>
        <v>1220.1288527370607</v>
      </c>
      <c r="AF51" s="52">
        <f t="shared" si="12"/>
        <v>-3.2265137468380766E-4</v>
      </c>
      <c r="AG51" s="48">
        <f t="shared" si="3"/>
        <v>3.8600723763570564E-2</v>
      </c>
      <c r="AH51" s="48">
        <f t="shared" si="13"/>
        <v>-3.4161490683229816E-2</v>
      </c>
      <c r="AI51" s="48">
        <f t="shared" si="14"/>
        <v>2.7418723070896985E-3</v>
      </c>
      <c r="AJ51" s="48">
        <f t="shared" si="15"/>
        <v>0</v>
      </c>
    </row>
    <row r="52" spans="1:36" x14ac:dyDescent="0.3">
      <c r="A52" s="48">
        <v>20180314</v>
      </c>
      <c r="B52" s="48" t="s">
        <v>88</v>
      </c>
      <c r="C52" s="49">
        <v>2583000</v>
      </c>
      <c r="D52" s="49">
        <v>2588000</v>
      </c>
      <c r="E52" s="49">
        <v>128386494</v>
      </c>
      <c r="F52" s="49">
        <f t="shared" si="4"/>
        <v>0.13657019999015099</v>
      </c>
      <c r="G52" s="49">
        <f t="shared" si="5"/>
        <v>0.13657019999015099</v>
      </c>
      <c r="H52" s="48">
        <v>311000</v>
      </c>
      <c r="I52" s="48">
        <v>306500</v>
      </c>
      <c r="J52" s="51">
        <v>122666424</v>
      </c>
      <c r="K52" s="48">
        <f t="shared" si="6"/>
        <v>1.6135551614087</v>
      </c>
      <c r="L52" s="48">
        <f t="shared" si="7"/>
        <v>1.6135551614087</v>
      </c>
      <c r="M52" s="49">
        <v>256000</v>
      </c>
      <c r="N52" s="49">
        <v>243500</v>
      </c>
      <c r="O52" s="49">
        <v>15956260</v>
      </c>
      <c r="P52" s="49">
        <f t="shared" si="8"/>
        <v>33.712610685358698</v>
      </c>
      <c r="Q52" s="49">
        <f t="shared" si="9"/>
        <v>33.712610685358698</v>
      </c>
      <c r="R52" s="48">
        <v>0</v>
      </c>
      <c r="S52" s="48"/>
      <c r="T52" s="48">
        <v>0</v>
      </c>
      <c r="U52" s="48">
        <v>0</v>
      </c>
      <c r="V52" s="48"/>
      <c r="W52" s="49">
        <v>1</v>
      </c>
      <c r="X52" s="49">
        <v>1</v>
      </c>
      <c r="Y52" s="49">
        <v>100000000</v>
      </c>
      <c r="Z52" s="49">
        <f t="shared" si="10"/>
        <v>1192763.87016741</v>
      </c>
      <c r="AA52" s="49">
        <f t="shared" si="11"/>
        <v>1192763.87016741</v>
      </c>
      <c r="AB52" s="82">
        <f t="shared" si="1"/>
        <v>0</v>
      </c>
      <c r="AC52" s="82">
        <f t="shared" si="16"/>
        <v>298190967541853.69</v>
      </c>
      <c r="AD52" s="81">
        <f t="shared" si="0"/>
        <v>356304301514929.19</v>
      </c>
      <c r="AE52" s="80">
        <f t="shared" si="2"/>
        <v>1194.8862987103014</v>
      </c>
      <c r="AF52" s="52">
        <f t="shared" si="12"/>
        <v>-2.0688433004541946E-2</v>
      </c>
      <c r="AG52" s="48">
        <f t="shared" si="3"/>
        <v>1.9357336430507162E-3</v>
      </c>
      <c r="AH52" s="48">
        <f t="shared" si="13"/>
        <v>-1.4469453376205787E-2</v>
      </c>
      <c r="AI52" s="48">
        <f t="shared" si="14"/>
        <v>-4.8828125E-2</v>
      </c>
      <c r="AJ52" s="48">
        <f t="shared" si="15"/>
        <v>0</v>
      </c>
    </row>
    <row r="53" spans="1:36" x14ac:dyDescent="0.3">
      <c r="A53" s="48">
        <v>20180315</v>
      </c>
      <c r="B53" s="48" t="s">
        <v>88</v>
      </c>
      <c r="C53" s="49">
        <v>2588000</v>
      </c>
      <c r="D53" s="49">
        <v>2577000</v>
      </c>
      <c r="E53" s="49">
        <v>128386494</v>
      </c>
      <c r="F53" s="49">
        <f t="shared" si="4"/>
        <v>0.13657019999015099</v>
      </c>
      <c r="G53" s="49">
        <f t="shared" si="5"/>
        <v>0.13657019999015099</v>
      </c>
      <c r="H53" s="48">
        <v>306500</v>
      </c>
      <c r="I53" s="48">
        <v>322500</v>
      </c>
      <c r="J53" s="51">
        <v>122666424</v>
      </c>
      <c r="K53" s="48">
        <f t="shared" si="6"/>
        <v>1.6135551614087</v>
      </c>
      <c r="L53" s="48">
        <f t="shared" si="7"/>
        <v>1.6135551614087</v>
      </c>
      <c r="M53" s="49">
        <v>243500</v>
      </c>
      <c r="N53" s="49">
        <v>240000</v>
      </c>
      <c r="O53" s="49">
        <v>15956260</v>
      </c>
      <c r="P53" s="49">
        <f t="shared" si="8"/>
        <v>33.712610685358698</v>
      </c>
      <c r="Q53" s="49">
        <f t="shared" si="9"/>
        <v>33.712610685358698</v>
      </c>
      <c r="R53" s="48">
        <v>0</v>
      </c>
      <c r="S53" s="48"/>
      <c r="T53" s="48">
        <v>0</v>
      </c>
      <c r="U53" s="48">
        <v>0</v>
      </c>
      <c r="V53" s="48"/>
      <c r="W53" s="49">
        <v>1</v>
      </c>
      <c r="X53" s="49">
        <v>1</v>
      </c>
      <c r="Y53" s="49">
        <v>100000000</v>
      </c>
      <c r="Z53" s="49">
        <f t="shared" si="10"/>
        <v>1192763.87016741</v>
      </c>
      <c r="AA53" s="49">
        <f t="shared" si="11"/>
        <v>1192763.87016741</v>
      </c>
      <c r="AB53" s="82">
        <f t="shared" si="1"/>
        <v>0</v>
      </c>
      <c r="AC53" s="82">
        <f t="shared" si="16"/>
        <v>298190967541853.69</v>
      </c>
      <c r="AD53" s="81">
        <f t="shared" si="0"/>
        <v>357395549584569.12</v>
      </c>
      <c r="AE53" s="80">
        <f t="shared" si="2"/>
        <v>1198.5458598252328</v>
      </c>
      <c r="AF53" s="52">
        <f t="shared" si="12"/>
        <v>3.0626856453884878E-3</v>
      </c>
      <c r="AG53" s="48">
        <f t="shared" si="3"/>
        <v>-4.250386398763524E-3</v>
      </c>
      <c r="AH53" s="48">
        <f t="shared" si="13"/>
        <v>5.2202283849918436E-2</v>
      </c>
      <c r="AI53" s="48">
        <f t="shared" si="14"/>
        <v>-1.4373716632443531E-2</v>
      </c>
      <c r="AJ53" s="48">
        <f t="shared" si="15"/>
        <v>0</v>
      </c>
    </row>
    <row r="54" spans="1:36" x14ac:dyDescent="0.3">
      <c r="A54" s="48">
        <v>20180316</v>
      </c>
      <c r="B54" s="48" t="s">
        <v>88</v>
      </c>
      <c r="C54" s="49">
        <v>2577000</v>
      </c>
      <c r="D54" s="49">
        <v>2557000</v>
      </c>
      <c r="E54" s="49">
        <v>128386494</v>
      </c>
      <c r="F54" s="49">
        <f t="shared" si="4"/>
        <v>0.13657019999015099</v>
      </c>
      <c r="G54" s="49">
        <f t="shared" si="5"/>
        <v>0.13657019999015099</v>
      </c>
      <c r="H54" s="48">
        <v>322500</v>
      </c>
      <c r="I54" s="48">
        <v>324000</v>
      </c>
      <c r="J54" s="51">
        <v>122666424</v>
      </c>
      <c r="K54" s="48">
        <f t="shared" si="6"/>
        <v>1.6135551614087</v>
      </c>
      <c r="L54" s="48">
        <f t="shared" si="7"/>
        <v>1.6135551614087</v>
      </c>
      <c r="M54" s="49">
        <v>240000</v>
      </c>
      <c r="N54" s="49">
        <v>241000</v>
      </c>
      <c r="O54" s="49">
        <v>15956260</v>
      </c>
      <c r="P54" s="49">
        <f t="shared" si="8"/>
        <v>33.712610685358698</v>
      </c>
      <c r="Q54" s="49">
        <f t="shared" si="9"/>
        <v>33.712610685358698</v>
      </c>
      <c r="R54" s="48">
        <v>0</v>
      </c>
      <c r="S54" s="48"/>
      <c r="T54" s="48">
        <v>0</v>
      </c>
      <c r="U54" s="48">
        <v>0</v>
      </c>
      <c r="V54" s="48"/>
      <c r="W54" s="49">
        <v>1</v>
      </c>
      <c r="X54" s="49">
        <v>1</v>
      </c>
      <c r="Y54" s="49">
        <v>100000000</v>
      </c>
      <c r="Z54" s="49">
        <f t="shared" si="10"/>
        <v>1192763.87016741</v>
      </c>
      <c r="AA54" s="49">
        <f t="shared" si="11"/>
        <v>1192763.87016741</v>
      </c>
      <c r="AB54" s="82">
        <f t="shared" si="1"/>
        <v>0</v>
      </c>
      <c r="AC54" s="82">
        <f t="shared" si="16"/>
        <v>298190967541853.69</v>
      </c>
      <c r="AD54" s="81">
        <f t="shared" si="0"/>
        <v>357879694945076.31</v>
      </c>
      <c r="AE54" s="80">
        <f t="shared" si="2"/>
        <v>1200.1694682279226</v>
      </c>
      <c r="AF54" s="52">
        <f t="shared" si="12"/>
        <v>1.3546485429656776E-3</v>
      </c>
      <c r="AG54" s="48">
        <f t="shared" si="3"/>
        <v>-7.7609623593325574E-3</v>
      </c>
      <c r="AH54" s="48">
        <f t="shared" si="13"/>
        <v>4.6511627906976744E-3</v>
      </c>
      <c r="AI54" s="48">
        <f t="shared" si="14"/>
        <v>4.1666666666666666E-3</v>
      </c>
      <c r="AJ54" s="48">
        <f t="shared" si="15"/>
        <v>0</v>
      </c>
    </row>
    <row r="55" spans="1:36" x14ac:dyDescent="0.3">
      <c r="A55" s="48">
        <v>20180319</v>
      </c>
      <c r="B55" s="48" t="s">
        <v>88</v>
      </c>
      <c r="C55" s="49">
        <v>2557000</v>
      </c>
      <c r="D55" s="49">
        <v>2537000</v>
      </c>
      <c r="E55" s="49">
        <v>128386494</v>
      </c>
      <c r="F55" s="49">
        <f t="shared" si="4"/>
        <v>0.13657019999015099</v>
      </c>
      <c r="G55" s="49">
        <f t="shared" si="5"/>
        <v>0.13657019999015099</v>
      </c>
      <c r="H55" s="48">
        <v>324000</v>
      </c>
      <c r="I55" s="48">
        <v>319000</v>
      </c>
      <c r="J55" s="51">
        <v>122666424</v>
      </c>
      <c r="K55" s="48">
        <f t="shared" si="6"/>
        <v>1.6135551614087</v>
      </c>
      <c r="L55" s="48">
        <f t="shared" si="7"/>
        <v>1.6135551614087</v>
      </c>
      <c r="M55" s="49">
        <v>241000</v>
      </c>
      <c r="N55" s="49">
        <v>233000</v>
      </c>
      <c r="O55" s="49">
        <v>15956260</v>
      </c>
      <c r="P55" s="49">
        <f t="shared" si="8"/>
        <v>33.712610685358698</v>
      </c>
      <c r="Q55" s="49">
        <f t="shared" si="9"/>
        <v>33.712610685358698</v>
      </c>
      <c r="R55" s="48">
        <v>0</v>
      </c>
      <c r="S55" s="48"/>
      <c r="T55" s="48">
        <v>0</v>
      </c>
      <c r="U55" s="48">
        <v>0</v>
      </c>
      <c r="V55" s="48"/>
      <c r="W55" s="49">
        <v>1</v>
      </c>
      <c r="X55" s="49">
        <v>1</v>
      </c>
      <c r="Y55" s="49">
        <v>100000000</v>
      </c>
      <c r="Z55" s="49">
        <f t="shared" si="10"/>
        <v>1192763.87016741</v>
      </c>
      <c r="AA55" s="49">
        <f t="shared" si="11"/>
        <v>1192763.87016741</v>
      </c>
      <c r="AB55" s="82">
        <f t="shared" si="1"/>
        <v>0</v>
      </c>
      <c r="AC55" s="82">
        <f t="shared" si="16"/>
        <v>298190967541853.69</v>
      </c>
      <c r="AD55" s="81">
        <f t="shared" si="0"/>
        <v>352235956902965.37</v>
      </c>
      <c r="AE55" s="80">
        <f t="shared" si="2"/>
        <v>1181.2428787049896</v>
      </c>
      <c r="AF55" s="52">
        <f t="shared" si="12"/>
        <v>-1.5769930850581076E-2</v>
      </c>
      <c r="AG55" s="48">
        <f t="shared" si="3"/>
        <v>-7.8216660148611658E-3</v>
      </c>
      <c r="AH55" s="48">
        <f t="shared" si="13"/>
        <v>-1.5432098765432098E-2</v>
      </c>
      <c r="AI55" s="48">
        <f t="shared" si="14"/>
        <v>-3.3195020746887967E-2</v>
      </c>
      <c r="AJ55" s="48">
        <f t="shared" si="15"/>
        <v>0</v>
      </c>
    </row>
    <row r="56" spans="1:36" x14ac:dyDescent="0.3">
      <c r="A56" s="48">
        <v>20180320</v>
      </c>
      <c r="B56" s="48" t="s">
        <v>88</v>
      </c>
      <c r="C56" s="49">
        <v>2537000</v>
      </c>
      <c r="D56" s="49">
        <v>2560000</v>
      </c>
      <c r="E56" s="49">
        <v>128386494</v>
      </c>
      <c r="F56" s="49">
        <f t="shared" si="4"/>
        <v>0.13657019999015099</v>
      </c>
      <c r="G56" s="49">
        <f t="shared" si="5"/>
        <v>0.13657019999015099</v>
      </c>
      <c r="H56" s="48">
        <v>319000</v>
      </c>
      <c r="I56" s="48">
        <v>322500</v>
      </c>
      <c r="J56" s="51">
        <v>122666424</v>
      </c>
      <c r="K56" s="48">
        <f t="shared" si="6"/>
        <v>1.6135551614087</v>
      </c>
      <c r="L56" s="48">
        <f t="shared" si="7"/>
        <v>1.6135551614087</v>
      </c>
      <c r="M56" s="49">
        <v>233000</v>
      </c>
      <c r="N56" s="49">
        <v>240600</v>
      </c>
      <c r="O56" s="49">
        <v>15956260</v>
      </c>
      <c r="P56" s="49">
        <f t="shared" si="8"/>
        <v>33.712610685358698</v>
      </c>
      <c r="Q56" s="49">
        <f t="shared" si="9"/>
        <v>33.712610685358698</v>
      </c>
      <c r="R56" s="48">
        <v>0</v>
      </c>
      <c r="S56" s="48"/>
      <c r="T56" s="48">
        <v>0</v>
      </c>
      <c r="U56" s="48">
        <v>0</v>
      </c>
      <c r="V56" s="48"/>
      <c r="W56" s="49">
        <v>1</v>
      </c>
      <c r="X56" s="49">
        <v>1</v>
      </c>
      <c r="Y56" s="49">
        <v>100000000</v>
      </c>
      <c r="Z56" s="49">
        <f t="shared" si="10"/>
        <v>1192763.87016741</v>
      </c>
      <c r="AA56" s="49">
        <f t="shared" si="11"/>
        <v>1192763.87016741</v>
      </c>
      <c r="AB56" s="82">
        <f t="shared" si="1"/>
        <v>0</v>
      </c>
      <c r="AC56" s="82">
        <f t="shared" si="16"/>
        <v>298190967541853.69</v>
      </c>
      <c r="AD56" s="81">
        <f t="shared" si="0"/>
        <v>357420231817646.31</v>
      </c>
      <c r="AE56" s="80">
        <f t="shared" si="2"/>
        <v>1198.6286330670941</v>
      </c>
      <c r="AF56" s="52">
        <f t="shared" si="12"/>
        <v>1.4718187661088582E-2</v>
      </c>
      <c r="AG56" s="48">
        <f t="shared" si="3"/>
        <v>9.0658257784785173E-3</v>
      </c>
      <c r="AH56" s="48">
        <f t="shared" si="13"/>
        <v>1.0971786833855799E-2</v>
      </c>
      <c r="AI56" s="48">
        <f t="shared" si="14"/>
        <v>3.2618025751072963E-2</v>
      </c>
      <c r="AJ56" s="48">
        <f t="shared" si="15"/>
        <v>0</v>
      </c>
    </row>
    <row r="57" spans="1:36" x14ac:dyDescent="0.3">
      <c r="A57" s="48">
        <v>20180321</v>
      </c>
      <c r="B57" s="48" t="s">
        <v>88</v>
      </c>
      <c r="C57" s="49">
        <v>2560000</v>
      </c>
      <c r="D57" s="49">
        <v>2553000</v>
      </c>
      <c r="E57" s="49">
        <v>128386494</v>
      </c>
      <c r="F57" s="49">
        <f t="shared" si="4"/>
        <v>0.13657019999015099</v>
      </c>
      <c r="G57" s="49">
        <f t="shared" si="5"/>
        <v>0.13657019999015099</v>
      </c>
      <c r="H57" s="48">
        <v>322500</v>
      </c>
      <c r="I57" s="48">
        <v>311500</v>
      </c>
      <c r="J57" s="51">
        <v>122666424</v>
      </c>
      <c r="K57" s="48">
        <f t="shared" si="6"/>
        <v>1.6135551614087</v>
      </c>
      <c r="L57" s="48">
        <f t="shared" si="7"/>
        <v>1.6135551614087</v>
      </c>
      <c r="M57" s="49">
        <v>240600</v>
      </c>
      <c r="N57" s="49">
        <v>241000</v>
      </c>
      <c r="O57" s="49">
        <v>15956260</v>
      </c>
      <c r="P57" s="49">
        <f t="shared" si="8"/>
        <v>33.712610685358698</v>
      </c>
      <c r="Q57" s="49">
        <f t="shared" si="9"/>
        <v>33.712610685358698</v>
      </c>
      <c r="R57" s="48">
        <v>0</v>
      </c>
      <c r="S57" s="48"/>
      <c r="T57" s="48">
        <v>0</v>
      </c>
      <c r="U57" s="48">
        <v>0</v>
      </c>
      <c r="V57" s="48"/>
      <c r="W57" s="49">
        <v>1</v>
      </c>
      <c r="X57" s="49">
        <v>1</v>
      </c>
      <c r="Y57" s="49">
        <v>100000000</v>
      </c>
      <c r="Z57" s="49">
        <f t="shared" si="10"/>
        <v>1192763.87016741</v>
      </c>
      <c r="AA57" s="49">
        <f t="shared" si="11"/>
        <v>1192763.87016741</v>
      </c>
      <c r="AB57" s="82">
        <f t="shared" si="1"/>
        <v>0</v>
      </c>
      <c r="AC57" s="82">
        <f t="shared" si="16"/>
        <v>298190967541853.69</v>
      </c>
      <c r="AD57" s="81">
        <f t="shared" si="0"/>
        <v>355335446848720.5</v>
      </c>
      <c r="AE57" s="80">
        <f t="shared" si="2"/>
        <v>1191.6371906833365</v>
      </c>
      <c r="AF57" s="52">
        <f t="shared" si="12"/>
        <v>-5.8328678215100729E-3</v>
      </c>
      <c r="AG57" s="48">
        <f t="shared" si="3"/>
        <v>-2.7343749999999998E-3</v>
      </c>
      <c r="AH57" s="48">
        <f t="shared" si="13"/>
        <v>-3.4108527131782945E-2</v>
      </c>
      <c r="AI57" s="48">
        <f t="shared" si="14"/>
        <v>1.6625103906899418E-3</v>
      </c>
      <c r="AJ57" s="48">
        <f t="shared" si="15"/>
        <v>0</v>
      </c>
    </row>
    <row r="58" spans="1:36" x14ac:dyDescent="0.3">
      <c r="A58" s="48">
        <v>20180322</v>
      </c>
      <c r="B58" s="48" t="s">
        <v>88</v>
      </c>
      <c r="C58" s="49">
        <v>2553000</v>
      </c>
      <c r="D58" s="49">
        <v>2589000</v>
      </c>
      <c r="E58" s="49">
        <v>128386494</v>
      </c>
      <c r="F58" s="49">
        <f t="shared" si="4"/>
        <v>0.13657019999015099</v>
      </c>
      <c r="G58" s="49">
        <f t="shared" si="5"/>
        <v>0.13657019999015099</v>
      </c>
      <c r="H58" s="48">
        <v>311500</v>
      </c>
      <c r="I58" s="48">
        <v>310500</v>
      </c>
      <c r="J58" s="51">
        <v>122666424</v>
      </c>
      <c r="K58" s="48">
        <f t="shared" si="6"/>
        <v>1.6135551614087</v>
      </c>
      <c r="L58" s="48">
        <f t="shared" si="7"/>
        <v>1.6135551614087</v>
      </c>
      <c r="M58" s="49">
        <v>241000</v>
      </c>
      <c r="N58" s="49">
        <v>227900</v>
      </c>
      <c r="O58" s="49">
        <v>15956260</v>
      </c>
      <c r="P58" s="49">
        <f t="shared" si="8"/>
        <v>33.712610685358698</v>
      </c>
      <c r="Q58" s="49">
        <f t="shared" si="9"/>
        <v>33.712610685358698</v>
      </c>
      <c r="R58" s="48">
        <v>0</v>
      </c>
      <c r="S58" s="48"/>
      <c r="T58" s="48">
        <v>0</v>
      </c>
      <c r="U58" s="48">
        <v>0</v>
      </c>
      <c r="V58" s="48"/>
      <c r="W58" s="49">
        <v>1</v>
      </c>
      <c r="X58" s="49">
        <v>1</v>
      </c>
      <c r="Y58" s="49">
        <v>100000000</v>
      </c>
      <c r="Z58" s="49">
        <f t="shared" si="10"/>
        <v>1192763.87016741</v>
      </c>
      <c r="AA58" s="49">
        <f t="shared" si="11"/>
        <v>1192763.87016741</v>
      </c>
      <c r="AB58" s="82">
        <f t="shared" si="1"/>
        <v>0</v>
      </c>
      <c r="AC58" s="82">
        <f t="shared" si="16"/>
        <v>298190967541853.69</v>
      </c>
      <c r="AD58" s="81">
        <f t="shared" si="0"/>
        <v>348721887420957.75</v>
      </c>
      <c r="AE58" s="80">
        <f t="shared" si="2"/>
        <v>1169.4582511860008</v>
      </c>
      <c r="AF58" s="52">
        <f t="shared" si="12"/>
        <v>-1.8612157853698186E-2</v>
      </c>
      <c r="AG58" s="48">
        <f t="shared" si="3"/>
        <v>1.4101057579318449E-2</v>
      </c>
      <c r="AH58" s="48">
        <f t="shared" si="13"/>
        <v>-3.2102728731942215E-3</v>
      </c>
      <c r="AI58" s="48">
        <f t="shared" si="14"/>
        <v>-5.4356846473029047E-2</v>
      </c>
      <c r="AJ58" s="48">
        <f t="shared" si="15"/>
        <v>0</v>
      </c>
    </row>
    <row r="59" spans="1:36" x14ac:dyDescent="0.3">
      <c r="A59" s="48">
        <v>20180323</v>
      </c>
      <c r="B59" s="48" t="s">
        <v>88</v>
      </c>
      <c r="C59" s="49">
        <v>2589000</v>
      </c>
      <c r="D59" s="49">
        <v>2486000</v>
      </c>
      <c r="E59" s="49">
        <v>128386494</v>
      </c>
      <c r="F59" s="49">
        <f t="shared" si="4"/>
        <v>0.13657019999015099</v>
      </c>
      <c r="G59" s="49">
        <f t="shared" si="5"/>
        <v>0.13657019999015099</v>
      </c>
      <c r="H59" s="48">
        <v>310500</v>
      </c>
      <c r="I59" s="48">
        <v>300000</v>
      </c>
      <c r="J59" s="51">
        <v>122666424</v>
      </c>
      <c r="K59" s="48">
        <f t="shared" si="6"/>
        <v>1.6135551614087</v>
      </c>
      <c r="L59" s="48">
        <f t="shared" si="7"/>
        <v>1.6135551614087</v>
      </c>
      <c r="M59" s="49">
        <v>227900</v>
      </c>
      <c r="N59" s="49">
        <v>201500</v>
      </c>
      <c r="O59" s="49">
        <v>15956260</v>
      </c>
      <c r="P59" s="49">
        <f t="shared" si="8"/>
        <v>33.712610685358698</v>
      </c>
      <c r="Q59" s="49">
        <f t="shared" si="9"/>
        <v>33.712610685358698</v>
      </c>
      <c r="R59" s="48">
        <v>0</v>
      </c>
      <c r="S59" s="48"/>
      <c r="T59" s="48">
        <v>0</v>
      </c>
      <c r="U59" s="48">
        <v>0</v>
      </c>
      <c r="V59" s="48"/>
      <c r="W59" s="49">
        <v>1</v>
      </c>
      <c r="X59" s="49">
        <v>1</v>
      </c>
      <c r="Y59" s="49">
        <v>100000000</v>
      </c>
      <c r="Z59" s="49">
        <f t="shared" si="10"/>
        <v>1192763.87016741</v>
      </c>
      <c r="AA59" s="49">
        <f t="shared" si="11"/>
        <v>1192763.87016741</v>
      </c>
      <c r="AB59" s="82">
        <f t="shared" si="1"/>
        <v>0</v>
      </c>
      <c r="AC59" s="82">
        <f t="shared" si="16"/>
        <v>298190967541853.69</v>
      </c>
      <c r="AD59" s="81">
        <f t="shared" si="0"/>
        <v>330636376672472.5</v>
      </c>
      <c r="AE59" s="80">
        <f t="shared" si="2"/>
        <v>1108.8074846736088</v>
      </c>
      <c r="AF59" s="52">
        <f t="shared" si="12"/>
        <v>-5.1862275930657044E-2</v>
      </c>
      <c r="AG59" s="48">
        <f t="shared" si="3"/>
        <v>-3.9783700270374665E-2</v>
      </c>
      <c r="AH59" s="48">
        <f t="shared" si="13"/>
        <v>-3.3816425120772944E-2</v>
      </c>
      <c r="AI59" s="48">
        <f t="shared" si="14"/>
        <v>-0.11584028082492322</v>
      </c>
      <c r="AJ59" s="48">
        <f t="shared" si="15"/>
        <v>0</v>
      </c>
    </row>
    <row r="60" spans="1:36" x14ac:dyDescent="0.3">
      <c r="A60" s="48">
        <v>20180326</v>
      </c>
      <c r="B60" s="48" t="s">
        <v>88</v>
      </c>
      <c r="C60" s="49">
        <v>2486000</v>
      </c>
      <c r="D60" s="49">
        <v>2514000</v>
      </c>
      <c r="E60" s="49">
        <v>128386494</v>
      </c>
      <c r="F60" s="49">
        <f t="shared" si="4"/>
        <v>0.13657019999015099</v>
      </c>
      <c r="G60" s="49">
        <f t="shared" si="5"/>
        <v>0.13657019999015099</v>
      </c>
      <c r="H60" s="48">
        <v>300000</v>
      </c>
      <c r="I60" s="48">
        <v>300000</v>
      </c>
      <c r="J60" s="51">
        <v>122666424</v>
      </c>
      <c r="K60" s="48">
        <f t="shared" si="6"/>
        <v>1.6135551614087</v>
      </c>
      <c r="L60" s="48">
        <f t="shared" si="7"/>
        <v>1.6135551614087</v>
      </c>
      <c r="M60" s="49">
        <v>201500</v>
      </c>
      <c r="N60" s="49">
        <v>208600</v>
      </c>
      <c r="O60" s="49">
        <v>15956260</v>
      </c>
      <c r="P60" s="49">
        <f t="shared" si="8"/>
        <v>33.712610685358698</v>
      </c>
      <c r="Q60" s="49">
        <f t="shared" si="9"/>
        <v>33.712610685358698</v>
      </c>
      <c r="R60" s="48">
        <v>0</v>
      </c>
      <c r="S60" s="48"/>
      <c r="T60" s="48">
        <v>0</v>
      </c>
      <c r="U60" s="48">
        <v>0</v>
      </c>
      <c r="V60" s="48"/>
      <c r="W60" s="49">
        <v>1</v>
      </c>
      <c r="X60" s="49">
        <v>1</v>
      </c>
      <c r="Y60" s="49">
        <v>100000000</v>
      </c>
      <c r="Z60" s="49">
        <f t="shared" si="10"/>
        <v>1192763.87016741</v>
      </c>
      <c r="AA60" s="49">
        <f t="shared" si="11"/>
        <v>1192763.87016741</v>
      </c>
      <c r="AB60" s="82">
        <f t="shared" si="1"/>
        <v>0</v>
      </c>
      <c r="AC60" s="82">
        <f t="shared" si="16"/>
        <v>298190967541853.69</v>
      </c>
      <c r="AD60" s="81">
        <f t="shared" si="0"/>
        <v>334946605196755.62</v>
      </c>
      <c r="AE60" s="80">
        <f t="shared" si="2"/>
        <v>1123.2620758364956</v>
      </c>
      <c r="AF60" s="52">
        <f t="shared" si="12"/>
        <v>1.303615944398291E-2</v>
      </c>
      <c r="AG60" s="48">
        <f t="shared" si="3"/>
        <v>1.1263073209975865E-2</v>
      </c>
      <c r="AH60" s="48">
        <f t="shared" si="13"/>
        <v>0</v>
      </c>
      <c r="AI60" s="48">
        <f t="shared" si="14"/>
        <v>3.5235732009925559E-2</v>
      </c>
      <c r="AJ60" s="48">
        <f t="shared" si="15"/>
        <v>0</v>
      </c>
    </row>
    <row r="61" spans="1:36" x14ac:dyDescent="0.3">
      <c r="A61" s="48">
        <v>20180327</v>
      </c>
      <c r="B61" s="48" t="s">
        <v>88</v>
      </c>
      <c r="C61" s="49">
        <v>2514000</v>
      </c>
      <c r="D61" s="49">
        <v>2499000</v>
      </c>
      <c r="E61" s="49">
        <v>128386494</v>
      </c>
      <c r="F61" s="49">
        <f t="shared" si="4"/>
        <v>0.13657019999015099</v>
      </c>
      <c r="G61" s="49">
        <f t="shared" si="5"/>
        <v>0.13657019999015099</v>
      </c>
      <c r="H61" s="48">
        <v>300000</v>
      </c>
      <c r="I61" s="48">
        <v>297000</v>
      </c>
      <c r="J61" s="51">
        <v>122666424</v>
      </c>
      <c r="K61" s="48">
        <f t="shared" si="6"/>
        <v>1.6135551614087</v>
      </c>
      <c r="L61" s="48">
        <f t="shared" si="7"/>
        <v>1.6135551614087</v>
      </c>
      <c r="M61" s="49">
        <v>208600</v>
      </c>
      <c r="N61" s="49">
        <v>213100</v>
      </c>
      <c r="O61" s="49">
        <v>15956260</v>
      </c>
      <c r="P61" s="49">
        <f t="shared" si="8"/>
        <v>33.712610685358698</v>
      </c>
      <c r="Q61" s="49">
        <f t="shared" si="9"/>
        <v>33.712610685358698</v>
      </c>
      <c r="R61" s="48">
        <v>0</v>
      </c>
      <c r="S61" s="48"/>
      <c r="T61" s="48">
        <v>0</v>
      </c>
      <c r="U61" s="48">
        <v>0</v>
      </c>
      <c r="V61" s="48"/>
      <c r="W61" s="49">
        <v>1</v>
      </c>
      <c r="X61" s="49">
        <v>1</v>
      </c>
      <c r="Y61" s="49">
        <v>100000000</v>
      </c>
      <c r="Z61" s="49">
        <f t="shared" si="10"/>
        <v>1192763.87016741</v>
      </c>
      <c r="AA61" s="49">
        <f t="shared" si="11"/>
        <v>1192763.87016741</v>
      </c>
      <c r="AB61" s="82">
        <f t="shared" si="1"/>
        <v>0</v>
      </c>
      <c r="AC61" s="82">
        <f t="shared" si="16"/>
        <v>298190967541853.69</v>
      </c>
      <c r="AD61" s="81">
        <f t="shared" si="0"/>
        <v>336510483850785.81</v>
      </c>
      <c r="AE61" s="80">
        <f t="shared" si="2"/>
        <v>1128.506629911765</v>
      </c>
      <c r="AF61" s="52">
        <f t="shared" si="12"/>
        <v>4.6690386759152391E-3</v>
      </c>
      <c r="AG61" s="48">
        <f t="shared" si="3"/>
        <v>-5.9665871121718375E-3</v>
      </c>
      <c r="AH61" s="48">
        <f t="shared" si="13"/>
        <v>-0.01</v>
      </c>
      <c r="AI61" s="48">
        <f t="shared" si="14"/>
        <v>2.1572387344199424E-2</v>
      </c>
      <c r="AJ61" s="48">
        <f t="shared" si="15"/>
        <v>0</v>
      </c>
    </row>
    <row r="62" spans="1:36" x14ac:dyDescent="0.3">
      <c r="A62" s="48">
        <v>20180328</v>
      </c>
      <c r="B62" s="48" t="s">
        <v>88</v>
      </c>
      <c r="C62" s="49">
        <v>2499000</v>
      </c>
      <c r="D62" s="49">
        <v>2435000</v>
      </c>
      <c r="E62" s="49">
        <v>128386494</v>
      </c>
      <c r="F62" s="49">
        <f t="shared" si="4"/>
        <v>0.13657019999015099</v>
      </c>
      <c r="G62" s="49">
        <f t="shared" si="5"/>
        <v>0.13657019999015099</v>
      </c>
      <c r="H62" s="48">
        <v>297000</v>
      </c>
      <c r="I62" s="48">
        <v>289500</v>
      </c>
      <c r="J62" s="51">
        <v>122666424</v>
      </c>
      <c r="K62" s="48">
        <f t="shared" si="6"/>
        <v>1.6135551614087</v>
      </c>
      <c r="L62" s="48">
        <f t="shared" si="7"/>
        <v>1.6135551614087</v>
      </c>
      <c r="M62" s="49">
        <v>213100</v>
      </c>
      <c r="N62" s="49">
        <v>212000</v>
      </c>
      <c r="O62" s="49">
        <v>15956260</v>
      </c>
      <c r="P62" s="49">
        <f t="shared" si="8"/>
        <v>33.712610685358698</v>
      </c>
      <c r="Q62" s="49">
        <f t="shared" si="9"/>
        <v>33.712610685358698</v>
      </c>
      <c r="R62" s="48">
        <v>0</v>
      </c>
      <c r="S62" s="48"/>
      <c r="T62" s="48">
        <v>0</v>
      </c>
      <c r="U62" s="48">
        <v>0</v>
      </c>
      <c r="V62" s="48"/>
      <c r="W62" s="49">
        <v>1</v>
      </c>
      <c r="X62" s="49">
        <v>1</v>
      </c>
      <c r="Y62" s="49">
        <v>100000000</v>
      </c>
      <c r="Z62" s="49">
        <f t="shared" si="10"/>
        <v>1192763.87016741</v>
      </c>
      <c r="AA62" s="49">
        <f t="shared" si="11"/>
        <v>1192763.87016741</v>
      </c>
      <c r="AB62" s="82">
        <f t="shared" si="1"/>
        <v>0</v>
      </c>
      <c r="AC62" s="82">
        <f t="shared" si="16"/>
        <v>298190967541853.69</v>
      </c>
      <c r="AD62" s="81">
        <f t="shared" si="0"/>
        <v>333312134913105.06</v>
      </c>
      <c r="AE62" s="80">
        <f t="shared" si="2"/>
        <v>1117.7807888038119</v>
      </c>
      <c r="AF62" s="52">
        <f t="shared" si="12"/>
        <v>-9.5044555553844886E-3</v>
      </c>
      <c r="AG62" s="48">
        <f t="shared" si="3"/>
        <v>-2.5610244097639057E-2</v>
      </c>
      <c r="AH62" s="48">
        <f t="shared" si="13"/>
        <v>-2.5252525252525252E-2</v>
      </c>
      <c r="AI62" s="48">
        <f t="shared" si="14"/>
        <v>-5.1618958235570157E-3</v>
      </c>
      <c r="AJ62" s="48">
        <f t="shared" si="15"/>
        <v>0</v>
      </c>
    </row>
    <row r="63" spans="1:36" x14ac:dyDescent="0.3">
      <c r="A63" s="48">
        <v>20180329</v>
      </c>
      <c r="B63" s="48" t="s">
        <v>88</v>
      </c>
      <c r="C63" s="49">
        <v>2435000</v>
      </c>
      <c r="D63" s="49">
        <v>2452000</v>
      </c>
      <c r="E63" s="49">
        <v>128386494</v>
      </c>
      <c r="F63" s="49">
        <f t="shared" si="4"/>
        <v>0.13657019999015099</v>
      </c>
      <c r="G63" s="49">
        <f t="shared" si="5"/>
        <v>0.13657019999015099</v>
      </c>
      <c r="H63" s="48">
        <v>289500</v>
      </c>
      <c r="I63" s="48">
        <v>317000</v>
      </c>
      <c r="J63" s="51">
        <v>122666424</v>
      </c>
      <c r="K63" s="48">
        <f t="shared" si="6"/>
        <v>1.6135551614087</v>
      </c>
      <c r="L63" s="48">
        <f t="shared" si="7"/>
        <v>1.6135551614087</v>
      </c>
      <c r="M63" s="49">
        <v>212000</v>
      </c>
      <c r="N63" s="49">
        <v>221000</v>
      </c>
      <c r="O63" s="49">
        <v>15956260</v>
      </c>
      <c r="P63" s="49">
        <f t="shared" si="8"/>
        <v>33.712610685358698</v>
      </c>
      <c r="Q63" s="49">
        <f t="shared" si="9"/>
        <v>33.712610685358698</v>
      </c>
      <c r="R63" s="48">
        <v>0</v>
      </c>
      <c r="S63" s="48"/>
      <c r="T63" s="48">
        <v>0</v>
      </c>
      <c r="U63" s="48">
        <v>0</v>
      </c>
      <c r="V63" s="48"/>
      <c r="W63" s="49">
        <v>1</v>
      </c>
      <c r="X63" s="49">
        <v>1</v>
      </c>
      <c r="Y63" s="49">
        <v>100000000</v>
      </c>
      <c r="Z63" s="49">
        <f t="shared" si="10"/>
        <v>1192763.87016741</v>
      </c>
      <c r="AA63" s="49">
        <f t="shared" si="11"/>
        <v>1192763.87016741</v>
      </c>
      <c r="AB63" s="82">
        <f t="shared" si="1"/>
        <v>0</v>
      </c>
      <c r="AC63" s="82">
        <f t="shared" si="16"/>
        <v>298190967541853.69</v>
      </c>
      <c r="AD63" s="81">
        <f t="shared" si="0"/>
        <v>343894602264582.37</v>
      </c>
      <c r="AE63" s="80">
        <f t="shared" si="2"/>
        <v>1153.2696818400905</v>
      </c>
      <c r="AF63" s="52">
        <f t="shared" si="12"/>
        <v>3.1749421167147497E-2</v>
      </c>
      <c r="AG63" s="48">
        <f t="shared" si="3"/>
        <v>6.9815195071868588E-3</v>
      </c>
      <c r="AH63" s="48">
        <f t="shared" si="13"/>
        <v>9.499136442141623E-2</v>
      </c>
      <c r="AI63" s="48">
        <f t="shared" si="14"/>
        <v>4.2452830188679243E-2</v>
      </c>
      <c r="AJ63" s="48">
        <f t="shared" si="15"/>
        <v>0</v>
      </c>
    </row>
    <row r="64" spans="1:36" x14ac:dyDescent="0.3">
      <c r="A64" s="48">
        <v>20180330</v>
      </c>
      <c r="B64" s="48" t="s">
        <v>88</v>
      </c>
      <c r="C64" s="49">
        <v>2452000</v>
      </c>
      <c r="D64" s="49">
        <v>2461000</v>
      </c>
      <c r="E64" s="49">
        <v>128386494</v>
      </c>
      <c r="F64" s="49">
        <f t="shared" si="4"/>
        <v>0.13657019999015099</v>
      </c>
      <c r="G64" s="49">
        <f t="shared" si="5"/>
        <v>0.13657019999015099</v>
      </c>
      <c r="H64" s="48">
        <v>317000</v>
      </c>
      <c r="I64" s="48">
        <v>309500</v>
      </c>
      <c r="J64" s="51">
        <v>122666424</v>
      </c>
      <c r="K64" s="48">
        <f t="shared" si="6"/>
        <v>1.6135551614087</v>
      </c>
      <c r="L64" s="48">
        <f t="shared" si="7"/>
        <v>1.6135551614087</v>
      </c>
      <c r="M64" s="49">
        <v>221000</v>
      </c>
      <c r="N64" s="49">
        <v>224900</v>
      </c>
      <c r="O64" s="49">
        <v>15956260</v>
      </c>
      <c r="P64" s="49">
        <f t="shared" si="8"/>
        <v>33.712610685358698</v>
      </c>
      <c r="Q64" s="49">
        <f t="shared" si="9"/>
        <v>33.712610685358698</v>
      </c>
      <c r="R64" s="48">
        <v>0</v>
      </c>
      <c r="S64" s="48"/>
      <c r="T64" s="48">
        <v>0</v>
      </c>
      <c r="U64" s="48">
        <v>0</v>
      </c>
      <c r="V64" s="48"/>
      <c r="W64" s="49">
        <v>1</v>
      </c>
      <c r="X64" s="49">
        <v>1</v>
      </c>
      <c r="Y64" s="49">
        <v>100000000</v>
      </c>
      <c r="Z64" s="49">
        <f t="shared" si="10"/>
        <v>1192763.87016741</v>
      </c>
      <c r="AA64" s="49">
        <f t="shared" si="11"/>
        <v>1192763.87016741</v>
      </c>
      <c r="AB64" s="82">
        <f t="shared" si="1"/>
        <v>0</v>
      </c>
      <c r="AC64" s="82">
        <f t="shared" si="16"/>
        <v>298190967541853.69</v>
      </c>
      <c r="AD64" s="81">
        <f t="shared" si="0"/>
        <v>344665854382571.25</v>
      </c>
      <c r="AE64" s="80">
        <f t="shared" si="2"/>
        <v>1155.8561187276553</v>
      </c>
      <c r="AF64" s="52">
        <f t="shared" si="12"/>
        <v>2.2426991087097837E-3</v>
      </c>
      <c r="AG64" s="48">
        <f t="shared" si="3"/>
        <v>3.67047308319739E-3</v>
      </c>
      <c r="AH64" s="48">
        <f t="shared" si="13"/>
        <v>-2.365930599369085E-2</v>
      </c>
      <c r="AI64" s="48">
        <f t="shared" si="14"/>
        <v>1.7647058823529412E-2</v>
      </c>
      <c r="AJ64" s="48">
        <f t="shared" si="15"/>
        <v>0</v>
      </c>
    </row>
    <row r="65" spans="1:36" x14ac:dyDescent="0.3">
      <c r="A65" s="48">
        <v>20180402</v>
      </c>
      <c r="B65" s="48" t="s">
        <v>88</v>
      </c>
      <c r="C65" s="49">
        <v>2461000</v>
      </c>
      <c r="D65" s="49">
        <v>2427000</v>
      </c>
      <c r="E65" s="49">
        <v>128386494</v>
      </c>
      <c r="F65" s="49">
        <f t="shared" si="4"/>
        <v>0.13657019999015099</v>
      </c>
      <c r="G65" s="49">
        <f t="shared" si="5"/>
        <v>0.13657019999015099</v>
      </c>
      <c r="H65" s="48">
        <v>309500</v>
      </c>
      <c r="I65" s="48">
        <v>304000</v>
      </c>
      <c r="J65" s="51">
        <v>122666424</v>
      </c>
      <c r="K65" s="48">
        <f t="shared" si="6"/>
        <v>1.6135551614087</v>
      </c>
      <c r="L65" s="48">
        <f t="shared" si="7"/>
        <v>1.6135551614087</v>
      </c>
      <c r="M65" s="49">
        <v>224900</v>
      </c>
      <c r="N65" s="49">
        <v>224000</v>
      </c>
      <c r="O65" s="49">
        <v>15956260</v>
      </c>
      <c r="P65" s="49">
        <f t="shared" si="8"/>
        <v>33.712610685358698</v>
      </c>
      <c r="Q65" s="49">
        <f t="shared" si="9"/>
        <v>33.712610685358698</v>
      </c>
      <c r="R65" s="48">
        <v>0</v>
      </c>
      <c r="S65" s="48"/>
      <c r="T65" s="48">
        <v>0</v>
      </c>
      <c r="U65" s="48">
        <v>0</v>
      </c>
      <c r="V65" s="48"/>
      <c r="W65" s="49">
        <v>1</v>
      </c>
      <c r="X65" s="49">
        <v>1</v>
      </c>
      <c r="Y65" s="49">
        <v>100000000</v>
      </c>
      <c r="Z65" s="49">
        <f t="shared" si="10"/>
        <v>1192763.87016741</v>
      </c>
      <c r="AA65" s="49">
        <f t="shared" si="11"/>
        <v>1192763.87016741</v>
      </c>
      <c r="AB65" s="82">
        <f t="shared" si="1"/>
        <v>0</v>
      </c>
      <c r="AC65" s="82">
        <f t="shared" si="16"/>
        <v>298190967541853.69</v>
      </c>
      <c r="AD65" s="81">
        <f t="shared" si="0"/>
        <v>342496962039167.37</v>
      </c>
      <c r="AE65" s="80">
        <f t="shared" si="2"/>
        <v>1148.5826175841325</v>
      </c>
      <c r="AF65" s="52">
        <f t="shared" si="12"/>
        <v>-6.2927392308389056E-3</v>
      </c>
      <c r="AG65" s="48">
        <f t="shared" si="3"/>
        <v>-1.3815522145469321E-2</v>
      </c>
      <c r="AH65" s="48">
        <f t="shared" si="13"/>
        <v>-1.7770597738287562E-2</v>
      </c>
      <c r="AI65" s="48">
        <f t="shared" si="14"/>
        <v>-4.0017785682525571E-3</v>
      </c>
      <c r="AJ65" s="48">
        <f t="shared" si="15"/>
        <v>0</v>
      </c>
    </row>
    <row r="66" spans="1:36" x14ac:dyDescent="0.3">
      <c r="A66" s="48">
        <v>20180403</v>
      </c>
      <c r="B66" s="48" t="s">
        <v>88</v>
      </c>
      <c r="C66" s="49">
        <v>2427000</v>
      </c>
      <c r="D66" s="49">
        <v>2406000</v>
      </c>
      <c r="E66" s="49">
        <v>128386494</v>
      </c>
      <c r="F66" s="49">
        <f t="shared" si="4"/>
        <v>0.13657019999015099</v>
      </c>
      <c r="G66" s="49">
        <f t="shared" si="5"/>
        <v>0.13657019999015099</v>
      </c>
      <c r="H66" s="48">
        <v>304000</v>
      </c>
      <c r="I66" s="48">
        <v>299000</v>
      </c>
      <c r="J66" s="51">
        <v>122666424</v>
      </c>
      <c r="K66" s="48">
        <f t="shared" si="6"/>
        <v>1.6135551614087</v>
      </c>
      <c r="L66" s="48">
        <f t="shared" si="7"/>
        <v>1.6135551614087</v>
      </c>
      <c r="M66" s="49">
        <v>224000</v>
      </c>
      <c r="N66" s="49">
        <v>237300</v>
      </c>
      <c r="O66" s="49">
        <v>15956260</v>
      </c>
      <c r="P66" s="49">
        <f t="shared" si="8"/>
        <v>33.712610685358698</v>
      </c>
      <c r="Q66" s="49">
        <f t="shared" si="9"/>
        <v>33.712610685358698</v>
      </c>
      <c r="R66" s="48">
        <v>0</v>
      </c>
      <c r="S66" s="48"/>
      <c r="T66" s="48">
        <v>0</v>
      </c>
      <c r="U66" s="48">
        <v>0</v>
      </c>
      <c r="V66" s="48"/>
      <c r="W66" s="49">
        <v>1</v>
      </c>
      <c r="X66" s="49">
        <v>1</v>
      </c>
      <c r="Y66" s="49">
        <v>100000000</v>
      </c>
      <c r="Z66" s="49">
        <f t="shared" si="10"/>
        <v>1192763.87016741</v>
      </c>
      <c r="AA66" s="49">
        <f t="shared" si="11"/>
        <v>1192763.87016741</v>
      </c>
      <c r="AB66" s="82">
        <f t="shared" si="1"/>
        <v>0</v>
      </c>
      <c r="AC66" s="82">
        <f t="shared" si="16"/>
        <v>298190967541853.69</v>
      </c>
      <c r="AD66" s="81">
        <f t="shared" si="0"/>
        <v>348293539191168.75</v>
      </c>
      <c r="AE66" s="80">
        <f t="shared" si="2"/>
        <v>1168.0217615655401</v>
      </c>
      <c r="AF66" s="52">
        <f t="shared" si="12"/>
        <v>1.6924462971845123E-2</v>
      </c>
      <c r="AG66" s="48">
        <f t="shared" si="3"/>
        <v>-8.65265760197775E-3</v>
      </c>
      <c r="AH66" s="48">
        <f t="shared" si="13"/>
        <v>-1.6447368421052631E-2</v>
      </c>
      <c r="AI66" s="48">
        <f t="shared" si="14"/>
        <v>5.9374999999999997E-2</v>
      </c>
      <c r="AJ66" s="48">
        <f t="shared" si="15"/>
        <v>0</v>
      </c>
    </row>
    <row r="67" spans="1:36" x14ac:dyDescent="0.3">
      <c r="A67" s="48">
        <v>20180404</v>
      </c>
      <c r="B67" s="48" t="s">
        <v>88</v>
      </c>
      <c r="C67" s="49">
        <v>2406000</v>
      </c>
      <c r="D67" s="49">
        <v>2346000</v>
      </c>
      <c r="E67" s="49">
        <v>128386494</v>
      </c>
      <c r="F67" s="49">
        <f t="shared" si="4"/>
        <v>0.13657019999015099</v>
      </c>
      <c r="G67" s="49">
        <f t="shared" si="5"/>
        <v>0.13657019999015099</v>
      </c>
      <c r="H67" s="48">
        <v>299000</v>
      </c>
      <c r="I67" s="48">
        <v>294000</v>
      </c>
      <c r="J67" s="51">
        <v>122666424</v>
      </c>
      <c r="K67" s="48">
        <f t="shared" si="6"/>
        <v>1.6135551614087</v>
      </c>
      <c r="L67" s="48">
        <f t="shared" si="7"/>
        <v>1.6135551614087</v>
      </c>
      <c r="M67" s="49">
        <v>237300</v>
      </c>
      <c r="N67" s="49">
        <v>241600</v>
      </c>
      <c r="O67" s="49">
        <v>15956260</v>
      </c>
      <c r="P67" s="49">
        <f t="shared" si="8"/>
        <v>33.712610685358698</v>
      </c>
      <c r="Q67" s="49">
        <f t="shared" si="9"/>
        <v>33.712610685358698</v>
      </c>
      <c r="R67" s="48">
        <v>0</v>
      </c>
      <c r="S67" s="48"/>
      <c r="T67" s="48">
        <v>0</v>
      </c>
      <c r="U67" s="48">
        <v>0</v>
      </c>
      <c r="V67" s="48"/>
      <c r="W67" s="49">
        <v>1</v>
      </c>
      <c r="X67" s="49">
        <v>1</v>
      </c>
      <c r="Y67" s="49">
        <v>100000000</v>
      </c>
      <c r="Z67" s="49">
        <f t="shared" si="10"/>
        <v>1192763.87016741</v>
      </c>
      <c r="AA67" s="49">
        <f t="shared" si="11"/>
        <v>1192763.87016741</v>
      </c>
      <c r="AB67" s="82">
        <f t="shared" si="1"/>
        <v>0</v>
      </c>
      <c r="AC67" s="82">
        <f t="shared" si="16"/>
        <v>298190967541853.69</v>
      </c>
      <c r="AD67" s="81">
        <f t="shared" ref="AD67:AD130" si="17">D67*E67*G67+I67*J67*L67+N67*O67*Q67+X67*Y67*AA67</f>
        <v>348564954713497.87</v>
      </c>
      <c r="AE67" s="80">
        <f t="shared" si="2"/>
        <v>1168.931968620323</v>
      </c>
      <c r="AF67" s="52">
        <f t="shared" si="12"/>
        <v>7.7927234297662119E-4</v>
      </c>
      <c r="AG67" s="48">
        <f t="shared" si="3"/>
        <v>-2.4937655860349128E-2</v>
      </c>
      <c r="AH67" s="48">
        <f t="shared" si="13"/>
        <v>-1.6722408026755852E-2</v>
      </c>
      <c r="AI67" s="48">
        <f t="shared" si="14"/>
        <v>1.8120522545301308E-2</v>
      </c>
      <c r="AJ67" s="48">
        <f t="shared" si="15"/>
        <v>0</v>
      </c>
    </row>
    <row r="68" spans="1:36" x14ac:dyDescent="0.3">
      <c r="A68" s="48">
        <v>20180405</v>
      </c>
      <c r="B68" s="48" t="s">
        <v>88</v>
      </c>
      <c r="C68" s="49">
        <v>2346000</v>
      </c>
      <c r="D68" s="49">
        <v>2437000</v>
      </c>
      <c r="E68" s="49">
        <v>128386494</v>
      </c>
      <c r="F68" s="49">
        <f t="shared" si="4"/>
        <v>0.13657019999015099</v>
      </c>
      <c r="G68" s="49">
        <f t="shared" si="5"/>
        <v>0.13657019999015099</v>
      </c>
      <c r="H68" s="48">
        <v>294000</v>
      </c>
      <c r="I68" s="48">
        <v>295000</v>
      </c>
      <c r="J68" s="51">
        <v>122666424</v>
      </c>
      <c r="K68" s="48">
        <f t="shared" si="6"/>
        <v>1.6135551614087</v>
      </c>
      <c r="L68" s="48">
        <f t="shared" si="7"/>
        <v>1.6135551614087</v>
      </c>
      <c r="M68" s="49">
        <v>241600</v>
      </c>
      <c r="N68" s="49">
        <v>240400</v>
      </c>
      <c r="O68" s="49">
        <v>15956260</v>
      </c>
      <c r="P68" s="49">
        <f t="shared" si="8"/>
        <v>33.712610685358698</v>
      </c>
      <c r="Q68" s="49">
        <f t="shared" si="9"/>
        <v>33.712610685358698</v>
      </c>
      <c r="R68" s="48">
        <v>0</v>
      </c>
      <c r="S68" s="48"/>
      <c r="T68" s="48">
        <v>0</v>
      </c>
      <c r="U68" s="48">
        <v>0</v>
      </c>
      <c r="V68" s="48"/>
      <c r="W68" s="49">
        <v>1</v>
      </c>
      <c r="X68" s="49">
        <v>1</v>
      </c>
      <c r="Y68" s="49">
        <v>100000000</v>
      </c>
      <c r="Z68" s="49">
        <f t="shared" si="10"/>
        <v>1192763.87016741</v>
      </c>
      <c r="AA68" s="49">
        <f t="shared" si="11"/>
        <v>1192763.87016741</v>
      </c>
      <c r="AB68" s="82">
        <f t="shared" ref="AB68:AB131" si="18">IF(AD67&lt;&gt;(C68*E68*F68+H68*J68*K68+M68*O68*P68+W68*Y68*Z68),1,0)</f>
        <v>0</v>
      </c>
      <c r="AC68" s="82">
        <f t="shared" ref="AC68:AC131" si="19">IF(AND(AB68=0,B68="N"),AC67,AC67*(C68*E68*G68+H68*J68*L68+M68*O68*Q68+W68*Y68*AA68)/AD67)</f>
        <v>298190967541853.69</v>
      </c>
      <c r="AD68" s="81">
        <f t="shared" si="17"/>
        <v>349712944131132.31</v>
      </c>
      <c r="AE68" s="80">
        <f t="shared" ref="AE68:AE131" si="20">AD68/AC68*1000</f>
        <v>1172.7818150026528</v>
      </c>
      <c r="AF68" s="52">
        <f t="shared" si="12"/>
        <v>3.2934734318830761E-3</v>
      </c>
      <c r="AG68" s="48">
        <f t="shared" ref="AG68:AG131" si="21">(D68-C68)/C68</f>
        <v>3.8789428815004259E-2</v>
      </c>
      <c r="AH68" s="48">
        <f t="shared" si="13"/>
        <v>3.4013605442176869E-3</v>
      </c>
      <c r="AI68" s="48">
        <f t="shared" si="14"/>
        <v>-4.9668874172185433E-3</v>
      </c>
      <c r="AJ68" s="48">
        <f t="shared" si="15"/>
        <v>0</v>
      </c>
    </row>
    <row r="69" spans="1:36" x14ac:dyDescent="0.3">
      <c r="A69" s="48">
        <v>20180406</v>
      </c>
      <c r="B69" s="48" t="s">
        <v>88</v>
      </c>
      <c r="C69" s="49">
        <v>2437000</v>
      </c>
      <c r="D69" s="49">
        <v>2420000</v>
      </c>
      <c r="E69" s="49">
        <v>128386494</v>
      </c>
      <c r="F69" s="49">
        <f t="shared" ref="F69:F132" si="22">G68</f>
        <v>0.13657019999015099</v>
      </c>
      <c r="G69" s="49">
        <f t="shared" ref="G69:G132" si="23">IF(B69="Y",ROUND(0.15*(C69*E69+H69*J69+M69*O69+W69*Y69)/(C69*E69),17),IF(AB69=0,F69,ROUND(D68*E68*G68/AD68*(C69*E69+H69*J69+M69*O69+W69*Y69)/(C69*E69),17)))</f>
        <v>0.13657019999015099</v>
      </c>
      <c r="H69" s="48">
        <v>295000</v>
      </c>
      <c r="I69" s="48">
        <v>292000</v>
      </c>
      <c r="J69" s="51">
        <v>122666424</v>
      </c>
      <c r="K69" s="48">
        <f t="shared" ref="K69:K132" si="24">L68</f>
        <v>1.6135551614087</v>
      </c>
      <c r="L69" s="48">
        <f t="shared" ref="L69:L132" si="25">IF(B69="Y",ROUND(0.15*(C69*E69+H69*J69+M69*O69+W69*Y69)/(H69*J69),17),IF(AB69=0,K69,ROUND(I68*J68*L68/AD68*(C69*E69+H69*J69+M69*O69+W69*Y69)/(H69*J69),17)))</f>
        <v>1.6135551614087</v>
      </c>
      <c r="M69" s="49">
        <v>240400</v>
      </c>
      <c r="N69" s="49">
        <v>241600</v>
      </c>
      <c r="O69" s="49">
        <v>15956260</v>
      </c>
      <c r="P69" s="49">
        <f t="shared" ref="P69:P132" si="26">Q68</f>
        <v>33.712610685358698</v>
      </c>
      <c r="Q69" s="49">
        <f t="shared" ref="Q69:Q132" si="27">IF(B69="Y",ROUND(0.3*(C69*E69+H69*J69+M69*O69+W69*Y69)/(M69*O69),17),IF(AB69=0,P69,ROUND(N68*O68*Q68/AD68*(C69*E69+H69*J69+M69*O69+W69*Y69)/(M69*O69),17)))</f>
        <v>33.712610685358698</v>
      </c>
      <c r="R69" s="48">
        <v>0</v>
      </c>
      <c r="S69" s="48"/>
      <c r="T69" s="48">
        <v>0</v>
      </c>
      <c r="U69" s="48">
        <v>0</v>
      </c>
      <c r="V69" s="48"/>
      <c r="W69" s="49">
        <v>1</v>
      </c>
      <c r="X69" s="49">
        <v>1</v>
      </c>
      <c r="Y69" s="49">
        <v>100000000</v>
      </c>
      <c r="Z69" s="49">
        <f t="shared" ref="Z69:Z132" si="28">AA68</f>
        <v>1192763.87016741</v>
      </c>
      <c r="AA69" s="49">
        <f t="shared" ref="AA69:AA132" si="29">IF(B69="Y",ROUND(0.4*(C69*E69+H69*J69+M69*O69+W69*Y69)/(W69*Y69),17),IF(AB69=0,Z69,ROUND(X68*Y68*AA68/AD68*(C69*E69+H69*J69+M69*O69+W69*Y69)/(W69*Y69),17)))</f>
        <v>1192763.87016741</v>
      </c>
      <c r="AB69" s="82">
        <f t="shared" si="18"/>
        <v>0</v>
      </c>
      <c r="AC69" s="82">
        <f t="shared" si="19"/>
        <v>298190967541853.69</v>
      </c>
      <c r="AD69" s="81">
        <f t="shared" si="17"/>
        <v>349466595548303.87</v>
      </c>
      <c r="AE69" s="80">
        <f t="shared" si="20"/>
        <v>1171.9556713241261</v>
      </c>
      <c r="AF69" s="52">
        <f t="shared" ref="AF69:AF132" si="30">(AE69-AE68)/AE68</f>
        <v>-7.0443083952903584E-4</v>
      </c>
      <c r="AG69" s="48">
        <f t="shared" si="21"/>
        <v>-6.9757899056216658E-3</v>
      </c>
      <c r="AH69" s="48">
        <f t="shared" ref="AH69:AH132" si="31">(I69-H69)/H69</f>
        <v>-1.0169491525423728E-2</v>
      </c>
      <c r="AI69" s="48">
        <f t="shared" ref="AI69:AI132" si="32">(N69-M69)/M69</f>
        <v>4.9916805324459234E-3</v>
      </c>
      <c r="AJ69" s="48">
        <f t="shared" ref="AJ69:AJ132" si="33">(X69-W69)/X69</f>
        <v>0</v>
      </c>
    </row>
    <row r="70" spans="1:36" x14ac:dyDescent="0.3">
      <c r="A70" s="48">
        <v>20180409</v>
      </c>
      <c r="B70" s="48" t="s">
        <v>88</v>
      </c>
      <c r="C70" s="49">
        <v>2420000</v>
      </c>
      <c r="D70" s="49">
        <v>2460000</v>
      </c>
      <c r="E70" s="49">
        <v>128386494</v>
      </c>
      <c r="F70" s="49">
        <f t="shared" si="22"/>
        <v>0.13657019999015099</v>
      </c>
      <c r="G70" s="49">
        <f t="shared" si="23"/>
        <v>0.13657019999015099</v>
      </c>
      <c r="H70" s="48">
        <v>292000</v>
      </c>
      <c r="I70" s="48">
        <v>306000</v>
      </c>
      <c r="J70" s="51">
        <v>122666424</v>
      </c>
      <c r="K70" s="48">
        <f t="shared" si="24"/>
        <v>1.6135551614087</v>
      </c>
      <c r="L70" s="48">
        <f t="shared" si="25"/>
        <v>1.6135551614087</v>
      </c>
      <c r="M70" s="49">
        <v>241600</v>
      </c>
      <c r="N70" s="49">
        <v>255100</v>
      </c>
      <c r="O70" s="49">
        <v>15956260</v>
      </c>
      <c r="P70" s="49">
        <f t="shared" si="26"/>
        <v>33.712610685358698</v>
      </c>
      <c r="Q70" s="49">
        <f t="shared" si="27"/>
        <v>33.712610685358698</v>
      </c>
      <c r="R70" s="48">
        <v>0</v>
      </c>
      <c r="S70" s="48"/>
      <c r="T70" s="48">
        <v>0</v>
      </c>
      <c r="U70" s="48">
        <v>0</v>
      </c>
      <c r="V70" s="48"/>
      <c r="W70" s="49">
        <v>1</v>
      </c>
      <c r="X70" s="49">
        <v>1</v>
      </c>
      <c r="Y70" s="49">
        <v>100000000</v>
      </c>
      <c r="Z70" s="49">
        <f t="shared" si="28"/>
        <v>1192763.87016741</v>
      </c>
      <c r="AA70" s="49">
        <f t="shared" si="29"/>
        <v>1192763.87016741</v>
      </c>
      <c r="AB70" s="82">
        <f t="shared" si="18"/>
        <v>0</v>
      </c>
      <c r="AC70" s="82">
        <f t="shared" si="19"/>
        <v>298190967541853.69</v>
      </c>
      <c r="AD70" s="81">
        <f t="shared" si="17"/>
        <v>360200969845396.75</v>
      </c>
      <c r="AE70" s="80">
        <f t="shared" si="20"/>
        <v>1207.9539927541214</v>
      </c>
      <c r="AF70" s="52">
        <f t="shared" si="30"/>
        <v>3.0716453114069408E-2</v>
      </c>
      <c r="AG70" s="48">
        <f t="shared" si="21"/>
        <v>1.6528925619834711E-2</v>
      </c>
      <c r="AH70" s="48">
        <f t="shared" si="31"/>
        <v>4.7945205479452052E-2</v>
      </c>
      <c r="AI70" s="48">
        <f t="shared" si="32"/>
        <v>5.587748344370861E-2</v>
      </c>
      <c r="AJ70" s="48">
        <f t="shared" si="33"/>
        <v>0</v>
      </c>
    </row>
    <row r="71" spans="1:36" x14ac:dyDescent="0.3">
      <c r="A71" s="48">
        <v>20180410</v>
      </c>
      <c r="B71" s="48" t="s">
        <v>88</v>
      </c>
      <c r="C71" s="49">
        <v>2460000</v>
      </c>
      <c r="D71" s="49">
        <v>2444000</v>
      </c>
      <c r="E71" s="49">
        <v>128386494</v>
      </c>
      <c r="F71" s="49">
        <f t="shared" si="22"/>
        <v>0.13657019999015099</v>
      </c>
      <c r="G71" s="49">
        <f t="shared" si="23"/>
        <v>0.13657019999015099</v>
      </c>
      <c r="H71" s="48">
        <v>306000</v>
      </c>
      <c r="I71" s="48">
        <v>303000</v>
      </c>
      <c r="J71" s="51">
        <v>122666424</v>
      </c>
      <c r="K71" s="48">
        <f t="shared" si="24"/>
        <v>1.6135551614087</v>
      </c>
      <c r="L71" s="48">
        <f t="shared" si="25"/>
        <v>1.6135551614087</v>
      </c>
      <c r="M71" s="49">
        <v>255100</v>
      </c>
      <c r="N71" s="49">
        <v>260200</v>
      </c>
      <c r="O71" s="49">
        <v>15956260</v>
      </c>
      <c r="P71" s="49">
        <f t="shared" si="26"/>
        <v>33.712610685358698</v>
      </c>
      <c r="Q71" s="49">
        <f t="shared" si="27"/>
        <v>33.712610685358698</v>
      </c>
      <c r="R71" s="48">
        <v>0</v>
      </c>
      <c r="S71" s="48"/>
      <c r="T71" s="48">
        <v>0</v>
      </c>
      <c r="U71" s="48">
        <v>0</v>
      </c>
      <c r="V71" s="48"/>
      <c r="W71" s="49">
        <v>1</v>
      </c>
      <c r="X71" s="49">
        <v>1</v>
      </c>
      <c r="Y71" s="49">
        <v>100000000</v>
      </c>
      <c r="Z71" s="49">
        <f t="shared" si="28"/>
        <v>1192763.87016741</v>
      </c>
      <c r="AA71" s="49">
        <f t="shared" si="29"/>
        <v>1192763.87016741</v>
      </c>
      <c r="AB71" s="82">
        <f t="shared" si="18"/>
        <v>0</v>
      </c>
      <c r="AC71" s="82">
        <f t="shared" si="19"/>
        <v>298190967541853.69</v>
      </c>
      <c r="AD71" s="81">
        <f t="shared" si="17"/>
        <v>362070071039089.94</v>
      </c>
      <c r="AE71" s="80">
        <f t="shared" si="20"/>
        <v>1214.2221275977124</v>
      </c>
      <c r="AF71" s="52">
        <f t="shared" si="30"/>
        <v>5.1890509747807246E-3</v>
      </c>
      <c r="AG71" s="48">
        <f t="shared" si="21"/>
        <v>-6.5040650406504065E-3</v>
      </c>
      <c r="AH71" s="48">
        <f t="shared" si="31"/>
        <v>-9.8039215686274508E-3</v>
      </c>
      <c r="AI71" s="48">
        <f t="shared" si="32"/>
        <v>1.9992159937279499E-2</v>
      </c>
      <c r="AJ71" s="48">
        <f t="shared" si="33"/>
        <v>0</v>
      </c>
    </row>
    <row r="72" spans="1:36" x14ac:dyDescent="0.3">
      <c r="A72" s="48">
        <v>20180411</v>
      </c>
      <c r="B72" s="48" t="s">
        <v>88</v>
      </c>
      <c r="C72" s="49">
        <v>2444000</v>
      </c>
      <c r="D72" s="49">
        <v>2443000</v>
      </c>
      <c r="E72" s="49">
        <v>128386494</v>
      </c>
      <c r="F72" s="49">
        <f t="shared" si="22"/>
        <v>0.13657019999015099</v>
      </c>
      <c r="G72" s="49">
        <f t="shared" si="23"/>
        <v>0.13657019999015099</v>
      </c>
      <c r="H72" s="48">
        <v>303000</v>
      </c>
      <c r="I72" s="48">
        <v>298000</v>
      </c>
      <c r="J72" s="51">
        <v>122666424</v>
      </c>
      <c r="K72" s="48">
        <f t="shared" si="24"/>
        <v>1.6135551614087</v>
      </c>
      <c r="L72" s="48">
        <f t="shared" si="25"/>
        <v>1.6135551614087</v>
      </c>
      <c r="M72" s="49">
        <v>260200</v>
      </c>
      <c r="N72" s="49">
        <v>256500</v>
      </c>
      <c r="O72" s="49">
        <v>15956260</v>
      </c>
      <c r="P72" s="49">
        <f t="shared" si="26"/>
        <v>33.712610685358698</v>
      </c>
      <c r="Q72" s="49">
        <f t="shared" si="27"/>
        <v>33.712610685358698</v>
      </c>
      <c r="R72" s="48">
        <v>0</v>
      </c>
      <c r="S72" s="48"/>
      <c r="T72" s="48">
        <v>0</v>
      </c>
      <c r="U72" s="48">
        <v>0</v>
      </c>
      <c r="V72" s="48"/>
      <c r="W72" s="49">
        <v>1</v>
      </c>
      <c r="X72" s="49">
        <v>1</v>
      </c>
      <c r="Y72" s="49">
        <v>100000000</v>
      </c>
      <c r="Z72" s="49">
        <f t="shared" si="28"/>
        <v>1192763.87016741</v>
      </c>
      <c r="AA72" s="49">
        <f t="shared" si="29"/>
        <v>1192763.87016741</v>
      </c>
      <c r="AB72" s="82">
        <f t="shared" si="18"/>
        <v>0</v>
      </c>
      <c r="AC72" s="82">
        <f t="shared" si="19"/>
        <v>298190967541853.69</v>
      </c>
      <c r="AD72" s="81">
        <f t="shared" si="17"/>
        <v>359072561490959.44</v>
      </c>
      <c r="AE72" s="80">
        <f t="shared" si="20"/>
        <v>1204.1698125566479</v>
      </c>
      <c r="AF72" s="52">
        <f t="shared" si="30"/>
        <v>-8.2788106167630028E-3</v>
      </c>
      <c r="AG72" s="48">
        <f t="shared" si="21"/>
        <v>-4.0916530278232408E-4</v>
      </c>
      <c r="AH72" s="48">
        <f t="shared" si="31"/>
        <v>-1.65016501650165E-2</v>
      </c>
      <c r="AI72" s="48">
        <f t="shared" si="32"/>
        <v>-1.4219830899308224E-2</v>
      </c>
      <c r="AJ72" s="48">
        <f t="shared" si="33"/>
        <v>0</v>
      </c>
    </row>
    <row r="73" spans="1:36" x14ac:dyDescent="0.3">
      <c r="A73" s="48">
        <v>20180412</v>
      </c>
      <c r="B73" s="48" t="s">
        <v>88</v>
      </c>
      <c r="C73" s="49">
        <v>2443000</v>
      </c>
      <c r="D73" s="49">
        <v>2450000</v>
      </c>
      <c r="E73" s="49">
        <v>128386494</v>
      </c>
      <c r="F73" s="49">
        <f t="shared" si="22"/>
        <v>0.13657019999015099</v>
      </c>
      <c r="G73" s="49">
        <f t="shared" si="23"/>
        <v>0.13657019999015099</v>
      </c>
      <c r="H73" s="48">
        <v>298000</v>
      </c>
      <c r="I73" s="48">
        <v>298500</v>
      </c>
      <c r="J73" s="51">
        <v>122666424</v>
      </c>
      <c r="K73" s="48">
        <f t="shared" si="24"/>
        <v>1.6135551614087</v>
      </c>
      <c r="L73" s="48">
        <f t="shared" si="25"/>
        <v>1.6135551614087</v>
      </c>
      <c r="M73" s="49">
        <v>256500</v>
      </c>
      <c r="N73" s="49">
        <v>232100</v>
      </c>
      <c r="O73" s="49">
        <v>15956260</v>
      </c>
      <c r="P73" s="49">
        <f t="shared" si="26"/>
        <v>33.712610685358698</v>
      </c>
      <c r="Q73" s="49">
        <f t="shared" si="27"/>
        <v>33.712610685358698</v>
      </c>
      <c r="R73" s="48">
        <v>0</v>
      </c>
      <c r="S73" s="48"/>
      <c r="T73" s="48">
        <v>0</v>
      </c>
      <c r="U73" s="48">
        <v>0</v>
      </c>
      <c r="V73" s="48"/>
      <c r="W73" s="49">
        <v>1</v>
      </c>
      <c r="X73" s="49">
        <v>1</v>
      </c>
      <c r="Y73" s="49">
        <v>100000000</v>
      </c>
      <c r="Z73" s="49">
        <f t="shared" si="28"/>
        <v>1192763.87016741</v>
      </c>
      <c r="AA73" s="49">
        <f t="shared" si="29"/>
        <v>1192763.87016741</v>
      </c>
      <c r="AB73" s="82">
        <f t="shared" si="18"/>
        <v>0</v>
      </c>
      <c r="AC73" s="82">
        <f t="shared" si="19"/>
        <v>298190967541853.69</v>
      </c>
      <c r="AD73" s="81">
        <f t="shared" si="17"/>
        <v>346168839170344.69</v>
      </c>
      <c r="AE73" s="80">
        <f t="shared" si="20"/>
        <v>1160.8964618345017</v>
      </c>
      <c r="AF73" s="52">
        <f t="shared" si="30"/>
        <v>-3.5936252736870962E-2</v>
      </c>
      <c r="AG73" s="48">
        <f t="shared" si="21"/>
        <v>2.8653295128939827E-3</v>
      </c>
      <c r="AH73" s="48">
        <f t="shared" si="31"/>
        <v>1.6778523489932886E-3</v>
      </c>
      <c r="AI73" s="48">
        <f t="shared" si="32"/>
        <v>-9.5126705653021448E-2</v>
      </c>
      <c r="AJ73" s="48">
        <f t="shared" si="33"/>
        <v>0</v>
      </c>
    </row>
    <row r="74" spans="1:36" x14ac:dyDescent="0.3">
      <c r="A74" s="48">
        <v>20180413</v>
      </c>
      <c r="B74" s="48" t="s">
        <v>88</v>
      </c>
      <c r="C74" s="49">
        <v>2450000</v>
      </c>
      <c r="D74" s="49">
        <v>2490000</v>
      </c>
      <c r="E74" s="49">
        <v>128386494</v>
      </c>
      <c r="F74" s="49">
        <f t="shared" si="22"/>
        <v>0.13657019999015099</v>
      </c>
      <c r="G74" s="49">
        <f t="shared" si="23"/>
        <v>0.13657019999015099</v>
      </c>
      <c r="H74" s="48">
        <v>298500</v>
      </c>
      <c r="I74" s="48">
        <v>290000</v>
      </c>
      <c r="J74" s="51">
        <v>122666424</v>
      </c>
      <c r="K74" s="48">
        <f t="shared" si="24"/>
        <v>1.6135551614087</v>
      </c>
      <c r="L74" s="48">
        <f t="shared" si="25"/>
        <v>1.6135551614087</v>
      </c>
      <c r="M74" s="49">
        <v>232100</v>
      </c>
      <c r="N74" s="49">
        <v>236000</v>
      </c>
      <c r="O74" s="49">
        <v>15956260</v>
      </c>
      <c r="P74" s="49">
        <f t="shared" si="26"/>
        <v>33.712610685358698</v>
      </c>
      <c r="Q74" s="49">
        <f t="shared" si="27"/>
        <v>33.712610685358698</v>
      </c>
      <c r="R74" s="48">
        <v>0</v>
      </c>
      <c r="S74" s="48"/>
      <c r="T74" s="48">
        <v>0</v>
      </c>
      <c r="U74" s="48">
        <v>0</v>
      </c>
      <c r="V74" s="48"/>
      <c r="W74" s="49">
        <v>1</v>
      </c>
      <c r="X74" s="49">
        <v>1</v>
      </c>
      <c r="Y74" s="49">
        <v>100000000</v>
      </c>
      <c r="Z74" s="49">
        <f t="shared" si="28"/>
        <v>1192763.87016741</v>
      </c>
      <c r="AA74" s="49">
        <f t="shared" si="29"/>
        <v>1192763.87016741</v>
      </c>
      <c r="AB74" s="82">
        <f t="shared" si="18"/>
        <v>0</v>
      </c>
      <c r="AC74" s="82">
        <f t="shared" si="19"/>
        <v>298190967541853.69</v>
      </c>
      <c r="AD74" s="81">
        <f t="shared" si="17"/>
        <v>347285709090766.94</v>
      </c>
      <c r="AE74" s="80">
        <f t="shared" si="20"/>
        <v>1164.6419472515456</v>
      </c>
      <c r="AF74" s="52">
        <f t="shared" si="30"/>
        <v>3.2263733590204508E-3</v>
      </c>
      <c r="AG74" s="48">
        <f t="shared" si="21"/>
        <v>1.6326530612244899E-2</v>
      </c>
      <c r="AH74" s="48">
        <f t="shared" si="31"/>
        <v>-2.8475711892797319E-2</v>
      </c>
      <c r="AI74" s="48">
        <f t="shared" si="32"/>
        <v>1.6803102111158982E-2</v>
      </c>
      <c r="AJ74" s="48">
        <f t="shared" si="33"/>
        <v>0</v>
      </c>
    </row>
    <row r="75" spans="1:36" x14ac:dyDescent="0.3">
      <c r="A75" s="48">
        <v>20180416</v>
      </c>
      <c r="B75" s="48" t="s">
        <v>88</v>
      </c>
      <c r="C75" s="49">
        <v>2490000</v>
      </c>
      <c r="D75" s="49">
        <v>2517000</v>
      </c>
      <c r="E75" s="49">
        <v>128386494</v>
      </c>
      <c r="F75" s="49">
        <f t="shared" si="22"/>
        <v>0.13657019999015099</v>
      </c>
      <c r="G75" s="49">
        <f t="shared" si="23"/>
        <v>0.13657019999015099</v>
      </c>
      <c r="H75" s="48">
        <v>290000</v>
      </c>
      <c r="I75" s="48">
        <v>295500</v>
      </c>
      <c r="J75" s="51">
        <v>122666424</v>
      </c>
      <c r="K75" s="48">
        <f t="shared" si="24"/>
        <v>1.6135551614087</v>
      </c>
      <c r="L75" s="48">
        <f t="shared" si="25"/>
        <v>1.6135551614087</v>
      </c>
      <c r="M75" s="49">
        <v>236000</v>
      </c>
      <c r="N75" s="49">
        <v>227300</v>
      </c>
      <c r="O75" s="49">
        <v>15956260</v>
      </c>
      <c r="P75" s="49">
        <f t="shared" si="26"/>
        <v>33.712610685358698</v>
      </c>
      <c r="Q75" s="49">
        <f t="shared" si="27"/>
        <v>33.712610685358698</v>
      </c>
      <c r="R75" s="48">
        <v>0</v>
      </c>
      <c r="S75" s="48"/>
      <c r="T75" s="48">
        <v>0</v>
      </c>
      <c r="U75" s="48">
        <v>0</v>
      </c>
      <c r="V75" s="48"/>
      <c r="W75" s="49">
        <v>1</v>
      </c>
      <c r="X75" s="49">
        <v>1</v>
      </c>
      <c r="Y75" s="49">
        <v>100000000</v>
      </c>
      <c r="Z75" s="49">
        <f t="shared" si="28"/>
        <v>1192763.87016741</v>
      </c>
      <c r="AA75" s="49">
        <f t="shared" si="29"/>
        <v>1192763.87016741</v>
      </c>
      <c r="AB75" s="82">
        <f t="shared" si="18"/>
        <v>0</v>
      </c>
      <c r="AC75" s="82">
        <f t="shared" si="19"/>
        <v>298190967541853.69</v>
      </c>
      <c r="AD75" s="81">
        <f t="shared" si="17"/>
        <v>344167764108845.69</v>
      </c>
      <c r="AE75" s="80">
        <f t="shared" si="20"/>
        <v>1154.1857452826391</v>
      </c>
      <c r="AF75" s="52">
        <f t="shared" si="30"/>
        <v>-8.9780399835178801E-3</v>
      </c>
      <c r="AG75" s="48">
        <f t="shared" si="21"/>
        <v>1.0843373493975903E-2</v>
      </c>
      <c r="AH75" s="48">
        <f t="shared" si="31"/>
        <v>1.896551724137931E-2</v>
      </c>
      <c r="AI75" s="48">
        <f t="shared" si="32"/>
        <v>-3.6864406779661019E-2</v>
      </c>
      <c r="AJ75" s="48">
        <f t="shared" si="33"/>
        <v>0</v>
      </c>
    </row>
    <row r="76" spans="1:36" s="47" customFormat="1" x14ac:dyDescent="0.3">
      <c r="A76" s="48">
        <v>20180417</v>
      </c>
      <c r="B76" s="48" t="s">
        <v>88</v>
      </c>
      <c r="C76" s="49">
        <v>2517000</v>
      </c>
      <c r="D76" s="49">
        <v>2499000</v>
      </c>
      <c r="E76" s="49">
        <v>128386494</v>
      </c>
      <c r="F76" s="49">
        <f t="shared" si="22"/>
        <v>0.13657019999015099</v>
      </c>
      <c r="G76" s="49">
        <f t="shared" si="23"/>
        <v>0.144338813810161</v>
      </c>
      <c r="H76" s="48">
        <v>295500</v>
      </c>
      <c r="I76" s="48">
        <v>290000</v>
      </c>
      <c r="J76" s="51">
        <v>125108377</v>
      </c>
      <c r="K76" s="48">
        <f t="shared" si="24"/>
        <v>1.6135551614087</v>
      </c>
      <c r="L76" s="48">
        <f t="shared" si="25"/>
        <v>1.6720540729881499</v>
      </c>
      <c r="M76" s="49">
        <v>227300</v>
      </c>
      <c r="N76" s="49">
        <v>234100</v>
      </c>
      <c r="O76" s="49">
        <v>15956260</v>
      </c>
      <c r="P76" s="49">
        <f t="shared" si="26"/>
        <v>33.712610685358698</v>
      </c>
      <c r="Q76" s="49">
        <f t="shared" si="27"/>
        <v>35.630307615565798</v>
      </c>
      <c r="R76" s="48">
        <v>0</v>
      </c>
      <c r="S76" s="48"/>
      <c r="T76" s="48">
        <v>0</v>
      </c>
      <c r="U76" s="48">
        <v>0</v>
      </c>
      <c r="V76" s="48"/>
      <c r="W76" s="49">
        <v>1</v>
      </c>
      <c r="X76" s="49">
        <v>1</v>
      </c>
      <c r="Y76" s="49">
        <v>100000000</v>
      </c>
      <c r="Z76" s="49">
        <f t="shared" si="28"/>
        <v>1192763.87016741</v>
      </c>
      <c r="AA76" s="49">
        <f t="shared" si="29"/>
        <v>1260612.6533313701</v>
      </c>
      <c r="AB76" s="82">
        <f t="shared" si="18"/>
        <v>1</v>
      </c>
      <c r="AC76" s="82">
        <f t="shared" si="19"/>
        <v>315153163332844.37</v>
      </c>
      <c r="AD76" s="81">
        <f t="shared" si="17"/>
        <v>366127173955558.62</v>
      </c>
      <c r="AE76" s="80">
        <f t="shared" si="20"/>
        <v>1161.743610895883</v>
      </c>
      <c r="AF76" s="52">
        <f t="shared" si="30"/>
        <v>6.5482229737580623E-3</v>
      </c>
      <c r="AG76" s="48">
        <f t="shared" si="21"/>
        <v>-7.1513706793802142E-3</v>
      </c>
      <c r="AH76" s="48">
        <f t="shared" si="31"/>
        <v>-1.8612521150592216E-2</v>
      </c>
      <c r="AI76" s="48">
        <f t="shared" si="32"/>
        <v>2.9916410030796304E-2</v>
      </c>
      <c r="AJ76" s="48">
        <f t="shared" si="33"/>
        <v>0</v>
      </c>
    </row>
    <row r="77" spans="1:36" x14ac:dyDescent="0.3">
      <c r="A77" s="48">
        <v>20180418</v>
      </c>
      <c r="B77" s="48" t="s">
        <v>88</v>
      </c>
      <c r="C77" s="49">
        <v>2499000</v>
      </c>
      <c r="D77" s="49">
        <v>2568000</v>
      </c>
      <c r="E77" s="49">
        <v>128386494</v>
      </c>
      <c r="F77" s="49">
        <f t="shared" si="22"/>
        <v>0.144338813810161</v>
      </c>
      <c r="G77" s="49">
        <f t="shared" si="23"/>
        <v>0.144338813810161</v>
      </c>
      <c r="H77" s="48">
        <v>290000</v>
      </c>
      <c r="I77" s="48">
        <v>284500</v>
      </c>
      <c r="J77" s="51">
        <v>125108377</v>
      </c>
      <c r="K77" s="48">
        <f t="shared" si="24"/>
        <v>1.6720540729881499</v>
      </c>
      <c r="L77" s="48">
        <f t="shared" si="25"/>
        <v>1.6720540729881499</v>
      </c>
      <c r="M77" s="49">
        <v>234100</v>
      </c>
      <c r="N77" s="49">
        <v>233500</v>
      </c>
      <c r="O77" s="49">
        <v>15956260</v>
      </c>
      <c r="P77" s="49">
        <f t="shared" si="26"/>
        <v>35.630307615565798</v>
      </c>
      <c r="Q77" s="49">
        <f t="shared" si="27"/>
        <v>35.630307615565798</v>
      </c>
      <c r="R77" s="48">
        <v>0</v>
      </c>
      <c r="S77" s="48"/>
      <c r="T77" s="48">
        <v>0</v>
      </c>
      <c r="U77" s="48">
        <v>0</v>
      </c>
      <c r="V77" s="48"/>
      <c r="W77" s="49">
        <v>1</v>
      </c>
      <c r="X77" s="49">
        <v>1</v>
      </c>
      <c r="Y77" s="49">
        <v>100000000</v>
      </c>
      <c r="Z77" s="49">
        <f t="shared" si="28"/>
        <v>1260612.6533313701</v>
      </c>
      <c r="AA77" s="49">
        <f t="shared" si="29"/>
        <v>1260612.6533313701</v>
      </c>
      <c r="AB77" s="82">
        <f t="shared" si="18"/>
        <v>0</v>
      </c>
      <c r="AC77" s="82">
        <f t="shared" si="19"/>
        <v>315153163332844.37</v>
      </c>
      <c r="AD77" s="81">
        <f t="shared" si="17"/>
        <v>365914173885410.56</v>
      </c>
      <c r="AE77" s="80">
        <f t="shared" si="20"/>
        <v>1161.06774882331</v>
      </c>
      <c r="AF77" s="52">
        <f t="shared" si="30"/>
        <v>-5.8176525890403714E-4</v>
      </c>
      <c r="AG77" s="48">
        <f t="shared" si="21"/>
        <v>2.7611044417767107E-2</v>
      </c>
      <c r="AH77" s="48">
        <f t="shared" si="31"/>
        <v>-1.896551724137931E-2</v>
      </c>
      <c r="AI77" s="48">
        <f t="shared" si="32"/>
        <v>-2.5630072618539087E-3</v>
      </c>
      <c r="AJ77" s="48">
        <f t="shared" si="33"/>
        <v>0</v>
      </c>
    </row>
    <row r="78" spans="1:36" x14ac:dyDescent="0.3">
      <c r="A78" s="48">
        <v>20180419</v>
      </c>
      <c r="B78" s="48" t="s">
        <v>88</v>
      </c>
      <c r="C78" s="49">
        <v>2568000</v>
      </c>
      <c r="D78" s="49">
        <v>2639000</v>
      </c>
      <c r="E78" s="49">
        <v>128386494</v>
      </c>
      <c r="F78" s="49">
        <f t="shared" si="22"/>
        <v>0.144338813810161</v>
      </c>
      <c r="G78" s="49">
        <f t="shared" si="23"/>
        <v>0.144338813810161</v>
      </c>
      <c r="H78" s="48">
        <v>284500</v>
      </c>
      <c r="I78" s="48">
        <v>266500</v>
      </c>
      <c r="J78" s="51">
        <v>125108377</v>
      </c>
      <c r="K78" s="48">
        <f t="shared" si="24"/>
        <v>1.6720540729881499</v>
      </c>
      <c r="L78" s="48">
        <f t="shared" si="25"/>
        <v>1.6720540729881499</v>
      </c>
      <c r="M78" s="49">
        <v>233500</v>
      </c>
      <c r="N78" s="49">
        <v>223200</v>
      </c>
      <c r="O78" s="49">
        <v>15956260</v>
      </c>
      <c r="P78" s="49">
        <f t="shared" si="26"/>
        <v>35.630307615565798</v>
      </c>
      <c r="Q78" s="49">
        <f t="shared" si="27"/>
        <v>35.630307615565798</v>
      </c>
      <c r="R78" s="48">
        <v>0</v>
      </c>
      <c r="S78" s="48"/>
      <c r="T78" s="48">
        <v>0</v>
      </c>
      <c r="U78" s="48">
        <v>0</v>
      </c>
      <c r="V78" s="48"/>
      <c r="W78" s="49">
        <v>1</v>
      </c>
      <c r="X78" s="49">
        <v>1</v>
      </c>
      <c r="Y78" s="49">
        <v>100000000</v>
      </c>
      <c r="Z78" s="49">
        <f t="shared" si="28"/>
        <v>1260612.6533313701</v>
      </c>
      <c r="AA78" s="49">
        <f t="shared" si="29"/>
        <v>1260612.6533313701</v>
      </c>
      <c r="AB78" s="82">
        <f t="shared" si="18"/>
        <v>0</v>
      </c>
      <c r="AC78" s="82">
        <f t="shared" si="19"/>
        <v>315153163332844.37</v>
      </c>
      <c r="AD78" s="81">
        <f t="shared" si="17"/>
        <v>357608679895890.31</v>
      </c>
      <c r="AE78" s="80">
        <f t="shared" si="20"/>
        <v>1134.7139153358494</v>
      </c>
      <c r="AF78" s="52">
        <f t="shared" si="30"/>
        <v>-2.2697929138217006E-2</v>
      </c>
      <c r="AG78" s="48">
        <f t="shared" si="21"/>
        <v>2.764797507788162E-2</v>
      </c>
      <c r="AH78" s="48">
        <f t="shared" si="31"/>
        <v>-6.32688927943761E-2</v>
      </c>
      <c r="AI78" s="48">
        <f t="shared" si="32"/>
        <v>-4.411134903640257E-2</v>
      </c>
      <c r="AJ78" s="48">
        <f t="shared" si="33"/>
        <v>0</v>
      </c>
    </row>
    <row r="79" spans="1:36" x14ac:dyDescent="0.3">
      <c r="A79" s="48">
        <v>20180420</v>
      </c>
      <c r="B79" s="48" t="s">
        <v>88</v>
      </c>
      <c r="C79" s="49">
        <v>2639000</v>
      </c>
      <c r="D79" s="49">
        <v>2581000</v>
      </c>
      <c r="E79" s="49">
        <v>128386494</v>
      </c>
      <c r="F79" s="49">
        <f t="shared" si="22"/>
        <v>0.144338813810161</v>
      </c>
      <c r="G79" s="49">
        <f t="shared" si="23"/>
        <v>0.144338813810161</v>
      </c>
      <c r="H79" s="48">
        <v>266500</v>
      </c>
      <c r="I79" s="48">
        <v>269000</v>
      </c>
      <c r="J79" s="51">
        <v>125108377</v>
      </c>
      <c r="K79" s="48">
        <f t="shared" si="24"/>
        <v>1.6720540729881499</v>
      </c>
      <c r="L79" s="48">
        <f t="shared" si="25"/>
        <v>1.6720540729881499</v>
      </c>
      <c r="M79" s="49">
        <v>223200</v>
      </c>
      <c r="N79" s="49">
        <v>224200</v>
      </c>
      <c r="O79" s="49">
        <v>15956260</v>
      </c>
      <c r="P79" s="49">
        <f t="shared" si="26"/>
        <v>35.630307615565798</v>
      </c>
      <c r="Q79" s="49">
        <f t="shared" si="27"/>
        <v>35.630307615565798</v>
      </c>
      <c r="R79" s="48">
        <v>0</v>
      </c>
      <c r="S79" s="48"/>
      <c r="T79" s="48">
        <v>0</v>
      </c>
      <c r="U79" s="48">
        <v>0</v>
      </c>
      <c r="V79" s="48"/>
      <c r="W79" s="49">
        <v>1</v>
      </c>
      <c r="X79" s="49">
        <v>1</v>
      </c>
      <c r="Y79" s="49">
        <v>100000000</v>
      </c>
      <c r="Z79" s="49">
        <f t="shared" si="28"/>
        <v>1260612.6533313701</v>
      </c>
      <c r="AA79" s="49">
        <f t="shared" si="29"/>
        <v>1260612.6533313701</v>
      </c>
      <c r="AB79" s="82">
        <f t="shared" si="18"/>
        <v>0</v>
      </c>
      <c r="AC79" s="82">
        <f t="shared" si="19"/>
        <v>315153163332844.37</v>
      </c>
      <c r="AD79" s="81">
        <f t="shared" si="17"/>
        <v>357625369329717.87</v>
      </c>
      <c r="AE79" s="80">
        <f t="shared" si="20"/>
        <v>1134.7668719162343</v>
      </c>
      <c r="AF79" s="52">
        <f t="shared" si="30"/>
        <v>4.6669543458687316E-5</v>
      </c>
      <c r="AG79" s="48">
        <f t="shared" si="21"/>
        <v>-2.197802197802198E-2</v>
      </c>
      <c r="AH79" s="48">
        <f t="shared" si="31"/>
        <v>9.3808630393996256E-3</v>
      </c>
      <c r="AI79" s="48">
        <f t="shared" si="32"/>
        <v>4.4802867383512543E-3</v>
      </c>
      <c r="AJ79" s="48">
        <f t="shared" si="33"/>
        <v>0</v>
      </c>
    </row>
    <row r="80" spans="1:36" x14ac:dyDescent="0.3">
      <c r="A80" s="48">
        <v>20180423</v>
      </c>
      <c r="B80" s="48" t="s">
        <v>88</v>
      </c>
      <c r="C80" s="49">
        <v>2581000</v>
      </c>
      <c r="D80" s="49">
        <v>2595000</v>
      </c>
      <c r="E80" s="49">
        <v>128386494</v>
      </c>
      <c r="F80" s="49">
        <f t="shared" si="22"/>
        <v>0.144338813810161</v>
      </c>
      <c r="G80" s="49">
        <f t="shared" si="23"/>
        <v>0.144338813810161</v>
      </c>
      <c r="H80" s="48">
        <v>269000</v>
      </c>
      <c r="I80" s="48">
        <v>250500</v>
      </c>
      <c r="J80" s="51">
        <v>125108377</v>
      </c>
      <c r="K80" s="48">
        <f t="shared" si="24"/>
        <v>1.6720540729881499</v>
      </c>
      <c r="L80" s="48">
        <f t="shared" si="25"/>
        <v>1.6720540729881499</v>
      </c>
      <c r="M80" s="49">
        <v>224200</v>
      </c>
      <c r="N80" s="49">
        <v>214000</v>
      </c>
      <c r="O80" s="49">
        <v>15956260</v>
      </c>
      <c r="P80" s="49">
        <f t="shared" si="26"/>
        <v>35.630307615565798</v>
      </c>
      <c r="Q80" s="49">
        <f t="shared" si="27"/>
        <v>35.630307615565798</v>
      </c>
      <c r="R80" s="48">
        <v>0</v>
      </c>
      <c r="S80" s="48"/>
      <c r="T80" s="48">
        <v>0</v>
      </c>
      <c r="U80" s="48">
        <v>0</v>
      </c>
      <c r="V80" s="48"/>
      <c r="W80" s="49">
        <v>1</v>
      </c>
      <c r="X80" s="49">
        <v>1</v>
      </c>
      <c r="Y80" s="49">
        <v>100000000</v>
      </c>
      <c r="Z80" s="49">
        <f t="shared" si="28"/>
        <v>1260612.6533313701</v>
      </c>
      <c r="AA80" s="49">
        <f t="shared" si="29"/>
        <v>1260612.6533313701</v>
      </c>
      <c r="AB80" s="82">
        <f t="shared" si="18"/>
        <v>0</v>
      </c>
      <c r="AC80" s="82">
        <f t="shared" si="19"/>
        <v>315153163332844.37</v>
      </c>
      <c r="AD80" s="81">
        <f t="shared" si="17"/>
        <v>348215858207320.37</v>
      </c>
      <c r="AE80" s="80">
        <f t="shared" si="20"/>
        <v>1104.9099254623611</v>
      </c>
      <c r="AF80" s="52">
        <f t="shared" si="30"/>
        <v>-2.631108397045025E-2</v>
      </c>
      <c r="AG80" s="48">
        <f t="shared" si="21"/>
        <v>5.424254165052305E-3</v>
      </c>
      <c r="AH80" s="48">
        <f t="shared" si="31"/>
        <v>-6.8773234200743494E-2</v>
      </c>
      <c r="AI80" s="48">
        <f t="shared" si="32"/>
        <v>-4.5495093666369314E-2</v>
      </c>
      <c r="AJ80" s="48">
        <f t="shared" si="33"/>
        <v>0</v>
      </c>
    </row>
    <row r="81" spans="1:36" x14ac:dyDescent="0.3">
      <c r="A81" s="48">
        <v>20180424</v>
      </c>
      <c r="B81" s="48" t="s">
        <v>88</v>
      </c>
      <c r="C81" s="49">
        <v>2595000</v>
      </c>
      <c r="D81" s="49">
        <v>2523000</v>
      </c>
      <c r="E81" s="49">
        <v>128386494</v>
      </c>
      <c r="F81" s="49">
        <f t="shared" si="22"/>
        <v>0.144338813810161</v>
      </c>
      <c r="G81" s="49">
        <f t="shared" si="23"/>
        <v>0.144338813810161</v>
      </c>
      <c r="H81" s="48">
        <v>250500</v>
      </c>
      <c r="I81" s="48">
        <v>248500</v>
      </c>
      <c r="J81" s="51">
        <v>125108377</v>
      </c>
      <c r="K81" s="48">
        <f t="shared" si="24"/>
        <v>1.6720540729881499</v>
      </c>
      <c r="L81" s="48">
        <f t="shared" si="25"/>
        <v>1.6720540729881499</v>
      </c>
      <c r="M81" s="49">
        <v>214000</v>
      </c>
      <c r="N81" s="49">
        <v>208900</v>
      </c>
      <c r="O81" s="49">
        <v>15956260</v>
      </c>
      <c r="P81" s="49">
        <f t="shared" si="26"/>
        <v>35.630307615565798</v>
      </c>
      <c r="Q81" s="49">
        <f t="shared" si="27"/>
        <v>35.630307615565798</v>
      </c>
      <c r="R81" s="48">
        <v>0</v>
      </c>
      <c r="S81" s="48"/>
      <c r="T81" s="48">
        <v>0</v>
      </c>
      <c r="U81" s="48">
        <v>0</v>
      </c>
      <c r="V81" s="48"/>
      <c r="W81" s="49">
        <v>1</v>
      </c>
      <c r="X81" s="49">
        <v>1</v>
      </c>
      <c r="Y81" s="49">
        <v>100000000</v>
      </c>
      <c r="Z81" s="49">
        <f t="shared" si="28"/>
        <v>1260612.6533313701</v>
      </c>
      <c r="AA81" s="49">
        <f t="shared" si="29"/>
        <v>1260612.6533313701</v>
      </c>
      <c r="AB81" s="82">
        <f t="shared" si="18"/>
        <v>0</v>
      </c>
      <c r="AC81" s="82">
        <f t="shared" si="19"/>
        <v>315153163332844.37</v>
      </c>
      <c r="AD81" s="81">
        <f t="shared" si="17"/>
        <v>343563754252244.87</v>
      </c>
      <c r="AE81" s="80">
        <f t="shared" si="20"/>
        <v>1090.1485189580503</v>
      </c>
      <c r="AF81" s="52">
        <f t="shared" si="30"/>
        <v>-1.3359827949897122E-2</v>
      </c>
      <c r="AG81" s="48">
        <f t="shared" si="21"/>
        <v>-2.7745664739884393E-2</v>
      </c>
      <c r="AH81" s="48">
        <f t="shared" si="31"/>
        <v>-7.9840319361277438E-3</v>
      </c>
      <c r="AI81" s="48">
        <f t="shared" si="32"/>
        <v>-2.3831775700934581E-2</v>
      </c>
      <c r="AJ81" s="48">
        <f t="shared" si="33"/>
        <v>0</v>
      </c>
    </row>
    <row r="82" spans="1:36" x14ac:dyDescent="0.3">
      <c r="A82" s="48">
        <v>20180425</v>
      </c>
      <c r="B82" s="48" t="s">
        <v>88</v>
      </c>
      <c r="C82" s="49">
        <v>2523000</v>
      </c>
      <c r="D82" s="49">
        <v>2520000</v>
      </c>
      <c r="E82" s="49">
        <v>128386494</v>
      </c>
      <c r="F82" s="49">
        <f t="shared" si="22"/>
        <v>0.144338813810161</v>
      </c>
      <c r="G82" s="49">
        <f t="shared" si="23"/>
        <v>0.144338813810161</v>
      </c>
      <c r="H82" s="48">
        <v>248500</v>
      </c>
      <c r="I82" s="48">
        <v>251000</v>
      </c>
      <c r="J82" s="51">
        <v>125108377</v>
      </c>
      <c r="K82" s="48">
        <f t="shared" si="24"/>
        <v>1.6720540729881499</v>
      </c>
      <c r="L82" s="48">
        <f t="shared" si="25"/>
        <v>1.6720540729881499</v>
      </c>
      <c r="M82" s="49">
        <v>208900</v>
      </c>
      <c r="N82" s="49">
        <v>215000</v>
      </c>
      <c r="O82" s="49">
        <v>15956260</v>
      </c>
      <c r="P82" s="49">
        <f t="shared" si="26"/>
        <v>35.630307615565798</v>
      </c>
      <c r="Q82" s="49">
        <f t="shared" si="27"/>
        <v>35.630307615565798</v>
      </c>
      <c r="R82" s="48">
        <v>0</v>
      </c>
      <c r="S82" s="48"/>
      <c r="T82" s="48">
        <v>0</v>
      </c>
      <c r="U82" s="48">
        <v>0</v>
      </c>
      <c r="V82" s="48"/>
      <c r="W82" s="49">
        <v>1</v>
      </c>
      <c r="X82" s="49">
        <v>1</v>
      </c>
      <c r="Y82" s="49">
        <v>100000000</v>
      </c>
      <c r="Z82" s="49">
        <f t="shared" si="28"/>
        <v>1260612.6533313701</v>
      </c>
      <c r="AA82" s="49">
        <f t="shared" si="29"/>
        <v>1260612.6533313701</v>
      </c>
      <c r="AB82" s="82">
        <f t="shared" si="18"/>
        <v>0</v>
      </c>
      <c r="AC82" s="82">
        <f t="shared" si="19"/>
        <v>315153163332844.37</v>
      </c>
      <c r="AD82" s="81">
        <f t="shared" si="17"/>
        <v>347499142076187.81</v>
      </c>
      <c r="AE82" s="80">
        <f t="shared" si="20"/>
        <v>1102.6357419398064</v>
      </c>
      <c r="AF82" s="52">
        <f t="shared" si="30"/>
        <v>1.1454607115084833E-2</v>
      </c>
      <c r="AG82" s="48">
        <f t="shared" si="21"/>
        <v>-1.1890606420927466E-3</v>
      </c>
      <c r="AH82" s="48">
        <f t="shared" si="31"/>
        <v>1.0060362173038229E-2</v>
      </c>
      <c r="AI82" s="48">
        <f t="shared" si="32"/>
        <v>2.9200574437529919E-2</v>
      </c>
      <c r="AJ82" s="48">
        <f t="shared" si="33"/>
        <v>0</v>
      </c>
    </row>
    <row r="83" spans="1:36" x14ac:dyDescent="0.3">
      <c r="A83" s="48">
        <v>20180426</v>
      </c>
      <c r="B83" s="48" t="s">
        <v>88</v>
      </c>
      <c r="C83" s="49">
        <v>2520000</v>
      </c>
      <c r="D83" s="49">
        <v>2607000</v>
      </c>
      <c r="E83" s="49">
        <v>128386494</v>
      </c>
      <c r="F83" s="49">
        <f t="shared" si="22"/>
        <v>0.144338813810161</v>
      </c>
      <c r="G83" s="49">
        <f t="shared" si="23"/>
        <v>0.144338813810161</v>
      </c>
      <c r="H83" s="48">
        <v>251000</v>
      </c>
      <c r="I83" s="48">
        <v>257000</v>
      </c>
      <c r="J83" s="51">
        <v>125108377</v>
      </c>
      <c r="K83" s="48">
        <f t="shared" si="24"/>
        <v>1.6720540729881499</v>
      </c>
      <c r="L83" s="48">
        <f t="shared" si="25"/>
        <v>1.6720540729881499</v>
      </c>
      <c r="M83" s="49">
        <v>215000</v>
      </c>
      <c r="N83" s="49">
        <v>218700</v>
      </c>
      <c r="O83" s="49">
        <v>15956260</v>
      </c>
      <c r="P83" s="49">
        <f t="shared" si="26"/>
        <v>35.630307615565798</v>
      </c>
      <c r="Q83" s="49">
        <f t="shared" si="27"/>
        <v>35.630307615565798</v>
      </c>
      <c r="R83" s="48">
        <v>0</v>
      </c>
      <c r="S83" s="48"/>
      <c r="T83" s="48">
        <v>0</v>
      </c>
      <c r="U83" s="48">
        <v>0</v>
      </c>
      <c r="V83" s="48"/>
      <c r="W83" s="49">
        <v>1</v>
      </c>
      <c r="X83" s="49">
        <v>1</v>
      </c>
      <c r="Y83" s="49">
        <v>100000000</v>
      </c>
      <c r="Z83" s="49">
        <f t="shared" si="28"/>
        <v>1260612.6533313701</v>
      </c>
      <c r="AA83" s="49">
        <f t="shared" si="29"/>
        <v>1260612.6533313701</v>
      </c>
      <c r="AB83" s="82">
        <f t="shared" si="18"/>
        <v>0</v>
      </c>
      <c r="AC83" s="82">
        <f t="shared" si="19"/>
        <v>315153163332844.37</v>
      </c>
      <c r="AD83" s="81">
        <f t="shared" si="17"/>
        <v>352470028197301</v>
      </c>
      <c r="AE83" s="80">
        <f t="shared" si="20"/>
        <v>1118.4086634886319</v>
      </c>
      <c r="AF83" s="52">
        <f t="shared" si="30"/>
        <v>1.4304743578397927E-2</v>
      </c>
      <c r="AG83" s="48">
        <f t="shared" si="21"/>
        <v>3.4523809523809526E-2</v>
      </c>
      <c r="AH83" s="48">
        <f t="shared" si="31"/>
        <v>2.3904382470119521E-2</v>
      </c>
      <c r="AI83" s="48">
        <f t="shared" si="32"/>
        <v>1.7209302325581394E-2</v>
      </c>
      <c r="AJ83" s="48">
        <f t="shared" si="33"/>
        <v>0</v>
      </c>
    </row>
    <row r="84" spans="1:36" x14ac:dyDescent="0.3">
      <c r="A84" s="48">
        <v>20180427</v>
      </c>
      <c r="B84" s="48" t="s">
        <v>88</v>
      </c>
      <c r="C84" s="49">
        <v>2607000</v>
      </c>
      <c r="D84" s="49">
        <v>2650000</v>
      </c>
      <c r="E84" s="49">
        <v>128386494</v>
      </c>
      <c r="F84" s="49">
        <f t="shared" si="22"/>
        <v>0.144338813810161</v>
      </c>
      <c r="G84" s="49">
        <f t="shared" si="23"/>
        <v>0.144338813810161</v>
      </c>
      <c r="H84" s="48">
        <v>257000</v>
      </c>
      <c r="I84" s="48">
        <v>276500</v>
      </c>
      <c r="J84" s="51">
        <v>125108377</v>
      </c>
      <c r="K84" s="48">
        <f t="shared" si="24"/>
        <v>1.6720540729881499</v>
      </c>
      <c r="L84" s="48">
        <f t="shared" si="25"/>
        <v>1.6720540729881499</v>
      </c>
      <c r="M84" s="49">
        <v>218700</v>
      </c>
      <c r="N84" s="49">
        <v>223000</v>
      </c>
      <c r="O84" s="49">
        <v>15956260</v>
      </c>
      <c r="P84" s="49">
        <f t="shared" si="26"/>
        <v>35.630307615565798</v>
      </c>
      <c r="Q84" s="49">
        <f t="shared" si="27"/>
        <v>35.630307615565798</v>
      </c>
      <c r="R84" s="48">
        <v>0</v>
      </c>
      <c r="S84" s="48"/>
      <c r="T84" s="48">
        <v>0</v>
      </c>
      <c r="U84" s="48">
        <v>0</v>
      </c>
      <c r="V84" s="48"/>
      <c r="W84" s="49">
        <v>1</v>
      </c>
      <c r="X84" s="49">
        <v>1</v>
      </c>
      <c r="Y84" s="49">
        <v>100000000</v>
      </c>
      <c r="Z84" s="49">
        <f t="shared" si="28"/>
        <v>1260612.6533313701</v>
      </c>
      <c r="AA84" s="49">
        <f t="shared" si="29"/>
        <v>1260612.6533313701</v>
      </c>
      <c r="AB84" s="82">
        <f t="shared" si="18"/>
        <v>0</v>
      </c>
      <c r="AC84" s="82">
        <f t="shared" si="19"/>
        <v>315153163332844.37</v>
      </c>
      <c r="AD84" s="81">
        <f t="shared" si="17"/>
        <v>359790697015514.69</v>
      </c>
      <c r="AE84" s="80">
        <f t="shared" si="20"/>
        <v>1141.6375872944261</v>
      </c>
      <c r="AF84" s="52">
        <f t="shared" si="30"/>
        <v>2.0769620769331917E-2</v>
      </c>
      <c r="AG84" s="48">
        <f t="shared" si="21"/>
        <v>1.6494054468738015E-2</v>
      </c>
      <c r="AH84" s="48">
        <f t="shared" si="31"/>
        <v>7.5875486381322951E-2</v>
      </c>
      <c r="AI84" s="48">
        <f t="shared" si="32"/>
        <v>1.9661636945587563E-2</v>
      </c>
      <c r="AJ84" s="48">
        <f t="shared" si="33"/>
        <v>0</v>
      </c>
    </row>
    <row r="85" spans="1:36" x14ac:dyDescent="0.3">
      <c r="A85" s="48">
        <v>20180430</v>
      </c>
      <c r="B85" s="48" t="s">
        <v>88</v>
      </c>
      <c r="C85" s="49">
        <v>2650000</v>
      </c>
      <c r="D85" s="49">
        <v>2650000</v>
      </c>
      <c r="E85" s="49">
        <v>128386494</v>
      </c>
      <c r="F85" s="49">
        <f t="shared" si="22"/>
        <v>0.144338813810161</v>
      </c>
      <c r="G85" s="49">
        <f t="shared" si="23"/>
        <v>0.144338813810161</v>
      </c>
      <c r="H85" s="48">
        <v>276500</v>
      </c>
      <c r="I85" s="48">
        <v>271000</v>
      </c>
      <c r="J85" s="51">
        <v>125108377</v>
      </c>
      <c r="K85" s="48">
        <f t="shared" si="24"/>
        <v>1.6720540729881499</v>
      </c>
      <c r="L85" s="48">
        <f t="shared" si="25"/>
        <v>1.6720540729881499</v>
      </c>
      <c r="M85" s="49">
        <v>223000</v>
      </c>
      <c r="N85" s="49">
        <v>216500</v>
      </c>
      <c r="O85" s="49">
        <v>15956260</v>
      </c>
      <c r="P85" s="49">
        <f t="shared" si="26"/>
        <v>35.630307615565798</v>
      </c>
      <c r="Q85" s="49">
        <f t="shared" si="27"/>
        <v>35.630307615565798</v>
      </c>
      <c r="R85" s="48">
        <v>0</v>
      </c>
      <c r="S85" s="48"/>
      <c r="T85" s="48">
        <v>0</v>
      </c>
      <c r="U85" s="48">
        <v>0</v>
      </c>
      <c r="V85" s="48"/>
      <c r="W85" s="49">
        <v>1</v>
      </c>
      <c r="X85" s="49">
        <v>1</v>
      </c>
      <c r="Y85" s="49">
        <v>100000000</v>
      </c>
      <c r="Z85" s="49">
        <f t="shared" si="28"/>
        <v>1260612.6533313701</v>
      </c>
      <c r="AA85" s="49">
        <f t="shared" si="29"/>
        <v>1260612.6533313701</v>
      </c>
      <c r="AB85" s="82">
        <f t="shared" si="18"/>
        <v>0</v>
      </c>
      <c r="AC85" s="82">
        <f t="shared" si="19"/>
        <v>315153163332844.37</v>
      </c>
      <c r="AD85" s="81">
        <f t="shared" si="17"/>
        <v>354944741233951.19</v>
      </c>
      <c r="AE85" s="80">
        <f t="shared" si="20"/>
        <v>1126.2610772498624</v>
      </c>
      <c r="AF85" s="52">
        <f t="shared" si="30"/>
        <v>-1.3468819015502623E-2</v>
      </c>
      <c r="AG85" s="48">
        <f t="shared" si="21"/>
        <v>0</v>
      </c>
      <c r="AH85" s="48">
        <f t="shared" si="31"/>
        <v>-1.9891500904159132E-2</v>
      </c>
      <c r="AI85" s="48">
        <f t="shared" si="32"/>
        <v>-2.914798206278027E-2</v>
      </c>
      <c r="AJ85" s="48">
        <f t="shared" si="33"/>
        <v>0</v>
      </c>
    </row>
    <row r="86" spans="1:36" x14ac:dyDescent="0.3">
      <c r="A86" s="48">
        <v>20180502</v>
      </c>
      <c r="B86" s="48" t="s">
        <v>88</v>
      </c>
      <c r="C86" s="49">
        <v>2650000</v>
      </c>
      <c r="D86" s="49">
        <v>2650000</v>
      </c>
      <c r="E86" s="49">
        <v>128386494</v>
      </c>
      <c r="F86" s="49">
        <f t="shared" si="22"/>
        <v>0.144338813810161</v>
      </c>
      <c r="G86" s="49">
        <f t="shared" si="23"/>
        <v>0.144338813810161</v>
      </c>
      <c r="H86" s="48">
        <v>271000</v>
      </c>
      <c r="I86" s="48">
        <v>259000</v>
      </c>
      <c r="J86" s="51">
        <v>125108377</v>
      </c>
      <c r="K86" s="48">
        <f t="shared" si="24"/>
        <v>1.6720540729881499</v>
      </c>
      <c r="L86" s="48">
        <f t="shared" si="25"/>
        <v>1.6720540729881499</v>
      </c>
      <c r="M86" s="49">
        <v>216500</v>
      </c>
      <c r="N86" s="49">
        <v>214700</v>
      </c>
      <c r="O86" s="49">
        <v>15956260</v>
      </c>
      <c r="P86" s="49">
        <f t="shared" si="26"/>
        <v>35.630307615565798</v>
      </c>
      <c r="Q86" s="49">
        <f t="shared" si="27"/>
        <v>35.630307615565798</v>
      </c>
      <c r="R86" s="48">
        <v>0</v>
      </c>
      <c r="S86" s="48"/>
      <c r="T86" s="48">
        <v>0</v>
      </c>
      <c r="U86" s="48">
        <v>0</v>
      </c>
      <c r="V86" s="48"/>
      <c r="W86" s="49">
        <v>1</v>
      </c>
      <c r="X86" s="49">
        <v>1</v>
      </c>
      <c r="Y86" s="49">
        <v>100000000</v>
      </c>
      <c r="Z86" s="49">
        <f t="shared" si="28"/>
        <v>1260612.6533313701</v>
      </c>
      <c r="AA86" s="49">
        <f t="shared" si="29"/>
        <v>1260612.6533313701</v>
      </c>
      <c r="AB86" s="82">
        <f t="shared" si="18"/>
        <v>0</v>
      </c>
      <c r="AC86" s="82">
        <f t="shared" si="19"/>
        <v>315153163332844.37</v>
      </c>
      <c r="AD86" s="81">
        <f t="shared" si="17"/>
        <v>351411137964068.62</v>
      </c>
      <c r="AE86" s="80">
        <f t="shared" si="20"/>
        <v>1115.0487408972344</v>
      </c>
      <c r="AF86" s="52">
        <f t="shared" si="30"/>
        <v>-9.9553616644611261E-3</v>
      </c>
      <c r="AG86" s="48">
        <f t="shared" si="21"/>
        <v>0</v>
      </c>
      <c r="AH86" s="48">
        <f t="shared" si="31"/>
        <v>-4.4280442804428041E-2</v>
      </c>
      <c r="AI86" s="48">
        <f t="shared" si="32"/>
        <v>-8.3140877598152432E-3</v>
      </c>
      <c r="AJ86" s="48">
        <f t="shared" si="33"/>
        <v>0</v>
      </c>
    </row>
    <row r="87" spans="1:36" x14ac:dyDescent="0.3">
      <c r="A87" s="48">
        <v>20180503</v>
      </c>
      <c r="B87" s="48" t="s">
        <v>88</v>
      </c>
      <c r="C87" s="49">
        <v>2650000</v>
      </c>
      <c r="D87" s="49">
        <v>2650000</v>
      </c>
      <c r="E87" s="49">
        <v>128386494</v>
      </c>
      <c r="F87" s="49">
        <f t="shared" si="22"/>
        <v>0.144338813810161</v>
      </c>
      <c r="G87" s="49">
        <f t="shared" si="23"/>
        <v>0.144338813810161</v>
      </c>
      <c r="H87" s="48">
        <v>259000</v>
      </c>
      <c r="I87" s="48">
        <v>262000</v>
      </c>
      <c r="J87" s="51">
        <v>125108377</v>
      </c>
      <c r="K87" s="48">
        <f t="shared" si="24"/>
        <v>1.6720540729881499</v>
      </c>
      <c r="L87" s="48">
        <f t="shared" si="25"/>
        <v>1.6720540729881499</v>
      </c>
      <c r="M87" s="49">
        <v>214700</v>
      </c>
      <c r="N87" s="49">
        <v>207700</v>
      </c>
      <c r="O87" s="49">
        <v>15956260</v>
      </c>
      <c r="P87" s="49">
        <f t="shared" si="26"/>
        <v>35.630307615565798</v>
      </c>
      <c r="Q87" s="49">
        <f t="shared" si="27"/>
        <v>35.630307615565798</v>
      </c>
      <c r="R87" s="48">
        <v>0</v>
      </c>
      <c r="S87" s="48"/>
      <c r="T87" s="48">
        <v>0</v>
      </c>
      <c r="U87" s="48">
        <v>0</v>
      </c>
      <c r="V87" s="48"/>
      <c r="W87" s="49">
        <v>1</v>
      </c>
      <c r="X87" s="49">
        <v>1</v>
      </c>
      <c r="Y87" s="49">
        <v>100000000</v>
      </c>
      <c r="Z87" s="49">
        <f t="shared" si="28"/>
        <v>1260612.6533313701</v>
      </c>
      <c r="AA87" s="49">
        <f t="shared" si="29"/>
        <v>1260612.6533313701</v>
      </c>
      <c r="AB87" s="82">
        <f t="shared" si="18"/>
        <v>0</v>
      </c>
      <c r="AC87" s="82">
        <f t="shared" si="19"/>
        <v>315153163332844.37</v>
      </c>
      <c r="AD87" s="81">
        <f t="shared" si="17"/>
        <v>348059016712694.37</v>
      </c>
      <c r="AE87" s="80">
        <f t="shared" si="20"/>
        <v>1104.412257937887</v>
      </c>
      <c r="AF87" s="52">
        <f t="shared" si="30"/>
        <v>-9.5390296129913201E-3</v>
      </c>
      <c r="AG87" s="48">
        <f t="shared" si="21"/>
        <v>0</v>
      </c>
      <c r="AH87" s="48">
        <f t="shared" si="31"/>
        <v>1.1583011583011582E-2</v>
      </c>
      <c r="AI87" s="48">
        <f t="shared" si="32"/>
        <v>-3.2603632976245925E-2</v>
      </c>
      <c r="AJ87" s="48">
        <f t="shared" si="33"/>
        <v>0</v>
      </c>
    </row>
    <row r="88" spans="1:36" x14ac:dyDescent="0.3">
      <c r="A88" s="48">
        <v>20180504</v>
      </c>
      <c r="B88" s="48" t="s">
        <v>88</v>
      </c>
      <c r="C88" s="49">
        <v>53000</v>
      </c>
      <c r="D88" s="49">
        <v>51900</v>
      </c>
      <c r="E88" s="49">
        <v>6419324700</v>
      </c>
      <c r="F88" s="49">
        <f t="shared" si="22"/>
        <v>0.144338813810161</v>
      </c>
      <c r="G88" s="49">
        <f t="shared" si="23"/>
        <v>0.144338813810161</v>
      </c>
      <c r="H88" s="48">
        <v>262000</v>
      </c>
      <c r="I88" s="48">
        <v>250000</v>
      </c>
      <c r="J88" s="51">
        <v>125108377</v>
      </c>
      <c r="K88" s="48">
        <f t="shared" si="24"/>
        <v>1.6720540729881499</v>
      </c>
      <c r="L88" s="48">
        <f t="shared" si="25"/>
        <v>1.6720540729881499</v>
      </c>
      <c r="M88" s="49">
        <v>207700</v>
      </c>
      <c r="N88" s="49">
        <v>200200</v>
      </c>
      <c r="O88" s="49">
        <v>15956260</v>
      </c>
      <c r="P88" s="49">
        <f t="shared" si="26"/>
        <v>35.630307615565798</v>
      </c>
      <c r="Q88" s="49">
        <f t="shared" si="27"/>
        <v>35.630307615565798</v>
      </c>
      <c r="R88" s="48">
        <v>0</v>
      </c>
      <c r="S88" s="48"/>
      <c r="T88" s="48">
        <v>0</v>
      </c>
      <c r="U88" s="48">
        <v>0</v>
      </c>
      <c r="V88" s="48"/>
      <c r="W88" s="49">
        <v>1</v>
      </c>
      <c r="X88" s="49">
        <v>1</v>
      </c>
      <c r="Y88" s="49">
        <v>100000000</v>
      </c>
      <c r="Z88" s="49">
        <f t="shared" si="28"/>
        <v>1260612.6533313701</v>
      </c>
      <c r="AA88" s="49">
        <f t="shared" si="29"/>
        <v>1260612.6533313701</v>
      </c>
      <c r="AB88" s="82">
        <f t="shared" si="18"/>
        <v>0</v>
      </c>
      <c r="AC88" s="82">
        <f t="shared" si="19"/>
        <v>315153163332844.37</v>
      </c>
      <c r="AD88" s="81">
        <f t="shared" si="17"/>
        <v>340265599181380</v>
      </c>
      <c r="AE88" s="80">
        <f t="shared" si="20"/>
        <v>1079.6832739451627</v>
      </c>
      <c r="AF88" s="52">
        <f t="shared" si="30"/>
        <v>-2.2391080699246575E-2</v>
      </c>
      <c r="AG88" s="48">
        <f t="shared" si="21"/>
        <v>-2.0754716981132074E-2</v>
      </c>
      <c r="AH88" s="48">
        <f t="shared" si="31"/>
        <v>-4.5801526717557252E-2</v>
      </c>
      <c r="AI88" s="48">
        <f t="shared" si="32"/>
        <v>-3.6109773712084736E-2</v>
      </c>
      <c r="AJ88" s="48">
        <f t="shared" si="33"/>
        <v>0</v>
      </c>
    </row>
    <row r="89" spans="1:36" x14ac:dyDescent="0.3">
      <c r="A89" s="48">
        <v>20180508</v>
      </c>
      <c r="B89" s="48" t="s">
        <v>88</v>
      </c>
      <c r="C89" s="49">
        <v>51900</v>
      </c>
      <c r="D89" s="49">
        <v>52600</v>
      </c>
      <c r="E89" s="49">
        <v>6419324700</v>
      </c>
      <c r="F89" s="49">
        <f t="shared" si="22"/>
        <v>0.144338813810161</v>
      </c>
      <c r="G89" s="49">
        <f t="shared" si="23"/>
        <v>0.144338813810161</v>
      </c>
      <c r="H89" s="48">
        <v>250000</v>
      </c>
      <c r="I89" s="48">
        <v>236000</v>
      </c>
      <c r="J89" s="51">
        <v>125108377</v>
      </c>
      <c r="K89" s="48">
        <f t="shared" si="24"/>
        <v>1.6720540729881499</v>
      </c>
      <c r="L89" s="48">
        <f t="shared" si="25"/>
        <v>1.6720540729881499</v>
      </c>
      <c r="M89" s="49">
        <v>200200</v>
      </c>
      <c r="N89" s="49">
        <v>194500</v>
      </c>
      <c r="O89" s="49">
        <v>15956260</v>
      </c>
      <c r="P89" s="49">
        <f t="shared" si="26"/>
        <v>35.630307615565798</v>
      </c>
      <c r="Q89" s="49">
        <f t="shared" si="27"/>
        <v>35.630307615565798</v>
      </c>
      <c r="R89" s="48">
        <v>0</v>
      </c>
      <c r="S89" s="48"/>
      <c r="T89" s="48">
        <v>0</v>
      </c>
      <c r="U89" s="48">
        <v>0</v>
      </c>
      <c r="V89" s="48"/>
      <c r="W89" s="49">
        <v>1</v>
      </c>
      <c r="X89" s="49">
        <v>1</v>
      </c>
      <c r="Y89" s="49">
        <v>100000000</v>
      </c>
      <c r="Z89" s="49">
        <f t="shared" si="28"/>
        <v>1260612.6533313701</v>
      </c>
      <c r="AA89" s="49">
        <f t="shared" si="29"/>
        <v>1260612.6533313701</v>
      </c>
      <c r="AB89" s="82">
        <f t="shared" si="18"/>
        <v>0</v>
      </c>
      <c r="AC89" s="82">
        <f t="shared" si="19"/>
        <v>315153163332844.37</v>
      </c>
      <c r="AD89" s="81">
        <f t="shared" si="17"/>
        <v>334744957204147.69</v>
      </c>
      <c r="AE89" s="80">
        <f t="shared" si="20"/>
        <v>1062.1659438988772</v>
      </c>
      <c r="AF89" s="52">
        <f t="shared" si="30"/>
        <v>-1.6224508121050286E-2</v>
      </c>
      <c r="AG89" s="48">
        <f t="shared" si="21"/>
        <v>1.348747591522158E-2</v>
      </c>
      <c r="AH89" s="48">
        <f t="shared" si="31"/>
        <v>-5.6000000000000001E-2</v>
      </c>
      <c r="AI89" s="48">
        <f t="shared" si="32"/>
        <v>-2.8471528471528472E-2</v>
      </c>
      <c r="AJ89" s="48">
        <f t="shared" si="33"/>
        <v>0</v>
      </c>
    </row>
    <row r="90" spans="1:36" x14ac:dyDescent="0.3">
      <c r="A90" s="48">
        <v>20180509</v>
      </c>
      <c r="B90" s="48" t="s">
        <v>88</v>
      </c>
      <c r="C90" s="49">
        <v>52600</v>
      </c>
      <c r="D90" s="49">
        <v>50900</v>
      </c>
      <c r="E90" s="49">
        <v>6419324700</v>
      </c>
      <c r="F90" s="49">
        <f t="shared" si="22"/>
        <v>0.144338813810161</v>
      </c>
      <c r="G90" s="49">
        <f t="shared" si="23"/>
        <v>0.144338813810161</v>
      </c>
      <c r="H90" s="48">
        <v>236000</v>
      </c>
      <c r="I90" s="48">
        <v>259000</v>
      </c>
      <c r="J90" s="51">
        <v>125108377</v>
      </c>
      <c r="K90" s="48">
        <f t="shared" si="24"/>
        <v>1.6720540729881499</v>
      </c>
      <c r="L90" s="48">
        <f t="shared" si="25"/>
        <v>1.6720540729881499</v>
      </c>
      <c r="M90" s="49">
        <v>194500</v>
      </c>
      <c r="N90" s="49">
        <v>201900</v>
      </c>
      <c r="O90" s="49">
        <v>15956260</v>
      </c>
      <c r="P90" s="49">
        <f t="shared" si="26"/>
        <v>35.630307615565798</v>
      </c>
      <c r="Q90" s="49">
        <f t="shared" si="27"/>
        <v>35.630307615565798</v>
      </c>
      <c r="R90" s="48">
        <v>0</v>
      </c>
      <c r="S90" s="48"/>
      <c r="T90" s="48">
        <v>0</v>
      </c>
      <c r="U90" s="48">
        <v>0</v>
      </c>
      <c r="V90" s="48"/>
      <c r="W90" s="49">
        <v>1</v>
      </c>
      <c r="X90" s="49">
        <v>1</v>
      </c>
      <c r="Y90" s="49">
        <v>100000000</v>
      </c>
      <c r="Z90" s="49">
        <f t="shared" si="28"/>
        <v>1260612.6533313701</v>
      </c>
      <c r="AA90" s="49">
        <f t="shared" si="29"/>
        <v>1260612.6533313701</v>
      </c>
      <c r="AB90" s="82">
        <f t="shared" si="18"/>
        <v>0</v>
      </c>
      <c r="AC90" s="82">
        <f t="shared" si="19"/>
        <v>315153163332844.37</v>
      </c>
      <c r="AD90" s="81">
        <f t="shared" si="17"/>
        <v>342188228179399.56</v>
      </c>
      <c r="AE90" s="80">
        <f t="shared" si="20"/>
        <v>1085.7838917453687</v>
      </c>
      <c r="AF90" s="52">
        <f t="shared" si="30"/>
        <v>2.2235647812052228E-2</v>
      </c>
      <c r="AG90" s="48">
        <f t="shared" si="21"/>
        <v>-3.2319391634980987E-2</v>
      </c>
      <c r="AH90" s="48">
        <f t="shared" si="31"/>
        <v>9.7457627118644072E-2</v>
      </c>
      <c r="AI90" s="48">
        <f t="shared" si="32"/>
        <v>3.8046272493573265E-2</v>
      </c>
      <c r="AJ90" s="48">
        <f t="shared" si="33"/>
        <v>0</v>
      </c>
    </row>
    <row r="91" spans="1:36" x14ac:dyDescent="0.3">
      <c r="A91" s="48">
        <v>20180510</v>
      </c>
      <c r="B91" s="48" t="s">
        <v>88</v>
      </c>
      <c r="C91" s="49">
        <v>50900</v>
      </c>
      <c r="D91" s="49">
        <v>51600</v>
      </c>
      <c r="E91" s="49">
        <v>6419324700</v>
      </c>
      <c r="F91" s="49">
        <f t="shared" si="22"/>
        <v>0.144338813810161</v>
      </c>
      <c r="G91" s="49">
        <f t="shared" si="23"/>
        <v>0.144338813810161</v>
      </c>
      <c r="H91" s="48">
        <v>259000</v>
      </c>
      <c r="I91" s="48">
        <v>259000</v>
      </c>
      <c r="J91" s="51">
        <v>125108377</v>
      </c>
      <c r="K91" s="48">
        <f t="shared" si="24"/>
        <v>1.6720540729881499</v>
      </c>
      <c r="L91" s="48">
        <f t="shared" si="25"/>
        <v>1.6720540729881499</v>
      </c>
      <c r="M91" s="49">
        <v>201900</v>
      </c>
      <c r="N91" s="49">
        <v>198600</v>
      </c>
      <c r="O91" s="49">
        <v>15956260</v>
      </c>
      <c r="P91" s="49">
        <f t="shared" si="26"/>
        <v>35.630307615565798</v>
      </c>
      <c r="Q91" s="49">
        <f t="shared" si="27"/>
        <v>35.630307615565798</v>
      </c>
      <c r="R91" s="48">
        <v>0</v>
      </c>
      <c r="S91" s="48"/>
      <c r="T91" s="48">
        <v>0</v>
      </c>
      <c r="U91" s="48">
        <v>0</v>
      </c>
      <c r="V91" s="48"/>
      <c r="W91" s="49">
        <v>1</v>
      </c>
      <c r="X91" s="49">
        <v>1</v>
      </c>
      <c r="Y91" s="49">
        <v>100000000</v>
      </c>
      <c r="Z91" s="49">
        <f t="shared" si="28"/>
        <v>1260612.6533313701</v>
      </c>
      <c r="AA91" s="49">
        <f t="shared" si="29"/>
        <v>1260612.6533313701</v>
      </c>
      <c r="AB91" s="82">
        <f t="shared" si="18"/>
        <v>0</v>
      </c>
      <c r="AC91" s="82">
        <f t="shared" si="19"/>
        <v>315153163332844.37</v>
      </c>
      <c r="AD91" s="81">
        <f t="shared" si="17"/>
        <v>340960681286021.69</v>
      </c>
      <c r="AE91" s="80">
        <f t="shared" si="20"/>
        <v>1081.8888113965118</v>
      </c>
      <c r="AF91" s="52">
        <f t="shared" si="30"/>
        <v>-3.5873440179663178E-3</v>
      </c>
      <c r="AG91" s="48">
        <f t="shared" si="21"/>
        <v>1.37524557956778E-2</v>
      </c>
      <c r="AH91" s="48">
        <f t="shared" si="31"/>
        <v>0</v>
      </c>
      <c r="AI91" s="48">
        <f t="shared" si="32"/>
        <v>-1.6344725111441308E-2</v>
      </c>
      <c r="AJ91" s="48">
        <f t="shared" si="33"/>
        <v>0</v>
      </c>
    </row>
    <row r="92" spans="1:36" x14ac:dyDescent="0.3">
      <c r="A92" s="48">
        <v>20180511</v>
      </c>
      <c r="B92" s="48" t="s">
        <v>88</v>
      </c>
      <c r="C92" s="49">
        <v>51600</v>
      </c>
      <c r="D92" s="49">
        <v>51300</v>
      </c>
      <c r="E92" s="49">
        <v>6419324700</v>
      </c>
      <c r="F92" s="49">
        <f t="shared" si="22"/>
        <v>0.144338813810161</v>
      </c>
      <c r="G92" s="49">
        <f t="shared" si="23"/>
        <v>0.144338813810161</v>
      </c>
      <c r="H92" s="48">
        <v>259000</v>
      </c>
      <c r="I92" s="48">
        <v>260000</v>
      </c>
      <c r="J92" s="51">
        <v>125108377</v>
      </c>
      <c r="K92" s="48">
        <f t="shared" si="24"/>
        <v>1.6720540729881499</v>
      </c>
      <c r="L92" s="48">
        <f t="shared" si="25"/>
        <v>1.6720540729881499</v>
      </c>
      <c r="M92" s="49">
        <v>198600</v>
      </c>
      <c r="N92" s="49">
        <v>198700</v>
      </c>
      <c r="O92" s="49">
        <v>15956260</v>
      </c>
      <c r="P92" s="49">
        <f t="shared" si="26"/>
        <v>35.630307615565798</v>
      </c>
      <c r="Q92" s="49">
        <f t="shared" si="27"/>
        <v>35.630307615565798</v>
      </c>
      <c r="R92" s="48">
        <v>0</v>
      </c>
      <c r="S92" s="48"/>
      <c r="T92" s="48">
        <v>0</v>
      </c>
      <c r="U92" s="48">
        <v>0</v>
      </c>
      <c r="V92" s="48"/>
      <c r="W92" s="49">
        <v>1</v>
      </c>
      <c r="X92" s="49">
        <v>1</v>
      </c>
      <c r="Y92" s="49">
        <v>100000000</v>
      </c>
      <c r="Z92" s="49">
        <f t="shared" si="28"/>
        <v>1260612.6533313701</v>
      </c>
      <c r="AA92" s="49">
        <f t="shared" si="29"/>
        <v>1260612.6533313701</v>
      </c>
      <c r="AB92" s="82">
        <f t="shared" si="18"/>
        <v>0</v>
      </c>
      <c r="AC92" s="82">
        <f t="shared" si="19"/>
        <v>315153163332844.37</v>
      </c>
      <c r="AD92" s="81">
        <f t="shared" si="17"/>
        <v>340948754588770.81</v>
      </c>
      <c r="AE92" s="80">
        <f t="shared" si="20"/>
        <v>1081.8509672666139</v>
      </c>
      <c r="AF92" s="52">
        <f t="shared" si="30"/>
        <v>-3.497968506486276E-5</v>
      </c>
      <c r="AG92" s="48">
        <f t="shared" si="21"/>
        <v>-5.8139534883720929E-3</v>
      </c>
      <c r="AH92" s="48">
        <f t="shared" si="31"/>
        <v>3.8610038610038611E-3</v>
      </c>
      <c r="AI92" s="48">
        <f t="shared" si="32"/>
        <v>5.0352467270896274E-4</v>
      </c>
      <c r="AJ92" s="48">
        <f t="shared" si="33"/>
        <v>0</v>
      </c>
    </row>
    <row r="93" spans="1:36" x14ac:dyDescent="0.3">
      <c r="A93" s="48">
        <v>20180514</v>
      </c>
      <c r="B93" s="48" t="s">
        <v>88</v>
      </c>
      <c r="C93" s="49">
        <v>51300</v>
      </c>
      <c r="D93" s="49">
        <v>50100</v>
      </c>
      <c r="E93" s="49">
        <v>6419324700</v>
      </c>
      <c r="F93" s="49">
        <f t="shared" si="22"/>
        <v>0.144338813810161</v>
      </c>
      <c r="G93" s="49">
        <f t="shared" si="23"/>
        <v>0.144338813810161</v>
      </c>
      <c r="H93" s="48">
        <v>260000</v>
      </c>
      <c r="I93" s="48">
        <v>255000</v>
      </c>
      <c r="J93" s="51">
        <v>125108377</v>
      </c>
      <c r="K93" s="48">
        <f t="shared" si="24"/>
        <v>1.6720540729881499</v>
      </c>
      <c r="L93" s="48">
        <f t="shared" si="25"/>
        <v>1.6720540729881499</v>
      </c>
      <c r="M93" s="49">
        <v>198700</v>
      </c>
      <c r="N93" s="49">
        <v>187700</v>
      </c>
      <c r="O93" s="49">
        <v>15956260</v>
      </c>
      <c r="P93" s="49">
        <f t="shared" si="26"/>
        <v>35.630307615565798</v>
      </c>
      <c r="Q93" s="49">
        <f t="shared" si="27"/>
        <v>35.630307615565798</v>
      </c>
      <c r="R93" s="48">
        <v>0</v>
      </c>
      <c r="S93" s="48"/>
      <c r="T93" s="48">
        <v>0</v>
      </c>
      <c r="U93" s="48">
        <v>0</v>
      </c>
      <c r="V93" s="48"/>
      <c r="W93" s="49">
        <v>1</v>
      </c>
      <c r="X93" s="49">
        <v>1</v>
      </c>
      <c r="Y93" s="49">
        <v>100000000</v>
      </c>
      <c r="Z93" s="49">
        <f t="shared" si="28"/>
        <v>1260612.6533313701</v>
      </c>
      <c r="AA93" s="49">
        <f t="shared" si="29"/>
        <v>1260612.6533313701</v>
      </c>
      <c r="AB93" s="82">
        <f t="shared" si="18"/>
        <v>0</v>
      </c>
      <c r="AC93" s="82">
        <f t="shared" si="19"/>
        <v>315153163332844.37</v>
      </c>
      <c r="AD93" s="81">
        <f t="shared" si="17"/>
        <v>332537154502806.12</v>
      </c>
      <c r="AE93" s="80">
        <f t="shared" si="20"/>
        <v>1055.1604527339043</v>
      </c>
      <c r="AF93" s="52">
        <f t="shared" si="30"/>
        <v>-2.4671156508872364E-2</v>
      </c>
      <c r="AG93" s="48">
        <f t="shared" si="21"/>
        <v>-2.3391812865497075E-2</v>
      </c>
      <c r="AH93" s="48">
        <f t="shared" si="31"/>
        <v>-1.9230769230769232E-2</v>
      </c>
      <c r="AI93" s="48">
        <f t="shared" si="32"/>
        <v>-5.5359838953195774E-2</v>
      </c>
      <c r="AJ93" s="48">
        <f t="shared" si="33"/>
        <v>0</v>
      </c>
    </row>
    <row r="94" spans="1:36" s="47" customFormat="1" x14ac:dyDescent="0.3">
      <c r="A94" s="48">
        <v>20180515</v>
      </c>
      <c r="B94" s="48" t="s">
        <v>88</v>
      </c>
      <c r="C94" s="49">
        <v>50100</v>
      </c>
      <c r="D94" s="49">
        <v>49200</v>
      </c>
      <c r="E94" s="49">
        <v>6419324700</v>
      </c>
      <c r="F94" s="49">
        <f t="shared" si="22"/>
        <v>0.144338813810161</v>
      </c>
      <c r="G94" s="49">
        <f t="shared" si="23"/>
        <v>0.15477434596074699</v>
      </c>
      <c r="H94" s="48">
        <v>255000</v>
      </c>
      <c r="I94" s="48">
        <v>268000</v>
      </c>
      <c r="J94" s="51">
        <v>125395903</v>
      </c>
      <c r="K94" s="48">
        <f t="shared" si="24"/>
        <v>1.6720540729881499</v>
      </c>
      <c r="L94" s="48">
        <f t="shared" si="25"/>
        <v>1.78883056366515</v>
      </c>
      <c r="M94" s="49">
        <v>187700</v>
      </c>
      <c r="N94" s="49">
        <v>196900</v>
      </c>
      <c r="O94" s="49">
        <v>15956260</v>
      </c>
      <c r="P94" s="49">
        <f t="shared" si="26"/>
        <v>35.630307615565798</v>
      </c>
      <c r="Q94" s="49">
        <f t="shared" si="27"/>
        <v>38.206338350767297</v>
      </c>
      <c r="R94" s="48">
        <v>0</v>
      </c>
      <c r="S94" s="48"/>
      <c r="T94" s="48">
        <v>0</v>
      </c>
      <c r="U94" s="48">
        <v>0</v>
      </c>
      <c r="V94" s="48"/>
      <c r="W94" s="49">
        <v>1</v>
      </c>
      <c r="X94" s="49">
        <v>1</v>
      </c>
      <c r="Y94" s="49">
        <v>100000000</v>
      </c>
      <c r="Z94" s="49">
        <f t="shared" si="28"/>
        <v>1260612.6533313701</v>
      </c>
      <c r="AA94" s="49">
        <f t="shared" si="29"/>
        <v>1351753.51507198</v>
      </c>
      <c r="AB94" s="82">
        <f t="shared" si="18"/>
        <v>1</v>
      </c>
      <c r="AC94" s="82">
        <f t="shared" si="19"/>
        <v>337938378767996.19</v>
      </c>
      <c r="AD94" s="81">
        <f t="shared" si="17"/>
        <v>364209675412255.62</v>
      </c>
      <c r="AE94" s="80">
        <f t="shared" si="20"/>
        <v>1077.7399025823445</v>
      </c>
      <c r="AF94" s="52">
        <f t="shared" si="30"/>
        <v>2.1399067591982963E-2</v>
      </c>
      <c r="AG94" s="48">
        <f t="shared" si="21"/>
        <v>-1.7964071856287425E-2</v>
      </c>
      <c r="AH94" s="48">
        <f t="shared" si="31"/>
        <v>5.0980392156862744E-2</v>
      </c>
      <c r="AI94" s="48">
        <f t="shared" si="32"/>
        <v>4.9014384656366546E-2</v>
      </c>
      <c r="AJ94" s="48">
        <f t="shared" si="33"/>
        <v>0</v>
      </c>
    </row>
    <row r="95" spans="1:36" x14ac:dyDescent="0.3">
      <c r="A95" s="48">
        <v>20180516</v>
      </c>
      <c r="B95" s="48" t="s">
        <v>88</v>
      </c>
      <c r="C95" s="49">
        <v>49200</v>
      </c>
      <c r="D95" s="49">
        <v>49850</v>
      </c>
      <c r="E95" s="49">
        <v>6419324700</v>
      </c>
      <c r="F95" s="49">
        <f t="shared" si="22"/>
        <v>0.15477434596074699</v>
      </c>
      <c r="G95" s="49">
        <f t="shared" si="23"/>
        <v>0.15477434596074699</v>
      </c>
      <c r="H95" s="48">
        <v>268000</v>
      </c>
      <c r="I95" s="48">
        <v>268500</v>
      </c>
      <c r="J95" s="51">
        <v>125395903</v>
      </c>
      <c r="K95" s="48">
        <f t="shared" si="24"/>
        <v>1.78883056366515</v>
      </c>
      <c r="L95" s="48">
        <f t="shared" si="25"/>
        <v>1.78883056366515</v>
      </c>
      <c r="M95" s="49">
        <v>196900</v>
      </c>
      <c r="N95" s="49">
        <v>205500</v>
      </c>
      <c r="O95" s="49">
        <v>15956260</v>
      </c>
      <c r="P95" s="49">
        <f t="shared" si="26"/>
        <v>38.206338350767297</v>
      </c>
      <c r="Q95" s="49">
        <f t="shared" si="27"/>
        <v>38.206338350767297</v>
      </c>
      <c r="R95" s="48">
        <v>0</v>
      </c>
      <c r="S95" s="48"/>
      <c r="T95" s="48">
        <v>0</v>
      </c>
      <c r="U95" s="48">
        <v>0</v>
      </c>
      <c r="V95" s="48"/>
      <c r="W95" s="49">
        <v>1</v>
      </c>
      <c r="X95" s="49">
        <v>1</v>
      </c>
      <c r="Y95" s="49">
        <v>100000000</v>
      </c>
      <c r="Z95" s="49">
        <f t="shared" si="28"/>
        <v>1351753.51507198</v>
      </c>
      <c r="AA95" s="49">
        <f t="shared" si="29"/>
        <v>1351753.51507198</v>
      </c>
      <c r="AB95" s="82">
        <f t="shared" si="18"/>
        <v>0</v>
      </c>
      <c r="AC95" s="82">
        <f t="shared" si="19"/>
        <v>337938378767996.19</v>
      </c>
      <c r="AD95" s="81">
        <f t="shared" si="17"/>
        <v>370210457140453.12</v>
      </c>
      <c r="AE95" s="80">
        <f t="shared" si="20"/>
        <v>1095.4969319853801</v>
      </c>
      <c r="AF95" s="52">
        <f t="shared" si="30"/>
        <v>1.6476173296069371E-2</v>
      </c>
      <c r="AG95" s="48">
        <f t="shared" si="21"/>
        <v>1.3211382113821139E-2</v>
      </c>
      <c r="AH95" s="48">
        <f t="shared" si="31"/>
        <v>1.8656716417910447E-3</v>
      </c>
      <c r="AI95" s="48">
        <f t="shared" si="32"/>
        <v>4.3676993397663788E-2</v>
      </c>
      <c r="AJ95" s="48">
        <f t="shared" si="33"/>
        <v>0</v>
      </c>
    </row>
    <row r="96" spans="1:36" x14ac:dyDescent="0.3">
      <c r="A96" s="48">
        <v>20180517</v>
      </c>
      <c r="B96" s="48" t="s">
        <v>88</v>
      </c>
      <c r="C96" s="49">
        <v>49850</v>
      </c>
      <c r="D96" s="49">
        <v>49400</v>
      </c>
      <c r="E96" s="49">
        <v>6419324700</v>
      </c>
      <c r="F96" s="49">
        <f t="shared" si="22"/>
        <v>0.15477434596074699</v>
      </c>
      <c r="G96" s="49">
        <f t="shared" si="23"/>
        <v>0.15477434596074699</v>
      </c>
      <c r="H96" s="48">
        <v>268500</v>
      </c>
      <c r="I96" s="48">
        <v>267500</v>
      </c>
      <c r="J96" s="51">
        <v>125395903</v>
      </c>
      <c r="K96" s="48">
        <f t="shared" si="24"/>
        <v>1.78883056366515</v>
      </c>
      <c r="L96" s="48">
        <f t="shared" si="25"/>
        <v>1.78883056366515</v>
      </c>
      <c r="M96" s="49">
        <v>205500</v>
      </c>
      <c r="N96" s="49">
        <v>213000</v>
      </c>
      <c r="O96" s="49">
        <v>15956260</v>
      </c>
      <c r="P96" s="49">
        <f t="shared" si="26"/>
        <v>38.206338350767297</v>
      </c>
      <c r="Q96" s="49">
        <f t="shared" si="27"/>
        <v>38.206338350767297</v>
      </c>
      <c r="R96" s="48">
        <v>0</v>
      </c>
      <c r="S96" s="48"/>
      <c r="T96" s="48">
        <v>0</v>
      </c>
      <c r="U96" s="48">
        <v>0</v>
      </c>
      <c r="V96" s="48"/>
      <c r="W96" s="49">
        <v>1</v>
      </c>
      <c r="X96" s="49">
        <v>1</v>
      </c>
      <c r="Y96" s="49">
        <v>100000000</v>
      </c>
      <c r="Z96" s="49">
        <f t="shared" si="28"/>
        <v>1351753.51507198</v>
      </c>
      <c r="AA96" s="49">
        <f t="shared" si="29"/>
        <v>1351753.51507198</v>
      </c>
      <c r="AB96" s="82">
        <f t="shared" si="18"/>
        <v>0</v>
      </c>
      <c r="AC96" s="82">
        <f t="shared" si="19"/>
        <v>337938378767996.19</v>
      </c>
      <c r="AD96" s="81">
        <f t="shared" si="17"/>
        <v>374111276077526</v>
      </c>
      <c r="AE96" s="80">
        <f t="shared" si="20"/>
        <v>1107.0399208323227</v>
      </c>
      <c r="AF96" s="52">
        <f t="shared" si="30"/>
        <v>1.0536760542106732E-2</v>
      </c>
      <c r="AG96" s="48">
        <f t="shared" si="21"/>
        <v>-9.0270812437311942E-3</v>
      </c>
      <c r="AH96" s="48">
        <f t="shared" si="31"/>
        <v>-3.7243947858472998E-3</v>
      </c>
      <c r="AI96" s="48">
        <f t="shared" si="32"/>
        <v>3.6496350364963501E-2</v>
      </c>
      <c r="AJ96" s="48">
        <f t="shared" si="33"/>
        <v>0</v>
      </c>
    </row>
    <row r="97" spans="1:36" x14ac:dyDescent="0.3">
      <c r="A97" s="48">
        <v>20180518</v>
      </c>
      <c r="B97" s="48" t="s">
        <v>88</v>
      </c>
      <c r="C97" s="49">
        <v>49400</v>
      </c>
      <c r="D97" s="49">
        <v>49500</v>
      </c>
      <c r="E97" s="49">
        <v>6419324700</v>
      </c>
      <c r="F97" s="49">
        <f t="shared" si="22"/>
        <v>0.15477434596074699</v>
      </c>
      <c r="G97" s="49">
        <f t="shared" si="23"/>
        <v>0.15477434596074699</v>
      </c>
      <c r="H97" s="48">
        <v>267500</v>
      </c>
      <c r="I97" s="48">
        <v>270000</v>
      </c>
      <c r="J97" s="51">
        <v>125395903</v>
      </c>
      <c r="K97" s="48">
        <f t="shared" si="24"/>
        <v>1.78883056366515</v>
      </c>
      <c r="L97" s="48">
        <f t="shared" si="25"/>
        <v>1.78883056366515</v>
      </c>
      <c r="M97" s="49">
        <v>213000</v>
      </c>
      <c r="N97" s="49">
        <v>220100</v>
      </c>
      <c r="O97" s="49">
        <v>15956260</v>
      </c>
      <c r="P97" s="49">
        <f t="shared" si="26"/>
        <v>38.206338350767297</v>
      </c>
      <c r="Q97" s="49">
        <f t="shared" si="27"/>
        <v>38.206338350767297</v>
      </c>
      <c r="R97" s="48">
        <v>0</v>
      </c>
      <c r="S97" s="48"/>
      <c r="T97" s="48">
        <v>0</v>
      </c>
      <c r="U97" s="48">
        <v>0</v>
      </c>
      <c r="V97" s="48"/>
      <c r="W97" s="49">
        <v>1</v>
      </c>
      <c r="X97" s="49">
        <v>1</v>
      </c>
      <c r="Y97" s="49">
        <v>100000000</v>
      </c>
      <c r="Z97" s="49">
        <f t="shared" si="28"/>
        <v>1351753.51507198</v>
      </c>
      <c r="AA97" s="49">
        <f t="shared" si="29"/>
        <v>1351753.51507198</v>
      </c>
      <c r="AB97" s="82">
        <f t="shared" si="18"/>
        <v>0</v>
      </c>
      <c r="AC97" s="82">
        <f t="shared" si="19"/>
        <v>337938378767996.19</v>
      </c>
      <c r="AD97" s="81">
        <f t="shared" si="17"/>
        <v>379099785720780.19</v>
      </c>
      <c r="AE97" s="80">
        <f t="shared" si="20"/>
        <v>1121.8015163085174</v>
      </c>
      <c r="AF97" s="52">
        <f t="shared" si="30"/>
        <v>1.3334293730885816E-2</v>
      </c>
      <c r="AG97" s="48">
        <f t="shared" si="21"/>
        <v>2.0242914979757085E-3</v>
      </c>
      <c r="AH97" s="48">
        <f t="shared" si="31"/>
        <v>9.3457943925233638E-3</v>
      </c>
      <c r="AI97" s="48">
        <f t="shared" si="32"/>
        <v>3.3333333333333333E-2</v>
      </c>
      <c r="AJ97" s="48">
        <f t="shared" si="33"/>
        <v>0</v>
      </c>
    </row>
    <row r="98" spans="1:36" x14ac:dyDescent="0.3">
      <c r="A98" s="48">
        <v>20180521</v>
      </c>
      <c r="B98" s="48" t="s">
        <v>88</v>
      </c>
      <c r="C98" s="49">
        <v>49500</v>
      </c>
      <c r="D98" s="49">
        <v>50000</v>
      </c>
      <c r="E98" s="49">
        <v>6419324700</v>
      </c>
      <c r="F98" s="49">
        <f t="shared" si="22"/>
        <v>0.15477434596074699</v>
      </c>
      <c r="G98" s="49">
        <f t="shared" si="23"/>
        <v>0.15477434596074699</v>
      </c>
      <c r="H98" s="48">
        <v>270000</v>
      </c>
      <c r="I98" s="48">
        <v>270000</v>
      </c>
      <c r="J98" s="51">
        <v>125395903</v>
      </c>
      <c r="K98" s="48">
        <f t="shared" si="24"/>
        <v>1.78883056366515</v>
      </c>
      <c r="L98" s="48">
        <f t="shared" si="25"/>
        <v>1.78883056366515</v>
      </c>
      <c r="M98" s="49">
        <v>220100</v>
      </c>
      <c r="N98" s="49">
        <v>224300</v>
      </c>
      <c r="O98" s="49">
        <v>15956260</v>
      </c>
      <c r="P98" s="49">
        <f t="shared" si="26"/>
        <v>38.206338350767297</v>
      </c>
      <c r="Q98" s="49">
        <f t="shared" si="27"/>
        <v>38.206338350767297</v>
      </c>
      <c r="R98" s="48">
        <v>0</v>
      </c>
      <c r="S98" s="48"/>
      <c r="T98" s="48">
        <v>0</v>
      </c>
      <c r="U98" s="48">
        <v>0</v>
      </c>
      <c r="V98" s="48"/>
      <c r="W98" s="49">
        <v>1</v>
      </c>
      <c r="X98" s="49">
        <v>1</v>
      </c>
      <c r="Y98" s="49">
        <v>100000000</v>
      </c>
      <c r="Z98" s="49">
        <f t="shared" si="28"/>
        <v>1351753.51507198</v>
      </c>
      <c r="AA98" s="49">
        <f t="shared" si="29"/>
        <v>1351753.51507198</v>
      </c>
      <c r="AB98" s="82">
        <f t="shared" si="18"/>
        <v>0</v>
      </c>
      <c r="AC98" s="82">
        <f t="shared" si="19"/>
        <v>337938378767996.19</v>
      </c>
      <c r="AD98" s="81">
        <f t="shared" si="17"/>
        <v>382157006238922.06</v>
      </c>
      <c r="AE98" s="80">
        <f t="shared" si="20"/>
        <v>1130.8481967396876</v>
      </c>
      <c r="AF98" s="52">
        <f t="shared" si="30"/>
        <v>8.0644216464779688E-3</v>
      </c>
      <c r="AG98" s="48">
        <f t="shared" si="21"/>
        <v>1.0101010101010102E-2</v>
      </c>
      <c r="AH98" s="48">
        <f t="shared" si="31"/>
        <v>0</v>
      </c>
      <c r="AI98" s="48">
        <f t="shared" si="32"/>
        <v>1.9082235347569285E-2</v>
      </c>
      <c r="AJ98" s="48">
        <f t="shared" si="33"/>
        <v>0</v>
      </c>
    </row>
    <row r="99" spans="1:36" x14ac:dyDescent="0.3">
      <c r="A99" s="48">
        <v>20180523</v>
      </c>
      <c r="B99" s="48" t="s">
        <v>88</v>
      </c>
      <c r="C99" s="49">
        <v>50000</v>
      </c>
      <c r="D99" s="49">
        <v>51800</v>
      </c>
      <c r="E99" s="49">
        <v>6419324700</v>
      </c>
      <c r="F99" s="49">
        <f t="shared" si="22"/>
        <v>0.15477434596074699</v>
      </c>
      <c r="G99" s="49">
        <f t="shared" si="23"/>
        <v>0.15477434596074699</v>
      </c>
      <c r="H99" s="48">
        <v>270000</v>
      </c>
      <c r="I99" s="48">
        <v>257500</v>
      </c>
      <c r="J99" s="51">
        <v>125395903</v>
      </c>
      <c r="K99" s="48">
        <f t="shared" si="24"/>
        <v>1.78883056366515</v>
      </c>
      <c r="L99" s="48">
        <f t="shared" si="25"/>
        <v>1.78883056366515</v>
      </c>
      <c r="M99" s="49">
        <v>224300</v>
      </c>
      <c r="N99" s="49">
        <v>256000</v>
      </c>
      <c r="O99" s="49">
        <v>15956260</v>
      </c>
      <c r="P99" s="49">
        <f t="shared" si="26"/>
        <v>38.206338350767297</v>
      </c>
      <c r="Q99" s="49">
        <f t="shared" si="27"/>
        <v>38.206338350767297</v>
      </c>
      <c r="R99" s="48">
        <v>0</v>
      </c>
      <c r="S99" s="48"/>
      <c r="T99" s="48">
        <v>0</v>
      </c>
      <c r="U99" s="48">
        <v>0</v>
      </c>
      <c r="V99" s="48"/>
      <c r="W99" s="49">
        <v>1</v>
      </c>
      <c r="X99" s="49">
        <v>1</v>
      </c>
      <c r="Y99" s="49">
        <v>100000000</v>
      </c>
      <c r="Z99" s="49">
        <f t="shared" si="28"/>
        <v>1351753.51507198</v>
      </c>
      <c r="AA99" s="49">
        <f t="shared" si="29"/>
        <v>1351753.51507198</v>
      </c>
      <c r="AB99" s="82">
        <f t="shared" si="18"/>
        <v>0</v>
      </c>
      <c r="AC99" s="82">
        <f t="shared" si="19"/>
        <v>337938378767996.19</v>
      </c>
      <c r="AD99" s="81">
        <f t="shared" si="17"/>
        <v>400466769655794.31</v>
      </c>
      <c r="AE99" s="80">
        <f t="shared" si="20"/>
        <v>1185.02897219237</v>
      </c>
      <c r="AF99" s="52">
        <f t="shared" si="30"/>
        <v>4.7911625635420604E-2</v>
      </c>
      <c r="AG99" s="48">
        <f t="shared" si="21"/>
        <v>3.5999999999999997E-2</v>
      </c>
      <c r="AH99" s="48">
        <f t="shared" si="31"/>
        <v>-4.6296296296296294E-2</v>
      </c>
      <c r="AI99" s="48">
        <f t="shared" si="32"/>
        <v>0.1413285777975925</v>
      </c>
      <c r="AJ99" s="48">
        <f t="shared" si="33"/>
        <v>0</v>
      </c>
    </row>
    <row r="100" spans="1:36" x14ac:dyDescent="0.3">
      <c r="A100" s="48">
        <v>20180524</v>
      </c>
      <c r="B100" s="48" t="s">
        <v>88</v>
      </c>
      <c r="C100" s="49">
        <v>51800</v>
      </c>
      <c r="D100" s="49">
        <v>51400</v>
      </c>
      <c r="E100" s="49">
        <v>6419324700</v>
      </c>
      <c r="F100" s="49">
        <f t="shared" si="22"/>
        <v>0.15477434596074699</v>
      </c>
      <c r="G100" s="49">
        <f t="shared" si="23"/>
        <v>0.15477434596074699</v>
      </c>
      <c r="H100" s="48">
        <v>257500</v>
      </c>
      <c r="I100" s="48">
        <v>264500</v>
      </c>
      <c r="J100" s="51">
        <v>125395903</v>
      </c>
      <c r="K100" s="48">
        <f t="shared" si="24"/>
        <v>1.78883056366515</v>
      </c>
      <c r="L100" s="48">
        <f t="shared" si="25"/>
        <v>1.78883056366515</v>
      </c>
      <c r="M100" s="49">
        <v>256000</v>
      </c>
      <c r="N100" s="49">
        <v>255000</v>
      </c>
      <c r="O100" s="49">
        <v>15956260</v>
      </c>
      <c r="P100" s="49">
        <f t="shared" si="26"/>
        <v>38.206338350767297</v>
      </c>
      <c r="Q100" s="49">
        <f t="shared" si="27"/>
        <v>38.206338350767297</v>
      </c>
      <c r="R100" s="48">
        <v>0</v>
      </c>
      <c r="S100" s="48"/>
      <c r="T100" s="48">
        <v>0</v>
      </c>
      <c r="U100" s="48">
        <v>0</v>
      </c>
      <c r="V100" s="48"/>
      <c r="W100" s="49">
        <v>1</v>
      </c>
      <c r="X100" s="49">
        <v>1</v>
      </c>
      <c r="Y100" s="49">
        <v>100000000</v>
      </c>
      <c r="Z100" s="49">
        <f t="shared" si="28"/>
        <v>1351753.51507198</v>
      </c>
      <c r="AA100" s="49">
        <f t="shared" si="29"/>
        <v>1351753.51507198</v>
      </c>
      <c r="AB100" s="82">
        <f t="shared" si="18"/>
        <v>0</v>
      </c>
      <c r="AC100" s="82">
        <f t="shared" si="19"/>
        <v>337938378767996.19</v>
      </c>
      <c r="AD100" s="81">
        <f t="shared" si="17"/>
        <v>401029904841554.12</v>
      </c>
      <c r="AE100" s="80">
        <f t="shared" si="20"/>
        <v>1186.6953564243497</v>
      </c>
      <c r="AF100" s="52">
        <f t="shared" si="30"/>
        <v>1.4061970391295894E-3</v>
      </c>
      <c r="AG100" s="48">
        <f t="shared" si="21"/>
        <v>-7.7220077220077222E-3</v>
      </c>
      <c r="AH100" s="48">
        <f t="shared" si="31"/>
        <v>2.7184466019417475E-2</v>
      </c>
      <c r="AI100" s="48">
        <f t="shared" si="32"/>
        <v>-3.90625E-3</v>
      </c>
      <c r="AJ100" s="48">
        <f t="shared" si="33"/>
        <v>0</v>
      </c>
    </row>
    <row r="101" spans="1:36" x14ac:dyDescent="0.3">
      <c r="A101" s="48">
        <v>20180525</v>
      </c>
      <c r="B101" s="48" t="s">
        <v>88</v>
      </c>
      <c r="C101" s="49">
        <v>51400</v>
      </c>
      <c r="D101" s="49">
        <v>52700</v>
      </c>
      <c r="E101" s="49">
        <v>6419324700</v>
      </c>
      <c r="F101" s="49">
        <f t="shared" si="22"/>
        <v>0.15477434596074699</v>
      </c>
      <c r="G101" s="49">
        <f t="shared" si="23"/>
        <v>0.15477434596074699</v>
      </c>
      <c r="H101" s="48">
        <v>264500</v>
      </c>
      <c r="I101" s="48">
        <v>275000</v>
      </c>
      <c r="J101" s="51">
        <v>125395903</v>
      </c>
      <c r="K101" s="48">
        <f t="shared" si="24"/>
        <v>1.78883056366515</v>
      </c>
      <c r="L101" s="48">
        <f t="shared" si="25"/>
        <v>1.78883056366515</v>
      </c>
      <c r="M101" s="49">
        <v>255000</v>
      </c>
      <c r="N101" s="49">
        <v>259800</v>
      </c>
      <c r="O101" s="49">
        <v>15956260</v>
      </c>
      <c r="P101" s="49">
        <f t="shared" si="26"/>
        <v>38.206338350767297</v>
      </c>
      <c r="Q101" s="49">
        <f t="shared" si="27"/>
        <v>38.206338350767297</v>
      </c>
      <c r="R101" s="48">
        <v>0</v>
      </c>
      <c r="S101" s="48"/>
      <c r="T101" s="48">
        <v>0</v>
      </c>
      <c r="U101" s="48">
        <v>0</v>
      </c>
      <c r="V101" s="48"/>
      <c r="W101" s="49">
        <v>1</v>
      </c>
      <c r="X101" s="49">
        <v>1</v>
      </c>
      <c r="Y101" s="49">
        <v>100000000</v>
      </c>
      <c r="Z101" s="49">
        <f t="shared" si="28"/>
        <v>1351753.51507198</v>
      </c>
      <c r="AA101" s="49">
        <f t="shared" si="29"/>
        <v>1351753.51507198</v>
      </c>
      <c r="AB101" s="82">
        <f t="shared" si="18"/>
        <v>0</v>
      </c>
      <c r="AC101" s="82">
        <f t="shared" si="19"/>
        <v>337938378767996.19</v>
      </c>
      <c r="AD101" s="81">
        <f t="shared" si="17"/>
        <v>407603017196651.75</v>
      </c>
      <c r="AE101" s="80">
        <f t="shared" si="20"/>
        <v>1206.1459804672916</v>
      </c>
      <c r="AF101" s="52">
        <f t="shared" si="30"/>
        <v>1.6390579045955679E-2</v>
      </c>
      <c r="AG101" s="48">
        <f t="shared" si="21"/>
        <v>2.5291828793774319E-2</v>
      </c>
      <c r="AH101" s="48">
        <f t="shared" si="31"/>
        <v>3.9697542533081283E-2</v>
      </c>
      <c r="AI101" s="48">
        <f t="shared" si="32"/>
        <v>1.8823529411764704E-2</v>
      </c>
      <c r="AJ101" s="48">
        <f t="shared" si="33"/>
        <v>0</v>
      </c>
    </row>
    <row r="102" spans="1:36" x14ac:dyDescent="0.3">
      <c r="A102" s="48">
        <v>20180528</v>
      </c>
      <c r="B102" s="48" t="s">
        <v>88</v>
      </c>
      <c r="C102" s="49">
        <v>52700</v>
      </c>
      <c r="D102" s="49">
        <v>52300</v>
      </c>
      <c r="E102" s="49">
        <v>6419324700</v>
      </c>
      <c r="F102" s="49">
        <f t="shared" si="22"/>
        <v>0.15477434596074699</v>
      </c>
      <c r="G102" s="49">
        <f t="shared" si="23"/>
        <v>0.15477434596074699</v>
      </c>
      <c r="H102" s="48">
        <v>275000</v>
      </c>
      <c r="I102" s="48">
        <v>271000</v>
      </c>
      <c r="J102" s="51">
        <v>125395903</v>
      </c>
      <c r="K102" s="48">
        <f t="shared" si="24"/>
        <v>1.78883056366515</v>
      </c>
      <c r="L102" s="48">
        <f t="shared" si="25"/>
        <v>1.78883056366515</v>
      </c>
      <c r="M102" s="49">
        <v>259800</v>
      </c>
      <c r="N102" s="49">
        <v>261000</v>
      </c>
      <c r="O102" s="49">
        <v>15956260</v>
      </c>
      <c r="P102" s="49">
        <f t="shared" si="26"/>
        <v>38.206338350767297</v>
      </c>
      <c r="Q102" s="49">
        <f t="shared" si="27"/>
        <v>38.206338350767297</v>
      </c>
      <c r="R102" s="48">
        <v>0</v>
      </c>
      <c r="S102" s="48"/>
      <c r="T102" s="48">
        <v>0</v>
      </c>
      <c r="U102" s="48">
        <v>0</v>
      </c>
      <c r="V102" s="48"/>
      <c r="W102" s="49">
        <v>1</v>
      </c>
      <c r="X102" s="49">
        <v>1</v>
      </c>
      <c r="Y102" s="49">
        <v>100000000</v>
      </c>
      <c r="Z102" s="49">
        <f t="shared" si="28"/>
        <v>1351753.51507198</v>
      </c>
      <c r="AA102" s="49">
        <f t="shared" si="29"/>
        <v>1351753.51507198</v>
      </c>
      <c r="AB102" s="82">
        <f t="shared" si="18"/>
        <v>0</v>
      </c>
      <c r="AC102" s="82">
        <f t="shared" si="19"/>
        <v>337938378767996.19</v>
      </c>
      <c r="AD102" s="81">
        <f t="shared" si="17"/>
        <v>407039906710539.12</v>
      </c>
      <c r="AE102" s="80">
        <f t="shared" si="20"/>
        <v>1204.4796693245162</v>
      </c>
      <c r="AF102" s="52">
        <f t="shared" si="30"/>
        <v>-1.3815169720416541E-3</v>
      </c>
      <c r="AG102" s="48">
        <f t="shared" si="21"/>
        <v>-7.5901328273244783E-3</v>
      </c>
      <c r="AH102" s="48">
        <f t="shared" si="31"/>
        <v>-1.4545454545454545E-2</v>
      </c>
      <c r="AI102" s="48">
        <f t="shared" si="32"/>
        <v>4.6189376443418013E-3</v>
      </c>
      <c r="AJ102" s="48">
        <f t="shared" si="33"/>
        <v>0</v>
      </c>
    </row>
    <row r="103" spans="1:36" x14ac:dyDescent="0.3">
      <c r="A103" s="48">
        <v>20180529</v>
      </c>
      <c r="B103" s="48" t="s">
        <v>88</v>
      </c>
      <c r="C103" s="49">
        <v>52300</v>
      </c>
      <c r="D103" s="49">
        <v>51300</v>
      </c>
      <c r="E103" s="49">
        <v>6419324700</v>
      </c>
      <c r="F103" s="49">
        <f t="shared" si="22"/>
        <v>0.15477434596074699</v>
      </c>
      <c r="G103" s="49">
        <f t="shared" si="23"/>
        <v>0.15477434596074699</v>
      </c>
      <c r="H103" s="48">
        <v>271000</v>
      </c>
      <c r="I103" s="48">
        <v>270500</v>
      </c>
      <c r="J103" s="51">
        <v>125395903</v>
      </c>
      <c r="K103" s="48">
        <f t="shared" si="24"/>
        <v>1.78883056366515</v>
      </c>
      <c r="L103" s="48">
        <f t="shared" si="25"/>
        <v>1.78883056366515</v>
      </c>
      <c r="M103" s="49">
        <v>261000</v>
      </c>
      <c r="N103" s="49">
        <v>249000</v>
      </c>
      <c r="O103" s="49">
        <v>15956260</v>
      </c>
      <c r="P103" s="49">
        <f t="shared" si="26"/>
        <v>38.206338350767297</v>
      </c>
      <c r="Q103" s="49">
        <f t="shared" si="27"/>
        <v>38.206338350767297</v>
      </c>
      <c r="R103" s="48">
        <v>0</v>
      </c>
      <c r="S103" s="48"/>
      <c r="T103" s="48">
        <v>0</v>
      </c>
      <c r="U103" s="48">
        <v>0</v>
      </c>
      <c r="V103" s="48"/>
      <c r="W103" s="49">
        <v>1</v>
      </c>
      <c r="X103" s="49">
        <v>1</v>
      </c>
      <c r="Y103" s="49">
        <v>100000000</v>
      </c>
      <c r="Z103" s="49">
        <f t="shared" si="28"/>
        <v>1351753.51507198</v>
      </c>
      <c r="AA103" s="49">
        <f t="shared" si="29"/>
        <v>1351753.51507198</v>
      </c>
      <c r="AB103" s="82">
        <f t="shared" si="18"/>
        <v>0</v>
      </c>
      <c r="AC103" s="82">
        <f t="shared" si="19"/>
        <v>337938378767996.19</v>
      </c>
      <c r="AD103" s="81">
        <f t="shared" si="17"/>
        <v>398618640696190.75</v>
      </c>
      <c r="AE103" s="80">
        <f t="shared" si="20"/>
        <v>1179.5601380033049</v>
      </c>
      <c r="AF103" s="52">
        <f t="shared" si="30"/>
        <v>-2.0689042709360436E-2</v>
      </c>
      <c r="AG103" s="48">
        <f t="shared" si="21"/>
        <v>-1.9120458891013385E-2</v>
      </c>
      <c r="AH103" s="48">
        <f t="shared" si="31"/>
        <v>-1.8450184501845018E-3</v>
      </c>
      <c r="AI103" s="48">
        <f t="shared" si="32"/>
        <v>-4.5977011494252873E-2</v>
      </c>
      <c r="AJ103" s="48">
        <f t="shared" si="33"/>
        <v>0</v>
      </c>
    </row>
    <row r="104" spans="1:36" x14ac:dyDescent="0.3">
      <c r="A104" s="48">
        <v>20180530</v>
      </c>
      <c r="B104" s="48" t="s">
        <v>88</v>
      </c>
      <c r="C104" s="49">
        <v>51300</v>
      </c>
      <c r="D104" s="49">
        <v>49500</v>
      </c>
      <c r="E104" s="49">
        <v>6419324700</v>
      </c>
      <c r="F104" s="49">
        <f t="shared" si="22"/>
        <v>0.15477434596074699</v>
      </c>
      <c r="G104" s="49">
        <f t="shared" si="23"/>
        <v>0.15477434596074699</v>
      </c>
      <c r="H104" s="48">
        <v>270500</v>
      </c>
      <c r="I104" s="48">
        <v>269500</v>
      </c>
      <c r="J104" s="51">
        <v>125395903</v>
      </c>
      <c r="K104" s="48">
        <f t="shared" si="24"/>
        <v>1.78883056366515</v>
      </c>
      <c r="L104" s="48">
        <f t="shared" si="25"/>
        <v>1.78883056366515</v>
      </c>
      <c r="M104" s="49">
        <v>249000</v>
      </c>
      <c r="N104" s="49">
        <v>261400</v>
      </c>
      <c r="O104" s="49">
        <v>15956260</v>
      </c>
      <c r="P104" s="49">
        <f t="shared" si="26"/>
        <v>38.206338350767297</v>
      </c>
      <c r="Q104" s="49">
        <f t="shared" si="27"/>
        <v>38.206338350767297</v>
      </c>
      <c r="R104" s="48">
        <v>0</v>
      </c>
      <c r="S104" s="48"/>
      <c r="T104" s="48">
        <v>0</v>
      </c>
      <c r="U104" s="48">
        <v>0</v>
      </c>
      <c r="V104" s="48"/>
      <c r="W104" s="49">
        <v>1</v>
      </c>
      <c r="X104" s="49">
        <v>1</v>
      </c>
      <c r="Y104" s="49">
        <v>100000000</v>
      </c>
      <c r="Z104" s="49">
        <f t="shared" si="28"/>
        <v>1351753.51507198</v>
      </c>
      <c r="AA104" s="49">
        <f t="shared" si="29"/>
        <v>1351753.51507198</v>
      </c>
      <c r="AB104" s="82">
        <f t="shared" si="18"/>
        <v>0</v>
      </c>
      <c r="AC104" s="82">
        <f t="shared" si="19"/>
        <v>337938378767996.19</v>
      </c>
      <c r="AD104" s="81">
        <f t="shared" si="17"/>
        <v>404165359792655</v>
      </c>
      <c r="AE104" s="80">
        <f t="shared" si="20"/>
        <v>1195.9735418809162</v>
      </c>
      <c r="AF104" s="52">
        <f t="shared" si="30"/>
        <v>1.3914851264298369E-2</v>
      </c>
      <c r="AG104" s="48">
        <f t="shared" si="21"/>
        <v>-3.5087719298245612E-2</v>
      </c>
      <c r="AH104" s="48">
        <f t="shared" si="31"/>
        <v>-3.6968576709796672E-3</v>
      </c>
      <c r="AI104" s="48">
        <f t="shared" si="32"/>
        <v>4.9799196787148593E-2</v>
      </c>
      <c r="AJ104" s="48">
        <f t="shared" si="33"/>
        <v>0</v>
      </c>
    </row>
    <row r="105" spans="1:36" x14ac:dyDescent="0.3">
      <c r="A105" s="48">
        <v>20180531</v>
      </c>
      <c r="B105" s="48" t="s">
        <v>88</v>
      </c>
      <c r="C105" s="49">
        <v>49500</v>
      </c>
      <c r="D105" s="49">
        <v>50700</v>
      </c>
      <c r="E105" s="49">
        <v>6419324700</v>
      </c>
      <c r="F105" s="49">
        <f t="shared" si="22"/>
        <v>0.15477434596074699</v>
      </c>
      <c r="G105" s="49">
        <f t="shared" si="23"/>
        <v>0.15477434596074699</v>
      </c>
      <c r="H105" s="48">
        <v>269500</v>
      </c>
      <c r="I105" s="48">
        <v>265500</v>
      </c>
      <c r="J105" s="51">
        <v>125395903</v>
      </c>
      <c r="K105" s="48">
        <f t="shared" si="24"/>
        <v>1.78883056366515</v>
      </c>
      <c r="L105" s="48">
        <f t="shared" si="25"/>
        <v>1.78883056366515</v>
      </c>
      <c r="M105" s="49">
        <v>261400</v>
      </c>
      <c r="N105" s="49">
        <v>265000</v>
      </c>
      <c r="O105" s="49">
        <v>15956260</v>
      </c>
      <c r="P105" s="49">
        <f t="shared" si="26"/>
        <v>38.206338350767297</v>
      </c>
      <c r="Q105" s="49">
        <f t="shared" si="27"/>
        <v>38.206338350767297</v>
      </c>
      <c r="R105" s="48">
        <v>0</v>
      </c>
      <c r="S105" s="48"/>
      <c r="T105" s="48">
        <v>0</v>
      </c>
      <c r="U105" s="48">
        <v>0</v>
      </c>
      <c r="V105" s="48"/>
      <c r="W105" s="49">
        <v>1</v>
      </c>
      <c r="X105" s="49">
        <v>1</v>
      </c>
      <c r="Y105" s="49">
        <v>100000000</v>
      </c>
      <c r="Z105" s="49">
        <f t="shared" si="28"/>
        <v>1351753.51507198</v>
      </c>
      <c r="AA105" s="49">
        <f t="shared" si="29"/>
        <v>1351753.51507198</v>
      </c>
      <c r="AB105" s="82">
        <f t="shared" si="18"/>
        <v>0</v>
      </c>
      <c r="AC105" s="82">
        <f t="shared" si="19"/>
        <v>337938378767996.19</v>
      </c>
      <c r="AD105" s="81">
        <f t="shared" si="17"/>
        <v>406655036801760.56</v>
      </c>
      <c r="AE105" s="80">
        <f t="shared" si="20"/>
        <v>1203.3407933253425</v>
      </c>
      <c r="AF105" s="52">
        <f t="shared" si="30"/>
        <v>6.1600455080634744E-3</v>
      </c>
      <c r="AG105" s="48">
        <f t="shared" si="21"/>
        <v>2.4242424242424242E-2</v>
      </c>
      <c r="AH105" s="48">
        <f t="shared" si="31"/>
        <v>-1.4842300556586271E-2</v>
      </c>
      <c r="AI105" s="48">
        <f t="shared" si="32"/>
        <v>1.3771996939556235E-2</v>
      </c>
      <c r="AJ105" s="48">
        <f t="shared" si="33"/>
        <v>0</v>
      </c>
    </row>
    <row r="106" spans="1:36" x14ac:dyDescent="0.3">
      <c r="A106" s="48">
        <v>20180601</v>
      </c>
      <c r="B106" s="48" t="s">
        <v>88</v>
      </c>
      <c r="C106" s="49">
        <v>50700</v>
      </c>
      <c r="D106" s="49">
        <v>51300</v>
      </c>
      <c r="E106" s="49">
        <v>6419324700</v>
      </c>
      <c r="F106" s="49">
        <f t="shared" si="22"/>
        <v>0.15477434596074699</v>
      </c>
      <c r="G106" s="49">
        <f t="shared" si="23"/>
        <v>0.15477434596074699</v>
      </c>
      <c r="H106" s="48">
        <v>265500</v>
      </c>
      <c r="I106" s="48">
        <v>273500</v>
      </c>
      <c r="J106" s="51">
        <v>125395903</v>
      </c>
      <c r="K106" s="48">
        <f t="shared" si="24"/>
        <v>1.78883056366515</v>
      </c>
      <c r="L106" s="48">
        <f t="shared" si="25"/>
        <v>1.78883056366515</v>
      </c>
      <c r="M106" s="49">
        <v>265000</v>
      </c>
      <c r="N106" s="49">
        <v>263500</v>
      </c>
      <c r="O106" s="49">
        <v>15956260</v>
      </c>
      <c r="P106" s="49">
        <f t="shared" si="26"/>
        <v>38.206338350767297</v>
      </c>
      <c r="Q106" s="49">
        <f t="shared" si="27"/>
        <v>38.206338350767297</v>
      </c>
      <c r="R106" s="48">
        <v>0</v>
      </c>
      <c r="S106" s="48"/>
      <c r="T106" s="48">
        <v>0</v>
      </c>
      <c r="U106" s="48">
        <v>0</v>
      </c>
      <c r="V106" s="48"/>
      <c r="W106" s="49">
        <v>1</v>
      </c>
      <c r="X106" s="49">
        <v>1</v>
      </c>
      <c r="Y106" s="49">
        <v>100000000</v>
      </c>
      <c r="Z106" s="49">
        <f t="shared" si="28"/>
        <v>1351753.51507198</v>
      </c>
      <c r="AA106" s="49">
        <f t="shared" si="29"/>
        <v>1351753.51507198</v>
      </c>
      <c r="AB106" s="82">
        <f t="shared" si="18"/>
        <v>0</v>
      </c>
      <c r="AC106" s="82">
        <f t="shared" si="19"/>
        <v>337938378767996.19</v>
      </c>
      <c r="AD106" s="81">
        <f t="shared" si="17"/>
        <v>408131215659131</v>
      </c>
      <c r="AE106" s="80">
        <f t="shared" si="20"/>
        <v>1207.7089827649438</v>
      </c>
      <c r="AF106" s="52">
        <f t="shared" si="30"/>
        <v>3.6300518222524246E-3</v>
      </c>
      <c r="AG106" s="48">
        <f t="shared" si="21"/>
        <v>1.1834319526627219E-2</v>
      </c>
      <c r="AH106" s="48">
        <f t="shared" si="31"/>
        <v>3.0131826741996232E-2</v>
      </c>
      <c r="AI106" s="48">
        <f t="shared" si="32"/>
        <v>-5.6603773584905656E-3</v>
      </c>
      <c r="AJ106" s="48">
        <f t="shared" si="33"/>
        <v>0</v>
      </c>
    </row>
    <row r="107" spans="1:36" x14ac:dyDescent="0.3">
      <c r="A107" s="48">
        <v>20180604</v>
      </c>
      <c r="B107" s="48" t="s">
        <v>88</v>
      </c>
      <c r="C107" s="49">
        <v>51300</v>
      </c>
      <c r="D107" s="49">
        <v>51100</v>
      </c>
      <c r="E107" s="49">
        <v>6419324700</v>
      </c>
      <c r="F107" s="49">
        <f t="shared" si="22"/>
        <v>0.15477434596074699</v>
      </c>
      <c r="G107" s="49">
        <f t="shared" si="23"/>
        <v>0.15477434596074699</v>
      </c>
      <c r="H107" s="48">
        <v>273500</v>
      </c>
      <c r="I107" s="48">
        <v>266500</v>
      </c>
      <c r="J107" s="51">
        <v>125395903</v>
      </c>
      <c r="K107" s="48">
        <f t="shared" si="24"/>
        <v>1.78883056366515</v>
      </c>
      <c r="L107" s="48">
        <f t="shared" si="25"/>
        <v>1.78883056366515</v>
      </c>
      <c r="M107" s="49">
        <v>263500</v>
      </c>
      <c r="N107" s="49">
        <v>253000</v>
      </c>
      <c r="O107" s="49">
        <v>15956260</v>
      </c>
      <c r="P107" s="49">
        <f t="shared" si="26"/>
        <v>38.206338350767297</v>
      </c>
      <c r="Q107" s="49">
        <f t="shared" si="27"/>
        <v>38.206338350767297</v>
      </c>
      <c r="R107" s="48">
        <v>0</v>
      </c>
      <c r="S107" s="48"/>
      <c r="T107" s="48">
        <v>0</v>
      </c>
      <c r="U107" s="48">
        <v>0</v>
      </c>
      <c r="V107" s="48"/>
      <c r="W107" s="49">
        <v>1</v>
      </c>
      <c r="X107" s="49">
        <v>1</v>
      </c>
      <c r="Y107" s="49">
        <v>100000000</v>
      </c>
      <c r="Z107" s="49">
        <f t="shared" si="28"/>
        <v>1351753.51507198</v>
      </c>
      <c r="AA107" s="49">
        <f t="shared" si="29"/>
        <v>1351753.51507198</v>
      </c>
      <c r="AB107" s="82">
        <f t="shared" si="18"/>
        <v>0</v>
      </c>
      <c r="AC107" s="82">
        <f t="shared" si="19"/>
        <v>337938378767996.19</v>
      </c>
      <c r="AD107" s="81">
        <f t="shared" si="17"/>
        <v>399961204317912.5</v>
      </c>
      <c r="AE107" s="80">
        <f t="shared" si="20"/>
        <v>1183.5329440119515</v>
      </c>
      <c r="AF107" s="52">
        <f t="shared" si="30"/>
        <v>-2.0018099639901168E-2</v>
      </c>
      <c r="AG107" s="48">
        <f t="shared" si="21"/>
        <v>-3.8986354775828458E-3</v>
      </c>
      <c r="AH107" s="48">
        <f t="shared" si="31"/>
        <v>-2.5594149908592323E-2</v>
      </c>
      <c r="AI107" s="48">
        <f t="shared" si="32"/>
        <v>-3.9848197343453511E-2</v>
      </c>
      <c r="AJ107" s="48">
        <f t="shared" si="33"/>
        <v>0</v>
      </c>
    </row>
    <row r="108" spans="1:36" x14ac:dyDescent="0.3">
      <c r="A108" s="48">
        <v>20180605</v>
      </c>
      <c r="B108" s="48" t="s">
        <v>88</v>
      </c>
      <c r="C108" s="49">
        <v>51100</v>
      </c>
      <c r="D108" s="49">
        <v>51300</v>
      </c>
      <c r="E108" s="49">
        <v>6419324700</v>
      </c>
      <c r="F108" s="49">
        <f t="shared" si="22"/>
        <v>0.15477434596074699</v>
      </c>
      <c r="G108" s="49">
        <f t="shared" si="23"/>
        <v>0.15477434596074699</v>
      </c>
      <c r="H108" s="48">
        <v>266500</v>
      </c>
      <c r="I108" s="48">
        <v>267000</v>
      </c>
      <c r="J108" s="51">
        <v>125395903</v>
      </c>
      <c r="K108" s="48">
        <f t="shared" si="24"/>
        <v>1.78883056366515</v>
      </c>
      <c r="L108" s="48">
        <f t="shared" si="25"/>
        <v>1.78883056366515</v>
      </c>
      <c r="M108" s="49">
        <v>253000</v>
      </c>
      <c r="N108" s="49">
        <v>245000</v>
      </c>
      <c r="O108" s="49">
        <v>15956260</v>
      </c>
      <c r="P108" s="49">
        <f t="shared" si="26"/>
        <v>38.206338350767297</v>
      </c>
      <c r="Q108" s="49">
        <f t="shared" si="27"/>
        <v>38.206338350767297</v>
      </c>
      <c r="R108" s="48">
        <v>0</v>
      </c>
      <c r="S108" s="48"/>
      <c r="T108" s="48">
        <v>0</v>
      </c>
      <c r="U108" s="48">
        <v>0</v>
      </c>
      <c r="V108" s="48"/>
      <c r="W108" s="49">
        <v>1</v>
      </c>
      <c r="X108" s="49">
        <v>1</v>
      </c>
      <c r="Y108" s="49">
        <v>100000000</v>
      </c>
      <c r="Z108" s="49">
        <f t="shared" si="28"/>
        <v>1351753.51507198</v>
      </c>
      <c r="AA108" s="49">
        <f t="shared" si="29"/>
        <v>1351753.51507198</v>
      </c>
      <c r="AB108" s="82">
        <f t="shared" si="18"/>
        <v>0</v>
      </c>
      <c r="AC108" s="82">
        <f t="shared" si="19"/>
        <v>337938378767996.19</v>
      </c>
      <c r="AD108" s="81">
        <f t="shared" si="17"/>
        <v>395395027539242.75</v>
      </c>
      <c r="AE108" s="80">
        <f t="shared" si="20"/>
        <v>1170.0210818928385</v>
      </c>
      <c r="AF108" s="52">
        <f t="shared" si="30"/>
        <v>-1.1416549228710361E-2</v>
      </c>
      <c r="AG108" s="48">
        <f t="shared" si="21"/>
        <v>3.9138943248532287E-3</v>
      </c>
      <c r="AH108" s="48">
        <f t="shared" si="31"/>
        <v>1.876172607879925E-3</v>
      </c>
      <c r="AI108" s="48">
        <f t="shared" si="32"/>
        <v>-3.1620553359683792E-2</v>
      </c>
      <c r="AJ108" s="48">
        <f t="shared" si="33"/>
        <v>0</v>
      </c>
    </row>
    <row r="109" spans="1:36" x14ac:dyDescent="0.3">
      <c r="A109" s="48">
        <v>20180607</v>
      </c>
      <c r="B109" s="48" t="s">
        <v>88</v>
      </c>
      <c r="C109" s="49">
        <v>51300</v>
      </c>
      <c r="D109" s="49">
        <v>50600</v>
      </c>
      <c r="E109" s="49">
        <v>6419324700</v>
      </c>
      <c r="F109" s="49">
        <f t="shared" si="22"/>
        <v>0.15477434596074699</v>
      </c>
      <c r="G109" s="49">
        <f t="shared" si="23"/>
        <v>0.15477434596074699</v>
      </c>
      <c r="H109" s="48">
        <v>267000</v>
      </c>
      <c r="I109" s="48">
        <v>271000</v>
      </c>
      <c r="J109" s="51">
        <v>125395903</v>
      </c>
      <c r="K109" s="48">
        <f t="shared" si="24"/>
        <v>1.78883056366515</v>
      </c>
      <c r="L109" s="48">
        <f t="shared" si="25"/>
        <v>1.78883056366515</v>
      </c>
      <c r="M109" s="49">
        <v>245000</v>
      </c>
      <c r="N109" s="49">
        <v>257100</v>
      </c>
      <c r="O109" s="49">
        <v>15956260</v>
      </c>
      <c r="P109" s="49">
        <f t="shared" si="26"/>
        <v>38.206338350767297</v>
      </c>
      <c r="Q109" s="49">
        <f t="shared" si="27"/>
        <v>38.206338350767297</v>
      </c>
      <c r="R109" s="48">
        <v>0</v>
      </c>
      <c r="S109" s="48"/>
      <c r="T109" s="48">
        <v>0</v>
      </c>
      <c r="U109" s="48">
        <v>0</v>
      </c>
      <c r="V109" s="48"/>
      <c r="W109" s="49">
        <v>1</v>
      </c>
      <c r="X109" s="49">
        <v>1</v>
      </c>
      <c r="Y109" s="49">
        <v>100000000</v>
      </c>
      <c r="Z109" s="49">
        <f t="shared" si="28"/>
        <v>1351753.51507198</v>
      </c>
      <c r="AA109" s="49">
        <f t="shared" si="29"/>
        <v>1351753.51507198</v>
      </c>
      <c r="AB109" s="82">
        <f t="shared" si="18"/>
        <v>0</v>
      </c>
      <c r="AC109" s="82">
        <f t="shared" si="19"/>
        <v>337938378767996.19</v>
      </c>
      <c r="AD109" s="81">
        <f t="shared" si="17"/>
        <v>402973319134566.5</v>
      </c>
      <c r="AE109" s="80">
        <f t="shared" si="20"/>
        <v>1192.4461512884825</v>
      </c>
      <c r="AF109" s="52">
        <f t="shared" si="30"/>
        <v>1.9166380625693594E-2</v>
      </c>
      <c r="AG109" s="48">
        <f t="shared" si="21"/>
        <v>-1.364522417153996E-2</v>
      </c>
      <c r="AH109" s="48">
        <f t="shared" si="31"/>
        <v>1.4981273408239701E-2</v>
      </c>
      <c r="AI109" s="48">
        <f t="shared" si="32"/>
        <v>4.9387755102040819E-2</v>
      </c>
      <c r="AJ109" s="48">
        <f t="shared" si="33"/>
        <v>0</v>
      </c>
    </row>
    <row r="110" spans="1:36" x14ac:dyDescent="0.3">
      <c r="A110" s="48">
        <v>20180608</v>
      </c>
      <c r="B110" s="48" t="s">
        <v>88</v>
      </c>
      <c r="C110" s="49">
        <v>50600</v>
      </c>
      <c r="D110" s="49">
        <v>49650</v>
      </c>
      <c r="E110" s="49">
        <v>6419324700</v>
      </c>
      <c r="F110" s="49">
        <f t="shared" si="22"/>
        <v>0.15477434596074699</v>
      </c>
      <c r="G110" s="49">
        <f t="shared" si="23"/>
        <v>0.15477434596074699</v>
      </c>
      <c r="H110" s="48">
        <v>271000</v>
      </c>
      <c r="I110" s="48">
        <v>269500</v>
      </c>
      <c r="J110" s="51">
        <v>125395903</v>
      </c>
      <c r="K110" s="48">
        <f t="shared" si="24"/>
        <v>1.78883056366515</v>
      </c>
      <c r="L110" s="48">
        <f t="shared" si="25"/>
        <v>1.78883056366515</v>
      </c>
      <c r="M110" s="49">
        <v>257100</v>
      </c>
      <c r="N110" s="49">
        <v>248300</v>
      </c>
      <c r="O110" s="49">
        <v>15956260</v>
      </c>
      <c r="P110" s="49">
        <f t="shared" si="26"/>
        <v>38.206338350767297</v>
      </c>
      <c r="Q110" s="49">
        <f t="shared" si="27"/>
        <v>38.206338350767297</v>
      </c>
      <c r="R110" s="48">
        <v>0</v>
      </c>
      <c r="S110" s="48"/>
      <c r="T110" s="48">
        <v>0</v>
      </c>
      <c r="U110" s="48">
        <v>0</v>
      </c>
      <c r="V110" s="48"/>
      <c r="W110" s="49">
        <v>1</v>
      </c>
      <c r="X110" s="49">
        <v>1</v>
      </c>
      <c r="Y110" s="49">
        <v>100000000</v>
      </c>
      <c r="Z110" s="49">
        <f t="shared" si="28"/>
        <v>1351753.51507198</v>
      </c>
      <c r="AA110" s="49">
        <f t="shared" si="29"/>
        <v>1351753.51507198</v>
      </c>
      <c r="AB110" s="82">
        <f t="shared" si="18"/>
        <v>0</v>
      </c>
      <c r="AC110" s="82">
        <f t="shared" si="19"/>
        <v>337938378767996.19</v>
      </c>
      <c r="AD110" s="81">
        <f t="shared" si="17"/>
        <v>396328235294263.94</v>
      </c>
      <c r="AE110" s="80">
        <f t="shared" si="20"/>
        <v>1172.7825550301109</v>
      </c>
      <c r="AF110" s="52">
        <f t="shared" si="30"/>
        <v>-1.6490133526888721E-2</v>
      </c>
      <c r="AG110" s="48">
        <f t="shared" si="21"/>
        <v>-1.8774703557312252E-2</v>
      </c>
      <c r="AH110" s="48">
        <f t="shared" si="31"/>
        <v>-5.5350553505535052E-3</v>
      </c>
      <c r="AI110" s="48">
        <f t="shared" si="32"/>
        <v>-3.4227926876701675E-2</v>
      </c>
      <c r="AJ110" s="48">
        <f t="shared" si="33"/>
        <v>0</v>
      </c>
    </row>
    <row r="111" spans="1:36" x14ac:dyDescent="0.3">
      <c r="A111" s="48">
        <v>20180611</v>
      </c>
      <c r="B111" s="48" t="s">
        <v>88</v>
      </c>
      <c r="C111" s="49">
        <v>49650</v>
      </c>
      <c r="D111" s="49">
        <v>49900</v>
      </c>
      <c r="E111" s="49">
        <v>6419324700</v>
      </c>
      <c r="F111" s="49">
        <f t="shared" si="22"/>
        <v>0.15477434596074699</v>
      </c>
      <c r="G111" s="49">
        <f t="shared" si="23"/>
        <v>0.15477434596074699</v>
      </c>
      <c r="H111" s="48">
        <v>269500</v>
      </c>
      <c r="I111" s="48">
        <v>267500</v>
      </c>
      <c r="J111" s="51">
        <v>125395903</v>
      </c>
      <c r="K111" s="48">
        <f t="shared" si="24"/>
        <v>1.78883056366515</v>
      </c>
      <c r="L111" s="48">
        <f t="shared" si="25"/>
        <v>1.78883056366515</v>
      </c>
      <c r="M111" s="49">
        <v>248300</v>
      </c>
      <c r="N111" s="49">
        <v>245000</v>
      </c>
      <c r="O111" s="49">
        <v>15956260</v>
      </c>
      <c r="P111" s="49">
        <f t="shared" si="26"/>
        <v>38.206338350767297</v>
      </c>
      <c r="Q111" s="49">
        <f t="shared" si="27"/>
        <v>38.206338350767297</v>
      </c>
      <c r="R111" s="48">
        <v>0</v>
      </c>
      <c r="S111" s="48"/>
      <c r="T111" s="48">
        <v>0</v>
      </c>
      <c r="U111" s="48">
        <v>0</v>
      </c>
      <c r="V111" s="48"/>
      <c r="W111" s="49">
        <v>1</v>
      </c>
      <c r="X111" s="49">
        <v>1</v>
      </c>
      <c r="Y111" s="49">
        <v>100000000</v>
      </c>
      <c r="Z111" s="49">
        <f t="shared" si="28"/>
        <v>1351753.51507198</v>
      </c>
      <c r="AA111" s="49">
        <f t="shared" si="29"/>
        <v>1351753.51507198</v>
      </c>
      <c r="AB111" s="82">
        <f t="shared" si="18"/>
        <v>0</v>
      </c>
      <c r="AC111" s="82">
        <f t="shared" si="19"/>
        <v>337938378767996.19</v>
      </c>
      <c r="AD111" s="81">
        <f t="shared" si="17"/>
        <v>394116218056432.12</v>
      </c>
      <c r="AE111" s="80">
        <f t="shared" si="20"/>
        <v>1166.2369319910938</v>
      </c>
      <c r="AF111" s="52">
        <f t="shared" si="30"/>
        <v>-5.5812759244607078E-3</v>
      </c>
      <c r="AG111" s="48">
        <f t="shared" si="21"/>
        <v>5.0352467270896274E-3</v>
      </c>
      <c r="AH111" s="48">
        <f t="shared" si="31"/>
        <v>-7.4211502782931356E-3</v>
      </c>
      <c r="AI111" s="48">
        <f t="shared" si="32"/>
        <v>-1.3290374546919049E-2</v>
      </c>
      <c r="AJ111" s="48">
        <f t="shared" si="33"/>
        <v>0</v>
      </c>
    </row>
    <row r="112" spans="1:36" x14ac:dyDescent="0.3">
      <c r="A112" s="48">
        <v>20180612</v>
      </c>
      <c r="B112" s="48" t="s">
        <v>88</v>
      </c>
      <c r="C112" s="49">
        <v>49900</v>
      </c>
      <c r="D112" s="49">
        <v>49400</v>
      </c>
      <c r="E112" s="49">
        <v>6419324700</v>
      </c>
      <c r="F112" s="49">
        <f t="shared" si="22"/>
        <v>0.15477434596074699</v>
      </c>
      <c r="G112" s="49">
        <f t="shared" si="23"/>
        <v>0.15477434596074699</v>
      </c>
      <c r="H112" s="48">
        <v>267500</v>
      </c>
      <c r="I112" s="48">
        <v>273000</v>
      </c>
      <c r="J112" s="51">
        <v>125395903</v>
      </c>
      <c r="K112" s="48">
        <f t="shared" si="24"/>
        <v>1.78883056366515</v>
      </c>
      <c r="L112" s="48">
        <f t="shared" si="25"/>
        <v>1.78883056366515</v>
      </c>
      <c r="M112" s="49">
        <v>245000</v>
      </c>
      <c r="N112" s="49">
        <v>246500</v>
      </c>
      <c r="O112" s="49">
        <v>15956260</v>
      </c>
      <c r="P112" s="49">
        <f t="shared" si="26"/>
        <v>38.206338350767297</v>
      </c>
      <c r="Q112" s="49">
        <f t="shared" si="27"/>
        <v>38.206338350767297</v>
      </c>
      <c r="R112" s="48">
        <v>0</v>
      </c>
      <c r="S112" s="48"/>
      <c r="T112" s="48">
        <v>0</v>
      </c>
      <c r="U112" s="48">
        <v>0</v>
      </c>
      <c r="V112" s="48"/>
      <c r="W112" s="49">
        <v>1</v>
      </c>
      <c r="X112" s="49">
        <v>1</v>
      </c>
      <c r="Y112" s="49">
        <v>100000000</v>
      </c>
      <c r="Z112" s="49">
        <f t="shared" si="28"/>
        <v>1351753.51507198</v>
      </c>
      <c r="AA112" s="49">
        <f t="shared" si="29"/>
        <v>1351753.51507198</v>
      </c>
      <c r="AB112" s="82">
        <f t="shared" si="18"/>
        <v>0</v>
      </c>
      <c r="AC112" s="82">
        <f t="shared" si="19"/>
        <v>337938378767996.19</v>
      </c>
      <c r="AD112" s="81">
        <f t="shared" si="17"/>
        <v>395767606199161.62</v>
      </c>
      <c r="AE112" s="80">
        <f t="shared" si="20"/>
        <v>1171.1235866195202</v>
      </c>
      <c r="AF112" s="52">
        <f t="shared" si="30"/>
        <v>4.1901045099673887E-3</v>
      </c>
      <c r="AG112" s="48">
        <f t="shared" si="21"/>
        <v>-1.002004008016032E-2</v>
      </c>
      <c r="AH112" s="48">
        <f t="shared" si="31"/>
        <v>2.0560747663551402E-2</v>
      </c>
      <c r="AI112" s="48">
        <f t="shared" si="32"/>
        <v>6.1224489795918364E-3</v>
      </c>
      <c r="AJ112" s="48">
        <f t="shared" si="33"/>
        <v>0</v>
      </c>
    </row>
    <row r="113" spans="1:36" x14ac:dyDescent="0.3">
      <c r="A113" s="48">
        <v>20180614</v>
      </c>
      <c r="B113" s="48" t="s">
        <v>88</v>
      </c>
      <c r="C113" s="49">
        <v>49400</v>
      </c>
      <c r="D113" s="49">
        <v>48200</v>
      </c>
      <c r="E113" s="49">
        <v>6419324700</v>
      </c>
      <c r="F113" s="49">
        <f t="shared" si="22"/>
        <v>0.15477434596074699</v>
      </c>
      <c r="G113" s="49">
        <f t="shared" si="23"/>
        <v>0.15477434596074699</v>
      </c>
      <c r="H113" s="48">
        <v>273000</v>
      </c>
      <c r="I113" s="48">
        <v>280000</v>
      </c>
      <c r="J113" s="51">
        <v>125395903</v>
      </c>
      <c r="K113" s="48">
        <f t="shared" si="24"/>
        <v>1.78883056366515</v>
      </c>
      <c r="L113" s="48">
        <f t="shared" si="25"/>
        <v>1.78883056366515</v>
      </c>
      <c r="M113" s="49">
        <v>246500</v>
      </c>
      <c r="N113" s="49">
        <v>236100</v>
      </c>
      <c r="O113" s="49">
        <v>15956260</v>
      </c>
      <c r="P113" s="49">
        <f t="shared" si="26"/>
        <v>38.206338350767297</v>
      </c>
      <c r="Q113" s="49">
        <f t="shared" si="27"/>
        <v>38.206338350767297</v>
      </c>
      <c r="R113" s="48">
        <v>0</v>
      </c>
      <c r="S113" s="48"/>
      <c r="T113" s="48">
        <v>0</v>
      </c>
      <c r="U113" s="48">
        <v>0</v>
      </c>
      <c r="V113" s="48"/>
      <c r="W113" s="49">
        <v>1</v>
      </c>
      <c r="X113" s="49">
        <v>1</v>
      </c>
      <c r="Y113" s="49">
        <v>100000000</v>
      </c>
      <c r="Z113" s="49">
        <f t="shared" si="28"/>
        <v>1351753.51507198</v>
      </c>
      <c r="AA113" s="49">
        <f t="shared" si="29"/>
        <v>1351753.51507198</v>
      </c>
      <c r="AB113" s="82">
        <f t="shared" si="18"/>
        <v>0</v>
      </c>
      <c r="AC113" s="82">
        <f t="shared" si="19"/>
        <v>337938378767996.19</v>
      </c>
      <c r="AD113" s="81">
        <f t="shared" si="17"/>
        <v>389805379436655.25</v>
      </c>
      <c r="AE113" s="80">
        <f t="shared" si="20"/>
        <v>1153.4806459619881</v>
      </c>
      <c r="AF113" s="52">
        <f t="shared" si="30"/>
        <v>-1.5064969110953466E-2</v>
      </c>
      <c r="AG113" s="48">
        <f t="shared" si="21"/>
        <v>-2.4291497975708502E-2</v>
      </c>
      <c r="AH113" s="48">
        <f t="shared" si="31"/>
        <v>2.564102564102564E-2</v>
      </c>
      <c r="AI113" s="48">
        <f t="shared" si="32"/>
        <v>-4.2190669371196754E-2</v>
      </c>
      <c r="AJ113" s="48">
        <f t="shared" si="33"/>
        <v>0</v>
      </c>
    </row>
    <row r="114" spans="1:36" x14ac:dyDescent="0.3">
      <c r="A114" s="48">
        <v>20180615</v>
      </c>
      <c r="B114" s="48" t="s">
        <v>88</v>
      </c>
      <c r="C114" s="49">
        <v>48200</v>
      </c>
      <c r="D114" s="49">
        <v>47650</v>
      </c>
      <c r="E114" s="49">
        <v>6419324700</v>
      </c>
      <c r="F114" s="49">
        <f t="shared" si="22"/>
        <v>0.15477434596074699</v>
      </c>
      <c r="G114" s="49">
        <f t="shared" si="23"/>
        <v>0.15477434596074699</v>
      </c>
      <c r="H114" s="48">
        <v>280000</v>
      </c>
      <c r="I114" s="48">
        <v>298500</v>
      </c>
      <c r="J114" s="51">
        <v>125395903</v>
      </c>
      <c r="K114" s="48">
        <f t="shared" si="24"/>
        <v>1.78883056366515</v>
      </c>
      <c r="L114" s="48">
        <f t="shared" si="25"/>
        <v>1.78883056366515</v>
      </c>
      <c r="M114" s="49">
        <v>236100</v>
      </c>
      <c r="N114" s="49">
        <v>232700</v>
      </c>
      <c r="O114" s="49">
        <v>15956260</v>
      </c>
      <c r="P114" s="49">
        <f t="shared" si="26"/>
        <v>38.206338350767297</v>
      </c>
      <c r="Q114" s="49">
        <f t="shared" si="27"/>
        <v>38.206338350767297</v>
      </c>
      <c r="R114" s="48">
        <v>0</v>
      </c>
      <c r="S114" s="48"/>
      <c r="T114" s="48">
        <v>0</v>
      </c>
      <c r="U114" s="48">
        <v>0</v>
      </c>
      <c r="V114" s="48"/>
      <c r="W114" s="49">
        <v>1</v>
      </c>
      <c r="X114" s="49">
        <v>1</v>
      </c>
      <c r="Y114" s="49">
        <v>100000000</v>
      </c>
      <c r="Z114" s="49">
        <f t="shared" si="28"/>
        <v>1351753.51507198</v>
      </c>
      <c r="AA114" s="49">
        <f t="shared" si="29"/>
        <v>1351753.51507198</v>
      </c>
      <c r="AB114" s="82">
        <f t="shared" si="18"/>
        <v>0</v>
      </c>
      <c r="AC114" s="82">
        <f t="shared" si="19"/>
        <v>337938378767996.19</v>
      </c>
      <c r="AD114" s="81">
        <f t="shared" si="17"/>
        <v>391335958235242.62</v>
      </c>
      <c r="AE114" s="80">
        <f t="shared" si="20"/>
        <v>1158.0098113209724</v>
      </c>
      <c r="AF114" s="52">
        <f t="shared" si="30"/>
        <v>3.9265204620811253E-3</v>
      </c>
      <c r="AG114" s="48">
        <f t="shared" si="21"/>
        <v>-1.1410788381742738E-2</v>
      </c>
      <c r="AH114" s="48">
        <f t="shared" si="31"/>
        <v>6.6071428571428573E-2</v>
      </c>
      <c r="AI114" s="48">
        <f t="shared" si="32"/>
        <v>-1.4400677678949597E-2</v>
      </c>
      <c r="AJ114" s="48">
        <f t="shared" si="33"/>
        <v>0</v>
      </c>
    </row>
    <row r="115" spans="1:36" x14ac:dyDescent="0.3">
      <c r="A115" s="48">
        <v>20180618</v>
      </c>
      <c r="B115" s="48" t="s">
        <v>88</v>
      </c>
      <c r="C115" s="49">
        <v>47650</v>
      </c>
      <c r="D115" s="49">
        <v>46600</v>
      </c>
      <c r="E115" s="49">
        <v>6419324700</v>
      </c>
      <c r="F115" s="49">
        <f t="shared" si="22"/>
        <v>0.15477434596074699</v>
      </c>
      <c r="G115" s="49">
        <f t="shared" si="23"/>
        <v>0.15477434596074699</v>
      </c>
      <c r="H115" s="48">
        <v>298500</v>
      </c>
      <c r="I115" s="48">
        <v>305000</v>
      </c>
      <c r="J115" s="51">
        <v>125395903</v>
      </c>
      <c r="K115" s="48">
        <f t="shared" si="24"/>
        <v>1.78883056366515</v>
      </c>
      <c r="L115" s="48">
        <f t="shared" si="25"/>
        <v>1.78883056366515</v>
      </c>
      <c r="M115" s="49">
        <v>232700</v>
      </c>
      <c r="N115" s="49">
        <v>218900</v>
      </c>
      <c r="O115" s="49">
        <v>15956260</v>
      </c>
      <c r="P115" s="49">
        <f t="shared" si="26"/>
        <v>38.206338350767297</v>
      </c>
      <c r="Q115" s="49">
        <f t="shared" si="27"/>
        <v>38.206338350767297</v>
      </c>
      <c r="R115" s="48">
        <v>0</v>
      </c>
      <c r="S115" s="48"/>
      <c r="T115" s="48">
        <v>0</v>
      </c>
      <c r="U115" s="48">
        <v>0</v>
      </c>
      <c r="V115" s="48"/>
      <c r="W115" s="49">
        <v>1</v>
      </c>
      <c r="X115" s="49">
        <v>1</v>
      </c>
      <c r="Y115" s="49">
        <v>100000000</v>
      </c>
      <c r="Z115" s="49">
        <f t="shared" si="28"/>
        <v>1351753.51507198</v>
      </c>
      <c r="AA115" s="49">
        <f t="shared" si="29"/>
        <v>1351753.51507198</v>
      </c>
      <c r="AB115" s="82">
        <f t="shared" si="18"/>
        <v>0</v>
      </c>
      <c r="AC115" s="82">
        <f t="shared" si="19"/>
        <v>337938378767996.19</v>
      </c>
      <c r="AD115" s="81">
        <f t="shared" si="17"/>
        <v>383337864565639.19</v>
      </c>
      <c r="AE115" s="80">
        <f t="shared" si="20"/>
        <v>1134.3424974788404</v>
      </c>
      <c r="AF115" s="52">
        <f t="shared" si="30"/>
        <v>-2.0437921691815426E-2</v>
      </c>
      <c r="AG115" s="48">
        <f t="shared" si="21"/>
        <v>-2.2035676810073453E-2</v>
      </c>
      <c r="AH115" s="48">
        <f t="shared" si="31"/>
        <v>2.1775544388609715E-2</v>
      </c>
      <c r="AI115" s="48">
        <f t="shared" si="32"/>
        <v>-5.9303824666953157E-2</v>
      </c>
      <c r="AJ115" s="48">
        <f t="shared" si="33"/>
        <v>0</v>
      </c>
    </row>
    <row r="116" spans="1:36" x14ac:dyDescent="0.3">
      <c r="A116" s="48">
        <v>20180619</v>
      </c>
      <c r="B116" s="48" t="s">
        <v>88</v>
      </c>
      <c r="C116" s="49">
        <v>46600</v>
      </c>
      <c r="D116" s="49">
        <v>47000</v>
      </c>
      <c r="E116" s="49">
        <v>6419324700</v>
      </c>
      <c r="F116" s="49">
        <f t="shared" si="22"/>
        <v>0.15477434596074699</v>
      </c>
      <c r="G116" s="49">
        <f t="shared" si="23"/>
        <v>0.15477434596074699</v>
      </c>
      <c r="H116" s="48">
        <v>305000</v>
      </c>
      <c r="I116" s="48">
        <v>287500</v>
      </c>
      <c r="J116" s="51">
        <v>125395903</v>
      </c>
      <c r="K116" s="48">
        <f t="shared" si="24"/>
        <v>1.78883056366515</v>
      </c>
      <c r="L116" s="48">
        <f t="shared" si="25"/>
        <v>1.78883056366515</v>
      </c>
      <c r="M116" s="49">
        <v>218900</v>
      </c>
      <c r="N116" s="49">
        <v>222300</v>
      </c>
      <c r="O116" s="49">
        <v>15956260</v>
      </c>
      <c r="P116" s="49">
        <f t="shared" si="26"/>
        <v>38.206338350767297</v>
      </c>
      <c r="Q116" s="49">
        <f t="shared" si="27"/>
        <v>38.206338350767297</v>
      </c>
      <c r="R116" s="48">
        <v>0</v>
      </c>
      <c r="S116" s="48"/>
      <c r="T116" s="48">
        <v>0</v>
      </c>
      <c r="U116" s="48">
        <v>0</v>
      </c>
      <c r="V116" s="48"/>
      <c r="W116" s="49">
        <v>1</v>
      </c>
      <c r="X116" s="49">
        <v>1</v>
      </c>
      <c r="Y116" s="49">
        <v>100000000</v>
      </c>
      <c r="Z116" s="49">
        <f t="shared" si="28"/>
        <v>1351753.51507198</v>
      </c>
      <c r="AA116" s="49">
        <f t="shared" si="29"/>
        <v>1351753.51507198</v>
      </c>
      <c r="AB116" s="82">
        <f t="shared" si="18"/>
        <v>0</v>
      </c>
      <c r="AC116" s="82">
        <f t="shared" si="19"/>
        <v>337938378767996.19</v>
      </c>
      <c r="AD116" s="81">
        <f t="shared" si="17"/>
        <v>381882565773603.75</v>
      </c>
      <c r="AE116" s="80">
        <f t="shared" si="20"/>
        <v>1130.0360946448654</v>
      </c>
      <c r="AF116" s="52">
        <f t="shared" si="30"/>
        <v>-3.79638675580459E-3</v>
      </c>
      <c r="AG116" s="48">
        <f t="shared" si="21"/>
        <v>8.5836909871244635E-3</v>
      </c>
      <c r="AH116" s="48">
        <f t="shared" si="31"/>
        <v>-5.737704918032787E-2</v>
      </c>
      <c r="AI116" s="48">
        <f t="shared" si="32"/>
        <v>1.5532206486980357E-2</v>
      </c>
      <c r="AJ116" s="48">
        <f t="shared" si="33"/>
        <v>0</v>
      </c>
    </row>
    <row r="117" spans="1:36" x14ac:dyDescent="0.3">
      <c r="A117" s="48">
        <v>20180620</v>
      </c>
      <c r="B117" s="48" t="s">
        <v>88</v>
      </c>
      <c r="C117" s="49">
        <v>47000</v>
      </c>
      <c r="D117" s="49">
        <v>47000</v>
      </c>
      <c r="E117" s="49">
        <v>6419324700</v>
      </c>
      <c r="F117" s="49">
        <f t="shared" si="22"/>
        <v>0.15477434596074699</v>
      </c>
      <c r="G117" s="49">
        <f t="shared" si="23"/>
        <v>0.15477434596074699</v>
      </c>
      <c r="H117" s="48">
        <v>287500</v>
      </c>
      <c r="I117" s="48">
        <v>297000</v>
      </c>
      <c r="J117" s="51">
        <v>125395903</v>
      </c>
      <c r="K117" s="48">
        <f t="shared" si="24"/>
        <v>1.78883056366515</v>
      </c>
      <c r="L117" s="48">
        <f t="shared" si="25"/>
        <v>1.78883056366515</v>
      </c>
      <c r="M117" s="49">
        <v>222300</v>
      </c>
      <c r="N117" s="49">
        <v>234400</v>
      </c>
      <c r="O117" s="49">
        <v>15956260</v>
      </c>
      <c r="P117" s="49">
        <f t="shared" si="26"/>
        <v>38.206338350767297</v>
      </c>
      <c r="Q117" s="49">
        <f t="shared" si="27"/>
        <v>38.206338350767297</v>
      </c>
      <c r="R117" s="48">
        <v>0</v>
      </c>
      <c r="S117" s="48"/>
      <c r="T117" s="48">
        <v>0</v>
      </c>
      <c r="U117" s="48">
        <v>0</v>
      </c>
      <c r="V117" s="48"/>
      <c r="W117" s="49">
        <v>1</v>
      </c>
      <c r="X117" s="49">
        <v>1</v>
      </c>
      <c r="Y117" s="49">
        <v>100000000</v>
      </c>
      <c r="Z117" s="49">
        <f t="shared" si="28"/>
        <v>1351753.51507198</v>
      </c>
      <c r="AA117" s="49">
        <f t="shared" si="29"/>
        <v>1351753.51507198</v>
      </c>
      <c r="AB117" s="82">
        <f t="shared" si="18"/>
        <v>0</v>
      </c>
      <c r="AC117" s="82">
        <f t="shared" si="19"/>
        <v>337938378767996.19</v>
      </c>
      <c r="AD117" s="81">
        <f t="shared" si="17"/>
        <v>391390056247440.37</v>
      </c>
      <c r="AE117" s="80">
        <f t="shared" si="20"/>
        <v>1158.1698937963488</v>
      </c>
      <c r="AF117" s="52">
        <f t="shared" si="30"/>
        <v>2.4896372146701127E-2</v>
      </c>
      <c r="AG117" s="48">
        <f t="shared" si="21"/>
        <v>0</v>
      </c>
      <c r="AH117" s="48">
        <f t="shared" si="31"/>
        <v>3.3043478260869563E-2</v>
      </c>
      <c r="AI117" s="48">
        <f t="shared" si="32"/>
        <v>5.4430949167791273E-2</v>
      </c>
      <c r="AJ117" s="48">
        <f t="shared" si="33"/>
        <v>0</v>
      </c>
    </row>
    <row r="118" spans="1:36" x14ac:dyDescent="0.3">
      <c r="A118" s="48">
        <v>20180621</v>
      </c>
      <c r="B118" s="48" t="s">
        <v>88</v>
      </c>
      <c r="C118" s="49">
        <v>47000</v>
      </c>
      <c r="D118" s="49">
        <v>47050</v>
      </c>
      <c r="E118" s="49">
        <v>6419324700</v>
      </c>
      <c r="F118" s="49">
        <f t="shared" si="22"/>
        <v>0.15477434596074699</v>
      </c>
      <c r="G118" s="49">
        <f t="shared" si="23"/>
        <v>0.15477434596074699</v>
      </c>
      <c r="H118" s="48">
        <v>297000</v>
      </c>
      <c r="I118" s="48">
        <v>292000</v>
      </c>
      <c r="J118" s="51">
        <v>125395903</v>
      </c>
      <c r="K118" s="48">
        <f t="shared" si="24"/>
        <v>1.78883056366515</v>
      </c>
      <c r="L118" s="48">
        <f t="shared" si="25"/>
        <v>1.78883056366515</v>
      </c>
      <c r="M118" s="49">
        <v>234400</v>
      </c>
      <c r="N118" s="49">
        <v>231000</v>
      </c>
      <c r="O118" s="49">
        <v>15956260</v>
      </c>
      <c r="P118" s="49">
        <f t="shared" si="26"/>
        <v>38.206338350767297</v>
      </c>
      <c r="Q118" s="49">
        <f t="shared" si="27"/>
        <v>38.206338350767297</v>
      </c>
      <c r="R118" s="48">
        <v>0</v>
      </c>
      <c r="S118" s="48"/>
      <c r="T118" s="48">
        <v>0</v>
      </c>
      <c r="U118" s="48">
        <v>0</v>
      </c>
      <c r="V118" s="48"/>
      <c r="W118" s="49">
        <v>1</v>
      </c>
      <c r="X118" s="49">
        <v>1</v>
      </c>
      <c r="Y118" s="49">
        <v>100000000</v>
      </c>
      <c r="Z118" s="49">
        <f t="shared" si="28"/>
        <v>1351753.51507198</v>
      </c>
      <c r="AA118" s="49">
        <f t="shared" si="29"/>
        <v>1351753.51507198</v>
      </c>
      <c r="AB118" s="82">
        <f t="shared" si="18"/>
        <v>0</v>
      </c>
      <c r="AC118" s="82">
        <f t="shared" si="19"/>
        <v>337938378767996.19</v>
      </c>
      <c r="AD118" s="81">
        <f t="shared" si="17"/>
        <v>388245430554846.37</v>
      </c>
      <c r="AE118" s="80">
        <f t="shared" si="20"/>
        <v>1148.8645710210599</v>
      </c>
      <c r="AF118" s="52">
        <f t="shared" si="30"/>
        <v>-8.0345058398877279E-3</v>
      </c>
      <c r="AG118" s="48">
        <f t="shared" si="21"/>
        <v>1.0638297872340426E-3</v>
      </c>
      <c r="AH118" s="48">
        <f t="shared" si="31"/>
        <v>-1.6835016835016835E-2</v>
      </c>
      <c r="AI118" s="48">
        <f t="shared" si="32"/>
        <v>-1.4505119453924915E-2</v>
      </c>
      <c r="AJ118" s="48">
        <f t="shared" si="33"/>
        <v>0</v>
      </c>
    </row>
    <row r="119" spans="1:36" x14ac:dyDescent="0.3">
      <c r="A119" s="48">
        <v>20180622</v>
      </c>
      <c r="B119" s="48" t="s">
        <v>88</v>
      </c>
      <c r="C119" s="49">
        <v>47050</v>
      </c>
      <c r="D119" s="49">
        <v>47250</v>
      </c>
      <c r="E119" s="49">
        <v>6419324700</v>
      </c>
      <c r="F119" s="49">
        <f t="shared" si="22"/>
        <v>0.15477434596074699</v>
      </c>
      <c r="G119" s="49">
        <f t="shared" si="23"/>
        <v>0.15477434596074699</v>
      </c>
      <c r="H119" s="48">
        <v>292000</v>
      </c>
      <c r="I119" s="48">
        <v>295500</v>
      </c>
      <c r="J119" s="51">
        <v>125395903</v>
      </c>
      <c r="K119" s="48">
        <f t="shared" si="24"/>
        <v>1.78883056366515</v>
      </c>
      <c r="L119" s="48">
        <f t="shared" si="25"/>
        <v>1.78883056366515</v>
      </c>
      <c r="M119" s="49">
        <v>231000</v>
      </c>
      <c r="N119" s="49">
        <v>232000</v>
      </c>
      <c r="O119" s="49">
        <v>15956260</v>
      </c>
      <c r="P119" s="49">
        <f t="shared" si="26"/>
        <v>38.206338350767297</v>
      </c>
      <c r="Q119" s="49">
        <f t="shared" si="27"/>
        <v>38.206338350767297</v>
      </c>
      <c r="R119" s="48">
        <v>0</v>
      </c>
      <c r="S119" s="48"/>
      <c r="T119" s="48">
        <v>0</v>
      </c>
      <c r="U119" s="48">
        <v>0</v>
      </c>
      <c r="V119" s="48"/>
      <c r="W119" s="49">
        <v>1</v>
      </c>
      <c r="X119" s="49">
        <v>1</v>
      </c>
      <c r="Y119" s="49">
        <v>100000000</v>
      </c>
      <c r="Z119" s="49">
        <f t="shared" si="28"/>
        <v>1351753.51507198</v>
      </c>
      <c r="AA119" s="49">
        <f t="shared" si="29"/>
        <v>1351753.51507198</v>
      </c>
      <c r="AB119" s="82">
        <f t="shared" si="18"/>
        <v>0</v>
      </c>
      <c r="AC119" s="82">
        <f t="shared" si="19"/>
        <v>337938378767996.19</v>
      </c>
      <c r="AD119" s="81">
        <f t="shared" si="17"/>
        <v>389838862263066.44</v>
      </c>
      <c r="AE119" s="80">
        <f t="shared" si="20"/>
        <v>1153.5797256419382</v>
      </c>
      <c r="AF119" s="52">
        <f t="shared" si="30"/>
        <v>4.1041866376710923E-3</v>
      </c>
      <c r="AG119" s="48">
        <f t="shared" si="21"/>
        <v>4.2507970244420826E-3</v>
      </c>
      <c r="AH119" s="48">
        <f t="shared" si="31"/>
        <v>1.1986301369863013E-2</v>
      </c>
      <c r="AI119" s="48">
        <f t="shared" si="32"/>
        <v>4.329004329004329E-3</v>
      </c>
      <c r="AJ119" s="48">
        <f t="shared" si="33"/>
        <v>0</v>
      </c>
    </row>
    <row r="120" spans="1:36" x14ac:dyDescent="0.3">
      <c r="A120" s="48">
        <v>20180625</v>
      </c>
      <c r="B120" s="48" t="s">
        <v>88</v>
      </c>
      <c r="C120" s="49">
        <v>47250</v>
      </c>
      <c r="D120" s="49">
        <v>46650</v>
      </c>
      <c r="E120" s="49">
        <v>6419324700</v>
      </c>
      <c r="F120" s="49">
        <f t="shared" si="22"/>
        <v>0.15477434596074699</v>
      </c>
      <c r="G120" s="49">
        <f t="shared" si="23"/>
        <v>0.15477434596074699</v>
      </c>
      <c r="H120" s="48">
        <v>295500</v>
      </c>
      <c r="I120" s="48">
        <v>296000</v>
      </c>
      <c r="J120" s="51">
        <v>125395903</v>
      </c>
      <c r="K120" s="48">
        <f t="shared" si="24"/>
        <v>1.78883056366515</v>
      </c>
      <c r="L120" s="48">
        <f t="shared" si="25"/>
        <v>1.78883056366515</v>
      </c>
      <c r="M120" s="49">
        <v>232000</v>
      </c>
      <c r="N120" s="49">
        <v>230900</v>
      </c>
      <c r="O120" s="49">
        <v>15956260</v>
      </c>
      <c r="P120" s="49">
        <f t="shared" si="26"/>
        <v>38.206338350767297</v>
      </c>
      <c r="Q120" s="49">
        <f t="shared" si="27"/>
        <v>38.206338350767297</v>
      </c>
      <c r="R120" s="48">
        <v>0</v>
      </c>
      <c r="S120" s="48"/>
      <c r="T120" s="48">
        <v>0</v>
      </c>
      <c r="U120" s="48">
        <v>0</v>
      </c>
      <c r="V120" s="48"/>
      <c r="W120" s="49">
        <v>1</v>
      </c>
      <c r="X120" s="49">
        <v>1</v>
      </c>
      <c r="Y120" s="49">
        <v>100000000</v>
      </c>
      <c r="Z120" s="49">
        <f t="shared" si="28"/>
        <v>1351753.51507198</v>
      </c>
      <c r="AA120" s="49">
        <f t="shared" si="29"/>
        <v>1351753.51507198</v>
      </c>
      <c r="AB120" s="82">
        <f t="shared" si="18"/>
        <v>0</v>
      </c>
      <c r="AC120" s="82">
        <f t="shared" si="19"/>
        <v>337938378767996.19</v>
      </c>
      <c r="AD120" s="81">
        <f t="shared" si="17"/>
        <v>388684296910607.44</v>
      </c>
      <c r="AE120" s="80">
        <f t="shared" si="20"/>
        <v>1150.1632289520148</v>
      </c>
      <c r="AF120" s="52">
        <f t="shared" si="30"/>
        <v>-2.961647655537818E-3</v>
      </c>
      <c r="AG120" s="48">
        <f t="shared" si="21"/>
        <v>-1.2698412698412698E-2</v>
      </c>
      <c r="AH120" s="48">
        <f t="shared" si="31"/>
        <v>1.6920473773265651E-3</v>
      </c>
      <c r="AI120" s="48">
        <f t="shared" si="32"/>
        <v>-4.7413793103448275E-3</v>
      </c>
      <c r="AJ120" s="48">
        <f t="shared" si="33"/>
        <v>0</v>
      </c>
    </row>
    <row r="121" spans="1:36" x14ac:dyDescent="0.3">
      <c r="A121" s="48">
        <v>20180626</v>
      </c>
      <c r="B121" s="48" t="s">
        <v>88</v>
      </c>
      <c r="C121" s="49">
        <v>46650</v>
      </c>
      <c r="D121" s="49">
        <v>47000</v>
      </c>
      <c r="E121" s="49">
        <v>6419324700</v>
      </c>
      <c r="F121" s="49">
        <f t="shared" si="22"/>
        <v>0.15477434596074699</v>
      </c>
      <c r="G121" s="49">
        <f t="shared" si="23"/>
        <v>0.15477434596074699</v>
      </c>
      <c r="H121" s="48">
        <v>296000</v>
      </c>
      <c r="I121" s="48">
        <v>301000</v>
      </c>
      <c r="J121" s="51">
        <v>125395903</v>
      </c>
      <c r="K121" s="48">
        <f t="shared" si="24"/>
        <v>1.78883056366515</v>
      </c>
      <c r="L121" s="48">
        <f t="shared" si="25"/>
        <v>1.78883056366515</v>
      </c>
      <c r="M121" s="49">
        <v>230900</v>
      </c>
      <c r="N121" s="49">
        <v>223800</v>
      </c>
      <c r="O121" s="49">
        <v>15956260</v>
      </c>
      <c r="P121" s="49">
        <f t="shared" si="26"/>
        <v>38.206338350767297</v>
      </c>
      <c r="Q121" s="49">
        <f t="shared" si="27"/>
        <v>38.206338350767297</v>
      </c>
      <c r="R121" s="48">
        <v>0</v>
      </c>
      <c r="S121" s="48"/>
      <c r="T121" s="48">
        <v>0</v>
      </c>
      <c r="U121" s="48">
        <v>0</v>
      </c>
      <c r="V121" s="48"/>
      <c r="W121" s="49">
        <v>1</v>
      </c>
      <c r="X121" s="49">
        <v>1</v>
      </c>
      <c r="Y121" s="49">
        <v>100000000</v>
      </c>
      <c r="Z121" s="49">
        <f t="shared" si="28"/>
        <v>1351753.51507198</v>
      </c>
      <c r="AA121" s="49">
        <f t="shared" si="29"/>
        <v>1351753.51507198</v>
      </c>
      <c r="AB121" s="82">
        <f t="shared" si="18"/>
        <v>0</v>
      </c>
      <c r="AC121" s="82">
        <f t="shared" si="19"/>
        <v>337938378767996.19</v>
      </c>
      <c r="AD121" s="81">
        <f t="shared" si="17"/>
        <v>385825223498067.62</v>
      </c>
      <c r="AE121" s="80">
        <f t="shared" si="20"/>
        <v>1141.7028894576872</v>
      </c>
      <c r="AF121" s="52">
        <f t="shared" si="30"/>
        <v>-7.3557728862853385E-3</v>
      </c>
      <c r="AG121" s="48">
        <f t="shared" si="21"/>
        <v>7.502679528403001E-3</v>
      </c>
      <c r="AH121" s="48">
        <f t="shared" si="31"/>
        <v>1.6891891891891893E-2</v>
      </c>
      <c r="AI121" s="48">
        <f t="shared" si="32"/>
        <v>-3.0749242096145518E-2</v>
      </c>
      <c r="AJ121" s="48">
        <f t="shared" si="33"/>
        <v>0</v>
      </c>
    </row>
    <row r="122" spans="1:36" x14ac:dyDescent="0.3">
      <c r="A122" s="48">
        <v>20180627</v>
      </c>
      <c r="B122" s="48" t="s">
        <v>88</v>
      </c>
      <c r="C122" s="49">
        <v>47000</v>
      </c>
      <c r="D122" s="49">
        <v>47950</v>
      </c>
      <c r="E122" s="49">
        <v>6419324700</v>
      </c>
      <c r="F122" s="49">
        <f t="shared" si="22"/>
        <v>0.15477434596074699</v>
      </c>
      <c r="G122" s="49">
        <f t="shared" si="23"/>
        <v>0.15477434596074699</v>
      </c>
      <c r="H122" s="48">
        <v>301000</v>
      </c>
      <c r="I122" s="48">
        <v>302000</v>
      </c>
      <c r="J122" s="51">
        <v>125395903</v>
      </c>
      <c r="K122" s="48">
        <f t="shared" si="24"/>
        <v>1.78883056366515</v>
      </c>
      <c r="L122" s="48">
        <f t="shared" si="25"/>
        <v>1.78883056366515</v>
      </c>
      <c r="M122" s="49">
        <v>223800</v>
      </c>
      <c r="N122" s="49">
        <v>227100</v>
      </c>
      <c r="O122" s="49">
        <v>15956260</v>
      </c>
      <c r="P122" s="49">
        <f t="shared" si="26"/>
        <v>38.206338350767297</v>
      </c>
      <c r="Q122" s="49">
        <f t="shared" si="27"/>
        <v>38.206338350767297</v>
      </c>
      <c r="R122" s="48">
        <v>0</v>
      </c>
      <c r="S122" s="48"/>
      <c r="T122" s="48">
        <v>0</v>
      </c>
      <c r="U122" s="48">
        <v>0</v>
      </c>
      <c r="V122" s="48"/>
      <c r="W122" s="49">
        <v>1</v>
      </c>
      <c r="X122" s="49">
        <v>1</v>
      </c>
      <c r="Y122" s="49">
        <v>100000000</v>
      </c>
      <c r="Z122" s="49">
        <f t="shared" si="28"/>
        <v>1351753.51507198</v>
      </c>
      <c r="AA122" s="49">
        <f t="shared" si="29"/>
        <v>1351753.51507198</v>
      </c>
      <c r="AB122" s="82">
        <f t="shared" si="18"/>
        <v>0</v>
      </c>
      <c r="AC122" s="82">
        <f t="shared" si="19"/>
        <v>337938378767996.19</v>
      </c>
      <c r="AD122" s="81">
        <f t="shared" si="17"/>
        <v>389005184850397.31</v>
      </c>
      <c r="AE122" s="80">
        <f t="shared" si="20"/>
        <v>1151.1127746678926</v>
      </c>
      <c r="AF122" s="52">
        <f t="shared" si="30"/>
        <v>8.2419737193405278E-3</v>
      </c>
      <c r="AG122" s="48">
        <f t="shared" si="21"/>
        <v>2.021276595744681E-2</v>
      </c>
      <c r="AH122" s="48">
        <f t="shared" si="31"/>
        <v>3.3222591362126247E-3</v>
      </c>
      <c r="AI122" s="48">
        <f t="shared" si="32"/>
        <v>1.4745308310991957E-2</v>
      </c>
      <c r="AJ122" s="48">
        <f t="shared" si="33"/>
        <v>0</v>
      </c>
    </row>
    <row r="123" spans="1:36" x14ac:dyDescent="0.3">
      <c r="A123" s="48">
        <v>20180628</v>
      </c>
      <c r="B123" s="48" t="s">
        <v>88</v>
      </c>
      <c r="C123" s="49">
        <v>47950</v>
      </c>
      <c r="D123" s="49">
        <v>46800</v>
      </c>
      <c r="E123" s="49">
        <v>6419324700</v>
      </c>
      <c r="F123" s="49">
        <f t="shared" si="22"/>
        <v>0.15477434596074699</v>
      </c>
      <c r="G123" s="49">
        <f t="shared" si="23"/>
        <v>0.15477434596074699</v>
      </c>
      <c r="H123" s="48">
        <v>302000</v>
      </c>
      <c r="I123" s="48">
        <v>298000</v>
      </c>
      <c r="J123" s="51">
        <v>125395903</v>
      </c>
      <c r="K123" s="48">
        <f t="shared" si="24"/>
        <v>1.78883056366515</v>
      </c>
      <c r="L123" s="48">
        <f t="shared" si="25"/>
        <v>1.78883056366515</v>
      </c>
      <c r="M123" s="49">
        <v>227100</v>
      </c>
      <c r="N123" s="49">
        <v>227600</v>
      </c>
      <c r="O123" s="49">
        <v>15956260</v>
      </c>
      <c r="P123" s="49">
        <f t="shared" si="26"/>
        <v>38.206338350767297</v>
      </c>
      <c r="Q123" s="49">
        <f t="shared" si="27"/>
        <v>38.206338350767297</v>
      </c>
      <c r="R123" s="48">
        <v>0</v>
      </c>
      <c r="S123" s="48"/>
      <c r="T123" s="48">
        <v>0</v>
      </c>
      <c r="U123" s="48">
        <v>0</v>
      </c>
      <c r="V123" s="48"/>
      <c r="W123" s="49">
        <v>1</v>
      </c>
      <c r="X123" s="49">
        <v>1</v>
      </c>
      <c r="Y123" s="49">
        <v>100000000</v>
      </c>
      <c r="Z123" s="49">
        <f t="shared" si="28"/>
        <v>1351753.51507198</v>
      </c>
      <c r="AA123" s="49">
        <f t="shared" si="29"/>
        <v>1351753.51507198</v>
      </c>
      <c r="AB123" s="82">
        <f t="shared" si="18"/>
        <v>0</v>
      </c>
      <c r="AC123" s="82">
        <f t="shared" si="19"/>
        <v>337938378767996.19</v>
      </c>
      <c r="AD123" s="81">
        <f t="shared" si="17"/>
        <v>387270173089959.56</v>
      </c>
      <c r="AE123" s="80">
        <f t="shared" si="20"/>
        <v>1145.9786677731297</v>
      </c>
      <c r="AF123" s="52">
        <f t="shared" si="30"/>
        <v>-4.4601250266240412E-3</v>
      </c>
      <c r="AG123" s="48">
        <f t="shared" si="21"/>
        <v>-2.3983315954118872E-2</v>
      </c>
      <c r="AH123" s="48">
        <f t="shared" si="31"/>
        <v>-1.3245033112582781E-2</v>
      </c>
      <c r="AI123" s="48">
        <f t="shared" si="32"/>
        <v>2.2016732716864818E-3</v>
      </c>
      <c r="AJ123" s="48">
        <f t="shared" si="33"/>
        <v>0</v>
      </c>
    </row>
    <row r="124" spans="1:36" x14ac:dyDescent="0.3">
      <c r="A124" s="48">
        <v>20180629</v>
      </c>
      <c r="B124" s="48" t="s">
        <v>88</v>
      </c>
      <c r="C124" s="49">
        <v>46800</v>
      </c>
      <c r="D124" s="49">
        <v>46650</v>
      </c>
      <c r="E124" s="49">
        <v>6419324700</v>
      </c>
      <c r="F124" s="49">
        <f t="shared" si="22"/>
        <v>0.15477434596074699</v>
      </c>
      <c r="G124" s="49">
        <f t="shared" si="23"/>
        <v>0.15477434596074699</v>
      </c>
      <c r="H124" s="48">
        <v>298000</v>
      </c>
      <c r="I124" s="48">
        <v>303500</v>
      </c>
      <c r="J124" s="51">
        <v>125395903</v>
      </c>
      <c r="K124" s="48">
        <f t="shared" si="24"/>
        <v>1.78883056366515</v>
      </c>
      <c r="L124" s="48">
        <f t="shared" si="25"/>
        <v>1.78883056366515</v>
      </c>
      <c r="M124" s="49">
        <v>227600</v>
      </c>
      <c r="N124" s="49">
        <v>235600</v>
      </c>
      <c r="O124" s="49">
        <v>15956260</v>
      </c>
      <c r="P124" s="49">
        <f t="shared" si="26"/>
        <v>38.206338350767297</v>
      </c>
      <c r="Q124" s="49">
        <f t="shared" si="27"/>
        <v>38.206338350767297</v>
      </c>
      <c r="R124" s="48">
        <v>0</v>
      </c>
      <c r="S124" s="48"/>
      <c r="T124" s="48">
        <v>0</v>
      </c>
      <c r="U124" s="48">
        <v>0</v>
      </c>
      <c r="V124" s="48"/>
      <c r="W124" s="49">
        <v>1</v>
      </c>
      <c r="X124" s="49">
        <v>1</v>
      </c>
      <c r="Y124" s="49">
        <v>100000000</v>
      </c>
      <c r="Z124" s="49">
        <f t="shared" si="28"/>
        <v>1351753.51507198</v>
      </c>
      <c r="AA124" s="49">
        <f t="shared" si="29"/>
        <v>1351753.51507198</v>
      </c>
      <c r="AB124" s="82">
        <f t="shared" si="18"/>
        <v>0</v>
      </c>
      <c r="AC124" s="82">
        <f t="shared" si="19"/>
        <v>337938378767996.19</v>
      </c>
      <c r="AD124" s="81">
        <f t="shared" si="17"/>
        <v>393231899350795.62</v>
      </c>
      <c r="AE124" s="80">
        <f t="shared" si="20"/>
        <v>1163.6201273864781</v>
      </c>
      <c r="AF124" s="52">
        <f t="shared" si="30"/>
        <v>1.5394230372219181E-2</v>
      </c>
      <c r="AG124" s="48">
        <f t="shared" si="21"/>
        <v>-3.205128205128205E-3</v>
      </c>
      <c r="AH124" s="48">
        <f t="shared" si="31"/>
        <v>1.8456375838926176E-2</v>
      </c>
      <c r="AI124" s="48">
        <f t="shared" si="32"/>
        <v>3.5149384885764502E-2</v>
      </c>
      <c r="AJ124" s="48">
        <f t="shared" si="33"/>
        <v>0</v>
      </c>
    </row>
    <row r="125" spans="1:36" s="70" customFormat="1" x14ac:dyDescent="0.3">
      <c r="A125" s="71">
        <v>20180702</v>
      </c>
      <c r="B125" s="71" t="s">
        <v>89</v>
      </c>
      <c r="C125" s="53">
        <v>46650</v>
      </c>
      <c r="D125" s="53">
        <v>45550</v>
      </c>
      <c r="E125" s="53">
        <v>6419324700</v>
      </c>
      <c r="F125" s="53">
        <f t="shared" si="22"/>
        <v>0.15477434596074699</v>
      </c>
      <c r="G125" s="49">
        <f t="shared" si="23"/>
        <v>0.170946124192833</v>
      </c>
      <c r="H125" s="71">
        <v>303500</v>
      </c>
      <c r="I125" s="71">
        <v>303500</v>
      </c>
      <c r="J125" s="75">
        <v>125395903</v>
      </c>
      <c r="K125" s="71">
        <f t="shared" si="24"/>
        <v>1.78883056366515</v>
      </c>
      <c r="L125" s="48">
        <f t="shared" si="25"/>
        <v>1.34511125821281</v>
      </c>
      <c r="M125" s="53">
        <v>235600</v>
      </c>
      <c r="N125" s="53">
        <v>223900</v>
      </c>
      <c r="O125" s="53">
        <v>15956260</v>
      </c>
      <c r="P125" s="53">
        <f t="shared" si="26"/>
        <v>38.206338350767297</v>
      </c>
      <c r="Q125" s="49">
        <f t="shared" si="27"/>
        <v>27.234779000652601</v>
      </c>
      <c r="R125" s="71">
        <v>0</v>
      </c>
      <c r="S125" s="71"/>
      <c r="T125" s="71">
        <v>0</v>
      </c>
      <c r="U125" s="71">
        <v>0</v>
      </c>
      <c r="V125" s="71"/>
      <c r="W125" s="53">
        <v>1</v>
      </c>
      <c r="X125" s="53">
        <v>1</v>
      </c>
      <c r="Y125" s="53">
        <v>100000000</v>
      </c>
      <c r="Z125" s="53">
        <f t="shared" si="28"/>
        <v>1351753.51507198</v>
      </c>
      <c r="AA125" s="49">
        <f t="shared" si="29"/>
        <v>1365114.194686</v>
      </c>
      <c r="AB125" s="83">
        <f t="shared" si="18"/>
        <v>0</v>
      </c>
      <c r="AC125" s="82">
        <f t="shared" si="19"/>
        <v>293290345052745.87</v>
      </c>
      <c r="AD125" s="83">
        <f t="shared" si="17"/>
        <v>334987041113469.56</v>
      </c>
      <c r="AE125" s="84">
        <f t="shared" si="20"/>
        <v>1142.1686624332106</v>
      </c>
      <c r="AF125" s="85">
        <f t="shared" si="30"/>
        <v>-1.8435109919805268E-2</v>
      </c>
      <c r="AG125" s="71">
        <f t="shared" si="21"/>
        <v>-2.3579849946409433E-2</v>
      </c>
      <c r="AH125" s="71">
        <f t="shared" si="31"/>
        <v>0</v>
      </c>
      <c r="AI125" s="71">
        <f t="shared" si="32"/>
        <v>-4.9660441426146007E-2</v>
      </c>
      <c r="AJ125" s="71">
        <f t="shared" si="33"/>
        <v>0</v>
      </c>
    </row>
    <row r="126" spans="1:36" s="73" customFormat="1" x14ac:dyDescent="0.3">
      <c r="A126" s="48">
        <v>20180703</v>
      </c>
      <c r="B126" s="48" t="s">
        <v>88</v>
      </c>
      <c r="C126" s="49">
        <v>45550</v>
      </c>
      <c r="D126" s="49">
        <v>46150</v>
      </c>
      <c r="E126" s="49">
        <v>6419324700</v>
      </c>
      <c r="F126" s="49">
        <f t="shared" si="22"/>
        <v>0.170946124192833</v>
      </c>
      <c r="G126" s="49">
        <f t="shared" si="23"/>
        <v>0.170946124192833</v>
      </c>
      <c r="H126" s="48">
        <v>303500</v>
      </c>
      <c r="I126" s="48">
        <v>303000</v>
      </c>
      <c r="J126" s="51">
        <v>125395903</v>
      </c>
      <c r="K126" s="48">
        <f t="shared" si="24"/>
        <v>1.34511125821281</v>
      </c>
      <c r="L126" s="48">
        <f t="shared" si="25"/>
        <v>1.34511125821281</v>
      </c>
      <c r="M126" s="49">
        <v>223900</v>
      </c>
      <c r="N126" s="49">
        <v>222000</v>
      </c>
      <c r="O126" s="49">
        <v>15956260</v>
      </c>
      <c r="P126" s="49">
        <f t="shared" si="26"/>
        <v>27.234779000652601</v>
      </c>
      <c r="Q126" s="49">
        <f t="shared" si="27"/>
        <v>27.234779000652601</v>
      </c>
      <c r="R126" s="48">
        <v>0</v>
      </c>
      <c r="S126" s="48"/>
      <c r="T126" s="48">
        <v>0</v>
      </c>
      <c r="U126" s="48">
        <v>0</v>
      </c>
      <c r="V126" s="48"/>
      <c r="W126" s="49">
        <v>1</v>
      </c>
      <c r="X126" s="49">
        <v>1</v>
      </c>
      <c r="Y126" s="49">
        <v>100000000</v>
      </c>
      <c r="Z126" s="49">
        <f t="shared" si="28"/>
        <v>1365114.194686</v>
      </c>
      <c r="AA126" s="49">
        <f t="shared" si="29"/>
        <v>1365114.194686</v>
      </c>
      <c r="AB126" s="82">
        <f t="shared" si="18"/>
        <v>0</v>
      </c>
      <c r="AC126" s="82">
        <f t="shared" si="19"/>
        <v>293290345052745.87</v>
      </c>
      <c r="AD126" s="81">
        <f t="shared" si="17"/>
        <v>334735446691404</v>
      </c>
      <c r="AE126" s="80">
        <f t="shared" si="20"/>
        <v>1141.3108284597795</v>
      </c>
      <c r="AF126" s="52">
        <f t="shared" si="30"/>
        <v>-7.5105717889649502E-4</v>
      </c>
      <c r="AG126" s="48">
        <f t="shared" si="21"/>
        <v>1.3172338090010977E-2</v>
      </c>
      <c r="AH126" s="48">
        <f t="shared" si="31"/>
        <v>-1.6474464579901153E-3</v>
      </c>
      <c r="AI126" s="48">
        <f t="shared" si="32"/>
        <v>-8.4859312192943279E-3</v>
      </c>
      <c r="AJ126" s="48">
        <f t="shared" si="33"/>
        <v>0</v>
      </c>
    </row>
    <row r="127" spans="1:36" x14ac:dyDescent="0.3">
      <c r="A127" s="48">
        <v>20180704</v>
      </c>
      <c r="B127" s="48" t="s">
        <v>88</v>
      </c>
      <c r="C127" s="49">
        <v>46150</v>
      </c>
      <c r="D127" s="49">
        <v>46250</v>
      </c>
      <c r="E127" s="49">
        <v>6419324700</v>
      </c>
      <c r="F127" s="49">
        <f t="shared" si="22"/>
        <v>0.170946124192833</v>
      </c>
      <c r="G127" s="49">
        <f t="shared" si="23"/>
        <v>0.170946124192833</v>
      </c>
      <c r="H127" s="48">
        <v>303000</v>
      </c>
      <c r="I127" s="48">
        <v>291500</v>
      </c>
      <c r="J127" s="51">
        <v>125395903</v>
      </c>
      <c r="K127" s="48">
        <f t="shared" si="24"/>
        <v>1.34511125821281</v>
      </c>
      <c r="L127" s="48">
        <f t="shared" si="25"/>
        <v>1.34511125821281</v>
      </c>
      <c r="M127" s="49">
        <v>222000</v>
      </c>
      <c r="N127" s="49">
        <v>215500</v>
      </c>
      <c r="O127" s="49">
        <v>15956260</v>
      </c>
      <c r="P127" s="49">
        <f t="shared" si="26"/>
        <v>27.234779000652601</v>
      </c>
      <c r="Q127" s="49">
        <f t="shared" si="27"/>
        <v>27.234779000652601</v>
      </c>
      <c r="R127" s="48">
        <v>0</v>
      </c>
      <c r="S127" s="48"/>
      <c r="T127" s="48">
        <v>0</v>
      </c>
      <c r="U127" s="48">
        <v>0</v>
      </c>
      <c r="V127" s="48"/>
      <c r="W127" s="49">
        <v>1</v>
      </c>
      <c r="X127" s="49">
        <v>1</v>
      </c>
      <c r="Y127" s="49">
        <v>100000000</v>
      </c>
      <c r="Z127" s="49">
        <f t="shared" si="28"/>
        <v>1365114.194686</v>
      </c>
      <c r="AA127" s="49">
        <f t="shared" si="29"/>
        <v>1365114.194686</v>
      </c>
      <c r="AB127" s="82">
        <f t="shared" si="18"/>
        <v>0</v>
      </c>
      <c r="AC127" s="82">
        <f t="shared" si="19"/>
        <v>293290345052745.87</v>
      </c>
      <c r="AD127" s="81">
        <f t="shared" si="17"/>
        <v>330080787093214.62</v>
      </c>
      <c r="AE127" s="80">
        <f t="shared" si="20"/>
        <v>1125.4403449041336</v>
      </c>
      <c r="AF127" s="52">
        <f t="shared" si="30"/>
        <v>-1.3905487584888203E-2</v>
      </c>
      <c r="AG127" s="48">
        <f t="shared" si="21"/>
        <v>2.1668472372697724E-3</v>
      </c>
      <c r="AH127" s="48">
        <f t="shared" si="31"/>
        <v>-3.7953795379537955E-2</v>
      </c>
      <c r="AI127" s="48">
        <f t="shared" si="32"/>
        <v>-2.9279279279279279E-2</v>
      </c>
      <c r="AJ127" s="48">
        <f t="shared" si="33"/>
        <v>0</v>
      </c>
    </row>
    <row r="128" spans="1:36" x14ac:dyDescent="0.3">
      <c r="A128" s="48">
        <v>20180705</v>
      </c>
      <c r="B128" s="48" t="s">
        <v>88</v>
      </c>
      <c r="C128" s="49">
        <v>46250</v>
      </c>
      <c r="D128" s="49">
        <v>45950</v>
      </c>
      <c r="E128" s="49">
        <v>6419324700</v>
      </c>
      <c r="F128" s="49">
        <f t="shared" si="22"/>
        <v>0.170946124192833</v>
      </c>
      <c r="G128" s="49">
        <f t="shared" si="23"/>
        <v>0.170946124192833</v>
      </c>
      <c r="H128" s="48">
        <v>291500</v>
      </c>
      <c r="I128" s="48">
        <v>282000</v>
      </c>
      <c r="J128" s="51">
        <v>125395903</v>
      </c>
      <c r="K128" s="48">
        <f t="shared" si="24"/>
        <v>1.34511125821281</v>
      </c>
      <c r="L128" s="48">
        <f t="shared" si="25"/>
        <v>1.34511125821281</v>
      </c>
      <c r="M128" s="49">
        <v>215500</v>
      </c>
      <c r="N128" s="49">
        <v>209200</v>
      </c>
      <c r="O128" s="49">
        <v>15956260</v>
      </c>
      <c r="P128" s="49">
        <f t="shared" si="26"/>
        <v>27.234779000652601</v>
      </c>
      <c r="Q128" s="49">
        <f t="shared" si="27"/>
        <v>27.234779000652601</v>
      </c>
      <c r="R128" s="48">
        <v>0</v>
      </c>
      <c r="S128" s="48"/>
      <c r="T128" s="48">
        <v>0</v>
      </c>
      <c r="U128" s="48">
        <v>0</v>
      </c>
      <c r="V128" s="48"/>
      <c r="W128" s="49">
        <v>1</v>
      </c>
      <c r="X128" s="49">
        <v>1</v>
      </c>
      <c r="Y128" s="49">
        <v>100000000</v>
      </c>
      <c r="Z128" s="49">
        <f t="shared" si="28"/>
        <v>1365114.194686</v>
      </c>
      <c r="AA128" s="49">
        <f t="shared" si="29"/>
        <v>1365114.194686</v>
      </c>
      <c r="AB128" s="82">
        <f t="shared" si="18"/>
        <v>0</v>
      </c>
      <c r="AC128" s="82">
        <f t="shared" si="19"/>
        <v>293290345052745.87</v>
      </c>
      <c r="AD128" s="81">
        <f t="shared" si="17"/>
        <v>325411439948738.62</v>
      </c>
      <c r="AE128" s="80">
        <f t="shared" si="20"/>
        <v>1109.5197828289099</v>
      </c>
      <c r="AF128" s="52">
        <f t="shared" si="30"/>
        <v>-1.414607371000173E-2</v>
      </c>
      <c r="AG128" s="48">
        <f t="shared" si="21"/>
        <v>-6.4864864864864862E-3</v>
      </c>
      <c r="AH128" s="48">
        <f t="shared" si="31"/>
        <v>-3.2590051457975985E-2</v>
      </c>
      <c r="AI128" s="48">
        <f t="shared" si="32"/>
        <v>-2.923433874709977E-2</v>
      </c>
      <c r="AJ128" s="48">
        <f t="shared" si="33"/>
        <v>0</v>
      </c>
    </row>
    <row r="129" spans="1:36" x14ac:dyDescent="0.3">
      <c r="A129" s="48">
        <v>20180706</v>
      </c>
      <c r="B129" s="48" t="s">
        <v>88</v>
      </c>
      <c r="C129" s="49">
        <v>45950</v>
      </c>
      <c r="D129" s="49">
        <v>44900</v>
      </c>
      <c r="E129" s="49">
        <v>6419324700</v>
      </c>
      <c r="F129" s="49">
        <f t="shared" si="22"/>
        <v>0.170946124192833</v>
      </c>
      <c r="G129" s="49">
        <f t="shared" si="23"/>
        <v>0.170946124192833</v>
      </c>
      <c r="H129" s="48">
        <v>282000</v>
      </c>
      <c r="I129" s="48">
        <v>289500</v>
      </c>
      <c r="J129" s="51">
        <v>125395903</v>
      </c>
      <c r="K129" s="48">
        <f t="shared" si="24"/>
        <v>1.34511125821281</v>
      </c>
      <c r="L129" s="48">
        <f t="shared" si="25"/>
        <v>1.34511125821281</v>
      </c>
      <c r="M129" s="49">
        <v>209200</v>
      </c>
      <c r="N129" s="49">
        <v>217100</v>
      </c>
      <c r="O129" s="49">
        <v>15956260</v>
      </c>
      <c r="P129" s="49">
        <f t="shared" si="26"/>
        <v>27.234779000652601</v>
      </c>
      <c r="Q129" s="49">
        <f t="shared" si="27"/>
        <v>27.234779000652601</v>
      </c>
      <c r="R129" s="48">
        <v>0</v>
      </c>
      <c r="S129" s="48"/>
      <c r="T129" s="48">
        <v>0</v>
      </c>
      <c r="U129" s="48">
        <v>0</v>
      </c>
      <c r="V129" s="48"/>
      <c r="W129" s="49">
        <v>1</v>
      </c>
      <c r="X129" s="49">
        <v>1</v>
      </c>
      <c r="Y129" s="49">
        <v>100000000</v>
      </c>
      <c r="Z129" s="49">
        <f t="shared" si="28"/>
        <v>1365114.194686</v>
      </c>
      <c r="AA129" s="49">
        <f t="shared" si="29"/>
        <v>1365114.194686</v>
      </c>
      <c r="AB129" s="82">
        <f t="shared" si="18"/>
        <v>0</v>
      </c>
      <c r="AC129" s="82">
        <f t="shared" si="19"/>
        <v>293290345052745.87</v>
      </c>
      <c r="AD129" s="81">
        <f t="shared" si="17"/>
        <v>328957314340649.19</v>
      </c>
      <c r="AE129" s="80">
        <f t="shared" si="20"/>
        <v>1121.6097627812771</v>
      </c>
      <c r="AF129" s="52">
        <f t="shared" si="30"/>
        <v>1.0896588000929342E-2</v>
      </c>
      <c r="AG129" s="48">
        <f t="shared" si="21"/>
        <v>-2.2850924918389554E-2</v>
      </c>
      <c r="AH129" s="48">
        <f t="shared" si="31"/>
        <v>2.6595744680851064E-2</v>
      </c>
      <c r="AI129" s="48">
        <f t="shared" si="32"/>
        <v>3.7762906309751432E-2</v>
      </c>
      <c r="AJ129" s="48">
        <f t="shared" si="33"/>
        <v>0</v>
      </c>
    </row>
    <row r="130" spans="1:36" x14ac:dyDescent="0.3">
      <c r="A130" s="48">
        <v>20180709</v>
      </c>
      <c r="B130" s="48" t="s">
        <v>88</v>
      </c>
      <c r="C130" s="49">
        <v>44900</v>
      </c>
      <c r="D130" s="49">
        <v>45600</v>
      </c>
      <c r="E130" s="49">
        <v>6419324700</v>
      </c>
      <c r="F130" s="49">
        <f t="shared" si="22"/>
        <v>0.170946124192833</v>
      </c>
      <c r="G130" s="49">
        <f t="shared" si="23"/>
        <v>0.170946124192833</v>
      </c>
      <c r="H130" s="48">
        <v>289500</v>
      </c>
      <c r="I130" s="48">
        <v>284000</v>
      </c>
      <c r="J130" s="51">
        <v>125395903</v>
      </c>
      <c r="K130" s="48">
        <f t="shared" si="24"/>
        <v>1.34511125821281</v>
      </c>
      <c r="L130" s="48">
        <f t="shared" si="25"/>
        <v>1.34511125821281</v>
      </c>
      <c r="M130" s="49">
        <v>217100</v>
      </c>
      <c r="N130" s="49">
        <v>228700</v>
      </c>
      <c r="O130" s="49">
        <v>15956260</v>
      </c>
      <c r="P130" s="49">
        <f t="shared" si="26"/>
        <v>27.234779000652601</v>
      </c>
      <c r="Q130" s="49">
        <f t="shared" si="27"/>
        <v>27.234779000652601</v>
      </c>
      <c r="R130" s="48">
        <v>0</v>
      </c>
      <c r="S130" s="48"/>
      <c r="T130" s="48">
        <v>0</v>
      </c>
      <c r="U130" s="48">
        <v>0</v>
      </c>
      <c r="V130" s="48"/>
      <c r="W130" s="49">
        <v>1</v>
      </c>
      <c r="X130" s="49">
        <v>1</v>
      </c>
      <c r="Y130" s="49">
        <v>100000000</v>
      </c>
      <c r="Z130" s="49">
        <f t="shared" si="28"/>
        <v>1365114.194686</v>
      </c>
      <c r="AA130" s="49">
        <f t="shared" si="29"/>
        <v>1365114.194686</v>
      </c>
      <c r="AB130" s="82">
        <f t="shared" si="18"/>
        <v>0</v>
      </c>
      <c r="AC130" s="82">
        <f t="shared" si="19"/>
        <v>293290345052745.87</v>
      </c>
      <c r="AD130" s="81">
        <f t="shared" si="17"/>
        <v>333838728981517.25</v>
      </c>
      <c r="AE130" s="80">
        <f t="shared" si="20"/>
        <v>1138.2533881961886</v>
      </c>
      <c r="AF130" s="52">
        <f t="shared" si="30"/>
        <v>1.4839051840668626E-2</v>
      </c>
      <c r="AG130" s="48">
        <f t="shared" si="21"/>
        <v>1.5590200445434299E-2</v>
      </c>
      <c r="AH130" s="48">
        <f t="shared" si="31"/>
        <v>-1.8998272884283247E-2</v>
      </c>
      <c r="AI130" s="48">
        <f t="shared" si="32"/>
        <v>5.3431598341777985E-2</v>
      </c>
      <c r="AJ130" s="48">
        <f t="shared" si="33"/>
        <v>0</v>
      </c>
    </row>
    <row r="131" spans="1:36" x14ac:dyDescent="0.3">
      <c r="A131" s="48">
        <v>20180710</v>
      </c>
      <c r="B131" s="48" t="s">
        <v>88</v>
      </c>
      <c r="C131" s="49">
        <v>45600</v>
      </c>
      <c r="D131" s="49">
        <v>46300</v>
      </c>
      <c r="E131" s="49">
        <v>6419324700</v>
      </c>
      <c r="F131" s="49">
        <f t="shared" si="22"/>
        <v>0.170946124192833</v>
      </c>
      <c r="G131" s="49">
        <f t="shared" si="23"/>
        <v>0.170946124192833</v>
      </c>
      <c r="H131" s="48">
        <v>284000</v>
      </c>
      <c r="I131" s="48">
        <v>281000</v>
      </c>
      <c r="J131" s="51">
        <v>125395903</v>
      </c>
      <c r="K131" s="48">
        <f t="shared" si="24"/>
        <v>1.34511125821281</v>
      </c>
      <c r="L131" s="48">
        <f t="shared" si="25"/>
        <v>1.34511125821281</v>
      </c>
      <c r="M131" s="49">
        <v>228700</v>
      </c>
      <c r="N131" s="49">
        <v>231000</v>
      </c>
      <c r="O131" s="49">
        <v>15956260</v>
      </c>
      <c r="P131" s="49">
        <f t="shared" si="26"/>
        <v>27.234779000652601</v>
      </c>
      <c r="Q131" s="49">
        <f t="shared" si="27"/>
        <v>27.234779000652601</v>
      </c>
      <c r="R131" s="48">
        <v>0</v>
      </c>
      <c r="S131" s="48"/>
      <c r="T131" s="48">
        <v>0</v>
      </c>
      <c r="U131" s="48">
        <v>0</v>
      </c>
      <c r="V131" s="48"/>
      <c r="W131" s="49">
        <v>1</v>
      </c>
      <c r="X131" s="49">
        <v>1</v>
      </c>
      <c r="Y131" s="49">
        <v>100000000</v>
      </c>
      <c r="Z131" s="49">
        <f t="shared" si="28"/>
        <v>1365114.194686</v>
      </c>
      <c r="AA131" s="49">
        <f t="shared" si="29"/>
        <v>1365114.194686</v>
      </c>
      <c r="AB131" s="82">
        <f t="shared" si="18"/>
        <v>0</v>
      </c>
      <c r="AC131" s="82">
        <f t="shared" si="19"/>
        <v>293290345052745.87</v>
      </c>
      <c r="AD131" s="81">
        <f t="shared" ref="AD131:AD194" si="34">D131*E131*G131+I131*J131*L131+N131*O131*Q131+X131*Y131*AA131</f>
        <v>335100365727107.25</v>
      </c>
      <c r="AE131" s="80">
        <f t="shared" si="20"/>
        <v>1142.5550529692416</v>
      </c>
      <c r="AF131" s="52">
        <f t="shared" si="30"/>
        <v>3.7791802929486472E-3</v>
      </c>
      <c r="AG131" s="48">
        <f t="shared" si="21"/>
        <v>1.5350877192982455E-2</v>
      </c>
      <c r="AH131" s="48">
        <f t="shared" si="31"/>
        <v>-1.0563380281690141E-2</v>
      </c>
      <c r="AI131" s="48">
        <f t="shared" si="32"/>
        <v>1.0056843025797988E-2</v>
      </c>
      <c r="AJ131" s="48">
        <f t="shared" si="33"/>
        <v>0</v>
      </c>
    </row>
    <row r="132" spans="1:36" x14ac:dyDescent="0.3">
      <c r="A132" s="48">
        <v>20180711</v>
      </c>
      <c r="B132" s="48" t="s">
        <v>88</v>
      </c>
      <c r="C132" s="49">
        <v>46300</v>
      </c>
      <c r="D132" s="49">
        <v>46000</v>
      </c>
      <c r="E132" s="49">
        <v>6419324700</v>
      </c>
      <c r="F132" s="49">
        <f t="shared" si="22"/>
        <v>0.170946124192833</v>
      </c>
      <c r="G132" s="49">
        <f t="shared" si="23"/>
        <v>0.170946124192833</v>
      </c>
      <c r="H132" s="48">
        <v>281000</v>
      </c>
      <c r="I132" s="48">
        <v>276500</v>
      </c>
      <c r="J132" s="51">
        <v>125395903</v>
      </c>
      <c r="K132" s="48">
        <f t="shared" si="24"/>
        <v>1.34511125821281</v>
      </c>
      <c r="L132" s="48">
        <f t="shared" si="25"/>
        <v>1.34511125821281</v>
      </c>
      <c r="M132" s="49">
        <v>231000</v>
      </c>
      <c r="N132" s="49">
        <v>227000</v>
      </c>
      <c r="O132" s="49">
        <v>15956260</v>
      </c>
      <c r="P132" s="49">
        <f t="shared" si="26"/>
        <v>27.234779000652601</v>
      </c>
      <c r="Q132" s="49">
        <f t="shared" si="27"/>
        <v>27.234779000652601</v>
      </c>
      <c r="R132" s="48">
        <v>0</v>
      </c>
      <c r="S132" s="48"/>
      <c r="T132" s="48">
        <v>0</v>
      </c>
      <c r="U132" s="48">
        <v>0</v>
      </c>
      <c r="V132" s="48"/>
      <c r="W132" s="49">
        <v>1</v>
      </c>
      <c r="X132" s="49">
        <v>1</v>
      </c>
      <c r="Y132" s="49">
        <v>100000000</v>
      </c>
      <c r="Z132" s="49">
        <f t="shared" si="28"/>
        <v>1365114.194686</v>
      </c>
      <c r="AA132" s="49">
        <f t="shared" si="29"/>
        <v>1365114.194686</v>
      </c>
      <c r="AB132" s="82">
        <f t="shared" ref="AB132:AB195" si="35">IF(AD131&lt;&gt;(C132*E132*F132+H132*J132*K132+M132*O132*P132+W132*Y132*Z132),1,0)</f>
        <v>0</v>
      </c>
      <c r="AC132" s="82">
        <f t="shared" ref="AC132:AC195" si="36">IF(AND(AB132=0,B132="N"),AC131,AC131*(C132*E132*G132+H132*J132*L132+M132*O132*Q132+W132*Y132*AA132)/AD131)</f>
        <v>293290345052745.87</v>
      </c>
      <c r="AD132" s="81">
        <f t="shared" si="34"/>
        <v>332273875780913.62</v>
      </c>
      <c r="AE132" s="80">
        <f t="shared" ref="AE132:AE195" si="37">AD132/AC132*1000</f>
        <v>1132.917879452039</v>
      </c>
      <c r="AF132" s="52">
        <f t="shared" si="30"/>
        <v>-8.434756375334234E-3</v>
      </c>
      <c r="AG132" s="48">
        <f t="shared" ref="AG132:AG195" si="38">(D132-C132)/C132</f>
        <v>-6.4794816414686825E-3</v>
      </c>
      <c r="AH132" s="48">
        <f t="shared" si="31"/>
        <v>-1.601423487544484E-2</v>
      </c>
      <c r="AI132" s="48">
        <f t="shared" si="32"/>
        <v>-1.7316017316017316E-2</v>
      </c>
      <c r="AJ132" s="48">
        <f t="shared" si="33"/>
        <v>0</v>
      </c>
    </row>
    <row r="133" spans="1:36" x14ac:dyDescent="0.3">
      <c r="A133" s="48">
        <v>20180712</v>
      </c>
      <c r="B133" s="48" t="s">
        <v>88</v>
      </c>
      <c r="C133" s="49">
        <v>46000</v>
      </c>
      <c r="D133" s="49">
        <v>45500</v>
      </c>
      <c r="E133" s="49">
        <v>6419324700</v>
      </c>
      <c r="F133" s="49">
        <f t="shared" ref="F133:F196" si="39">G132</f>
        <v>0.170946124192833</v>
      </c>
      <c r="G133" s="49">
        <f t="shared" ref="G133:G196" si="40">IF(B133="Y",ROUND(0.15*(C133*E133+H133*J133+M133*O133+W133*Y133)/(C133*E133),17),IF(AB133=0,F133,ROUND(D132*E132*G132/AD132*(C133*E133+H133*J133+M133*O133+W133*Y133)/(C133*E133),17)))</f>
        <v>0.170946124192833</v>
      </c>
      <c r="H133" s="48">
        <v>276500</v>
      </c>
      <c r="I133" s="48">
        <v>288000</v>
      </c>
      <c r="J133" s="51">
        <v>125395903</v>
      </c>
      <c r="K133" s="48">
        <f t="shared" ref="K133:K196" si="41">L132</f>
        <v>1.34511125821281</v>
      </c>
      <c r="L133" s="48">
        <f t="shared" ref="L133:L196" si="42">IF(B133="Y",ROUND(0.15*(C133*E133+H133*J133+M133*O133+W133*Y133)/(H133*J133),17),IF(AB133=0,K133,ROUND(I132*J132*L132/AD132*(C133*E133+H133*J133+M133*O133+W133*Y133)/(H133*J133),17)))</f>
        <v>1.34511125821281</v>
      </c>
      <c r="M133" s="49">
        <v>227000</v>
      </c>
      <c r="N133" s="49">
        <v>228200</v>
      </c>
      <c r="O133" s="49">
        <v>15956260</v>
      </c>
      <c r="P133" s="49">
        <f t="shared" ref="P133:P196" si="43">Q132</f>
        <v>27.234779000652601</v>
      </c>
      <c r="Q133" s="49">
        <f t="shared" ref="Q133:Q196" si="44">IF(B133="Y",ROUND(0.3*(C133*E133+H133*J133+M133*O133+W133*Y133)/(M133*O133),17),IF(AB133=0,P133,ROUND(N132*O132*Q132/AD132*(C133*E133+H133*J133+M133*O133+W133*Y133)/(M133*O133),17)))</f>
        <v>27.234779000652601</v>
      </c>
      <c r="R133" s="48">
        <v>0</v>
      </c>
      <c r="S133" s="48"/>
      <c r="T133" s="48">
        <v>0</v>
      </c>
      <c r="U133" s="48">
        <v>0</v>
      </c>
      <c r="V133" s="48"/>
      <c r="W133" s="49">
        <v>1</v>
      </c>
      <c r="X133" s="49">
        <v>1</v>
      </c>
      <c r="Y133" s="49">
        <v>100000000</v>
      </c>
      <c r="Z133" s="49">
        <f t="shared" ref="Z133:Z196" si="45">AA132</f>
        <v>1365114.194686</v>
      </c>
      <c r="AA133" s="49">
        <f t="shared" ref="AA133:AA196" si="46">IF(B133="Y",ROUND(0.4*(C133*E133+H133*J133+M133*O133+W133*Y133)/(W133*Y133),17),IF(AB133=0,Z133,ROUND(X132*Y132*AA132/AD132*(C133*E133+H133*J133+M133*O133+W133*Y133)/(W133*Y133),17)))</f>
        <v>1365114.194686</v>
      </c>
      <c r="AB133" s="82">
        <f t="shared" si="35"/>
        <v>0</v>
      </c>
      <c r="AC133" s="82">
        <f t="shared" si="36"/>
        <v>293290345052745.87</v>
      </c>
      <c r="AD133" s="81">
        <f t="shared" si="34"/>
        <v>334186396269825</v>
      </c>
      <c r="AE133" s="80">
        <f t="shared" si="37"/>
        <v>1139.4387913101073</v>
      </c>
      <c r="AF133" s="52">
        <f t="shared" ref="AF133:AF196" si="47">(AE133-AE132)/AE132</f>
        <v>5.7558557211775021E-3</v>
      </c>
      <c r="AG133" s="48">
        <f t="shared" si="38"/>
        <v>-1.0869565217391304E-2</v>
      </c>
      <c r="AH133" s="48">
        <f t="shared" ref="AH133:AH196" si="48">(I133-H133)/H133</f>
        <v>4.1591320072332731E-2</v>
      </c>
      <c r="AI133" s="48">
        <f t="shared" ref="AI133:AI196" si="49">(N133-M133)/M133</f>
        <v>5.2863436123348016E-3</v>
      </c>
      <c r="AJ133" s="48">
        <f t="shared" ref="AJ133:AJ196" si="50">(X133-W133)/X133</f>
        <v>0</v>
      </c>
    </row>
    <row r="134" spans="1:36" x14ac:dyDescent="0.3">
      <c r="A134" s="48">
        <v>20180713</v>
      </c>
      <c r="B134" s="48" t="s">
        <v>88</v>
      </c>
      <c r="C134" s="49">
        <v>45500</v>
      </c>
      <c r="D134" s="49">
        <v>46500</v>
      </c>
      <c r="E134" s="49">
        <v>6419324700</v>
      </c>
      <c r="F134" s="49">
        <f t="shared" si="39"/>
        <v>0.170946124192833</v>
      </c>
      <c r="G134" s="49">
        <f t="shared" si="40"/>
        <v>0.170946124192833</v>
      </c>
      <c r="H134" s="48">
        <v>288000</v>
      </c>
      <c r="I134" s="48">
        <v>288000</v>
      </c>
      <c r="J134" s="51">
        <v>125395903</v>
      </c>
      <c r="K134" s="48">
        <f t="shared" si="41"/>
        <v>1.34511125821281</v>
      </c>
      <c r="L134" s="48">
        <f t="shared" si="42"/>
        <v>1.34511125821281</v>
      </c>
      <c r="M134" s="49">
        <v>228200</v>
      </c>
      <c r="N134" s="49">
        <v>235500</v>
      </c>
      <c r="O134" s="49">
        <v>15956260</v>
      </c>
      <c r="P134" s="49">
        <f t="shared" si="43"/>
        <v>27.234779000652601</v>
      </c>
      <c r="Q134" s="49">
        <f t="shared" si="44"/>
        <v>27.234779000652601</v>
      </c>
      <c r="R134" s="48">
        <v>0</v>
      </c>
      <c r="S134" s="48"/>
      <c r="T134" s="48">
        <v>0</v>
      </c>
      <c r="U134" s="48">
        <v>0</v>
      </c>
      <c r="V134" s="48"/>
      <c r="W134" s="49">
        <v>1</v>
      </c>
      <c r="X134" s="49">
        <v>1</v>
      </c>
      <c r="Y134" s="49">
        <v>100000000</v>
      </c>
      <c r="Z134" s="49">
        <f t="shared" si="45"/>
        <v>1365114.194686</v>
      </c>
      <c r="AA134" s="49">
        <f t="shared" si="46"/>
        <v>1365114.194686</v>
      </c>
      <c r="AB134" s="82">
        <f t="shared" si="35"/>
        <v>0</v>
      </c>
      <c r="AC134" s="82">
        <f t="shared" si="36"/>
        <v>293290345052745.87</v>
      </c>
      <c r="AD134" s="81">
        <f t="shared" si="34"/>
        <v>338456081015097.06</v>
      </c>
      <c r="AE134" s="80">
        <f t="shared" si="37"/>
        <v>1153.9966682306861</v>
      </c>
      <c r="AF134" s="52">
        <f t="shared" si="47"/>
        <v>1.2776357125634097E-2</v>
      </c>
      <c r="AG134" s="48">
        <f t="shared" si="38"/>
        <v>2.197802197802198E-2</v>
      </c>
      <c r="AH134" s="48">
        <f t="shared" si="48"/>
        <v>0</v>
      </c>
      <c r="AI134" s="48">
        <f t="shared" si="49"/>
        <v>3.1989482909728306E-2</v>
      </c>
      <c r="AJ134" s="48">
        <f t="shared" si="50"/>
        <v>0</v>
      </c>
    </row>
    <row r="135" spans="1:36" x14ac:dyDescent="0.3">
      <c r="A135" s="48">
        <v>20180716</v>
      </c>
      <c r="B135" s="48" t="s">
        <v>88</v>
      </c>
      <c r="C135" s="49">
        <v>46500</v>
      </c>
      <c r="D135" s="49">
        <v>46050</v>
      </c>
      <c r="E135" s="49">
        <v>6419324700</v>
      </c>
      <c r="F135" s="49">
        <f t="shared" si="39"/>
        <v>0.170946124192833</v>
      </c>
      <c r="G135" s="49">
        <f t="shared" si="40"/>
        <v>0.170946124192833</v>
      </c>
      <c r="H135" s="48">
        <v>288000</v>
      </c>
      <c r="I135" s="48">
        <v>293500</v>
      </c>
      <c r="J135" s="51">
        <v>125395903</v>
      </c>
      <c r="K135" s="48">
        <f t="shared" si="41"/>
        <v>1.34511125821281</v>
      </c>
      <c r="L135" s="48">
        <f t="shared" si="42"/>
        <v>1.34511125821281</v>
      </c>
      <c r="M135" s="49">
        <v>235500</v>
      </c>
      <c r="N135" s="49">
        <v>244900</v>
      </c>
      <c r="O135" s="49">
        <v>15956260</v>
      </c>
      <c r="P135" s="49">
        <f t="shared" si="43"/>
        <v>27.234779000652601</v>
      </c>
      <c r="Q135" s="49">
        <f t="shared" si="44"/>
        <v>27.234779000652601</v>
      </c>
      <c r="R135" s="48">
        <v>0</v>
      </c>
      <c r="S135" s="48"/>
      <c r="T135" s="48">
        <v>0</v>
      </c>
      <c r="U135" s="48">
        <v>0</v>
      </c>
      <c r="V135" s="48"/>
      <c r="W135" s="49">
        <v>1</v>
      </c>
      <c r="X135" s="49">
        <v>1</v>
      </c>
      <c r="Y135" s="49">
        <v>100000000</v>
      </c>
      <c r="Z135" s="49">
        <f t="shared" si="45"/>
        <v>1365114.194686</v>
      </c>
      <c r="AA135" s="49">
        <f t="shared" si="46"/>
        <v>1365114.194686</v>
      </c>
      <c r="AB135" s="82">
        <f t="shared" si="35"/>
        <v>0</v>
      </c>
      <c r="AC135" s="82">
        <f t="shared" si="36"/>
        <v>293290345052745.87</v>
      </c>
      <c r="AD135" s="81">
        <f t="shared" si="34"/>
        <v>342974875553895.12</v>
      </c>
      <c r="AE135" s="80">
        <f t="shared" si="37"/>
        <v>1169.4039075586136</v>
      </c>
      <c r="AF135" s="52">
        <f t="shared" si="47"/>
        <v>1.3351199143018315E-2</v>
      </c>
      <c r="AG135" s="48">
        <f t="shared" si="38"/>
        <v>-9.6774193548387101E-3</v>
      </c>
      <c r="AH135" s="48">
        <f t="shared" si="48"/>
        <v>1.9097222222222224E-2</v>
      </c>
      <c r="AI135" s="48">
        <f t="shared" si="49"/>
        <v>3.9915074309978767E-2</v>
      </c>
      <c r="AJ135" s="48">
        <f t="shared" si="50"/>
        <v>0</v>
      </c>
    </row>
    <row r="136" spans="1:36" x14ac:dyDescent="0.3">
      <c r="A136" s="48">
        <v>20180717</v>
      </c>
      <c r="B136" s="48" t="s">
        <v>88</v>
      </c>
      <c r="C136" s="49">
        <v>46050</v>
      </c>
      <c r="D136" s="49">
        <v>45850</v>
      </c>
      <c r="E136" s="49">
        <v>6419324700</v>
      </c>
      <c r="F136" s="49">
        <f t="shared" si="39"/>
        <v>0.170946124192833</v>
      </c>
      <c r="G136" s="49">
        <f t="shared" si="40"/>
        <v>0.170946124192833</v>
      </c>
      <c r="H136" s="48">
        <v>293500</v>
      </c>
      <c r="I136" s="48">
        <v>295500</v>
      </c>
      <c r="J136" s="51">
        <v>125395903</v>
      </c>
      <c r="K136" s="48">
        <f t="shared" si="41"/>
        <v>1.34511125821281</v>
      </c>
      <c r="L136" s="48">
        <f t="shared" si="42"/>
        <v>1.34511125821281</v>
      </c>
      <c r="M136" s="49">
        <v>244900</v>
      </c>
      <c r="N136" s="49">
        <v>235800</v>
      </c>
      <c r="O136" s="49">
        <v>15956260</v>
      </c>
      <c r="P136" s="49">
        <f t="shared" si="43"/>
        <v>27.234779000652601</v>
      </c>
      <c r="Q136" s="49">
        <f t="shared" si="44"/>
        <v>27.234779000652601</v>
      </c>
      <c r="R136" s="48">
        <v>0</v>
      </c>
      <c r="S136" s="48"/>
      <c r="T136" s="48">
        <v>0</v>
      </c>
      <c r="U136" s="48">
        <v>0</v>
      </c>
      <c r="V136" s="48"/>
      <c r="W136" s="49">
        <v>1</v>
      </c>
      <c r="X136" s="49">
        <v>1</v>
      </c>
      <c r="Y136" s="49">
        <v>100000000</v>
      </c>
      <c r="Z136" s="49">
        <f t="shared" si="45"/>
        <v>1365114.194686</v>
      </c>
      <c r="AA136" s="49">
        <f t="shared" si="46"/>
        <v>1365114.194686</v>
      </c>
      <c r="AB136" s="82">
        <f t="shared" si="35"/>
        <v>0</v>
      </c>
      <c r="AC136" s="82">
        <f t="shared" si="36"/>
        <v>293290345052745.87</v>
      </c>
      <c r="AD136" s="81">
        <f t="shared" si="34"/>
        <v>339138203245662.87</v>
      </c>
      <c r="AE136" s="80">
        <f t="shared" si="37"/>
        <v>1156.3224257677887</v>
      </c>
      <c r="AF136" s="52">
        <f t="shared" si="47"/>
        <v>-1.1186452949464966E-2</v>
      </c>
      <c r="AG136" s="48">
        <f t="shared" si="38"/>
        <v>-4.3431053203040176E-3</v>
      </c>
      <c r="AH136" s="48">
        <f t="shared" si="48"/>
        <v>6.8143100511073255E-3</v>
      </c>
      <c r="AI136" s="48">
        <f t="shared" si="49"/>
        <v>-3.7158023683135977E-2</v>
      </c>
      <c r="AJ136" s="48">
        <f t="shared" si="50"/>
        <v>0</v>
      </c>
    </row>
    <row r="137" spans="1:36" x14ac:dyDescent="0.3">
      <c r="A137" s="48">
        <v>20180718</v>
      </c>
      <c r="B137" s="48" t="s">
        <v>88</v>
      </c>
      <c r="C137" s="49">
        <v>45850</v>
      </c>
      <c r="D137" s="49">
        <v>46550</v>
      </c>
      <c r="E137" s="49">
        <v>6419324700</v>
      </c>
      <c r="F137" s="49">
        <f t="shared" si="39"/>
        <v>0.170946124192833</v>
      </c>
      <c r="G137" s="49">
        <f t="shared" si="40"/>
        <v>0.170946124192833</v>
      </c>
      <c r="H137" s="48">
        <v>295500</v>
      </c>
      <c r="I137" s="48">
        <v>290000</v>
      </c>
      <c r="J137" s="51">
        <v>125395903</v>
      </c>
      <c r="K137" s="48">
        <f t="shared" si="41"/>
        <v>1.34511125821281</v>
      </c>
      <c r="L137" s="48">
        <f t="shared" si="42"/>
        <v>1.34511125821281</v>
      </c>
      <c r="M137" s="49">
        <v>235800</v>
      </c>
      <c r="N137" s="49">
        <v>237700</v>
      </c>
      <c r="O137" s="49">
        <v>15956260</v>
      </c>
      <c r="P137" s="49">
        <f t="shared" si="43"/>
        <v>27.234779000652601</v>
      </c>
      <c r="Q137" s="49">
        <f t="shared" si="44"/>
        <v>27.234779000652601</v>
      </c>
      <c r="R137" s="48">
        <v>0</v>
      </c>
      <c r="S137" s="48"/>
      <c r="T137" s="48">
        <v>0</v>
      </c>
      <c r="U137" s="48">
        <v>0</v>
      </c>
      <c r="V137" s="48"/>
      <c r="W137" s="49">
        <v>1</v>
      </c>
      <c r="X137" s="49">
        <v>1</v>
      </c>
      <c r="Y137" s="49">
        <v>100000000</v>
      </c>
      <c r="Z137" s="49">
        <f t="shared" si="45"/>
        <v>1365114.194686</v>
      </c>
      <c r="AA137" s="49">
        <f t="shared" si="46"/>
        <v>1365114.194686</v>
      </c>
      <c r="AB137" s="82">
        <f t="shared" si="35"/>
        <v>0</v>
      </c>
      <c r="AC137" s="82">
        <f t="shared" si="36"/>
        <v>293290345052745.87</v>
      </c>
      <c r="AD137" s="81">
        <f t="shared" si="34"/>
        <v>339804335303194.5</v>
      </c>
      <c r="AE137" s="80">
        <f t="shared" si="37"/>
        <v>1158.5936633614158</v>
      </c>
      <c r="AF137" s="52">
        <f t="shared" si="47"/>
        <v>1.9641905605342186E-3</v>
      </c>
      <c r="AG137" s="48">
        <f t="shared" si="38"/>
        <v>1.5267175572519083E-2</v>
      </c>
      <c r="AH137" s="48">
        <f t="shared" si="48"/>
        <v>-1.8612521150592216E-2</v>
      </c>
      <c r="AI137" s="48">
        <f t="shared" si="49"/>
        <v>8.0576759966072935E-3</v>
      </c>
      <c r="AJ137" s="48">
        <f t="shared" si="50"/>
        <v>0</v>
      </c>
    </row>
    <row r="138" spans="1:36" x14ac:dyDescent="0.3">
      <c r="A138" s="48">
        <v>20180719</v>
      </c>
      <c r="B138" s="48" t="s">
        <v>88</v>
      </c>
      <c r="C138" s="49">
        <v>46550</v>
      </c>
      <c r="D138" s="49">
        <v>46900</v>
      </c>
      <c r="E138" s="49">
        <v>6419324700</v>
      </c>
      <c r="F138" s="49">
        <f t="shared" si="39"/>
        <v>0.170946124192833</v>
      </c>
      <c r="G138" s="49">
        <f t="shared" si="40"/>
        <v>0.170946124192833</v>
      </c>
      <c r="H138" s="48">
        <v>290000</v>
      </c>
      <c r="I138" s="48">
        <v>288500</v>
      </c>
      <c r="J138" s="51">
        <v>125395903</v>
      </c>
      <c r="K138" s="48">
        <f t="shared" si="41"/>
        <v>1.34511125821281</v>
      </c>
      <c r="L138" s="48">
        <f t="shared" si="42"/>
        <v>1.34511125821281</v>
      </c>
      <c r="M138" s="49">
        <v>237700</v>
      </c>
      <c r="N138" s="49">
        <v>231700</v>
      </c>
      <c r="O138" s="49">
        <v>15956260</v>
      </c>
      <c r="P138" s="49">
        <f t="shared" si="43"/>
        <v>27.234779000652601</v>
      </c>
      <c r="Q138" s="49">
        <f t="shared" si="44"/>
        <v>27.234779000652601</v>
      </c>
      <c r="R138" s="48">
        <v>0</v>
      </c>
      <c r="S138" s="48"/>
      <c r="T138" s="48">
        <v>0</v>
      </c>
      <c r="U138" s="48">
        <v>0</v>
      </c>
      <c r="V138" s="48"/>
      <c r="W138" s="49">
        <v>1</v>
      </c>
      <c r="X138" s="49">
        <v>1</v>
      </c>
      <c r="Y138" s="49">
        <v>100000000</v>
      </c>
      <c r="Z138" s="49">
        <f t="shared" si="45"/>
        <v>1365114.194686</v>
      </c>
      <c r="AA138" s="49">
        <f t="shared" si="46"/>
        <v>1365114.194686</v>
      </c>
      <c r="AB138" s="82">
        <f t="shared" si="35"/>
        <v>0</v>
      </c>
      <c r="AC138" s="82">
        <f t="shared" si="36"/>
        <v>293290345052745.87</v>
      </c>
      <c r="AD138" s="81">
        <f t="shared" si="34"/>
        <v>337328012390334.31</v>
      </c>
      <c r="AE138" s="80">
        <f t="shared" si="37"/>
        <v>1150.150416065243</v>
      </c>
      <c r="AF138" s="52">
        <f t="shared" si="47"/>
        <v>-7.287496525465606E-3</v>
      </c>
      <c r="AG138" s="48">
        <f t="shared" si="38"/>
        <v>7.5187969924812026E-3</v>
      </c>
      <c r="AH138" s="48">
        <f t="shared" si="48"/>
        <v>-5.1724137931034482E-3</v>
      </c>
      <c r="AI138" s="48">
        <f t="shared" si="49"/>
        <v>-2.5241901556583929E-2</v>
      </c>
      <c r="AJ138" s="48">
        <f t="shared" si="50"/>
        <v>0</v>
      </c>
    </row>
    <row r="139" spans="1:36" x14ac:dyDescent="0.3">
      <c r="A139" s="48">
        <v>20180720</v>
      </c>
      <c r="B139" s="48" t="s">
        <v>88</v>
      </c>
      <c r="C139" s="49">
        <v>46900</v>
      </c>
      <c r="D139" s="49">
        <v>47450</v>
      </c>
      <c r="E139" s="49">
        <v>6419324700</v>
      </c>
      <c r="F139" s="49">
        <f t="shared" si="39"/>
        <v>0.170946124192833</v>
      </c>
      <c r="G139" s="49">
        <f t="shared" si="40"/>
        <v>0.170946124192833</v>
      </c>
      <c r="H139" s="48">
        <v>288500</v>
      </c>
      <c r="I139" s="48">
        <v>285500</v>
      </c>
      <c r="J139" s="51">
        <v>125395903</v>
      </c>
      <c r="K139" s="48">
        <f t="shared" si="41"/>
        <v>1.34511125821281</v>
      </c>
      <c r="L139" s="48">
        <f t="shared" si="42"/>
        <v>1.34511125821281</v>
      </c>
      <c r="M139" s="49">
        <v>231700</v>
      </c>
      <c r="N139" s="49">
        <v>224400</v>
      </c>
      <c r="O139" s="49">
        <v>15956260</v>
      </c>
      <c r="P139" s="49">
        <f t="shared" si="43"/>
        <v>27.234779000652601</v>
      </c>
      <c r="Q139" s="49">
        <f t="shared" si="44"/>
        <v>27.234779000652601</v>
      </c>
      <c r="R139" s="48">
        <v>0</v>
      </c>
      <c r="S139" s="48"/>
      <c r="T139" s="48">
        <v>0</v>
      </c>
      <c r="U139" s="48">
        <v>0</v>
      </c>
      <c r="V139" s="48"/>
      <c r="W139" s="49">
        <v>1</v>
      </c>
      <c r="X139" s="49">
        <v>1</v>
      </c>
      <c r="Y139" s="49">
        <v>100000000</v>
      </c>
      <c r="Z139" s="49">
        <f t="shared" si="45"/>
        <v>1365114.194686</v>
      </c>
      <c r="AA139" s="49">
        <f t="shared" si="46"/>
        <v>1365114.194686</v>
      </c>
      <c r="AB139" s="82">
        <f t="shared" si="35"/>
        <v>0</v>
      </c>
      <c r="AC139" s="82">
        <f t="shared" si="36"/>
        <v>293290345052745.87</v>
      </c>
      <c r="AD139" s="81">
        <f t="shared" si="34"/>
        <v>334253219272455.5</v>
      </c>
      <c r="AE139" s="80">
        <f t="shared" si="37"/>
        <v>1139.6666303909283</v>
      </c>
      <c r="AF139" s="52">
        <f t="shared" si="47"/>
        <v>-9.1151431394344094E-3</v>
      </c>
      <c r="AG139" s="48">
        <f t="shared" si="38"/>
        <v>1.1727078891257996E-2</v>
      </c>
      <c r="AH139" s="48">
        <f t="shared" si="48"/>
        <v>-1.0398613518197574E-2</v>
      </c>
      <c r="AI139" s="48">
        <f t="shared" si="49"/>
        <v>-3.1506258092360809E-2</v>
      </c>
      <c r="AJ139" s="48">
        <f t="shared" si="50"/>
        <v>0</v>
      </c>
    </row>
    <row r="140" spans="1:36" x14ac:dyDescent="0.3">
      <c r="A140" s="48">
        <v>20180723</v>
      </c>
      <c r="B140" s="48" t="s">
        <v>88</v>
      </c>
      <c r="C140" s="49">
        <v>47450</v>
      </c>
      <c r="D140" s="49">
        <v>46500</v>
      </c>
      <c r="E140" s="49">
        <v>6419324700</v>
      </c>
      <c r="F140" s="49">
        <f t="shared" si="39"/>
        <v>0.170946124192833</v>
      </c>
      <c r="G140" s="49">
        <f t="shared" si="40"/>
        <v>0.170946124192833</v>
      </c>
      <c r="H140" s="48">
        <v>285500</v>
      </c>
      <c r="I140" s="48">
        <v>267500</v>
      </c>
      <c r="J140" s="51">
        <v>125395903</v>
      </c>
      <c r="K140" s="48">
        <f t="shared" si="41"/>
        <v>1.34511125821281</v>
      </c>
      <c r="L140" s="48">
        <f t="shared" si="42"/>
        <v>1.34511125821281</v>
      </c>
      <c r="M140" s="49">
        <v>224400</v>
      </c>
      <c r="N140" s="49">
        <v>209500</v>
      </c>
      <c r="O140" s="49">
        <v>15956260</v>
      </c>
      <c r="P140" s="49">
        <f t="shared" si="43"/>
        <v>27.234779000652601</v>
      </c>
      <c r="Q140" s="49">
        <f t="shared" si="44"/>
        <v>27.234779000652601</v>
      </c>
      <c r="R140" s="48">
        <v>0</v>
      </c>
      <c r="S140" s="48"/>
      <c r="T140" s="48">
        <v>0</v>
      </c>
      <c r="U140" s="48">
        <v>0</v>
      </c>
      <c r="V140" s="48"/>
      <c r="W140" s="49">
        <v>1</v>
      </c>
      <c r="X140" s="49">
        <v>1</v>
      </c>
      <c r="Y140" s="49">
        <v>100000000</v>
      </c>
      <c r="Z140" s="49">
        <f t="shared" si="45"/>
        <v>1365114.194686</v>
      </c>
      <c r="AA140" s="49">
        <f t="shared" si="46"/>
        <v>1365114.194686</v>
      </c>
      <c r="AB140" s="82">
        <f t="shared" si="35"/>
        <v>0</v>
      </c>
      <c r="AC140" s="82">
        <f t="shared" si="36"/>
        <v>293290345052745.87</v>
      </c>
      <c r="AD140" s="81">
        <f t="shared" si="34"/>
        <v>323699620893285.5</v>
      </c>
      <c r="AE140" s="80">
        <f t="shared" si="37"/>
        <v>1103.6831806893294</v>
      </c>
      <c r="AF140" s="52">
        <f t="shared" si="47"/>
        <v>-3.1573662632603181E-2</v>
      </c>
      <c r="AG140" s="48">
        <f t="shared" si="38"/>
        <v>-2.0021074815595362E-2</v>
      </c>
      <c r="AH140" s="48">
        <f t="shared" si="48"/>
        <v>-6.3047285464098074E-2</v>
      </c>
      <c r="AI140" s="48">
        <f t="shared" si="49"/>
        <v>-6.6399286987522288E-2</v>
      </c>
      <c r="AJ140" s="48">
        <f t="shared" si="50"/>
        <v>0</v>
      </c>
    </row>
    <row r="141" spans="1:36" x14ac:dyDescent="0.3">
      <c r="A141" s="48">
        <v>20180724</v>
      </c>
      <c r="B141" s="48" t="s">
        <v>88</v>
      </c>
      <c r="C141" s="49">
        <v>46500</v>
      </c>
      <c r="D141" s="49">
        <v>46150</v>
      </c>
      <c r="E141" s="49">
        <v>6419324700</v>
      </c>
      <c r="F141" s="49">
        <f t="shared" si="39"/>
        <v>0.170946124192833</v>
      </c>
      <c r="G141" s="49">
        <f t="shared" si="40"/>
        <v>0.170946124192833</v>
      </c>
      <c r="H141" s="48">
        <v>267500</v>
      </c>
      <c r="I141" s="48">
        <v>265000</v>
      </c>
      <c r="J141" s="51">
        <v>125395903</v>
      </c>
      <c r="K141" s="48">
        <f t="shared" si="41"/>
        <v>1.34511125821281</v>
      </c>
      <c r="L141" s="48">
        <f t="shared" si="42"/>
        <v>1.34511125821281</v>
      </c>
      <c r="M141" s="49">
        <v>209500</v>
      </c>
      <c r="N141" s="49">
        <v>204300</v>
      </c>
      <c r="O141" s="49">
        <v>15956260</v>
      </c>
      <c r="P141" s="49">
        <f t="shared" si="43"/>
        <v>27.234779000652601</v>
      </c>
      <c r="Q141" s="49">
        <f t="shared" si="44"/>
        <v>27.234779000652601</v>
      </c>
      <c r="R141" s="48">
        <v>0</v>
      </c>
      <c r="S141" s="48"/>
      <c r="T141" s="48">
        <v>0</v>
      </c>
      <c r="U141" s="48">
        <v>0</v>
      </c>
      <c r="V141" s="48"/>
      <c r="W141" s="49">
        <v>1</v>
      </c>
      <c r="X141" s="49">
        <v>1</v>
      </c>
      <c r="Y141" s="49">
        <v>100000000</v>
      </c>
      <c r="Z141" s="49">
        <f t="shared" si="45"/>
        <v>1365114.194686</v>
      </c>
      <c r="AA141" s="49">
        <f t="shared" si="46"/>
        <v>1365114.194686</v>
      </c>
      <c r="AB141" s="82">
        <f t="shared" si="35"/>
        <v>0</v>
      </c>
      <c r="AC141" s="82">
        <f t="shared" si="36"/>
        <v>293290345052745.87</v>
      </c>
      <c r="AD141" s="81">
        <f t="shared" si="34"/>
        <v>320634127637207.62</v>
      </c>
      <c r="AE141" s="80">
        <f t="shared" si="37"/>
        <v>1093.2311037362795</v>
      </c>
      <c r="AF141" s="52">
        <f t="shared" si="47"/>
        <v>-9.4701787033865184E-3</v>
      </c>
      <c r="AG141" s="48">
        <f t="shared" si="38"/>
        <v>-7.526881720430108E-3</v>
      </c>
      <c r="AH141" s="48">
        <f t="shared" si="48"/>
        <v>-9.3457943925233638E-3</v>
      </c>
      <c r="AI141" s="48">
        <f t="shared" si="49"/>
        <v>-2.4821002386634844E-2</v>
      </c>
      <c r="AJ141" s="48">
        <f t="shared" si="50"/>
        <v>0</v>
      </c>
    </row>
    <row r="142" spans="1:36" x14ac:dyDescent="0.3">
      <c r="A142" s="48">
        <v>20180725</v>
      </c>
      <c r="B142" s="48" t="s">
        <v>88</v>
      </c>
      <c r="C142" s="49">
        <v>46150</v>
      </c>
      <c r="D142" s="49">
        <v>46150</v>
      </c>
      <c r="E142" s="49">
        <v>6419324700</v>
      </c>
      <c r="F142" s="49">
        <f t="shared" si="39"/>
        <v>0.170946124192833</v>
      </c>
      <c r="G142" s="49">
        <f t="shared" si="40"/>
        <v>0.170946124192833</v>
      </c>
      <c r="H142" s="48">
        <v>265000</v>
      </c>
      <c r="I142" s="48">
        <v>251000</v>
      </c>
      <c r="J142" s="51">
        <v>125395903</v>
      </c>
      <c r="K142" s="48">
        <f t="shared" si="41"/>
        <v>1.34511125821281</v>
      </c>
      <c r="L142" s="48">
        <f t="shared" si="42"/>
        <v>1.34511125821281</v>
      </c>
      <c r="M142" s="49">
        <v>204300</v>
      </c>
      <c r="N142" s="49">
        <v>193600</v>
      </c>
      <c r="O142" s="49">
        <v>15956260</v>
      </c>
      <c r="P142" s="49">
        <f t="shared" si="43"/>
        <v>27.234779000652601</v>
      </c>
      <c r="Q142" s="49">
        <f t="shared" si="44"/>
        <v>27.234779000652601</v>
      </c>
      <c r="R142" s="48">
        <v>0</v>
      </c>
      <c r="S142" s="48"/>
      <c r="T142" s="48">
        <v>0</v>
      </c>
      <c r="U142" s="48">
        <v>0</v>
      </c>
      <c r="V142" s="48"/>
      <c r="W142" s="49">
        <v>1</v>
      </c>
      <c r="X142" s="49">
        <v>1</v>
      </c>
      <c r="Y142" s="49">
        <v>100000000</v>
      </c>
      <c r="Z142" s="49">
        <f t="shared" si="45"/>
        <v>1365114.194686</v>
      </c>
      <c r="AA142" s="49">
        <f t="shared" si="46"/>
        <v>1365114.194686</v>
      </c>
      <c r="AB142" s="82">
        <f t="shared" si="35"/>
        <v>0</v>
      </c>
      <c r="AC142" s="82">
        <f t="shared" si="36"/>
        <v>293290345052745.87</v>
      </c>
      <c r="AD142" s="81">
        <f t="shared" si="34"/>
        <v>313622879667067.31</v>
      </c>
      <c r="AE142" s="80">
        <f t="shared" si="37"/>
        <v>1069.3256186481856</v>
      </c>
      <c r="AF142" s="52">
        <f t="shared" si="47"/>
        <v>-2.1866817552476638E-2</v>
      </c>
      <c r="AG142" s="48">
        <f t="shared" si="38"/>
        <v>0</v>
      </c>
      <c r="AH142" s="48">
        <f t="shared" si="48"/>
        <v>-5.2830188679245285E-2</v>
      </c>
      <c r="AI142" s="48">
        <f t="shared" si="49"/>
        <v>-5.2373959862946649E-2</v>
      </c>
      <c r="AJ142" s="48">
        <f t="shared" si="50"/>
        <v>0</v>
      </c>
    </row>
    <row r="143" spans="1:36" x14ac:dyDescent="0.3">
      <c r="A143" s="48">
        <v>20180726</v>
      </c>
      <c r="B143" s="48" t="s">
        <v>88</v>
      </c>
      <c r="C143" s="49">
        <v>46150</v>
      </c>
      <c r="D143" s="49">
        <v>46900</v>
      </c>
      <c r="E143" s="49">
        <v>6419324700</v>
      </c>
      <c r="F143" s="49">
        <f t="shared" si="39"/>
        <v>0.170946124192833</v>
      </c>
      <c r="G143" s="49">
        <f t="shared" si="40"/>
        <v>0.170946124192833</v>
      </c>
      <c r="H143" s="48">
        <v>251000</v>
      </c>
      <c r="I143" s="48">
        <v>254500</v>
      </c>
      <c r="J143" s="51">
        <v>125395903</v>
      </c>
      <c r="K143" s="48">
        <f t="shared" si="41"/>
        <v>1.34511125821281</v>
      </c>
      <c r="L143" s="48">
        <f t="shared" si="42"/>
        <v>1.34511125821281</v>
      </c>
      <c r="M143" s="49">
        <v>193600</v>
      </c>
      <c r="N143" s="49">
        <v>198400</v>
      </c>
      <c r="O143" s="49">
        <v>15956260</v>
      </c>
      <c r="P143" s="49">
        <f t="shared" si="43"/>
        <v>27.234779000652601</v>
      </c>
      <c r="Q143" s="49">
        <f t="shared" si="44"/>
        <v>27.234779000652601</v>
      </c>
      <c r="R143" s="48">
        <v>0</v>
      </c>
      <c r="S143" s="48"/>
      <c r="T143" s="48">
        <v>0</v>
      </c>
      <c r="U143" s="48">
        <v>0</v>
      </c>
      <c r="V143" s="48"/>
      <c r="W143" s="49">
        <v>1</v>
      </c>
      <c r="X143" s="49">
        <v>1</v>
      </c>
      <c r="Y143" s="49">
        <v>100000000</v>
      </c>
      <c r="Z143" s="49">
        <f t="shared" si="45"/>
        <v>1365114.194686</v>
      </c>
      <c r="AA143" s="49">
        <f t="shared" si="46"/>
        <v>1365114.194686</v>
      </c>
      <c r="AB143" s="82">
        <f t="shared" si="35"/>
        <v>0</v>
      </c>
      <c r="AC143" s="82">
        <f t="shared" si="36"/>
        <v>293290345052745.87</v>
      </c>
      <c r="AD143" s="81">
        <f t="shared" si="34"/>
        <v>317122161749053.69</v>
      </c>
      <c r="AE143" s="80">
        <f t="shared" si="37"/>
        <v>1081.2567378991691</v>
      </c>
      <c r="AF143" s="52">
        <f t="shared" si="47"/>
        <v>1.1157610967991748E-2</v>
      </c>
      <c r="AG143" s="48">
        <f t="shared" si="38"/>
        <v>1.6251354279523293E-2</v>
      </c>
      <c r="AH143" s="48">
        <f t="shared" si="48"/>
        <v>1.3944223107569721E-2</v>
      </c>
      <c r="AI143" s="48">
        <f t="shared" si="49"/>
        <v>2.4793388429752067E-2</v>
      </c>
      <c r="AJ143" s="48">
        <f t="shared" si="50"/>
        <v>0</v>
      </c>
    </row>
    <row r="144" spans="1:36" x14ac:dyDescent="0.3">
      <c r="A144" s="48">
        <v>20180727</v>
      </c>
      <c r="B144" s="48" t="s">
        <v>88</v>
      </c>
      <c r="C144" s="49">
        <v>46900</v>
      </c>
      <c r="D144" s="49">
        <v>46900</v>
      </c>
      <c r="E144" s="49">
        <v>6419324700</v>
      </c>
      <c r="F144" s="49">
        <f t="shared" si="39"/>
        <v>0.170946124192833</v>
      </c>
      <c r="G144" s="49">
        <f t="shared" si="40"/>
        <v>0.170946124192833</v>
      </c>
      <c r="H144" s="48">
        <v>254500</v>
      </c>
      <c r="I144" s="48">
        <v>256500</v>
      </c>
      <c r="J144" s="51">
        <v>125395903</v>
      </c>
      <c r="K144" s="48">
        <f t="shared" si="41"/>
        <v>1.34511125821281</v>
      </c>
      <c r="L144" s="48">
        <f t="shared" si="42"/>
        <v>1.34511125821281</v>
      </c>
      <c r="M144" s="49">
        <v>198400</v>
      </c>
      <c r="N144" s="49">
        <v>199500</v>
      </c>
      <c r="O144" s="49">
        <v>15956260</v>
      </c>
      <c r="P144" s="49">
        <f t="shared" si="43"/>
        <v>27.234779000652601</v>
      </c>
      <c r="Q144" s="49">
        <f t="shared" si="44"/>
        <v>27.234779000652601</v>
      </c>
      <c r="R144" s="48">
        <v>0</v>
      </c>
      <c r="S144" s="48"/>
      <c r="T144" s="48">
        <v>0</v>
      </c>
      <c r="U144" s="48">
        <v>0</v>
      </c>
      <c r="V144" s="48"/>
      <c r="W144" s="49">
        <v>1</v>
      </c>
      <c r="X144" s="49">
        <v>1</v>
      </c>
      <c r="Y144" s="49">
        <v>100000000</v>
      </c>
      <c r="Z144" s="49">
        <f t="shared" si="45"/>
        <v>1365114.194686</v>
      </c>
      <c r="AA144" s="49">
        <f t="shared" si="46"/>
        <v>1365114.194686</v>
      </c>
      <c r="AB144" s="82">
        <f t="shared" si="35"/>
        <v>0</v>
      </c>
      <c r="AC144" s="82">
        <f t="shared" si="36"/>
        <v>293290345052745.87</v>
      </c>
      <c r="AD144" s="81">
        <f t="shared" si="34"/>
        <v>317937526367026.44</v>
      </c>
      <c r="AE144" s="80">
        <f t="shared" si="37"/>
        <v>1084.0367974262772</v>
      </c>
      <c r="AF144" s="52">
        <f t="shared" si="47"/>
        <v>2.5711372976131236E-3</v>
      </c>
      <c r="AG144" s="48">
        <f t="shared" si="38"/>
        <v>0</v>
      </c>
      <c r="AH144" s="48">
        <f t="shared" si="48"/>
        <v>7.8585461689587421E-3</v>
      </c>
      <c r="AI144" s="48">
        <f t="shared" si="49"/>
        <v>5.5443548387096777E-3</v>
      </c>
      <c r="AJ144" s="48">
        <f t="shared" si="50"/>
        <v>0</v>
      </c>
    </row>
    <row r="145" spans="1:36" x14ac:dyDescent="0.3">
      <c r="A145" s="48">
        <v>20180730</v>
      </c>
      <c r="B145" s="48" t="s">
        <v>88</v>
      </c>
      <c r="C145" s="49">
        <v>46900</v>
      </c>
      <c r="D145" s="49">
        <v>46500</v>
      </c>
      <c r="E145" s="49">
        <v>6419324700</v>
      </c>
      <c r="F145" s="49">
        <f t="shared" si="39"/>
        <v>0.170946124192833</v>
      </c>
      <c r="G145" s="49">
        <f t="shared" si="40"/>
        <v>0.170946124192833</v>
      </c>
      <c r="H145" s="48">
        <v>256500</v>
      </c>
      <c r="I145" s="48">
        <v>258000</v>
      </c>
      <c r="J145" s="51">
        <v>125395903</v>
      </c>
      <c r="K145" s="48">
        <f t="shared" si="41"/>
        <v>1.34511125821281</v>
      </c>
      <c r="L145" s="48">
        <f t="shared" si="42"/>
        <v>1.34511125821281</v>
      </c>
      <c r="M145" s="49">
        <v>199500</v>
      </c>
      <c r="N145" s="49">
        <v>192300</v>
      </c>
      <c r="O145" s="49">
        <v>15956260</v>
      </c>
      <c r="P145" s="49">
        <f t="shared" si="43"/>
        <v>27.234779000652601</v>
      </c>
      <c r="Q145" s="49">
        <f t="shared" si="44"/>
        <v>27.234779000652601</v>
      </c>
      <c r="R145" s="48">
        <v>0</v>
      </c>
      <c r="S145" s="48"/>
      <c r="T145" s="48">
        <v>0</v>
      </c>
      <c r="U145" s="48">
        <v>0</v>
      </c>
      <c r="V145" s="48"/>
      <c r="W145" s="49">
        <v>1</v>
      </c>
      <c r="X145" s="49">
        <v>1</v>
      </c>
      <c r="Y145" s="49">
        <v>100000000</v>
      </c>
      <c r="Z145" s="49">
        <f t="shared" si="45"/>
        <v>1365114.194686</v>
      </c>
      <c r="AA145" s="49">
        <f t="shared" si="46"/>
        <v>1365114.194686</v>
      </c>
      <c r="AB145" s="82">
        <f t="shared" si="35"/>
        <v>0</v>
      </c>
      <c r="AC145" s="82">
        <f t="shared" si="36"/>
        <v>293290345052745.87</v>
      </c>
      <c r="AD145" s="81">
        <f t="shared" si="34"/>
        <v>314622720510960.81</v>
      </c>
      <c r="AE145" s="80">
        <f t="shared" si="37"/>
        <v>1072.7346665788759</v>
      </c>
      <c r="AF145" s="52">
        <f t="shared" si="47"/>
        <v>-1.0425966050446631E-2</v>
      </c>
      <c r="AG145" s="48">
        <f t="shared" si="38"/>
        <v>-8.5287846481876331E-3</v>
      </c>
      <c r="AH145" s="48">
        <f t="shared" si="48"/>
        <v>5.8479532163742687E-3</v>
      </c>
      <c r="AI145" s="48">
        <f t="shared" si="49"/>
        <v>-3.6090225563909777E-2</v>
      </c>
      <c r="AJ145" s="48">
        <f t="shared" si="50"/>
        <v>0</v>
      </c>
    </row>
    <row r="146" spans="1:36" x14ac:dyDescent="0.3">
      <c r="A146" s="48">
        <v>20180731</v>
      </c>
      <c r="B146" s="48" t="s">
        <v>88</v>
      </c>
      <c r="C146" s="49">
        <v>46500</v>
      </c>
      <c r="D146" s="49">
        <v>46250</v>
      </c>
      <c r="E146" s="49">
        <v>6419324700</v>
      </c>
      <c r="F146" s="49">
        <f t="shared" si="39"/>
        <v>0.170946124192833</v>
      </c>
      <c r="G146" s="49">
        <f t="shared" si="40"/>
        <v>0.170946124192833</v>
      </c>
      <c r="H146" s="48">
        <v>258000</v>
      </c>
      <c r="I146" s="48">
        <v>271500</v>
      </c>
      <c r="J146" s="51">
        <v>125395903</v>
      </c>
      <c r="K146" s="48">
        <f t="shared" si="41"/>
        <v>1.34511125821281</v>
      </c>
      <c r="L146" s="48">
        <f t="shared" si="42"/>
        <v>1.34511125821281</v>
      </c>
      <c r="M146" s="49">
        <v>192300</v>
      </c>
      <c r="N146" s="49">
        <v>199600</v>
      </c>
      <c r="O146" s="49">
        <v>15956260</v>
      </c>
      <c r="P146" s="49">
        <f t="shared" si="43"/>
        <v>27.234779000652601</v>
      </c>
      <c r="Q146" s="49">
        <f t="shared" si="44"/>
        <v>27.234779000652601</v>
      </c>
      <c r="R146" s="48">
        <v>0</v>
      </c>
      <c r="S146" s="48"/>
      <c r="T146" s="48">
        <v>0</v>
      </c>
      <c r="U146" s="48">
        <v>0</v>
      </c>
      <c r="V146" s="48"/>
      <c r="W146" s="49">
        <v>1</v>
      </c>
      <c r="X146" s="49">
        <v>1</v>
      </c>
      <c r="Y146" s="49">
        <v>100000000</v>
      </c>
      <c r="Z146" s="49">
        <f t="shared" si="45"/>
        <v>1365114.194686</v>
      </c>
      <c r="AA146" s="49">
        <f t="shared" si="46"/>
        <v>1365114.194686</v>
      </c>
      <c r="AB146" s="82">
        <f t="shared" si="35"/>
        <v>0</v>
      </c>
      <c r="AC146" s="82">
        <f t="shared" si="36"/>
        <v>293290345052745.87</v>
      </c>
      <c r="AD146" s="81">
        <f t="shared" si="34"/>
        <v>319797771361079.81</v>
      </c>
      <c r="AE146" s="80">
        <f t="shared" si="37"/>
        <v>1090.3794712491024</v>
      </c>
      <c r="AF146" s="52">
        <f t="shared" si="47"/>
        <v>1.6448433354445961E-2</v>
      </c>
      <c r="AG146" s="48">
        <f t="shared" si="38"/>
        <v>-5.3763440860215058E-3</v>
      </c>
      <c r="AH146" s="48">
        <f t="shared" si="48"/>
        <v>5.232558139534884E-2</v>
      </c>
      <c r="AI146" s="48">
        <f t="shared" si="49"/>
        <v>3.7961518460738426E-2</v>
      </c>
      <c r="AJ146" s="48">
        <f t="shared" si="50"/>
        <v>0</v>
      </c>
    </row>
    <row r="147" spans="1:36" x14ac:dyDescent="0.3">
      <c r="A147" s="48">
        <v>20180801</v>
      </c>
      <c r="B147" s="48" t="s">
        <v>88</v>
      </c>
      <c r="C147" s="49">
        <v>46250</v>
      </c>
      <c r="D147" s="49">
        <v>46550</v>
      </c>
      <c r="E147" s="49">
        <v>6419324700</v>
      </c>
      <c r="F147" s="49">
        <f t="shared" si="39"/>
        <v>0.170946124192833</v>
      </c>
      <c r="G147" s="49">
        <f t="shared" si="40"/>
        <v>0.170946124192833</v>
      </c>
      <c r="H147" s="48">
        <v>271500</v>
      </c>
      <c r="I147" s="48">
        <v>280500</v>
      </c>
      <c r="J147" s="51">
        <v>125395903</v>
      </c>
      <c r="K147" s="48">
        <f t="shared" si="41"/>
        <v>1.34511125821281</v>
      </c>
      <c r="L147" s="48">
        <f t="shared" si="42"/>
        <v>1.34511125821281</v>
      </c>
      <c r="M147" s="49">
        <v>199600</v>
      </c>
      <c r="N147" s="49">
        <v>207200</v>
      </c>
      <c r="O147" s="49">
        <v>15956260</v>
      </c>
      <c r="P147" s="49">
        <f t="shared" si="43"/>
        <v>27.234779000652601</v>
      </c>
      <c r="Q147" s="49">
        <f t="shared" si="44"/>
        <v>27.234779000652601</v>
      </c>
      <c r="R147" s="48">
        <v>0</v>
      </c>
      <c r="S147" s="48"/>
      <c r="T147" s="48">
        <v>0</v>
      </c>
      <c r="U147" s="48">
        <v>0</v>
      </c>
      <c r="V147" s="48"/>
      <c r="W147" s="49">
        <v>1</v>
      </c>
      <c r="X147" s="49">
        <v>1</v>
      </c>
      <c r="Y147" s="49">
        <v>100000000</v>
      </c>
      <c r="Z147" s="49">
        <f t="shared" si="45"/>
        <v>1365114.194686</v>
      </c>
      <c r="AA147" s="49">
        <f t="shared" si="46"/>
        <v>1365114.194686</v>
      </c>
      <c r="AB147" s="82">
        <f t="shared" si="35"/>
        <v>0</v>
      </c>
      <c r="AC147" s="82">
        <f t="shared" si="36"/>
        <v>293290345052745.87</v>
      </c>
      <c r="AD147" s="81">
        <f t="shared" si="34"/>
        <v>324947717564336.31</v>
      </c>
      <c r="AE147" s="80">
        <f t="shared" si="37"/>
        <v>1107.9386793516751</v>
      </c>
      <c r="AF147" s="52">
        <f t="shared" si="47"/>
        <v>1.610375888905673E-2</v>
      </c>
      <c r="AG147" s="48">
        <f t="shared" si="38"/>
        <v>6.4864864864864862E-3</v>
      </c>
      <c r="AH147" s="48">
        <f t="shared" si="48"/>
        <v>3.3149171270718231E-2</v>
      </c>
      <c r="AI147" s="48">
        <f t="shared" si="49"/>
        <v>3.8076152304609222E-2</v>
      </c>
      <c r="AJ147" s="48">
        <f t="shared" si="50"/>
        <v>0</v>
      </c>
    </row>
    <row r="148" spans="1:36" x14ac:dyDescent="0.3">
      <c r="A148" s="48">
        <v>20180802</v>
      </c>
      <c r="B148" s="48" t="s">
        <v>88</v>
      </c>
      <c r="C148" s="49">
        <v>46550</v>
      </c>
      <c r="D148" s="49">
        <v>45550</v>
      </c>
      <c r="E148" s="49">
        <v>6419324700</v>
      </c>
      <c r="F148" s="49">
        <f t="shared" si="39"/>
        <v>0.170946124192833</v>
      </c>
      <c r="G148" s="49">
        <f t="shared" si="40"/>
        <v>0.170946124192833</v>
      </c>
      <c r="H148" s="48">
        <v>280500</v>
      </c>
      <c r="I148" s="48">
        <v>281500</v>
      </c>
      <c r="J148" s="51">
        <v>125395903</v>
      </c>
      <c r="K148" s="48">
        <f t="shared" si="41"/>
        <v>1.34511125821281</v>
      </c>
      <c r="L148" s="48">
        <f t="shared" si="42"/>
        <v>1.34511125821281</v>
      </c>
      <c r="M148" s="49">
        <v>207200</v>
      </c>
      <c r="N148" s="49">
        <v>198300</v>
      </c>
      <c r="O148" s="49">
        <v>15956260</v>
      </c>
      <c r="P148" s="49">
        <f t="shared" si="43"/>
        <v>27.234779000652601</v>
      </c>
      <c r="Q148" s="49">
        <f t="shared" si="44"/>
        <v>27.234779000652601</v>
      </c>
      <c r="R148" s="48">
        <v>0</v>
      </c>
      <c r="S148" s="48"/>
      <c r="T148" s="48">
        <v>0</v>
      </c>
      <c r="U148" s="48">
        <v>0</v>
      </c>
      <c r="V148" s="48"/>
      <c r="W148" s="49">
        <v>1</v>
      </c>
      <c r="X148" s="49">
        <v>1</v>
      </c>
      <c r="Y148" s="49">
        <v>100000000</v>
      </c>
      <c r="Z148" s="49">
        <f t="shared" si="45"/>
        <v>1365114.194686</v>
      </c>
      <c r="AA148" s="49">
        <f t="shared" si="46"/>
        <v>1365114.194686</v>
      </c>
      <c r="AB148" s="82">
        <f t="shared" si="35"/>
        <v>0</v>
      </c>
      <c r="AC148" s="82">
        <f t="shared" si="36"/>
        <v>293290345052745.87</v>
      </c>
      <c r="AD148" s="81">
        <f t="shared" si="34"/>
        <v>320151399916280.19</v>
      </c>
      <c r="AE148" s="80">
        <f t="shared" si="37"/>
        <v>1091.5851998425094</v>
      </c>
      <c r="AF148" s="52">
        <f t="shared" si="47"/>
        <v>-1.4760274926709087E-2</v>
      </c>
      <c r="AG148" s="48">
        <f t="shared" si="38"/>
        <v>-2.1482277121374866E-2</v>
      </c>
      <c r="AH148" s="48">
        <f t="shared" si="48"/>
        <v>3.5650623885918001E-3</v>
      </c>
      <c r="AI148" s="48">
        <f t="shared" si="49"/>
        <v>-4.2953667953667951E-2</v>
      </c>
      <c r="AJ148" s="48">
        <f t="shared" si="50"/>
        <v>0</v>
      </c>
    </row>
    <row r="149" spans="1:36" x14ac:dyDescent="0.3">
      <c r="A149" s="48">
        <v>20180803</v>
      </c>
      <c r="B149" s="48" t="s">
        <v>88</v>
      </c>
      <c r="C149" s="49">
        <v>45550</v>
      </c>
      <c r="D149" s="49">
        <v>45750</v>
      </c>
      <c r="E149" s="49">
        <v>6419324700</v>
      </c>
      <c r="F149" s="49">
        <f t="shared" si="39"/>
        <v>0.170946124192833</v>
      </c>
      <c r="G149" s="49">
        <f t="shared" si="40"/>
        <v>0.170946124192833</v>
      </c>
      <c r="H149" s="48">
        <v>281500</v>
      </c>
      <c r="I149" s="48">
        <v>280500</v>
      </c>
      <c r="J149" s="51">
        <v>125395903</v>
      </c>
      <c r="K149" s="48">
        <f t="shared" si="41"/>
        <v>1.34511125821281</v>
      </c>
      <c r="L149" s="48">
        <f t="shared" si="42"/>
        <v>1.34511125821281</v>
      </c>
      <c r="M149" s="49">
        <v>198300</v>
      </c>
      <c r="N149" s="49">
        <v>207700</v>
      </c>
      <c r="O149" s="49">
        <v>15956260</v>
      </c>
      <c r="P149" s="49">
        <f t="shared" si="43"/>
        <v>27.234779000652601</v>
      </c>
      <c r="Q149" s="49">
        <f t="shared" si="44"/>
        <v>27.234779000652601</v>
      </c>
      <c r="R149" s="48">
        <v>0</v>
      </c>
      <c r="S149" s="48"/>
      <c r="T149" s="48">
        <v>0</v>
      </c>
      <c r="U149" s="48">
        <v>0</v>
      </c>
      <c r="V149" s="48"/>
      <c r="W149" s="49">
        <v>1</v>
      </c>
      <c r="X149" s="49">
        <v>1</v>
      </c>
      <c r="Y149" s="49">
        <v>100000000</v>
      </c>
      <c r="Z149" s="49">
        <f t="shared" si="45"/>
        <v>1365114.194686</v>
      </c>
      <c r="AA149" s="49">
        <f t="shared" si="46"/>
        <v>1365114.194686</v>
      </c>
      <c r="AB149" s="82">
        <f t="shared" si="35"/>
        <v>0</v>
      </c>
      <c r="AC149" s="82">
        <f t="shared" si="36"/>
        <v>293290345052745.87</v>
      </c>
      <c r="AD149" s="81">
        <f t="shared" si="34"/>
        <v>324287113229804.56</v>
      </c>
      <c r="AE149" s="80">
        <f t="shared" si="37"/>
        <v>1105.6862890303605</v>
      </c>
      <c r="AF149" s="52">
        <f t="shared" si="47"/>
        <v>1.2917992283044506E-2</v>
      </c>
      <c r="AG149" s="48">
        <f t="shared" si="38"/>
        <v>4.3907793633369925E-3</v>
      </c>
      <c r="AH149" s="48">
        <f t="shared" si="48"/>
        <v>-3.552397868561279E-3</v>
      </c>
      <c r="AI149" s="48">
        <f t="shared" si="49"/>
        <v>4.7402924861321229E-2</v>
      </c>
      <c r="AJ149" s="48">
        <f t="shared" si="50"/>
        <v>0</v>
      </c>
    </row>
    <row r="150" spans="1:36" x14ac:dyDescent="0.3">
      <c r="A150" s="48">
        <v>20180806</v>
      </c>
      <c r="B150" s="48" t="s">
        <v>88</v>
      </c>
      <c r="C150" s="49">
        <v>45750</v>
      </c>
      <c r="D150" s="49">
        <v>45800</v>
      </c>
      <c r="E150" s="49">
        <v>6419324700</v>
      </c>
      <c r="F150" s="49">
        <f t="shared" si="39"/>
        <v>0.170946124192833</v>
      </c>
      <c r="G150" s="49">
        <f t="shared" si="40"/>
        <v>0.170946124192833</v>
      </c>
      <c r="H150" s="48">
        <v>280500</v>
      </c>
      <c r="I150" s="48">
        <v>274000</v>
      </c>
      <c r="J150" s="51">
        <v>125395903</v>
      </c>
      <c r="K150" s="48">
        <f t="shared" si="41"/>
        <v>1.34511125821281</v>
      </c>
      <c r="L150" s="48">
        <f t="shared" si="42"/>
        <v>1.34511125821281</v>
      </c>
      <c r="M150" s="49">
        <v>207700</v>
      </c>
      <c r="N150" s="49">
        <v>198700</v>
      </c>
      <c r="O150" s="49">
        <v>15956260</v>
      </c>
      <c r="P150" s="49">
        <f t="shared" si="43"/>
        <v>27.234779000652601</v>
      </c>
      <c r="Q150" s="49">
        <f t="shared" si="44"/>
        <v>27.234779000652601</v>
      </c>
      <c r="R150" s="48">
        <v>0</v>
      </c>
      <c r="S150" s="48"/>
      <c r="T150" s="48">
        <v>0</v>
      </c>
      <c r="U150" s="48">
        <v>0</v>
      </c>
      <c r="V150" s="48"/>
      <c r="W150" s="49">
        <v>1</v>
      </c>
      <c r="X150" s="49">
        <v>1</v>
      </c>
      <c r="Y150" s="49">
        <v>100000000</v>
      </c>
      <c r="Z150" s="49">
        <f t="shared" si="45"/>
        <v>1365114.194686</v>
      </c>
      <c r="AA150" s="49">
        <f t="shared" si="46"/>
        <v>1365114.194686</v>
      </c>
      <c r="AB150" s="82">
        <f t="shared" si="35"/>
        <v>0</v>
      </c>
      <c r="AC150" s="82">
        <f t="shared" si="36"/>
        <v>293290345052745.87</v>
      </c>
      <c r="AD150" s="81">
        <f t="shared" si="34"/>
        <v>319334529865098.12</v>
      </c>
      <c r="AE150" s="80">
        <f t="shared" si="37"/>
        <v>1088.8000074045001</v>
      </c>
      <c r="AF150" s="52">
        <f t="shared" si="47"/>
        <v>-1.5272217620306177E-2</v>
      </c>
      <c r="AG150" s="48">
        <f t="shared" si="38"/>
        <v>1.092896174863388E-3</v>
      </c>
      <c r="AH150" s="48">
        <f t="shared" si="48"/>
        <v>-2.3172905525846704E-2</v>
      </c>
      <c r="AI150" s="48">
        <f t="shared" si="49"/>
        <v>-4.3331728454501686E-2</v>
      </c>
      <c r="AJ150" s="48">
        <f t="shared" si="50"/>
        <v>0</v>
      </c>
    </row>
    <row r="151" spans="1:36" x14ac:dyDescent="0.3">
      <c r="A151" s="48">
        <v>20180807</v>
      </c>
      <c r="B151" s="48" t="s">
        <v>88</v>
      </c>
      <c r="C151" s="49">
        <v>45800</v>
      </c>
      <c r="D151" s="49">
        <v>46700</v>
      </c>
      <c r="E151" s="49">
        <v>6419324700</v>
      </c>
      <c r="F151" s="49">
        <f t="shared" si="39"/>
        <v>0.170946124192833</v>
      </c>
      <c r="G151" s="49">
        <f t="shared" si="40"/>
        <v>0.170946124192833</v>
      </c>
      <c r="H151" s="48">
        <v>274000</v>
      </c>
      <c r="I151" s="48">
        <v>274500</v>
      </c>
      <c r="J151" s="51">
        <v>125395903</v>
      </c>
      <c r="K151" s="48">
        <f t="shared" si="41"/>
        <v>1.34511125821281</v>
      </c>
      <c r="L151" s="48">
        <f t="shared" si="42"/>
        <v>1.34511125821281</v>
      </c>
      <c r="M151" s="49">
        <v>198700</v>
      </c>
      <c r="N151" s="49">
        <v>205300</v>
      </c>
      <c r="O151" s="49">
        <v>15956260</v>
      </c>
      <c r="P151" s="49">
        <f t="shared" si="43"/>
        <v>27.234779000652601</v>
      </c>
      <c r="Q151" s="49">
        <f t="shared" si="44"/>
        <v>27.234779000652601</v>
      </c>
      <c r="R151" s="48">
        <v>0</v>
      </c>
      <c r="S151" s="48"/>
      <c r="T151" s="48">
        <v>0</v>
      </c>
      <c r="U151" s="48">
        <v>0</v>
      </c>
      <c r="V151" s="48"/>
      <c r="W151" s="49">
        <v>1</v>
      </c>
      <c r="X151" s="49">
        <v>1</v>
      </c>
      <c r="Y151" s="49">
        <v>100000000</v>
      </c>
      <c r="Z151" s="49">
        <f t="shared" si="45"/>
        <v>1365114.194686</v>
      </c>
      <c r="AA151" s="49">
        <f t="shared" si="46"/>
        <v>1365114.194686</v>
      </c>
      <c r="AB151" s="82">
        <f t="shared" si="35"/>
        <v>0</v>
      </c>
      <c r="AC151" s="82">
        <f t="shared" si="36"/>
        <v>293290345052745.87</v>
      </c>
      <c r="AD151" s="81">
        <f t="shared" si="34"/>
        <v>323274618812715.81</v>
      </c>
      <c r="AE151" s="80">
        <f t="shared" si="37"/>
        <v>1102.234097595601</v>
      </c>
      <c r="AF151" s="52">
        <f t="shared" si="47"/>
        <v>1.2338436902774608E-2</v>
      </c>
      <c r="AG151" s="48">
        <f t="shared" si="38"/>
        <v>1.9650655021834062E-2</v>
      </c>
      <c r="AH151" s="48">
        <f t="shared" si="48"/>
        <v>1.8248175182481751E-3</v>
      </c>
      <c r="AI151" s="48">
        <f t="shared" si="49"/>
        <v>3.321590337191746E-2</v>
      </c>
      <c r="AJ151" s="48">
        <f t="shared" si="50"/>
        <v>0</v>
      </c>
    </row>
    <row r="152" spans="1:36" x14ac:dyDescent="0.3">
      <c r="A152" s="48">
        <v>20180808</v>
      </c>
      <c r="B152" s="48" t="s">
        <v>88</v>
      </c>
      <c r="C152" s="49">
        <v>46700</v>
      </c>
      <c r="D152" s="49">
        <v>46800</v>
      </c>
      <c r="E152" s="49">
        <v>6419324700</v>
      </c>
      <c r="F152" s="49">
        <f t="shared" si="39"/>
        <v>0.170946124192833</v>
      </c>
      <c r="G152" s="49">
        <f t="shared" si="40"/>
        <v>0.170946124192833</v>
      </c>
      <c r="H152" s="48">
        <v>274500</v>
      </c>
      <c r="I152" s="48">
        <v>276000</v>
      </c>
      <c r="J152" s="51">
        <v>125395903</v>
      </c>
      <c r="K152" s="48">
        <f t="shared" si="41"/>
        <v>1.34511125821281</v>
      </c>
      <c r="L152" s="48">
        <f t="shared" si="42"/>
        <v>1.34511125821281</v>
      </c>
      <c r="M152" s="49">
        <v>205300</v>
      </c>
      <c r="N152" s="49">
        <v>199000</v>
      </c>
      <c r="O152" s="49">
        <v>15956260</v>
      </c>
      <c r="P152" s="49">
        <f t="shared" si="43"/>
        <v>27.234779000652601</v>
      </c>
      <c r="Q152" s="49">
        <f t="shared" si="44"/>
        <v>27.234779000652601</v>
      </c>
      <c r="R152" s="48">
        <v>0</v>
      </c>
      <c r="S152" s="48"/>
      <c r="T152" s="48">
        <v>0</v>
      </c>
      <c r="U152" s="48">
        <v>0</v>
      </c>
      <c r="V152" s="48"/>
      <c r="W152" s="49">
        <v>1</v>
      </c>
      <c r="X152" s="49">
        <v>1</v>
      </c>
      <c r="Y152" s="49">
        <v>100000000</v>
      </c>
      <c r="Z152" s="49">
        <f t="shared" si="45"/>
        <v>1365114.194686</v>
      </c>
      <c r="AA152" s="49">
        <f t="shared" si="46"/>
        <v>1365114.194686</v>
      </c>
      <c r="AB152" s="82">
        <f t="shared" si="35"/>
        <v>0</v>
      </c>
      <c r="AC152" s="82">
        <f t="shared" si="36"/>
        <v>293290345052745.87</v>
      </c>
      <c r="AD152" s="81">
        <f t="shared" si="34"/>
        <v>320899600988649.62</v>
      </c>
      <c r="AE152" s="80">
        <f t="shared" si="37"/>
        <v>1094.136259176682</v>
      </c>
      <c r="AF152" s="52">
        <f t="shared" si="47"/>
        <v>-7.3467500566200957E-3</v>
      </c>
      <c r="AG152" s="48">
        <f t="shared" si="38"/>
        <v>2.1413276231263384E-3</v>
      </c>
      <c r="AH152" s="48">
        <f t="shared" si="48"/>
        <v>5.4644808743169399E-3</v>
      </c>
      <c r="AI152" s="48">
        <f t="shared" si="49"/>
        <v>-3.0686799805163176E-2</v>
      </c>
      <c r="AJ152" s="48">
        <f t="shared" si="50"/>
        <v>0</v>
      </c>
    </row>
    <row r="153" spans="1:36" x14ac:dyDescent="0.3">
      <c r="A153" s="48">
        <v>20180809</v>
      </c>
      <c r="B153" s="48" t="s">
        <v>88</v>
      </c>
      <c r="C153" s="49">
        <v>46800</v>
      </c>
      <c r="D153" s="49">
        <v>46900</v>
      </c>
      <c r="E153" s="49">
        <v>6419324700</v>
      </c>
      <c r="F153" s="49">
        <f t="shared" si="39"/>
        <v>0.170946124192833</v>
      </c>
      <c r="G153" s="49">
        <f t="shared" si="40"/>
        <v>0.170946124192833</v>
      </c>
      <c r="H153" s="48">
        <v>276000</v>
      </c>
      <c r="I153" s="48">
        <v>276000</v>
      </c>
      <c r="J153" s="51">
        <v>125395903</v>
      </c>
      <c r="K153" s="48">
        <f t="shared" si="41"/>
        <v>1.34511125821281</v>
      </c>
      <c r="L153" s="48">
        <f t="shared" si="42"/>
        <v>1.34511125821281</v>
      </c>
      <c r="M153" s="49">
        <v>199000</v>
      </c>
      <c r="N153" s="49">
        <v>203900</v>
      </c>
      <c r="O153" s="49">
        <v>15956260</v>
      </c>
      <c r="P153" s="49">
        <f t="shared" si="43"/>
        <v>27.234779000652601</v>
      </c>
      <c r="Q153" s="49">
        <f t="shared" si="44"/>
        <v>27.234779000652601</v>
      </c>
      <c r="R153" s="48">
        <v>0</v>
      </c>
      <c r="S153" s="48"/>
      <c r="T153" s="48">
        <v>0</v>
      </c>
      <c r="U153" s="48">
        <v>0</v>
      </c>
      <c r="V153" s="48"/>
      <c r="W153" s="49">
        <v>1</v>
      </c>
      <c r="X153" s="49">
        <v>1</v>
      </c>
      <c r="Y153" s="49">
        <v>100000000</v>
      </c>
      <c r="Z153" s="49">
        <f t="shared" si="45"/>
        <v>1365114.194686</v>
      </c>
      <c r="AA153" s="49">
        <f t="shared" si="46"/>
        <v>1365114.194686</v>
      </c>
      <c r="AB153" s="82">
        <f t="shared" si="35"/>
        <v>0</v>
      </c>
      <c r="AC153" s="82">
        <f t="shared" si="36"/>
        <v>293290345052745.87</v>
      </c>
      <c r="AD153" s="81">
        <f t="shared" si="34"/>
        <v>323138706408796.75</v>
      </c>
      <c r="AE153" s="80">
        <f t="shared" si="37"/>
        <v>1101.7706919424261</v>
      </c>
      <c r="AF153" s="52">
        <f t="shared" si="47"/>
        <v>6.9775886702529146E-3</v>
      </c>
      <c r="AG153" s="48">
        <f t="shared" si="38"/>
        <v>2.136752136752137E-3</v>
      </c>
      <c r="AH153" s="48">
        <f t="shared" si="48"/>
        <v>0</v>
      </c>
      <c r="AI153" s="48">
        <f t="shared" si="49"/>
        <v>2.4623115577889446E-2</v>
      </c>
      <c r="AJ153" s="48">
        <f t="shared" si="50"/>
        <v>0</v>
      </c>
    </row>
    <row r="154" spans="1:36" x14ac:dyDescent="0.3">
      <c r="A154" s="48">
        <v>20180810</v>
      </c>
      <c r="B154" s="48" t="s">
        <v>88</v>
      </c>
      <c r="C154" s="49">
        <v>46900</v>
      </c>
      <c r="D154" s="49">
        <v>45400</v>
      </c>
      <c r="E154" s="49">
        <v>6419324700</v>
      </c>
      <c r="F154" s="49">
        <f t="shared" si="39"/>
        <v>0.170946124192833</v>
      </c>
      <c r="G154" s="49">
        <f t="shared" si="40"/>
        <v>0.170946124192833</v>
      </c>
      <c r="H154" s="48">
        <v>276000</v>
      </c>
      <c r="I154" s="48">
        <v>272000</v>
      </c>
      <c r="J154" s="51">
        <v>125395903</v>
      </c>
      <c r="K154" s="48">
        <f t="shared" si="41"/>
        <v>1.34511125821281</v>
      </c>
      <c r="L154" s="48">
        <f t="shared" si="42"/>
        <v>1.34511125821281</v>
      </c>
      <c r="M154" s="49">
        <v>203900</v>
      </c>
      <c r="N154" s="49">
        <v>202500</v>
      </c>
      <c r="O154" s="49">
        <v>15956260</v>
      </c>
      <c r="P154" s="49">
        <f t="shared" si="43"/>
        <v>27.234779000652601</v>
      </c>
      <c r="Q154" s="49">
        <f t="shared" si="44"/>
        <v>27.234779000652601</v>
      </c>
      <c r="R154" s="48">
        <v>0</v>
      </c>
      <c r="S154" s="48"/>
      <c r="T154" s="48">
        <v>0</v>
      </c>
      <c r="U154" s="48">
        <v>0</v>
      </c>
      <c r="V154" s="48"/>
      <c r="W154" s="49">
        <v>1</v>
      </c>
      <c r="X154" s="49">
        <v>1</v>
      </c>
      <c r="Y154" s="49">
        <v>100000000</v>
      </c>
      <c r="Z154" s="49">
        <f t="shared" si="45"/>
        <v>1365114.194686</v>
      </c>
      <c r="AA154" s="49">
        <f t="shared" si="46"/>
        <v>1365114.194686</v>
      </c>
      <c r="AB154" s="82">
        <f t="shared" si="35"/>
        <v>0</v>
      </c>
      <c r="AC154" s="82">
        <f t="shared" si="36"/>
        <v>293290345052745.87</v>
      </c>
      <c r="AD154" s="81">
        <f t="shared" si="34"/>
        <v>320209591328572.25</v>
      </c>
      <c r="AE154" s="80">
        <f t="shared" si="37"/>
        <v>1091.7836087341543</v>
      </c>
      <c r="AF154" s="52">
        <f t="shared" si="47"/>
        <v>-9.06457512557763E-3</v>
      </c>
      <c r="AG154" s="48">
        <f t="shared" si="38"/>
        <v>-3.1982942430703626E-2</v>
      </c>
      <c r="AH154" s="48">
        <f t="shared" si="48"/>
        <v>-1.4492753623188406E-2</v>
      </c>
      <c r="AI154" s="48">
        <f t="shared" si="49"/>
        <v>-6.8661108386463953E-3</v>
      </c>
      <c r="AJ154" s="48">
        <f t="shared" si="50"/>
        <v>0</v>
      </c>
    </row>
    <row r="155" spans="1:36" x14ac:dyDescent="0.3">
      <c r="A155" s="48">
        <v>20180813</v>
      </c>
      <c r="B155" s="48" t="s">
        <v>88</v>
      </c>
      <c r="C155" s="49">
        <v>45400</v>
      </c>
      <c r="D155" s="49">
        <v>45050</v>
      </c>
      <c r="E155" s="49">
        <v>6419324700</v>
      </c>
      <c r="F155" s="49">
        <f t="shared" si="39"/>
        <v>0.170946124192833</v>
      </c>
      <c r="G155" s="49">
        <f t="shared" si="40"/>
        <v>0.170946124192833</v>
      </c>
      <c r="H155" s="48">
        <v>272000</v>
      </c>
      <c r="I155" s="48">
        <v>260500</v>
      </c>
      <c r="J155" s="51">
        <v>125395903</v>
      </c>
      <c r="K155" s="48">
        <f t="shared" si="41"/>
        <v>1.34511125821281</v>
      </c>
      <c r="L155" s="48">
        <f t="shared" si="42"/>
        <v>1.34511125821281</v>
      </c>
      <c r="M155" s="49">
        <v>202500</v>
      </c>
      <c r="N155" s="49">
        <v>196400</v>
      </c>
      <c r="O155" s="49">
        <v>15956260</v>
      </c>
      <c r="P155" s="49">
        <f t="shared" si="43"/>
        <v>27.234779000652601</v>
      </c>
      <c r="Q155" s="49">
        <f t="shared" si="44"/>
        <v>27.234779000652601</v>
      </c>
      <c r="R155" s="48">
        <v>0</v>
      </c>
      <c r="S155" s="48"/>
      <c r="T155" s="48">
        <v>0</v>
      </c>
      <c r="U155" s="48">
        <v>0</v>
      </c>
      <c r="V155" s="48"/>
      <c r="W155" s="49">
        <v>1</v>
      </c>
      <c r="X155" s="49">
        <v>1</v>
      </c>
      <c r="Y155" s="49">
        <v>100000000</v>
      </c>
      <c r="Z155" s="49">
        <f t="shared" si="45"/>
        <v>1365114.194686</v>
      </c>
      <c r="AA155" s="49">
        <f t="shared" si="46"/>
        <v>1365114.194686</v>
      </c>
      <c r="AB155" s="82">
        <f t="shared" si="35"/>
        <v>0</v>
      </c>
      <c r="AC155" s="82">
        <f t="shared" si="36"/>
        <v>293290345052745.87</v>
      </c>
      <c r="AD155" s="81">
        <f t="shared" si="34"/>
        <v>315234946411463.5</v>
      </c>
      <c r="AE155" s="80">
        <f t="shared" si="37"/>
        <v>1074.8221062468697</v>
      </c>
      <c r="AF155" s="52">
        <f t="shared" si="47"/>
        <v>-1.5535589975517487E-2</v>
      </c>
      <c r="AG155" s="48">
        <f t="shared" si="38"/>
        <v>-7.709251101321586E-3</v>
      </c>
      <c r="AH155" s="48">
        <f t="shared" si="48"/>
        <v>-4.2279411764705885E-2</v>
      </c>
      <c r="AI155" s="48">
        <f t="shared" si="49"/>
        <v>-3.0123456790123456E-2</v>
      </c>
      <c r="AJ155" s="48">
        <f t="shared" si="50"/>
        <v>0</v>
      </c>
    </row>
    <row r="156" spans="1:36" x14ac:dyDescent="0.3">
      <c r="A156" s="48">
        <v>20180814</v>
      </c>
      <c r="B156" s="48" t="s">
        <v>88</v>
      </c>
      <c r="C156" s="49">
        <v>45050</v>
      </c>
      <c r="D156" s="49">
        <v>45150</v>
      </c>
      <c r="E156" s="49">
        <v>6419324700</v>
      </c>
      <c r="F156" s="49">
        <f t="shared" si="39"/>
        <v>0.170946124192833</v>
      </c>
      <c r="G156" s="49">
        <f t="shared" si="40"/>
        <v>0.170946124192833</v>
      </c>
      <c r="H156" s="48">
        <v>260500</v>
      </c>
      <c r="I156" s="48">
        <v>261000</v>
      </c>
      <c r="J156" s="51">
        <v>125395903</v>
      </c>
      <c r="K156" s="48">
        <f t="shared" si="41"/>
        <v>1.34511125821281</v>
      </c>
      <c r="L156" s="48">
        <f t="shared" si="42"/>
        <v>1.34511125821281</v>
      </c>
      <c r="M156" s="49">
        <v>196400</v>
      </c>
      <c r="N156" s="49">
        <v>197900</v>
      </c>
      <c r="O156" s="49">
        <v>15956260</v>
      </c>
      <c r="P156" s="49">
        <f t="shared" si="43"/>
        <v>27.234779000652601</v>
      </c>
      <c r="Q156" s="49">
        <f t="shared" si="44"/>
        <v>27.234779000652601</v>
      </c>
      <c r="R156" s="48">
        <v>0</v>
      </c>
      <c r="S156" s="48"/>
      <c r="T156" s="48">
        <v>0</v>
      </c>
      <c r="U156" s="48">
        <v>0</v>
      </c>
      <c r="V156" s="48"/>
      <c r="W156" s="49">
        <v>1</v>
      </c>
      <c r="X156" s="49">
        <v>1</v>
      </c>
      <c r="Y156" s="49">
        <v>100000000</v>
      </c>
      <c r="Z156" s="49">
        <f t="shared" si="45"/>
        <v>1365114.194686</v>
      </c>
      <c r="AA156" s="49">
        <f t="shared" si="46"/>
        <v>1365114.194686</v>
      </c>
      <c r="AB156" s="82">
        <f t="shared" si="35"/>
        <v>0</v>
      </c>
      <c r="AC156" s="82">
        <f t="shared" si="36"/>
        <v>293290345052745.87</v>
      </c>
      <c r="AD156" s="81">
        <f t="shared" si="34"/>
        <v>316080865821798.5</v>
      </c>
      <c r="AE156" s="80">
        <f t="shared" si="37"/>
        <v>1077.7063451064303</v>
      </c>
      <c r="AF156" s="52">
        <f t="shared" si="47"/>
        <v>2.6834569579443674E-3</v>
      </c>
      <c r="AG156" s="48">
        <f t="shared" si="38"/>
        <v>2.2197558268590455E-3</v>
      </c>
      <c r="AH156" s="48">
        <f t="shared" si="48"/>
        <v>1.9193857965451055E-3</v>
      </c>
      <c r="AI156" s="48">
        <f t="shared" si="49"/>
        <v>7.6374745417515273E-3</v>
      </c>
      <c r="AJ156" s="48">
        <f t="shared" si="50"/>
        <v>0</v>
      </c>
    </row>
    <row r="157" spans="1:36" x14ac:dyDescent="0.3">
      <c r="A157" s="48">
        <v>20180816</v>
      </c>
      <c r="B157" s="48" t="s">
        <v>88</v>
      </c>
      <c r="C157" s="49">
        <v>45150</v>
      </c>
      <c r="D157" s="49">
        <v>44250</v>
      </c>
      <c r="E157" s="49">
        <v>6419324700</v>
      </c>
      <c r="F157" s="49">
        <f t="shared" si="39"/>
        <v>0.170946124192833</v>
      </c>
      <c r="G157" s="49">
        <f t="shared" si="40"/>
        <v>0.170946124192833</v>
      </c>
      <c r="H157" s="48">
        <v>261000</v>
      </c>
      <c r="I157" s="48">
        <v>258500</v>
      </c>
      <c r="J157" s="51">
        <v>125395903</v>
      </c>
      <c r="K157" s="48">
        <f t="shared" si="41"/>
        <v>1.34511125821281</v>
      </c>
      <c r="L157" s="48">
        <f t="shared" si="42"/>
        <v>1.34511125821281</v>
      </c>
      <c r="M157" s="49">
        <v>197900</v>
      </c>
      <c r="N157" s="49">
        <v>193700</v>
      </c>
      <c r="O157" s="49">
        <v>15956260</v>
      </c>
      <c r="P157" s="49">
        <f t="shared" si="43"/>
        <v>27.234779000652601</v>
      </c>
      <c r="Q157" s="49">
        <f t="shared" si="44"/>
        <v>27.234779000652601</v>
      </c>
      <c r="R157" s="48">
        <v>0</v>
      </c>
      <c r="S157" s="48"/>
      <c r="T157" s="48">
        <v>0</v>
      </c>
      <c r="U157" s="48">
        <v>0</v>
      </c>
      <c r="V157" s="48"/>
      <c r="W157" s="49">
        <v>1</v>
      </c>
      <c r="X157" s="49">
        <v>1</v>
      </c>
      <c r="Y157" s="49">
        <v>100000000</v>
      </c>
      <c r="Z157" s="49">
        <f t="shared" si="45"/>
        <v>1365114.194686</v>
      </c>
      <c r="AA157" s="49">
        <f t="shared" si="46"/>
        <v>1365114.194686</v>
      </c>
      <c r="AB157" s="82">
        <f t="shared" si="35"/>
        <v>0</v>
      </c>
      <c r="AC157" s="82">
        <f t="shared" si="36"/>
        <v>293290345052745.87</v>
      </c>
      <c r="AD157" s="81">
        <f t="shared" si="34"/>
        <v>312846390507927.37</v>
      </c>
      <c r="AE157" s="80">
        <f t="shared" si="37"/>
        <v>1066.6781085196121</v>
      </c>
      <c r="AF157" s="52">
        <f t="shared" si="47"/>
        <v>-1.0233062686226488E-2</v>
      </c>
      <c r="AG157" s="48">
        <f t="shared" si="38"/>
        <v>-1.9933554817275746E-2</v>
      </c>
      <c r="AH157" s="48">
        <f t="shared" si="48"/>
        <v>-9.5785440613026813E-3</v>
      </c>
      <c r="AI157" s="48">
        <f t="shared" si="49"/>
        <v>-2.1222839818089943E-2</v>
      </c>
      <c r="AJ157" s="48">
        <f t="shared" si="50"/>
        <v>0</v>
      </c>
    </row>
    <row r="158" spans="1:36" x14ac:dyDescent="0.3">
      <c r="A158" s="48">
        <v>20180817</v>
      </c>
      <c r="B158" s="48" t="s">
        <v>88</v>
      </c>
      <c r="C158" s="49">
        <v>44250</v>
      </c>
      <c r="D158" s="49">
        <v>44100</v>
      </c>
      <c r="E158" s="49">
        <v>6419324700</v>
      </c>
      <c r="F158" s="49">
        <f t="shared" si="39"/>
        <v>0.170946124192833</v>
      </c>
      <c r="G158" s="49">
        <f t="shared" si="40"/>
        <v>0.170946124192833</v>
      </c>
      <c r="H158" s="48">
        <v>258500</v>
      </c>
      <c r="I158" s="48">
        <v>263000</v>
      </c>
      <c r="J158" s="51">
        <v>125395903</v>
      </c>
      <c r="K158" s="48">
        <f t="shared" si="41"/>
        <v>1.34511125821281</v>
      </c>
      <c r="L158" s="48">
        <f t="shared" si="42"/>
        <v>1.34511125821281</v>
      </c>
      <c r="M158" s="49">
        <v>193700</v>
      </c>
      <c r="N158" s="49">
        <v>201400</v>
      </c>
      <c r="O158" s="49">
        <v>15956260</v>
      </c>
      <c r="P158" s="49">
        <f t="shared" si="43"/>
        <v>27.234779000652601</v>
      </c>
      <c r="Q158" s="49">
        <f t="shared" si="44"/>
        <v>27.234779000652601</v>
      </c>
      <c r="R158" s="48">
        <v>0</v>
      </c>
      <c r="S158" s="48"/>
      <c r="T158" s="48">
        <v>0</v>
      </c>
      <c r="U158" s="48">
        <v>0</v>
      </c>
      <c r="V158" s="48"/>
      <c r="W158" s="49">
        <v>1</v>
      </c>
      <c r="X158" s="49">
        <v>1</v>
      </c>
      <c r="Y158" s="49">
        <v>100000000</v>
      </c>
      <c r="Z158" s="49">
        <f t="shared" si="45"/>
        <v>1365114.194686</v>
      </c>
      <c r="AA158" s="49">
        <f t="shared" si="46"/>
        <v>1365114.194686</v>
      </c>
      <c r="AB158" s="82">
        <f t="shared" si="35"/>
        <v>0</v>
      </c>
      <c r="AC158" s="82">
        <f t="shared" si="36"/>
        <v>293290345052745.87</v>
      </c>
      <c r="AD158" s="81">
        <f t="shared" si="34"/>
        <v>316786960343965.62</v>
      </c>
      <c r="AE158" s="80">
        <f t="shared" si="37"/>
        <v>1080.1138383433458</v>
      </c>
      <c r="AF158" s="52">
        <f t="shared" si="47"/>
        <v>1.2595861597253993E-2</v>
      </c>
      <c r="AG158" s="48">
        <f t="shared" si="38"/>
        <v>-3.3898305084745762E-3</v>
      </c>
      <c r="AH158" s="48">
        <f t="shared" si="48"/>
        <v>1.7408123791102514E-2</v>
      </c>
      <c r="AI158" s="48">
        <f t="shared" si="49"/>
        <v>3.9752194114610222E-2</v>
      </c>
      <c r="AJ158" s="48">
        <f t="shared" si="50"/>
        <v>0</v>
      </c>
    </row>
    <row r="159" spans="1:36" x14ac:dyDescent="0.3">
      <c r="A159" s="48">
        <v>20180820</v>
      </c>
      <c r="B159" s="48" t="s">
        <v>88</v>
      </c>
      <c r="C159" s="49">
        <v>44100</v>
      </c>
      <c r="D159" s="49">
        <v>43850</v>
      </c>
      <c r="E159" s="49">
        <v>6419324700</v>
      </c>
      <c r="F159" s="49">
        <f t="shared" si="39"/>
        <v>0.170946124192833</v>
      </c>
      <c r="G159" s="49">
        <f t="shared" si="40"/>
        <v>0.170946124192833</v>
      </c>
      <c r="H159" s="48">
        <v>263000</v>
      </c>
      <c r="I159" s="48">
        <v>261000</v>
      </c>
      <c r="J159" s="51">
        <v>125395903</v>
      </c>
      <c r="K159" s="48">
        <f t="shared" si="41"/>
        <v>1.34511125821281</v>
      </c>
      <c r="L159" s="48">
        <f t="shared" si="42"/>
        <v>1.34511125821281</v>
      </c>
      <c r="M159" s="49">
        <v>201400</v>
      </c>
      <c r="N159" s="49">
        <v>201000</v>
      </c>
      <c r="O159" s="49">
        <v>15956260</v>
      </c>
      <c r="P159" s="49">
        <f t="shared" si="43"/>
        <v>27.234779000652601</v>
      </c>
      <c r="Q159" s="49">
        <f t="shared" si="44"/>
        <v>27.234779000652601</v>
      </c>
      <c r="R159" s="48">
        <v>0</v>
      </c>
      <c r="S159" s="48"/>
      <c r="T159" s="48">
        <v>0</v>
      </c>
      <c r="U159" s="48">
        <v>0</v>
      </c>
      <c r="V159" s="48"/>
      <c r="W159" s="49">
        <v>1</v>
      </c>
      <c r="X159" s="49">
        <v>1</v>
      </c>
      <c r="Y159" s="49">
        <v>100000000</v>
      </c>
      <c r="Z159" s="49">
        <f t="shared" si="45"/>
        <v>1365114.194686</v>
      </c>
      <c r="AA159" s="49">
        <f t="shared" si="46"/>
        <v>1365114.194686</v>
      </c>
      <c r="AB159" s="82">
        <f t="shared" si="35"/>
        <v>0</v>
      </c>
      <c r="AC159" s="82">
        <f t="shared" si="36"/>
        <v>293290345052745.87</v>
      </c>
      <c r="AD159" s="81">
        <f t="shared" si="34"/>
        <v>316001451706986.62</v>
      </c>
      <c r="AE159" s="80">
        <f t="shared" si="37"/>
        <v>1077.4355754880248</v>
      </c>
      <c r="AF159" s="52">
        <f t="shared" si="47"/>
        <v>-2.4796116485544411E-3</v>
      </c>
      <c r="AG159" s="48">
        <f t="shared" si="38"/>
        <v>-5.6689342403628117E-3</v>
      </c>
      <c r="AH159" s="48">
        <f t="shared" si="48"/>
        <v>-7.6045627376425855E-3</v>
      </c>
      <c r="AI159" s="48">
        <f t="shared" si="49"/>
        <v>-1.9860973187686196E-3</v>
      </c>
      <c r="AJ159" s="48">
        <f t="shared" si="50"/>
        <v>0</v>
      </c>
    </row>
    <row r="160" spans="1:36" x14ac:dyDescent="0.3">
      <c r="A160" s="48">
        <v>20180821</v>
      </c>
      <c r="B160" s="48" t="s">
        <v>88</v>
      </c>
      <c r="C160" s="49">
        <v>43850</v>
      </c>
      <c r="D160" s="49">
        <v>44800</v>
      </c>
      <c r="E160" s="49">
        <v>6419324700</v>
      </c>
      <c r="F160" s="49">
        <f t="shared" si="39"/>
        <v>0.170946124192833</v>
      </c>
      <c r="G160" s="49">
        <f t="shared" si="40"/>
        <v>0.170946124192833</v>
      </c>
      <c r="H160" s="48">
        <v>261000</v>
      </c>
      <c r="I160" s="48">
        <v>268500</v>
      </c>
      <c r="J160" s="51">
        <v>125395903</v>
      </c>
      <c r="K160" s="48">
        <f t="shared" si="41"/>
        <v>1.34511125821281</v>
      </c>
      <c r="L160" s="48">
        <f t="shared" si="42"/>
        <v>1.34511125821281</v>
      </c>
      <c r="M160" s="49">
        <v>201000</v>
      </c>
      <c r="N160" s="49">
        <v>217200</v>
      </c>
      <c r="O160" s="49">
        <v>15956260</v>
      </c>
      <c r="P160" s="49">
        <f t="shared" si="43"/>
        <v>27.234779000652601</v>
      </c>
      <c r="Q160" s="49">
        <f t="shared" si="44"/>
        <v>27.234779000652601</v>
      </c>
      <c r="R160" s="48">
        <v>0</v>
      </c>
      <c r="S160" s="48"/>
      <c r="T160" s="48">
        <v>0</v>
      </c>
      <c r="U160" s="48">
        <v>0</v>
      </c>
      <c r="V160" s="48"/>
      <c r="W160" s="49">
        <v>1</v>
      </c>
      <c r="X160" s="49">
        <v>1</v>
      </c>
      <c r="Y160" s="49">
        <v>100000000</v>
      </c>
      <c r="Z160" s="49">
        <f t="shared" si="45"/>
        <v>1365114.194686</v>
      </c>
      <c r="AA160" s="49">
        <f t="shared" si="46"/>
        <v>1365114.194686</v>
      </c>
      <c r="AB160" s="82">
        <f t="shared" si="35"/>
        <v>0</v>
      </c>
      <c r="AC160" s="82">
        <f t="shared" si="36"/>
        <v>293290345052745.87</v>
      </c>
      <c r="AD160" s="81">
        <f t="shared" si="34"/>
        <v>325348934736346.56</v>
      </c>
      <c r="AE160" s="80">
        <f t="shared" si="37"/>
        <v>1109.306665645046</v>
      </c>
      <c r="AF160" s="52">
        <f t="shared" si="47"/>
        <v>2.9580506604847488E-2</v>
      </c>
      <c r="AG160" s="48">
        <f t="shared" si="38"/>
        <v>2.1664766248574687E-2</v>
      </c>
      <c r="AH160" s="48">
        <f t="shared" si="48"/>
        <v>2.8735632183908046E-2</v>
      </c>
      <c r="AI160" s="48">
        <f t="shared" si="49"/>
        <v>8.0597014925373134E-2</v>
      </c>
      <c r="AJ160" s="48">
        <f t="shared" si="50"/>
        <v>0</v>
      </c>
    </row>
    <row r="161" spans="1:36" x14ac:dyDescent="0.3">
      <c r="A161" s="48">
        <v>20180822</v>
      </c>
      <c r="B161" s="48" t="s">
        <v>88</v>
      </c>
      <c r="C161" s="49">
        <v>44800</v>
      </c>
      <c r="D161" s="49">
        <v>46100</v>
      </c>
      <c r="E161" s="49">
        <v>6419324700</v>
      </c>
      <c r="F161" s="49">
        <f t="shared" si="39"/>
        <v>0.170946124192833</v>
      </c>
      <c r="G161" s="49">
        <f t="shared" si="40"/>
        <v>0.170946124192833</v>
      </c>
      <c r="H161" s="48">
        <v>268500</v>
      </c>
      <c r="I161" s="48">
        <v>268500</v>
      </c>
      <c r="J161" s="51">
        <v>125395903</v>
      </c>
      <c r="K161" s="48">
        <f t="shared" si="41"/>
        <v>1.34511125821281</v>
      </c>
      <c r="L161" s="48">
        <f t="shared" si="42"/>
        <v>1.34511125821281</v>
      </c>
      <c r="M161" s="49">
        <v>217200</v>
      </c>
      <c r="N161" s="49">
        <v>217100</v>
      </c>
      <c r="O161" s="49">
        <v>15956260</v>
      </c>
      <c r="P161" s="49">
        <f t="shared" si="43"/>
        <v>27.234779000652601</v>
      </c>
      <c r="Q161" s="49">
        <f t="shared" si="44"/>
        <v>27.234779000652601</v>
      </c>
      <c r="R161" s="48">
        <v>0</v>
      </c>
      <c r="S161" s="48"/>
      <c r="T161" s="48">
        <v>0</v>
      </c>
      <c r="U161" s="48">
        <v>0</v>
      </c>
      <c r="V161" s="48"/>
      <c r="W161" s="49">
        <v>1</v>
      </c>
      <c r="X161" s="49">
        <v>1</v>
      </c>
      <c r="Y161" s="49">
        <v>100000000</v>
      </c>
      <c r="Z161" s="49">
        <f t="shared" si="45"/>
        <v>1365114.194686</v>
      </c>
      <c r="AA161" s="49">
        <f t="shared" si="46"/>
        <v>1365114.194686</v>
      </c>
      <c r="AB161" s="82">
        <f t="shared" si="35"/>
        <v>0</v>
      </c>
      <c r="AC161" s="82">
        <f t="shared" si="36"/>
        <v>293290345052745.87</v>
      </c>
      <c r="AD161" s="81">
        <f t="shared" si="34"/>
        <v>326732044495489.31</v>
      </c>
      <c r="AE161" s="80">
        <f t="shared" si="37"/>
        <v>1114.0225036617867</v>
      </c>
      <c r="AF161" s="52">
        <f t="shared" si="47"/>
        <v>4.251158099729346E-3</v>
      </c>
      <c r="AG161" s="48">
        <f t="shared" si="38"/>
        <v>2.9017857142857144E-2</v>
      </c>
      <c r="AH161" s="48">
        <f t="shared" si="48"/>
        <v>0</v>
      </c>
      <c r="AI161" s="48">
        <f t="shared" si="49"/>
        <v>-4.6040515653775324E-4</v>
      </c>
      <c r="AJ161" s="48">
        <f t="shared" si="50"/>
        <v>0</v>
      </c>
    </row>
    <row r="162" spans="1:36" x14ac:dyDescent="0.3">
      <c r="A162" s="48">
        <v>20180823</v>
      </c>
      <c r="B162" s="48" t="s">
        <v>88</v>
      </c>
      <c r="C162" s="49">
        <v>46100</v>
      </c>
      <c r="D162" s="49">
        <v>46200</v>
      </c>
      <c r="E162" s="49">
        <v>6419324700</v>
      </c>
      <c r="F162" s="49">
        <f t="shared" si="39"/>
        <v>0.170946124192833</v>
      </c>
      <c r="G162" s="49">
        <f t="shared" si="40"/>
        <v>0.170946124192833</v>
      </c>
      <c r="H162" s="48">
        <v>268500</v>
      </c>
      <c r="I162" s="48">
        <v>274000</v>
      </c>
      <c r="J162" s="51">
        <v>125395903</v>
      </c>
      <c r="K162" s="48">
        <f t="shared" si="41"/>
        <v>1.34511125821281</v>
      </c>
      <c r="L162" s="48">
        <f t="shared" si="42"/>
        <v>1.34511125821281</v>
      </c>
      <c r="M162" s="49">
        <v>217100</v>
      </c>
      <c r="N162" s="49">
        <v>217500</v>
      </c>
      <c r="O162" s="49">
        <v>15956260</v>
      </c>
      <c r="P162" s="49">
        <f t="shared" si="43"/>
        <v>27.234779000652601</v>
      </c>
      <c r="Q162" s="49">
        <f t="shared" si="44"/>
        <v>27.234779000652601</v>
      </c>
      <c r="R162" s="48">
        <v>0</v>
      </c>
      <c r="S162" s="48"/>
      <c r="T162" s="48">
        <v>0</v>
      </c>
      <c r="U162" s="48">
        <v>0</v>
      </c>
      <c r="V162" s="48"/>
      <c r="W162" s="49">
        <v>1</v>
      </c>
      <c r="X162" s="49">
        <v>1</v>
      </c>
      <c r="Y162" s="49">
        <v>100000000</v>
      </c>
      <c r="Z162" s="49">
        <f t="shared" si="45"/>
        <v>1365114.194686</v>
      </c>
      <c r="AA162" s="49">
        <f t="shared" si="46"/>
        <v>1365114.194686</v>
      </c>
      <c r="AB162" s="82">
        <f t="shared" si="35"/>
        <v>0</v>
      </c>
      <c r="AC162" s="82">
        <f t="shared" si="36"/>
        <v>293290345052745.87</v>
      </c>
      <c r="AD162" s="81">
        <f t="shared" si="34"/>
        <v>327943299373864.94</v>
      </c>
      <c r="AE162" s="80">
        <f t="shared" si="37"/>
        <v>1118.1523868945874</v>
      </c>
      <c r="AF162" s="52">
        <f t="shared" si="47"/>
        <v>3.7071811558795154E-3</v>
      </c>
      <c r="AG162" s="48">
        <f t="shared" si="38"/>
        <v>2.1691973969631237E-3</v>
      </c>
      <c r="AH162" s="48">
        <f t="shared" si="48"/>
        <v>2.0484171322160148E-2</v>
      </c>
      <c r="AI162" s="48">
        <f t="shared" si="49"/>
        <v>1.8424689083371719E-3</v>
      </c>
      <c r="AJ162" s="48">
        <f t="shared" si="50"/>
        <v>0</v>
      </c>
    </row>
    <row r="163" spans="1:36" x14ac:dyDescent="0.3">
      <c r="A163" s="48">
        <v>20180824</v>
      </c>
      <c r="B163" s="48" t="s">
        <v>88</v>
      </c>
      <c r="C163" s="49">
        <v>46200</v>
      </c>
      <c r="D163" s="49">
        <v>46150</v>
      </c>
      <c r="E163" s="49">
        <v>6419324700</v>
      </c>
      <c r="F163" s="49">
        <f t="shared" si="39"/>
        <v>0.170946124192833</v>
      </c>
      <c r="G163" s="49">
        <f t="shared" si="40"/>
        <v>0.170946124192833</v>
      </c>
      <c r="H163" s="48">
        <v>274000</v>
      </c>
      <c r="I163" s="48">
        <v>279500</v>
      </c>
      <c r="J163" s="51">
        <v>125395903</v>
      </c>
      <c r="K163" s="48">
        <f t="shared" si="41"/>
        <v>1.34511125821281</v>
      </c>
      <c r="L163" s="48">
        <f t="shared" si="42"/>
        <v>1.34511125821281</v>
      </c>
      <c r="M163" s="49">
        <v>217500</v>
      </c>
      <c r="N163" s="49">
        <v>221100</v>
      </c>
      <c r="O163" s="49">
        <v>15956260</v>
      </c>
      <c r="P163" s="49">
        <f t="shared" si="43"/>
        <v>27.234779000652601</v>
      </c>
      <c r="Q163" s="49">
        <f t="shared" si="44"/>
        <v>27.234779000652601</v>
      </c>
      <c r="R163" s="48">
        <v>0</v>
      </c>
      <c r="S163" s="48"/>
      <c r="T163" s="48">
        <v>0</v>
      </c>
      <c r="U163" s="48">
        <v>0</v>
      </c>
      <c r="V163" s="48"/>
      <c r="W163" s="49">
        <v>1</v>
      </c>
      <c r="X163" s="49">
        <v>1</v>
      </c>
      <c r="Y163" s="49">
        <v>100000000</v>
      </c>
      <c r="Z163" s="49">
        <f t="shared" si="45"/>
        <v>1365114.194686</v>
      </c>
      <c r="AA163" s="49">
        <f t="shared" si="46"/>
        <v>1365114.194686</v>
      </c>
      <c r="AB163" s="82">
        <f t="shared" si="35"/>
        <v>0</v>
      </c>
      <c r="AC163" s="82">
        <f t="shared" si="36"/>
        <v>293290345052745.87</v>
      </c>
      <c r="AD163" s="81">
        <f t="shared" si="34"/>
        <v>330380559137916.81</v>
      </c>
      <c r="AE163" s="80">
        <f t="shared" si="37"/>
        <v>1126.4624448462514</v>
      </c>
      <c r="AF163" s="52">
        <f t="shared" si="47"/>
        <v>7.431954757743984E-3</v>
      </c>
      <c r="AG163" s="48">
        <f t="shared" si="38"/>
        <v>-1.0822510822510823E-3</v>
      </c>
      <c r="AH163" s="48">
        <f t="shared" si="48"/>
        <v>2.0072992700729927E-2</v>
      </c>
      <c r="AI163" s="48">
        <f t="shared" si="49"/>
        <v>1.6551724137931035E-2</v>
      </c>
      <c r="AJ163" s="48">
        <f t="shared" si="50"/>
        <v>0</v>
      </c>
    </row>
    <row r="164" spans="1:36" x14ac:dyDescent="0.3">
      <c r="A164" s="48">
        <v>20180827</v>
      </c>
      <c r="B164" s="48" t="s">
        <v>88</v>
      </c>
      <c r="C164" s="49">
        <v>46150</v>
      </c>
      <c r="D164" s="49">
        <v>46300</v>
      </c>
      <c r="E164" s="49">
        <v>6419324700</v>
      </c>
      <c r="F164" s="49">
        <f t="shared" si="39"/>
        <v>0.170946124192833</v>
      </c>
      <c r="G164" s="49">
        <f t="shared" si="40"/>
        <v>0.170946124192833</v>
      </c>
      <c r="H164" s="48">
        <v>279500</v>
      </c>
      <c r="I164" s="48">
        <v>278000</v>
      </c>
      <c r="J164" s="51">
        <v>125395903</v>
      </c>
      <c r="K164" s="48">
        <f t="shared" si="41"/>
        <v>1.34511125821281</v>
      </c>
      <c r="L164" s="48">
        <f t="shared" si="42"/>
        <v>1.34511125821281</v>
      </c>
      <c r="M164" s="49">
        <v>221100</v>
      </c>
      <c r="N164" s="49">
        <v>220800</v>
      </c>
      <c r="O164" s="49">
        <v>15956260</v>
      </c>
      <c r="P164" s="49">
        <f t="shared" si="43"/>
        <v>27.234779000652601</v>
      </c>
      <c r="Q164" s="49">
        <f t="shared" si="44"/>
        <v>27.234779000652601</v>
      </c>
      <c r="R164" s="48">
        <v>0</v>
      </c>
      <c r="S164" s="48"/>
      <c r="T164" s="48">
        <v>0</v>
      </c>
      <c r="U164" s="48">
        <v>0</v>
      </c>
      <c r="V164" s="48"/>
      <c r="W164" s="49">
        <v>1</v>
      </c>
      <c r="X164" s="49">
        <v>1</v>
      </c>
      <c r="Y164" s="49">
        <v>100000000</v>
      </c>
      <c r="Z164" s="49">
        <f t="shared" si="45"/>
        <v>1365114.194686</v>
      </c>
      <c r="AA164" s="49">
        <f t="shared" si="46"/>
        <v>1365114.194686</v>
      </c>
      <c r="AB164" s="82">
        <f t="shared" si="35"/>
        <v>0</v>
      </c>
      <c r="AC164" s="82">
        <f t="shared" si="36"/>
        <v>293290345052745.87</v>
      </c>
      <c r="AD164" s="81">
        <f t="shared" si="34"/>
        <v>330161786213805.12</v>
      </c>
      <c r="AE164" s="80">
        <f t="shared" si="37"/>
        <v>1125.7165187433231</v>
      </c>
      <c r="AF164" s="52">
        <f t="shared" si="47"/>
        <v>-6.621846172866078E-4</v>
      </c>
      <c r="AG164" s="48">
        <f t="shared" si="38"/>
        <v>3.2502708559046588E-3</v>
      </c>
      <c r="AH164" s="48">
        <f t="shared" si="48"/>
        <v>-5.3667262969588547E-3</v>
      </c>
      <c r="AI164" s="48">
        <f t="shared" si="49"/>
        <v>-1.3568521031207597E-3</v>
      </c>
      <c r="AJ164" s="48">
        <f t="shared" si="50"/>
        <v>0</v>
      </c>
    </row>
    <row r="165" spans="1:36" x14ac:dyDescent="0.3">
      <c r="A165" s="48">
        <v>20180828</v>
      </c>
      <c r="B165" s="48" t="s">
        <v>88</v>
      </c>
      <c r="C165" s="49">
        <v>46300</v>
      </c>
      <c r="D165" s="49">
        <v>46550</v>
      </c>
      <c r="E165" s="49">
        <v>6419324700</v>
      </c>
      <c r="F165" s="49">
        <f t="shared" si="39"/>
        <v>0.170946124192833</v>
      </c>
      <c r="G165" s="49">
        <f t="shared" si="40"/>
        <v>0.170946124192833</v>
      </c>
      <c r="H165" s="48">
        <v>278000</v>
      </c>
      <c r="I165" s="48">
        <v>269000</v>
      </c>
      <c r="J165" s="51">
        <v>125395903</v>
      </c>
      <c r="K165" s="48">
        <f t="shared" si="41"/>
        <v>1.34511125821281</v>
      </c>
      <c r="L165" s="48">
        <f t="shared" si="42"/>
        <v>1.34511125821281</v>
      </c>
      <c r="M165" s="49">
        <v>220800</v>
      </c>
      <c r="N165" s="49">
        <v>221000</v>
      </c>
      <c r="O165" s="49">
        <v>15956260</v>
      </c>
      <c r="P165" s="49">
        <f t="shared" si="43"/>
        <v>27.234779000652601</v>
      </c>
      <c r="Q165" s="49">
        <f t="shared" si="44"/>
        <v>27.234779000652601</v>
      </c>
      <c r="R165" s="48">
        <v>0</v>
      </c>
      <c r="S165" s="48"/>
      <c r="T165" s="48">
        <v>0</v>
      </c>
      <c r="U165" s="48">
        <v>0</v>
      </c>
      <c r="V165" s="48"/>
      <c r="W165" s="49">
        <v>1</v>
      </c>
      <c r="X165" s="49">
        <v>1</v>
      </c>
      <c r="Y165" s="49">
        <v>100000000</v>
      </c>
      <c r="Z165" s="49">
        <f t="shared" si="45"/>
        <v>1365114.194686</v>
      </c>
      <c r="AA165" s="49">
        <f t="shared" si="46"/>
        <v>1365114.194686</v>
      </c>
      <c r="AB165" s="82">
        <f t="shared" si="35"/>
        <v>0</v>
      </c>
      <c r="AC165" s="82">
        <f t="shared" si="36"/>
        <v>293290345052745.87</v>
      </c>
      <c r="AD165" s="81">
        <f t="shared" si="34"/>
        <v>329004995958379.06</v>
      </c>
      <c r="AE165" s="80">
        <f t="shared" si="37"/>
        <v>1121.7723375763026</v>
      </c>
      <c r="AF165" s="52">
        <f t="shared" si="47"/>
        <v>-3.5037072845156576E-3</v>
      </c>
      <c r="AG165" s="48">
        <f t="shared" si="38"/>
        <v>5.3995680345572351E-3</v>
      </c>
      <c r="AH165" s="48">
        <f t="shared" si="48"/>
        <v>-3.237410071942446E-2</v>
      </c>
      <c r="AI165" s="48">
        <f t="shared" si="49"/>
        <v>9.0579710144927537E-4</v>
      </c>
      <c r="AJ165" s="48">
        <f t="shared" si="50"/>
        <v>0</v>
      </c>
    </row>
    <row r="166" spans="1:36" x14ac:dyDescent="0.3">
      <c r="A166" s="48">
        <v>20180829</v>
      </c>
      <c r="B166" s="48" t="s">
        <v>88</v>
      </c>
      <c r="C166" s="49">
        <v>46550</v>
      </c>
      <c r="D166" s="49">
        <v>46800</v>
      </c>
      <c r="E166" s="49">
        <v>6419324700</v>
      </c>
      <c r="F166" s="49">
        <f t="shared" si="39"/>
        <v>0.170946124192833</v>
      </c>
      <c r="G166" s="49">
        <f t="shared" si="40"/>
        <v>0.170946124192833</v>
      </c>
      <c r="H166" s="48">
        <v>269000</v>
      </c>
      <c r="I166" s="48">
        <v>269500</v>
      </c>
      <c r="J166" s="51">
        <v>125395903</v>
      </c>
      <c r="K166" s="48">
        <f t="shared" si="41"/>
        <v>1.34511125821281</v>
      </c>
      <c r="L166" s="48">
        <f t="shared" si="42"/>
        <v>1.34511125821281</v>
      </c>
      <c r="M166" s="49">
        <v>221000</v>
      </c>
      <c r="N166" s="49">
        <v>223500</v>
      </c>
      <c r="O166" s="49">
        <v>15956260</v>
      </c>
      <c r="P166" s="49">
        <f t="shared" si="43"/>
        <v>27.234779000652601</v>
      </c>
      <c r="Q166" s="49">
        <f t="shared" si="44"/>
        <v>27.234779000652601</v>
      </c>
      <c r="R166" s="48">
        <v>0</v>
      </c>
      <c r="S166" s="48"/>
      <c r="T166" s="48">
        <v>0</v>
      </c>
      <c r="U166" s="48">
        <v>0</v>
      </c>
      <c r="V166" s="48"/>
      <c r="W166" s="49">
        <v>1</v>
      </c>
      <c r="X166" s="49">
        <v>1</v>
      </c>
      <c r="Y166" s="49">
        <v>100000000</v>
      </c>
      <c r="Z166" s="49">
        <f t="shared" si="45"/>
        <v>1365114.194686</v>
      </c>
      <c r="AA166" s="49">
        <f t="shared" si="46"/>
        <v>1365114.194686</v>
      </c>
      <c r="AB166" s="82">
        <f t="shared" si="35"/>
        <v>0</v>
      </c>
      <c r="AC166" s="82">
        <f t="shared" si="36"/>
        <v>293290345052745.87</v>
      </c>
      <c r="AD166" s="81">
        <f t="shared" si="34"/>
        <v>330450084385101.06</v>
      </c>
      <c r="AE166" s="80">
        <f t="shared" si="37"/>
        <v>1126.6994974746692</v>
      </c>
      <c r="AF166" s="52">
        <f t="shared" si="47"/>
        <v>4.3922993403565811E-3</v>
      </c>
      <c r="AG166" s="48">
        <f t="shared" si="38"/>
        <v>5.3705692803437165E-3</v>
      </c>
      <c r="AH166" s="48">
        <f t="shared" si="48"/>
        <v>1.8587360594795538E-3</v>
      </c>
      <c r="AI166" s="48">
        <f t="shared" si="49"/>
        <v>1.1312217194570135E-2</v>
      </c>
      <c r="AJ166" s="48">
        <f t="shared" si="50"/>
        <v>0</v>
      </c>
    </row>
    <row r="167" spans="1:36" x14ac:dyDescent="0.3">
      <c r="A167" s="48">
        <v>20180830</v>
      </c>
      <c r="B167" s="48" t="s">
        <v>88</v>
      </c>
      <c r="C167" s="49">
        <v>46800</v>
      </c>
      <c r="D167" s="49">
        <v>47650</v>
      </c>
      <c r="E167" s="49">
        <v>6419324700</v>
      </c>
      <c r="F167" s="49">
        <f t="shared" si="39"/>
        <v>0.170946124192833</v>
      </c>
      <c r="G167" s="49">
        <f t="shared" si="40"/>
        <v>0.170946124192833</v>
      </c>
      <c r="H167" s="48">
        <v>269500</v>
      </c>
      <c r="I167" s="48">
        <v>266500</v>
      </c>
      <c r="J167" s="51">
        <v>125395903</v>
      </c>
      <c r="K167" s="48">
        <f t="shared" si="41"/>
        <v>1.34511125821281</v>
      </c>
      <c r="L167" s="48">
        <f t="shared" si="42"/>
        <v>1.34511125821281</v>
      </c>
      <c r="M167" s="49">
        <v>223500</v>
      </c>
      <c r="N167" s="49">
        <v>224800</v>
      </c>
      <c r="O167" s="49">
        <v>15956260</v>
      </c>
      <c r="P167" s="49">
        <f t="shared" si="43"/>
        <v>27.234779000652601</v>
      </c>
      <c r="Q167" s="49">
        <f t="shared" si="44"/>
        <v>27.234779000652601</v>
      </c>
      <c r="R167" s="48">
        <v>0</v>
      </c>
      <c r="S167" s="48"/>
      <c r="T167" s="48">
        <v>0</v>
      </c>
      <c r="U167" s="48">
        <v>0</v>
      </c>
      <c r="V167" s="48"/>
      <c r="W167" s="49">
        <v>1</v>
      </c>
      <c r="X167" s="49">
        <v>1</v>
      </c>
      <c r="Y167" s="49">
        <v>100000000</v>
      </c>
      <c r="Z167" s="49">
        <f t="shared" si="45"/>
        <v>1365114.194686</v>
      </c>
      <c r="AA167" s="49">
        <f t="shared" si="46"/>
        <v>1365114.194686</v>
      </c>
      <c r="AB167" s="82">
        <f t="shared" si="35"/>
        <v>0</v>
      </c>
      <c r="AC167" s="82">
        <f t="shared" si="36"/>
        <v>293290345052745.87</v>
      </c>
      <c r="AD167" s="81">
        <f t="shared" si="34"/>
        <v>331441759717524.19</v>
      </c>
      <c r="AE167" s="80">
        <f t="shared" si="37"/>
        <v>1130.0807043543048</v>
      </c>
      <c r="AF167" s="52">
        <f t="shared" si="47"/>
        <v>3.0009837469653911E-3</v>
      </c>
      <c r="AG167" s="48">
        <f t="shared" si="38"/>
        <v>1.8162393162393164E-2</v>
      </c>
      <c r="AH167" s="48">
        <f t="shared" si="48"/>
        <v>-1.1131725417439703E-2</v>
      </c>
      <c r="AI167" s="48">
        <f t="shared" si="49"/>
        <v>5.8165548098434005E-3</v>
      </c>
      <c r="AJ167" s="48">
        <f t="shared" si="50"/>
        <v>0</v>
      </c>
    </row>
    <row r="168" spans="1:36" x14ac:dyDescent="0.3">
      <c r="A168" s="48">
        <v>20180831</v>
      </c>
      <c r="B168" s="48" t="s">
        <v>88</v>
      </c>
      <c r="C168" s="49">
        <v>47650</v>
      </c>
      <c r="D168" s="49">
        <v>48450</v>
      </c>
      <c r="E168" s="49">
        <v>6419324700</v>
      </c>
      <c r="F168" s="49">
        <f t="shared" si="39"/>
        <v>0.170946124192833</v>
      </c>
      <c r="G168" s="49">
        <f t="shared" si="40"/>
        <v>0.170946124192833</v>
      </c>
      <c r="H168" s="48">
        <v>266500</v>
      </c>
      <c r="I168" s="48">
        <v>270000</v>
      </c>
      <c r="J168" s="51">
        <v>125395903</v>
      </c>
      <c r="K168" s="48">
        <f t="shared" si="41"/>
        <v>1.34511125821281</v>
      </c>
      <c r="L168" s="48">
        <f t="shared" si="42"/>
        <v>1.34511125821281</v>
      </c>
      <c r="M168" s="49">
        <v>224800</v>
      </c>
      <c r="N168" s="49">
        <v>237100</v>
      </c>
      <c r="O168" s="49">
        <v>15956260</v>
      </c>
      <c r="P168" s="49">
        <f t="shared" si="43"/>
        <v>27.234779000652601</v>
      </c>
      <c r="Q168" s="49">
        <f t="shared" si="44"/>
        <v>27.234779000652601</v>
      </c>
      <c r="R168" s="48">
        <v>0</v>
      </c>
      <c r="S168" s="48"/>
      <c r="T168" s="48">
        <v>0</v>
      </c>
      <c r="U168" s="48">
        <v>0</v>
      </c>
      <c r="V168" s="48"/>
      <c r="W168" s="49">
        <v>1</v>
      </c>
      <c r="X168" s="49">
        <v>1</v>
      </c>
      <c r="Y168" s="49">
        <v>100000000</v>
      </c>
      <c r="Z168" s="49">
        <f t="shared" si="45"/>
        <v>1365114.194686</v>
      </c>
      <c r="AA168" s="49">
        <f t="shared" si="46"/>
        <v>1365114.194686</v>
      </c>
      <c r="AB168" s="82">
        <f t="shared" si="35"/>
        <v>0</v>
      </c>
      <c r="AC168" s="82">
        <f t="shared" si="36"/>
        <v>293290345052745.87</v>
      </c>
      <c r="AD168" s="81">
        <f t="shared" si="34"/>
        <v>338255148844207.69</v>
      </c>
      <c r="AE168" s="80">
        <f t="shared" si="37"/>
        <v>1153.311571792025</v>
      </c>
      <c r="AF168" s="52">
        <f t="shared" si="47"/>
        <v>2.05568216041647E-2</v>
      </c>
      <c r="AG168" s="48">
        <f t="shared" si="38"/>
        <v>1.6789087093389297E-2</v>
      </c>
      <c r="AH168" s="48">
        <f t="shared" si="48"/>
        <v>1.3133208255159476E-2</v>
      </c>
      <c r="AI168" s="48">
        <f t="shared" si="49"/>
        <v>5.47153024911032E-2</v>
      </c>
      <c r="AJ168" s="48">
        <f t="shared" si="50"/>
        <v>0</v>
      </c>
    </row>
    <row r="169" spans="1:36" x14ac:dyDescent="0.3">
      <c r="A169" s="48">
        <v>20180903</v>
      </c>
      <c r="B169" s="48" t="s">
        <v>88</v>
      </c>
      <c r="C169" s="49">
        <v>48450</v>
      </c>
      <c r="D169" s="49">
        <v>47450</v>
      </c>
      <c r="E169" s="49">
        <v>6419324700</v>
      </c>
      <c r="F169" s="49">
        <f t="shared" si="39"/>
        <v>0.170946124192833</v>
      </c>
      <c r="G169" s="49">
        <f t="shared" si="40"/>
        <v>0.170946124192833</v>
      </c>
      <c r="H169" s="48">
        <v>270000</v>
      </c>
      <c r="I169" s="48">
        <v>267000</v>
      </c>
      <c r="J169" s="51">
        <v>125395903</v>
      </c>
      <c r="K169" s="48">
        <f t="shared" si="41"/>
        <v>1.34511125821281</v>
      </c>
      <c r="L169" s="48">
        <f t="shared" si="42"/>
        <v>1.34511125821281</v>
      </c>
      <c r="M169" s="49">
        <v>237100</v>
      </c>
      <c r="N169" s="49">
        <v>235000</v>
      </c>
      <c r="O169" s="49">
        <v>15956260</v>
      </c>
      <c r="P169" s="49">
        <f t="shared" si="43"/>
        <v>27.234779000652601</v>
      </c>
      <c r="Q169" s="49">
        <f t="shared" si="44"/>
        <v>27.234779000652601</v>
      </c>
      <c r="R169" s="48">
        <v>0</v>
      </c>
      <c r="S169" s="48"/>
      <c r="T169" s="48">
        <v>0</v>
      </c>
      <c r="U169" s="48">
        <v>0</v>
      </c>
      <c r="V169" s="48"/>
      <c r="W169" s="49">
        <v>1</v>
      </c>
      <c r="X169" s="49">
        <v>1</v>
      </c>
      <c r="Y169" s="49">
        <v>100000000</v>
      </c>
      <c r="Z169" s="49">
        <f t="shared" si="45"/>
        <v>1365114.194686</v>
      </c>
      <c r="AA169" s="49">
        <f t="shared" si="46"/>
        <v>1365114.194686</v>
      </c>
      <c r="AB169" s="82">
        <f t="shared" si="35"/>
        <v>0</v>
      </c>
      <c r="AC169" s="82">
        <f t="shared" si="36"/>
        <v>293290345052745.87</v>
      </c>
      <c r="AD169" s="81">
        <f t="shared" si="34"/>
        <v>335739188893198.62</v>
      </c>
      <c r="AE169" s="80">
        <f t="shared" si="37"/>
        <v>1144.7331784236494</v>
      </c>
      <c r="AF169" s="52">
        <f t="shared" si="47"/>
        <v>-7.438053669266859E-3</v>
      </c>
      <c r="AG169" s="48">
        <f t="shared" si="38"/>
        <v>-2.063983488132095E-2</v>
      </c>
      <c r="AH169" s="48">
        <f t="shared" si="48"/>
        <v>-1.1111111111111112E-2</v>
      </c>
      <c r="AI169" s="48">
        <f t="shared" si="49"/>
        <v>-8.8570223534373688E-3</v>
      </c>
      <c r="AJ169" s="48">
        <f t="shared" si="50"/>
        <v>0</v>
      </c>
    </row>
    <row r="170" spans="1:36" x14ac:dyDescent="0.3">
      <c r="A170" s="48">
        <v>20180904</v>
      </c>
      <c r="B170" s="48" t="s">
        <v>88</v>
      </c>
      <c r="C170" s="49">
        <v>47450</v>
      </c>
      <c r="D170" s="49">
        <v>47650</v>
      </c>
      <c r="E170" s="49">
        <v>6419324700</v>
      </c>
      <c r="F170" s="49">
        <f t="shared" si="39"/>
        <v>0.170946124192833</v>
      </c>
      <c r="G170" s="49">
        <f t="shared" si="40"/>
        <v>0.170946124192833</v>
      </c>
      <c r="H170" s="48">
        <v>267000</v>
      </c>
      <c r="I170" s="48">
        <v>280000</v>
      </c>
      <c r="J170" s="51">
        <v>125395903</v>
      </c>
      <c r="K170" s="48">
        <f t="shared" si="41"/>
        <v>1.34511125821281</v>
      </c>
      <c r="L170" s="48">
        <f t="shared" si="42"/>
        <v>1.34511125821281</v>
      </c>
      <c r="M170" s="49">
        <v>235000</v>
      </c>
      <c r="N170" s="49">
        <v>238000</v>
      </c>
      <c r="O170" s="49">
        <v>15956260</v>
      </c>
      <c r="P170" s="49">
        <f t="shared" si="43"/>
        <v>27.234779000652601</v>
      </c>
      <c r="Q170" s="49">
        <f t="shared" si="44"/>
        <v>27.234779000652601</v>
      </c>
      <c r="R170" s="48">
        <v>0</v>
      </c>
      <c r="S170" s="48"/>
      <c r="T170" s="48">
        <v>0</v>
      </c>
      <c r="U170" s="48">
        <v>0</v>
      </c>
      <c r="V170" s="48"/>
      <c r="W170" s="49">
        <v>1</v>
      </c>
      <c r="X170" s="49">
        <v>1</v>
      </c>
      <c r="Y170" s="49">
        <v>100000000</v>
      </c>
      <c r="Z170" s="49">
        <f t="shared" si="45"/>
        <v>1365114.194686</v>
      </c>
      <c r="AA170" s="49">
        <f t="shared" si="46"/>
        <v>1365114.194686</v>
      </c>
      <c r="AB170" s="82">
        <f t="shared" si="35"/>
        <v>0</v>
      </c>
      <c r="AC170" s="82">
        <f t="shared" si="36"/>
        <v>293290345052745.87</v>
      </c>
      <c r="AD170" s="81">
        <f t="shared" si="34"/>
        <v>339455085004177.31</v>
      </c>
      <c r="AE170" s="80">
        <f t="shared" si="37"/>
        <v>1157.4028628290819</v>
      </c>
      <c r="AF170" s="52">
        <f t="shared" si="47"/>
        <v>1.1067805707247172E-2</v>
      </c>
      <c r="AG170" s="48">
        <f t="shared" si="38"/>
        <v>4.2149631190727078E-3</v>
      </c>
      <c r="AH170" s="48">
        <f t="shared" si="48"/>
        <v>4.8689138576779027E-2</v>
      </c>
      <c r="AI170" s="48">
        <f t="shared" si="49"/>
        <v>1.276595744680851E-2</v>
      </c>
      <c r="AJ170" s="48">
        <f t="shared" si="50"/>
        <v>0</v>
      </c>
    </row>
    <row r="171" spans="1:36" x14ac:dyDescent="0.3">
      <c r="A171" s="48">
        <v>20180905</v>
      </c>
      <c r="B171" s="48" t="s">
        <v>88</v>
      </c>
      <c r="C171" s="49">
        <v>47650</v>
      </c>
      <c r="D171" s="49">
        <v>46600</v>
      </c>
      <c r="E171" s="49">
        <v>6419324700</v>
      </c>
      <c r="F171" s="49">
        <f t="shared" si="39"/>
        <v>0.170946124192833</v>
      </c>
      <c r="G171" s="49">
        <f t="shared" si="40"/>
        <v>0.170946124192833</v>
      </c>
      <c r="H171" s="48">
        <v>280000</v>
      </c>
      <c r="I171" s="48">
        <v>274500</v>
      </c>
      <c r="J171" s="51">
        <v>125395903</v>
      </c>
      <c r="K171" s="48">
        <f t="shared" si="41"/>
        <v>1.34511125821281</v>
      </c>
      <c r="L171" s="48">
        <f t="shared" si="42"/>
        <v>1.34511125821281</v>
      </c>
      <c r="M171" s="49">
        <v>238000</v>
      </c>
      <c r="N171" s="49">
        <v>234400</v>
      </c>
      <c r="O171" s="49">
        <v>15956260</v>
      </c>
      <c r="P171" s="49">
        <f t="shared" si="43"/>
        <v>27.234779000652601</v>
      </c>
      <c r="Q171" s="49">
        <f t="shared" si="44"/>
        <v>27.234779000652601</v>
      </c>
      <c r="R171" s="48">
        <v>0</v>
      </c>
      <c r="S171" s="48"/>
      <c r="T171" s="48">
        <v>0</v>
      </c>
      <c r="U171" s="48">
        <v>0</v>
      </c>
      <c r="V171" s="48"/>
      <c r="W171" s="49">
        <v>1</v>
      </c>
      <c r="X171" s="49">
        <v>1</v>
      </c>
      <c r="Y171" s="49">
        <v>100000000</v>
      </c>
      <c r="Z171" s="49">
        <f t="shared" si="45"/>
        <v>1365114.194686</v>
      </c>
      <c r="AA171" s="49">
        <f t="shared" si="46"/>
        <v>1365114.194686</v>
      </c>
      <c r="AB171" s="82">
        <f t="shared" si="35"/>
        <v>0</v>
      </c>
      <c r="AC171" s="82">
        <f t="shared" si="36"/>
        <v>293290345052745.87</v>
      </c>
      <c r="AD171" s="81">
        <f t="shared" si="34"/>
        <v>335810730694985.12</v>
      </c>
      <c r="AE171" s="80">
        <f t="shared" si="37"/>
        <v>1144.9771066776586</v>
      </c>
      <c r="AF171" s="52">
        <f t="shared" si="47"/>
        <v>-1.0735895469491498E-2</v>
      </c>
      <c r="AG171" s="48">
        <f t="shared" si="38"/>
        <v>-2.2035676810073453E-2</v>
      </c>
      <c r="AH171" s="48">
        <f t="shared" si="48"/>
        <v>-1.9642857142857142E-2</v>
      </c>
      <c r="AI171" s="48">
        <f t="shared" si="49"/>
        <v>-1.5126050420168067E-2</v>
      </c>
      <c r="AJ171" s="48">
        <f t="shared" si="50"/>
        <v>0</v>
      </c>
    </row>
    <row r="172" spans="1:36" x14ac:dyDescent="0.3">
      <c r="A172" s="48">
        <v>20180906</v>
      </c>
      <c r="B172" s="48" t="s">
        <v>88</v>
      </c>
      <c r="C172" s="49">
        <v>46600</v>
      </c>
      <c r="D172" s="49">
        <v>46100</v>
      </c>
      <c r="E172" s="49">
        <v>6419324700</v>
      </c>
      <c r="F172" s="49">
        <f t="shared" si="39"/>
        <v>0.170946124192833</v>
      </c>
      <c r="G172" s="49">
        <f t="shared" si="40"/>
        <v>0.170946124192833</v>
      </c>
      <c r="H172" s="48">
        <v>274500</v>
      </c>
      <c r="I172" s="48">
        <v>277500</v>
      </c>
      <c r="J172" s="51">
        <v>125395903</v>
      </c>
      <c r="K172" s="48">
        <f t="shared" si="41"/>
        <v>1.34511125821281</v>
      </c>
      <c r="L172" s="48">
        <f t="shared" si="42"/>
        <v>1.34511125821281</v>
      </c>
      <c r="M172" s="49">
        <v>234400</v>
      </c>
      <c r="N172" s="49">
        <v>224500</v>
      </c>
      <c r="O172" s="49">
        <v>15956260</v>
      </c>
      <c r="P172" s="49">
        <f t="shared" si="43"/>
        <v>27.234779000652601</v>
      </c>
      <c r="Q172" s="49">
        <f t="shared" si="44"/>
        <v>27.234779000652601</v>
      </c>
      <c r="R172" s="48">
        <v>0</v>
      </c>
      <c r="S172" s="48"/>
      <c r="T172" s="48">
        <v>0</v>
      </c>
      <c r="U172" s="48">
        <v>0</v>
      </c>
      <c r="V172" s="48"/>
      <c r="W172" s="49">
        <v>1</v>
      </c>
      <c r="X172" s="49">
        <v>1</v>
      </c>
      <c r="Y172" s="49">
        <v>100000000</v>
      </c>
      <c r="Z172" s="49">
        <f t="shared" si="45"/>
        <v>1365114.194686</v>
      </c>
      <c r="AA172" s="49">
        <f t="shared" si="46"/>
        <v>1365114.194686</v>
      </c>
      <c r="AB172" s="82">
        <f t="shared" si="35"/>
        <v>0</v>
      </c>
      <c r="AC172" s="82">
        <f t="shared" si="36"/>
        <v>293290345052745.87</v>
      </c>
      <c r="AD172" s="81">
        <f t="shared" si="34"/>
        <v>331465870052570.31</v>
      </c>
      <c r="AE172" s="80">
        <f t="shared" si="37"/>
        <v>1130.1629107257484</v>
      </c>
      <c r="AF172" s="52">
        <f t="shared" si="47"/>
        <v>-1.2938421096379936E-2</v>
      </c>
      <c r="AG172" s="48">
        <f t="shared" si="38"/>
        <v>-1.0729613733905579E-2</v>
      </c>
      <c r="AH172" s="48">
        <f t="shared" si="48"/>
        <v>1.092896174863388E-2</v>
      </c>
      <c r="AI172" s="48">
        <f t="shared" si="49"/>
        <v>-4.2235494880546072E-2</v>
      </c>
      <c r="AJ172" s="48">
        <f t="shared" si="50"/>
        <v>0</v>
      </c>
    </row>
    <row r="173" spans="1:36" x14ac:dyDescent="0.3">
      <c r="A173" s="48">
        <v>20180907</v>
      </c>
      <c r="B173" s="48" t="s">
        <v>88</v>
      </c>
      <c r="C173" s="49">
        <v>46100</v>
      </c>
      <c r="D173" s="49">
        <v>44900</v>
      </c>
      <c r="E173" s="49">
        <v>6419324700</v>
      </c>
      <c r="F173" s="49">
        <f t="shared" si="39"/>
        <v>0.170946124192833</v>
      </c>
      <c r="G173" s="49">
        <f t="shared" si="40"/>
        <v>0.170946124192833</v>
      </c>
      <c r="H173" s="48">
        <v>277500</v>
      </c>
      <c r="I173" s="48">
        <v>279500</v>
      </c>
      <c r="J173" s="51">
        <v>125395903</v>
      </c>
      <c r="K173" s="48">
        <f t="shared" si="41"/>
        <v>1.34511125821281</v>
      </c>
      <c r="L173" s="48">
        <f t="shared" si="42"/>
        <v>1.34511125821281</v>
      </c>
      <c r="M173" s="49">
        <v>224500</v>
      </c>
      <c r="N173" s="49">
        <v>225000</v>
      </c>
      <c r="O173" s="49">
        <v>15956260</v>
      </c>
      <c r="P173" s="49">
        <f t="shared" si="43"/>
        <v>27.234779000652601</v>
      </c>
      <c r="Q173" s="49">
        <f t="shared" si="44"/>
        <v>27.234779000652601</v>
      </c>
      <c r="R173" s="48">
        <v>0</v>
      </c>
      <c r="S173" s="48"/>
      <c r="T173" s="48">
        <v>0</v>
      </c>
      <c r="U173" s="48">
        <v>0</v>
      </c>
      <c r="V173" s="48"/>
      <c r="W173" s="49">
        <v>1</v>
      </c>
      <c r="X173" s="49">
        <v>1</v>
      </c>
      <c r="Y173" s="49">
        <v>100000000</v>
      </c>
      <c r="Z173" s="49">
        <f t="shared" si="45"/>
        <v>1365114.194686</v>
      </c>
      <c r="AA173" s="49">
        <f t="shared" si="46"/>
        <v>1365114.194686</v>
      </c>
      <c r="AB173" s="82">
        <f t="shared" si="35"/>
        <v>0</v>
      </c>
      <c r="AC173" s="82">
        <f t="shared" si="36"/>
        <v>293290345052745.87</v>
      </c>
      <c r="AD173" s="81">
        <f t="shared" si="34"/>
        <v>330703665128796.5</v>
      </c>
      <c r="AE173" s="80">
        <f t="shared" si="37"/>
        <v>1127.5641039916338</v>
      </c>
      <c r="AF173" s="52">
        <f t="shared" si="47"/>
        <v>-2.2994974524917617E-3</v>
      </c>
      <c r="AG173" s="48">
        <f t="shared" si="38"/>
        <v>-2.6030368763557483E-2</v>
      </c>
      <c r="AH173" s="48">
        <f t="shared" si="48"/>
        <v>7.2072072072072073E-3</v>
      </c>
      <c r="AI173" s="48">
        <f t="shared" si="49"/>
        <v>2.2271714922048997E-3</v>
      </c>
      <c r="AJ173" s="48">
        <f t="shared" si="50"/>
        <v>0</v>
      </c>
    </row>
    <row r="174" spans="1:36" x14ac:dyDescent="0.3">
      <c r="A174" s="48">
        <v>20180910</v>
      </c>
      <c r="B174" s="48" t="s">
        <v>88</v>
      </c>
      <c r="C174" s="49">
        <v>44900</v>
      </c>
      <c r="D174" s="49">
        <v>45500</v>
      </c>
      <c r="E174" s="49">
        <v>6419324700</v>
      </c>
      <c r="F174" s="49">
        <f t="shared" si="39"/>
        <v>0.170946124192833</v>
      </c>
      <c r="G174" s="49">
        <f t="shared" si="40"/>
        <v>0.170946124192833</v>
      </c>
      <c r="H174" s="48">
        <v>279500</v>
      </c>
      <c r="I174" s="48">
        <v>274000</v>
      </c>
      <c r="J174" s="51">
        <v>125395903</v>
      </c>
      <c r="K174" s="48">
        <f t="shared" si="41"/>
        <v>1.34511125821281</v>
      </c>
      <c r="L174" s="48">
        <f t="shared" si="42"/>
        <v>1.34511125821281</v>
      </c>
      <c r="M174" s="49">
        <v>225000</v>
      </c>
      <c r="N174" s="49">
        <v>221800</v>
      </c>
      <c r="O174" s="49">
        <v>15956260</v>
      </c>
      <c r="P174" s="49">
        <f t="shared" si="43"/>
        <v>27.234779000652601</v>
      </c>
      <c r="Q174" s="49">
        <f t="shared" si="44"/>
        <v>27.234779000652601</v>
      </c>
      <c r="R174" s="48">
        <v>0</v>
      </c>
      <c r="S174" s="48"/>
      <c r="T174" s="48">
        <v>0</v>
      </c>
      <c r="U174" s="48">
        <v>0</v>
      </c>
      <c r="V174" s="48"/>
      <c r="W174" s="49">
        <v>1</v>
      </c>
      <c r="X174" s="49">
        <v>1</v>
      </c>
      <c r="Y174" s="49">
        <v>100000000</v>
      </c>
      <c r="Z174" s="49">
        <f t="shared" si="45"/>
        <v>1365114.194686</v>
      </c>
      <c r="AA174" s="49">
        <f t="shared" si="46"/>
        <v>1365114.194686</v>
      </c>
      <c r="AB174" s="82">
        <f t="shared" si="35"/>
        <v>0</v>
      </c>
      <c r="AC174" s="82">
        <f t="shared" si="36"/>
        <v>293290345052745.87</v>
      </c>
      <c r="AD174" s="81">
        <f t="shared" si="34"/>
        <v>329043778723225.62</v>
      </c>
      <c r="AE174" s="80">
        <f t="shared" si="37"/>
        <v>1121.9045709262944</v>
      </c>
      <c r="AF174" s="52">
        <f t="shared" si="47"/>
        <v>-5.0192561516497741E-3</v>
      </c>
      <c r="AG174" s="48">
        <f t="shared" si="38"/>
        <v>1.3363028953229399E-2</v>
      </c>
      <c r="AH174" s="48">
        <f t="shared" si="48"/>
        <v>-1.9677996422182469E-2</v>
      </c>
      <c r="AI174" s="48">
        <f t="shared" si="49"/>
        <v>-1.4222222222222223E-2</v>
      </c>
      <c r="AJ174" s="48">
        <f t="shared" si="50"/>
        <v>0</v>
      </c>
    </row>
    <row r="175" spans="1:36" x14ac:dyDescent="0.3">
      <c r="A175" s="48">
        <v>20180911</v>
      </c>
      <c r="B175" s="48" t="s">
        <v>88</v>
      </c>
      <c r="C175" s="49">
        <v>45500</v>
      </c>
      <c r="D175" s="49">
        <v>45050</v>
      </c>
      <c r="E175" s="49">
        <v>6419324700</v>
      </c>
      <c r="F175" s="49">
        <f t="shared" si="39"/>
        <v>0.170946124192833</v>
      </c>
      <c r="G175" s="49">
        <f t="shared" si="40"/>
        <v>0.170946124192833</v>
      </c>
      <c r="H175" s="48">
        <v>274000</v>
      </c>
      <c r="I175" s="48">
        <v>274500</v>
      </c>
      <c r="J175" s="51">
        <v>125395903</v>
      </c>
      <c r="K175" s="48">
        <f t="shared" si="41"/>
        <v>1.34511125821281</v>
      </c>
      <c r="L175" s="48">
        <f t="shared" si="42"/>
        <v>1.34511125821281</v>
      </c>
      <c r="M175" s="49">
        <v>221800</v>
      </c>
      <c r="N175" s="49">
        <v>222800</v>
      </c>
      <c r="O175" s="49">
        <v>15956260</v>
      </c>
      <c r="P175" s="49">
        <f t="shared" si="43"/>
        <v>27.234779000652601</v>
      </c>
      <c r="Q175" s="49">
        <f t="shared" si="44"/>
        <v>27.234779000652601</v>
      </c>
      <c r="R175" s="48">
        <v>0</v>
      </c>
      <c r="S175" s="48"/>
      <c r="T175" s="48">
        <v>0</v>
      </c>
      <c r="U175" s="48">
        <v>0</v>
      </c>
      <c r="V175" s="48"/>
      <c r="W175" s="49">
        <v>1</v>
      </c>
      <c r="X175" s="49">
        <v>1</v>
      </c>
      <c r="Y175" s="49">
        <v>100000000</v>
      </c>
      <c r="Z175" s="49">
        <f t="shared" si="45"/>
        <v>1365114.194686</v>
      </c>
      <c r="AA175" s="49">
        <f t="shared" si="46"/>
        <v>1365114.194686</v>
      </c>
      <c r="AB175" s="82">
        <f t="shared" si="35"/>
        <v>0</v>
      </c>
      <c r="AC175" s="82">
        <f t="shared" si="36"/>
        <v>293290345052745.87</v>
      </c>
      <c r="AD175" s="81">
        <f t="shared" si="34"/>
        <v>329068868253601.94</v>
      </c>
      <c r="AE175" s="80">
        <f t="shared" si="37"/>
        <v>1121.9901159529188</v>
      </c>
      <c r="AF175" s="52">
        <f t="shared" si="47"/>
        <v>7.6249824487147834E-5</v>
      </c>
      <c r="AG175" s="48">
        <f t="shared" si="38"/>
        <v>-9.8901098901098897E-3</v>
      </c>
      <c r="AH175" s="48">
        <f t="shared" si="48"/>
        <v>1.8248175182481751E-3</v>
      </c>
      <c r="AI175" s="48">
        <f t="shared" si="49"/>
        <v>4.508566275924256E-3</v>
      </c>
      <c r="AJ175" s="48">
        <f t="shared" si="50"/>
        <v>0</v>
      </c>
    </row>
    <row r="176" spans="1:36" x14ac:dyDescent="0.3">
      <c r="A176" s="48">
        <v>20180912</v>
      </c>
      <c r="B176" s="48" t="s">
        <v>88</v>
      </c>
      <c r="C176" s="49">
        <v>45050</v>
      </c>
      <c r="D176" s="49">
        <v>44550</v>
      </c>
      <c r="E176" s="49">
        <v>6419324700</v>
      </c>
      <c r="F176" s="49">
        <f t="shared" si="39"/>
        <v>0.170946124192833</v>
      </c>
      <c r="G176" s="49">
        <f t="shared" si="40"/>
        <v>0.170946124192833</v>
      </c>
      <c r="H176" s="48">
        <v>274500</v>
      </c>
      <c r="I176" s="48">
        <v>285000</v>
      </c>
      <c r="J176" s="51">
        <v>125395903</v>
      </c>
      <c r="K176" s="48">
        <f t="shared" si="41"/>
        <v>1.34511125821281</v>
      </c>
      <c r="L176" s="48">
        <f t="shared" si="42"/>
        <v>1.34511125821281</v>
      </c>
      <c r="M176" s="49">
        <v>222800</v>
      </c>
      <c r="N176" s="49">
        <v>230100</v>
      </c>
      <c r="O176" s="49">
        <v>15956260</v>
      </c>
      <c r="P176" s="49">
        <f t="shared" si="43"/>
        <v>27.234779000652601</v>
      </c>
      <c r="Q176" s="49">
        <f t="shared" si="44"/>
        <v>27.234779000652601</v>
      </c>
      <c r="R176" s="48">
        <v>0</v>
      </c>
      <c r="S176" s="48"/>
      <c r="T176" s="48">
        <v>0</v>
      </c>
      <c r="U176" s="48">
        <v>0</v>
      </c>
      <c r="V176" s="48"/>
      <c r="W176" s="49">
        <v>1</v>
      </c>
      <c r="X176" s="49">
        <v>1</v>
      </c>
      <c r="Y176" s="49">
        <v>100000000</v>
      </c>
      <c r="Z176" s="49">
        <f t="shared" si="45"/>
        <v>1365114.194686</v>
      </c>
      <c r="AA176" s="49">
        <f t="shared" si="46"/>
        <v>1365114.194686</v>
      </c>
      <c r="AB176" s="82">
        <f t="shared" si="35"/>
        <v>0</v>
      </c>
      <c r="AC176" s="82">
        <f t="shared" si="36"/>
        <v>293290345052745.87</v>
      </c>
      <c r="AD176" s="81">
        <f t="shared" si="34"/>
        <v>333463565111793.69</v>
      </c>
      <c r="AE176" s="80">
        <f t="shared" si="37"/>
        <v>1136.9742329970766</v>
      </c>
      <c r="AF176" s="52">
        <f t="shared" si="47"/>
        <v>1.3354945672967517E-2</v>
      </c>
      <c r="AG176" s="48">
        <f t="shared" si="38"/>
        <v>-1.1098779134295227E-2</v>
      </c>
      <c r="AH176" s="48">
        <f t="shared" si="48"/>
        <v>3.825136612021858E-2</v>
      </c>
      <c r="AI176" s="48">
        <f t="shared" si="49"/>
        <v>3.2764811490125674E-2</v>
      </c>
      <c r="AJ176" s="48">
        <f t="shared" si="50"/>
        <v>0</v>
      </c>
    </row>
    <row r="177" spans="1:36" x14ac:dyDescent="0.3">
      <c r="A177" s="48">
        <v>20180913</v>
      </c>
      <c r="B177" s="48" t="s">
        <v>88</v>
      </c>
      <c r="C177" s="49">
        <v>44550</v>
      </c>
      <c r="D177" s="49">
        <v>44050</v>
      </c>
      <c r="E177" s="49">
        <v>6419324700</v>
      </c>
      <c r="F177" s="49">
        <f t="shared" si="39"/>
        <v>0.170946124192833</v>
      </c>
      <c r="G177" s="49">
        <f t="shared" si="40"/>
        <v>0.170946124192833</v>
      </c>
      <c r="H177" s="48">
        <v>285000</v>
      </c>
      <c r="I177" s="48">
        <v>293500</v>
      </c>
      <c r="J177" s="51">
        <v>125395903</v>
      </c>
      <c r="K177" s="48">
        <f t="shared" si="41"/>
        <v>1.34511125821281</v>
      </c>
      <c r="L177" s="48">
        <f t="shared" si="42"/>
        <v>1.34511125821281</v>
      </c>
      <c r="M177" s="49">
        <v>230100</v>
      </c>
      <c r="N177" s="49">
        <v>232300</v>
      </c>
      <c r="O177" s="49">
        <v>15956260</v>
      </c>
      <c r="P177" s="49">
        <f t="shared" si="43"/>
        <v>27.234779000652601</v>
      </c>
      <c r="Q177" s="49">
        <f t="shared" si="44"/>
        <v>27.234779000652601</v>
      </c>
      <c r="R177" s="48">
        <v>0</v>
      </c>
      <c r="S177" s="48"/>
      <c r="T177" s="48">
        <v>0</v>
      </c>
      <c r="U177" s="48">
        <v>0</v>
      </c>
      <c r="V177" s="48"/>
      <c r="W177" s="49">
        <v>1</v>
      </c>
      <c r="X177" s="49">
        <v>1</v>
      </c>
      <c r="Y177" s="49">
        <v>100000000</v>
      </c>
      <c r="Z177" s="49">
        <f t="shared" si="45"/>
        <v>1365114.194686</v>
      </c>
      <c r="AA177" s="49">
        <f t="shared" si="46"/>
        <v>1365114.194686</v>
      </c>
      <c r="AB177" s="82">
        <f t="shared" si="35"/>
        <v>0</v>
      </c>
      <c r="AC177" s="82">
        <f t="shared" si="36"/>
        <v>293290345052745.87</v>
      </c>
      <c r="AD177" s="81">
        <f t="shared" si="34"/>
        <v>335304636492904.87</v>
      </c>
      <c r="AE177" s="80">
        <f t="shared" si="37"/>
        <v>1143.2515326496789</v>
      </c>
      <c r="AF177" s="52">
        <f t="shared" si="47"/>
        <v>5.5210570920814035E-3</v>
      </c>
      <c r="AG177" s="48">
        <f t="shared" si="38"/>
        <v>-1.1223344556677889E-2</v>
      </c>
      <c r="AH177" s="48">
        <f t="shared" si="48"/>
        <v>2.9824561403508771E-2</v>
      </c>
      <c r="AI177" s="48">
        <f t="shared" si="49"/>
        <v>9.5610604085180351E-3</v>
      </c>
      <c r="AJ177" s="48">
        <f t="shared" si="50"/>
        <v>0</v>
      </c>
    </row>
    <row r="178" spans="1:36" x14ac:dyDescent="0.3">
      <c r="A178" s="48">
        <v>20180914</v>
      </c>
      <c r="B178" s="48" t="s">
        <v>88</v>
      </c>
      <c r="C178" s="49">
        <v>44050</v>
      </c>
      <c r="D178" s="49">
        <v>45850</v>
      </c>
      <c r="E178" s="49">
        <v>6419324700</v>
      </c>
      <c r="F178" s="49">
        <f t="shared" si="39"/>
        <v>0.170946124192833</v>
      </c>
      <c r="G178" s="49">
        <f t="shared" si="40"/>
        <v>0.170946124192833</v>
      </c>
      <c r="H178" s="48">
        <v>293500</v>
      </c>
      <c r="I178" s="48">
        <v>291000</v>
      </c>
      <c r="J178" s="51">
        <v>125395903</v>
      </c>
      <c r="K178" s="48">
        <f t="shared" si="41"/>
        <v>1.34511125821281</v>
      </c>
      <c r="L178" s="48">
        <f t="shared" si="42"/>
        <v>1.34511125821281</v>
      </c>
      <c r="M178" s="49">
        <v>232300</v>
      </c>
      <c r="N178" s="49">
        <v>240300</v>
      </c>
      <c r="O178" s="49">
        <v>15956260</v>
      </c>
      <c r="P178" s="49">
        <f t="shared" si="43"/>
        <v>27.234779000652601</v>
      </c>
      <c r="Q178" s="49">
        <f t="shared" si="44"/>
        <v>27.234779000652601</v>
      </c>
      <c r="R178" s="48">
        <v>0</v>
      </c>
      <c r="S178" s="48"/>
      <c r="T178" s="48">
        <v>0</v>
      </c>
      <c r="U178" s="48">
        <v>0</v>
      </c>
      <c r="V178" s="48"/>
      <c r="W178" s="49">
        <v>1</v>
      </c>
      <c r="X178" s="49">
        <v>1</v>
      </c>
      <c r="Y178" s="49">
        <v>100000000</v>
      </c>
      <c r="Z178" s="49">
        <f t="shared" si="45"/>
        <v>1365114.194686</v>
      </c>
      <c r="AA178" s="49">
        <f t="shared" si="46"/>
        <v>1365114.194686</v>
      </c>
      <c r="AB178" s="82">
        <f t="shared" si="35"/>
        <v>0</v>
      </c>
      <c r="AC178" s="82">
        <f t="shared" si="36"/>
        <v>293290345052745.87</v>
      </c>
      <c r="AD178" s="81">
        <f t="shared" si="34"/>
        <v>340334725228293.44</v>
      </c>
      <c r="AE178" s="80">
        <f t="shared" si="37"/>
        <v>1160.402075857925</v>
      </c>
      <c r="AF178" s="52">
        <f t="shared" si="47"/>
        <v>1.5001548406846896E-2</v>
      </c>
      <c r="AG178" s="48">
        <f t="shared" si="38"/>
        <v>4.0862656072644721E-2</v>
      </c>
      <c r="AH178" s="48">
        <f t="shared" si="48"/>
        <v>-8.5178875638841564E-3</v>
      </c>
      <c r="AI178" s="48">
        <f t="shared" si="49"/>
        <v>3.4438226431338786E-2</v>
      </c>
      <c r="AJ178" s="48">
        <f t="shared" si="50"/>
        <v>0</v>
      </c>
    </row>
    <row r="179" spans="1:36" x14ac:dyDescent="0.3">
      <c r="A179" s="48">
        <v>20180917</v>
      </c>
      <c r="B179" s="48" t="s">
        <v>88</v>
      </c>
      <c r="C179" s="49">
        <v>45850</v>
      </c>
      <c r="D179" s="49">
        <v>45150</v>
      </c>
      <c r="E179" s="49">
        <v>6419324700</v>
      </c>
      <c r="F179" s="49">
        <f t="shared" si="39"/>
        <v>0.170946124192833</v>
      </c>
      <c r="G179" s="49">
        <f t="shared" si="40"/>
        <v>0.170946124192833</v>
      </c>
      <c r="H179" s="48">
        <v>291000</v>
      </c>
      <c r="I179" s="48">
        <v>302500</v>
      </c>
      <c r="J179" s="51">
        <v>125395903</v>
      </c>
      <c r="K179" s="48">
        <f t="shared" si="41"/>
        <v>1.34511125821281</v>
      </c>
      <c r="L179" s="48">
        <f t="shared" si="42"/>
        <v>1.34511125821281</v>
      </c>
      <c r="M179" s="49">
        <v>240300</v>
      </c>
      <c r="N179" s="49">
        <v>241300</v>
      </c>
      <c r="O179" s="49">
        <v>15956260</v>
      </c>
      <c r="P179" s="49">
        <f t="shared" si="43"/>
        <v>27.234779000652601</v>
      </c>
      <c r="Q179" s="49">
        <f t="shared" si="44"/>
        <v>27.234779000652601</v>
      </c>
      <c r="R179" s="48">
        <v>0</v>
      </c>
      <c r="S179" s="48"/>
      <c r="T179" s="48">
        <v>0</v>
      </c>
      <c r="U179" s="48">
        <v>0</v>
      </c>
      <c r="V179" s="48"/>
      <c r="W179" s="49">
        <v>1</v>
      </c>
      <c r="X179" s="49">
        <v>1</v>
      </c>
      <c r="Y179" s="49">
        <v>100000000</v>
      </c>
      <c r="Z179" s="49">
        <f t="shared" si="45"/>
        <v>1365114.194686</v>
      </c>
      <c r="AA179" s="49">
        <f t="shared" si="46"/>
        <v>1365114.194686</v>
      </c>
      <c r="AB179" s="82">
        <f t="shared" si="35"/>
        <v>0</v>
      </c>
      <c r="AC179" s="82">
        <f t="shared" si="36"/>
        <v>293290345052745.87</v>
      </c>
      <c r="AD179" s="81">
        <f t="shared" si="34"/>
        <v>341940860938769.37</v>
      </c>
      <c r="AE179" s="80">
        <f t="shared" si="37"/>
        <v>1165.8783410591784</v>
      </c>
      <c r="AF179" s="52">
        <f t="shared" si="47"/>
        <v>4.719282492841685E-3</v>
      </c>
      <c r="AG179" s="48">
        <f t="shared" si="38"/>
        <v>-1.5267175572519083E-2</v>
      </c>
      <c r="AH179" s="48">
        <f t="shared" si="48"/>
        <v>3.951890034364261E-2</v>
      </c>
      <c r="AI179" s="48">
        <f t="shared" si="49"/>
        <v>4.1614648356221393E-3</v>
      </c>
      <c r="AJ179" s="48">
        <f t="shared" si="50"/>
        <v>0</v>
      </c>
    </row>
    <row r="180" spans="1:36" x14ac:dyDescent="0.3">
      <c r="A180" s="48">
        <v>20180918</v>
      </c>
      <c r="B180" s="48" t="s">
        <v>88</v>
      </c>
      <c r="C180" s="49">
        <v>45150</v>
      </c>
      <c r="D180" s="49">
        <v>45500</v>
      </c>
      <c r="E180" s="49">
        <v>6419324700</v>
      </c>
      <c r="F180" s="49">
        <f t="shared" si="39"/>
        <v>0.170946124192833</v>
      </c>
      <c r="G180" s="49">
        <f t="shared" si="40"/>
        <v>0.170946124192833</v>
      </c>
      <c r="H180" s="48">
        <v>302500</v>
      </c>
      <c r="I180" s="48">
        <v>300500</v>
      </c>
      <c r="J180" s="51">
        <v>125395903</v>
      </c>
      <c r="K180" s="48">
        <f t="shared" si="41"/>
        <v>1.34511125821281</v>
      </c>
      <c r="L180" s="48">
        <f t="shared" si="42"/>
        <v>1.34511125821281</v>
      </c>
      <c r="M180" s="49">
        <v>241300</v>
      </c>
      <c r="N180" s="49">
        <v>243000</v>
      </c>
      <c r="O180" s="49">
        <v>15956260</v>
      </c>
      <c r="P180" s="49">
        <f t="shared" si="43"/>
        <v>27.234779000652601</v>
      </c>
      <c r="Q180" s="49">
        <f t="shared" si="44"/>
        <v>27.234779000652601</v>
      </c>
      <c r="R180" s="48">
        <v>0</v>
      </c>
      <c r="S180" s="48"/>
      <c r="T180" s="48">
        <v>0</v>
      </c>
      <c r="U180" s="48">
        <v>0</v>
      </c>
      <c r="V180" s="48"/>
      <c r="W180" s="49">
        <v>1</v>
      </c>
      <c r="X180" s="49">
        <v>1</v>
      </c>
      <c r="Y180" s="49">
        <v>100000000</v>
      </c>
      <c r="Z180" s="49">
        <f t="shared" si="45"/>
        <v>1365114.194686</v>
      </c>
      <c r="AA180" s="49">
        <f t="shared" si="46"/>
        <v>1365114.194686</v>
      </c>
      <c r="AB180" s="82">
        <f t="shared" si="35"/>
        <v>0</v>
      </c>
      <c r="AC180" s="82">
        <f t="shared" si="36"/>
        <v>293290345052745.87</v>
      </c>
      <c r="AD180" s="81">
        <f t="shared" si="34"/>
        <v>342726354459262.12</v>
      </c>
      <c r="AE180" s="80">
        <f t="shared" si="37"/>
        <v>1168.5565523734699</v>
      </c>
      <c r="AF180" s="52">
        <f t="shared" si="47"/>
        <v>2.2971619078697336E-3</v>
      </c>
      <c r="AG180" s="48">
        <f t="shared" si="38"/>
        <v>7.7519379844961239E-3</v>
      </c>
      <c r="AH180" s="48">
        <f t="shared" si="48"/>
        <v>-6.6115702479338841E-3</v>
      </c>
      <c r="AI180" s="48">
        <f t="shared" si="49"/>
        <v>7.0451719850808123E-3</v>
      </c>
      <c r="AJ180" s="48">
        <f t="shared" si="50"/>
        <v>0</v>
      </c>
    </row>
    <row r="181" spans="1:36" x14ac:dyDescent="0.3">
      <c r="A181" s="48">
        <v>20180919</v>
      </c>
      <c r="B181" s="48" t="s">
        <v>88</v>
      </c>
      <c r="C181" s="49">
        <v>45500</v>
      </c>
      <c r="D181" s="49">
        <v>46150</v>
      </c>
      <c r="E181" s="49">
        <v>6419324700</v>
      </c>
      <c r="F181" s="49">
        <f t="shared" si="39"/>
        <v>0.170946124192833</v>
      </c>
      <c r="G181" s="49">
        <f t="shared" si="40"/>
        <v>0.170946124192833</v>
      </c>
      <c r="H181" s="48">
        <v>300500</v>
      </c>
      <c r="I181" s="48">
        <v>306000</v>
      </c>
      <c r="J181" s="51">
        <v>125395903</v>
      </c>
      <c r="K181" s="48">
        <f t="shared" si="41"/>
        <v>1.34511125821281</v>
      </c>
      <c r="L181" s="48">
        <f t="shared" si="42"/>
        <v>1.34511125821281</v>
      </c>
      <c r="M181" s="49">
        <v>243000</v>
      </c>
      <c r="N181" s="49">
        <v>243000</v>
      </c>
      <c r="O181" s="49">
        <v>15956260</v>
      </c>
      <c r="P181" s="49">
        <f t="shared" si="43"/>
        <v>27.234779000652601</v>
      </c>
      <c r="Q181" s="49">
        <f t="shared" si="44"/>
        <v>27.234779000652601</v>
      </c>
      <c r="R181" s="48">
        <v>0</v>
      </c>
      <c r="S181" s="48"/>
      <c r="T181" s="48">
        <v>0</v>
      </c>
      <c r="U181" s="48">
        <v>0</v>
      </c>
      <c r="V181" s="48"/>
      <c r="W181" s="49">
        <v>1</v>
      </c>
      <c r="X181" s="49">
        <v>1</v>
      </c>
      <c r="Y181" s="49">
        <v>100000000</v>
      </c>
      <c r="Z181" s="49">
        <f t="shared" si="45"/>
        <v>1365114.194686</v>
      </c>
      <c r="AA181" s="49">
        <f t="shared" si="46"/>
        <v>1365114.194686</v>
      </c>
      <c r="AB181" s="82">
        <f t="shared" si="35"/>
        <v>0</v>
      </c>
      <c r="AC181" s="82">
        <f t="shared" si="36"/>
        <v>293290345052745.87</v>
      </c>
      <c r="AD181" s="81">
        <f t="shared" si="34"/>
        <v>344367330524297.19</v>
      </c>
      <c r="AE181" s="80">
        <f t="shared" si="37"/>
        <v>1174.1516089197055</v>
      </c>
      <c r="AF181" s="52">
        <f t="shared" si="47"/>
        <v>4.7880066521995817E-3</v>
      </c>
      <c r="AG181" s="48">
        <f t="shared" si="38"/>
        <v>1.4285714285714285E-2</v>
      </c>
      <c r="AH181" s="48">
        <f t="shared" si="48"/>
        <v>1.8302828618968387E-2</v>
      </c>
      <c r="AI181" s="48">
        <f t="shared" si="49"/>
        <v>0</v>
      </c>
      <c r="AJ181" s="48">
        <f t="shared" si="50"/>
        <v>0</v>
      </c>
    </row>
    <row r="182" spans="1:36" x14ac:dyDescent="0.3">
      <c r="A182" s="48">
        <v>20180920</v>
      </c>
      <c r="B182" s="48" t="s">
        <v>88</v>
      </c>
      <c r="C182" s="49">
        <v>46150</v>
      </c>
      <c r="D182" s="49">
        <v>47250</v>
      </c>
      <c r="E182" s="49">
        <v>6419324700</v>
      </c>
      <c r="F182" s="49">
        <f t="shared" si="39"/>
        <v>0.170946124192833</v>
      </c>
      <c r="G182" s="49">
        <f t="shared" si="40"/>
        <v>0.170946124192833</v>
      </c>
      <c r="H182" s="48">
        <v>306000</v>
      </c>
      <c r="I182" s="48">
        <v>296500</v>
      </c>
      <c r="J182" s="51">
        <v>125395903</v>
      </c>
      <c r="K182" s="48">
        <f t="shared" si="41"/>
        <v>1.34511125821281</v>
      </c>
      <c r="L182" s="48">
        <f t="shared" si="42"/>
        <v>1.34511125821281</v>
      </c>
      <c r="M182" s="49">
        <v>243000</v>
      </c>
      <c r="N182" s="49">
        <v>246100</v>
      </c>
      <c r="O182" s="49">
        <v>15956260</v>
      </c>
      <c r="P182" s="49">
        <f t="shared" si="43"/>
        <v>27.234779000652601</v>
      </c>
      <c r="Q182" s="49">
        <f t="shared" si="44"/>
        <v>27.234779000652601</v>
      </c>
      <c r="R182" s="48">
        <v>0</v>
      </c>
      <c r="S182" s="48"/>
      <c r="T182" s="48">
        <v>0</v>
      </c>
      <c r="U182" s="48">
        <v>0</v>
      </c>
      <c r="V182" s="48"/>
      <c r="W182" s="49">
        <v>1</v>
      </c>
      <c r="X182" s="49">
        <v>1</v>
      </c>
      <c r="Y182" s="49">
        <v>100000000</v>
      </c>
      <c r="Z182" s="49">
        <f t="shared" si="45"/>
        <v>1365114.194686</v>
      </c>
      <c r="AA182" s="49">
        <f t="shared" si="46"/>
        <v>1365114.194686</v>
      </c>
      <c r="AB182" s="82">
        <f t="shared" si="35"/>
        <v>0</v>
      </c>
      <c r="AC182" s="82">
        <f t="shared" si="36"/>
        <v>293290345052745.87</v>
      </c>
      <c r="AD182" s="81">
        <f t="shared" si="34"/>
        <v>345319198547085</v>
      </c>
      <c r="AE182" s="80">
        <f t="shared" si="37"/>
        <v>1177.3970891710812</v>
      </c>
      <c r="AF182" s="52">
        <f t="shared" si="47"/>
        <v>2.7641066338628859E-3</v>
      </c>
      <c r="AG182" s="48">
        <f t="shared" si="38"/>
        <v>2.3835319609967497E-2</v>
      </c>
      <c r="AH182" s="48">
        <f t="shared" si="48"/>
        <v>-3.1045751633986929E-2</v>
      </c>
      <c r="AI182" s="48">
        <f t="shared" si="49"/>
        <v>1.2757201646090535E-2</v>
      </c>
      <c r="AJ182" s="48">
        <f t="shared" si="50"/>
        <v>0</v>
      </c>
    </row>
    <row r="183" spans="1:36" x14ac:dyDescent="0.3">
      <c r="A183" s="48">
        <v>20180921</v>
      </c>
      <c r="B183" s="48" t="s">
        <v>88</v>
      </c>
      <c r="C183" s="49">
        <v>47250</v>
      </c>
      <c r="D183" s="49">
        <v>47400</v>
      </c>
      <c r="E183" s="49">
        <v>6419324700</v>
      </c>
      <c r="F183" s="49">
        <f t="shared" si="39"/>
        <v>0.170946124192833</v>
      </c>
      <c r="G183" s="49">
        <f t="shared" si="40"/>
        <v>0.170946124192833</v>
      </c>
      <c r="H183" s="48">
        <v>296500</v>
      </c>
      <c r="I183" s="48">
        <v>302500</v>
      </c>
      <c r="J183" s="51">
        <v>125395903</v>
      </c>
      <c r="K183" s="48">
        <f t="shared" si="41"/>
        <v>1.34511125821281</v>
      </c>
      <c r="L183" s="48">
        <f t="shared" si="42"/>
        <v>1.34511125821281</v>
      </c>
      <c r="M183" s="49">
        <v>246100</v>
      </c>
      <c r="N183" s="49">
        <v>245000</v>
      </c>
      <c r="O183" s="49">
        <v>15956260</v>
      </c>
      <c r="P183" s="49">
        <f t="shared" si="43"/>
        <v>27.234779000652601</v>
      </c>
      <c r="Q183" s="49">
        <f t="shared" si="44"/>
        <v>27.234779000652601</v>
      </c>
      <c r="R183" s="48">
        <v>0</v>
      </c>
      <c r="S183" s="48"/>
      <c r="T183" s="48">
        <v>0</v>
      </c>
      <c r="U183" s="48">
        <v>0</v>
      </c>
      <c r="V183" s="48"/>
      <c r="W183" s="49">
        <v>1</v>
      </c>
      <c r="X183" s="49">
        <v>1</v>
      </c>
      <c r="Y183" s="49">
        <v>100000000</v>
      </c>
      <c r="Z183" s="49">
        <f t="shared" si="45"/>
        <v>1365114.194686</v>
      </c>
      <c r="AA183" s="49">
        <f t="shared" si="46"/>
        <v>1365114.194686</v>
      </c>
      <c r="AB183" s="82">
        <f t="shared" si="35"/>
        <v>0</v>
      </c>
      <c r="AC183" s="82">
        <f t="shared" si="36"/>
        <v>293290345052745.87</v>
      </c>
      <c r="AD183" s="81">
        <f t="shared" si="34"/>
        <v>346017809257594.75</v>
      </c>
      <c r="AE183" s="80">
        <f t="shared" si="37"/>
        <v>1179.7790656742084</v>
      </c>
      <c r="AF183" s="52">
        <f t="shared" si="47"/>
        <v>2.0230867946209288E-3</v>
      </c>
      <c r="AG183" s="48">
        <f t="shared" si="38"/>
        <v>3.1746031746031746E-3</v>
      </c>
      <c r="AH183" s="48">
        <f t="shared" si="48"/>
        <v>2.0236087689713321E-2</v>
      </c>
      <c r="AI183" s="48">
        <f t="shared" si="49"/>
        <v>-4.469727752945957E-3</v>
      </c>
      <c r="AJ183" s="48">
        <f t="shared" si="50"/>
        <v>0</v>
      </c>
    </row>
    <row r="184" spans="1:36" x14ac:dyDescent="0.3">
      <c r="A184" s="48">
        <v>20180927</v>
      </c>
      <c r="B184" s="48" t="s">
        <v>88</v>
      </c>
      <c r="C184" s="49">
        <v>47400</v>
      </c>
      <c r="D184" s="49">
        <v>47500</v>
      </c>
      <c r="E184" s="49">
        <v>6419324700</v>
      </c>
      <c r="F184" s="49">
        <f t="shared" si="39"/>
        <v>0.170946124192833</v>
      </c>
      <c r="G184" s="49">
        <f t="shared" si="40"/>
        <v>0.170946124192833</v>
      </c>
      <c r="H184" s="48">
        <v>302500</v>
      </c>
      <c r="I184" s="48">
        <v>301000</v>
      </c>
      <c r="J184" s="51">
        <v>125395903</v>
      </c>
      <c r="K184" s="48">
        <f t="shared" si="41"/>
        <v>1.34511125821281</v>
      </c>
      <c r="L184" s="48">
        <f t="shared" si="42"/>
        <v>1.34511125821281</v>
      </c>
      <c r="M184" s="49">
        <v>245000</v>
      </c>
      <c r="N184" s="49">
        <v>248600</v>
      </c>
      <c r="O184" s="49">
        <v>15956260</v>
      </c>
      <c r="P184" s="49">
        <f t="shared" si="43"/>
        <v>27.234779000652601</v>
      </c>
      <c r="Q184" s="49">
        <f t="shared" si="44"/>
        <v>27.234779000652601</v>
      </c>
      <c r="R184" s="48">
        <v>0</v>
      </c>
      <c r="S184" s="48"/>
      <c r="T184" s="48">
        <v>0</v>
      </c>
      <c r="U184" s="48">
        <v>0</v>
      </c>
      <c r="V184" s="48"/>
      <c r="W184" s="49">
        <v>1</v>
      </c>
      <c r="X184" s="49">
        <v>1</v>
      </c>
      <c r="Y184" s="49">
        <v>100000000</v>
      </c>
      <c r="Z184" s="49">
        <f t="shared" si="45"/>
        <v>1365114.194686</v>
      </c>
      <c r="AA184" s="49">
        <f t="shared" si="46"/>
        <v>1365114.194686</v>
      </c>
      <c r="AB184" s="82">
        <f t="shared" si="35"/>
        <v>0</v>
      </c>
      <c r="AC184" s="82">
        <f t="shared" si="36"/>
        <v>293290345052745.87</v>
      </c>
      <c r="AD184" s="81">
        <f t="shared" si="34"/>
        <v>347438972737243.25</v>
      </c>
      <c r="AE184" s="80">
        <f t="shared" si="37"/>
        <v>1184.6246512982184</v>
      </c>
      <c r="AF184" s="52">
        <f t="shared" si="47"/>
        <v>4.1071974956946034E-3</v>
      </c>
      <c r="AG184" s="48">
        <f t="shared" si="38"/>
        <v>2.1097046413502108E-3</v>
      </c>
      <c r="AH184" s="48">
        <f t="shared" si="48"/>
        <v>-4.9586776859504135E-3</v>
      </c>
      <c r="AI184" s="48">
        <f t="shared" si="49"/>
        <v>1.4693877551020407E-2</v>
      </c>
      <c r="AJ184" s="48">
        <f t="shared" si="50"/>
        <v>0</v>
      </c>
    </row>
    <row r="185" spans="1:36" x14ac:dyDescent="0.3">
      <c r="A185" s="48">
        <v>20180928</v>
      </c>
      <c r="B185" s="48" t="s">
        <v>88</v>
      </c>
      <c r="C185" s="49">
        <v>47500</v>
      </c>
      <c r="D185" s="49">
        <v>46450</v>
      </c>
      <c r="E185" s="49">
        <v>6419324700</v>
      </c>
      <c r="F185" s="49">
        <f t="shared" si="39"/>
        <v>0.170946124192833</v>
      </c>
      <c r="G185" s="49">
        <f t="shared" si="40"/>
        <v>0.170946124192833</v>
      </c>
      <c r="H185" s="48">
        <v>301000</v>
      </c>
      <c r="I185" s="48">
        <v>297000</v>
      </c>
      <c r="J185" s="51">
        <v>125395903</v>
      </c>
      <c r="K185" s="48">
        <f t="shared" si="41"/>
        <v>1.34511125821281</v>
      </c>
      <c r="L185" s="48">
        <f t="shared" si="42"/>
        <v>1.34511125821281</v>
      </c>
      <c r="M185" s="49">
        <v>248600</v>
      </c>
      <c r="N185" s="49">
        <v>240800</v>
      </c>
      <c r="O185" s="49">
        <v>15956260</v>
      </c>
      <c r="P185" s="49">
        <f t="shared" si="43"/>
        <v>27.234779000652601</v>
      </c>
      <c r="Q185" s="49">
        <f t="shared" si="44"/>
        <v>27.234779000652601</v>
      </c>
      <c r="R185" s="48">
        <v>0</v>
      </c>
      <c r="S185" s="48"/>
      <c r="T185" s="48">
        <v>0</v>
      </c>
      <c r="U185" s="48">
        <v>0</v>
      </c>
      <c r="V185" s="48"/>
      <c r="W185" s="49">
        <v>1</v>
      </c>
      <c r="X185" s="49">
        <v>1</v>
      </c>
      <c r="Y185" s="49">
        <v>100000000</v>
      </c>
      <c r="Z185" s="49">
        <f t="shared" si="45"/>
        <v>1365114.194686</v>
      </c>
      <c r="AA185" s="49">
        <f t="shared" si="46"/>
        <v>1365114.194686</v>
      </c>
      <c r="AB185" s="82">
        <f t="shared" si="35"/>
        <v>0</v>
      </c>
      <c r="AC185" s="82">
        <f t="shared" si="36"/>
        <v>293290345052745.87</v>
      </c>
      <c r="AD185" s="81">
        <f t="shared" si="34"/>
        <v>342222451687276.44</v>
      </c>
      <c r="AE185" s="80">
        <f t="shared" si="37"/>
        <v>1166.8384502249146</v>
      </c>
      <c r="AF185" s="52">
        <f t="shared" si="47"/>
        <v>-1.5014208132349837E-2</v>
      </c>
      <c r="AG185" s="48">
        <f t="shared" si="38"/>
        <v>-2.2105263157894735E-2</v>
      </c>
      <c r="AH185" s="48">
        <f t="shared" si="48"/>
        <v>-1.3289036544850499E-2</v>
      </c>
      <c r="AI185" s="48">
        <f t="shared" si="49"/>
        <v>-3.1375703942075624E-2</v>
      </c>
      <c r="AJ185" s="48">
        <f t="shared" si="50"/>
        <v>0</v>
      </c>
    </row>
    <row r="186" spans="1:36" x14ac:dyDescent="0.3">
      <c r="A186" s="48">
        <v>20181001</v>
      </c>
      <c r="B186" s="48" t="s">
        <v>88</v>
      </c>
      <c r="C186" s="49">
        <v>46450</v>
      </c>
      <c r="D186" s="49">
        <v>46350</v>
      </c>
      <c r="E186" s="49">
        <v>6419324700</v>
      </c>
      <c r="F186" s="49">
        <f t="shared" si="39"/>
        <v>0.170946124192833</v>
      </c>
      <c r="G186" s="49">
        <f t="shared" si="40"/>
        <v>0.170946124192833</v>
      </c>
      <c r="H186" s="48">
        <v>297000</v>
      </c>
      <c r="I186" s="48">
        <v>292000</v>
      </c>
      <c r="J186" s="51">
        <v>125395903</v>
      </c>
      <c r="K186" s="48">
        <f t="shared" si="41"/>
        <v>1.34511125821281</v>
      </c>
      <c r="L186" s="48">
        <f t="shared" si="42"/>
        <v>1.34511125821281</v>
      </c>
      <c r="M186" s="49">
        <v>240800</v>
      </c>
      <c r="N186" s="49">
        <v>242000</v>
      </c>
      <c r="O186" s="49">
        <v>15956260</v>
      </c>
      <c r="P186" s="49">
        <f t="shared" si="43"/>
        <v>27.234779000652601</v>
      </c>
      <c r="Q186" s="49">
        <f t="shared" si="44"/>
        <v>27.234779000652601</v>
      </c>
      <c r="R186" s="48">
        <v>0</v>
      </c>
      <c r="S186" s="48"/>
      <c r="T186" s="48">
        <v>0</v>
      </c>
      <c r="U186" s="48">
        <v>0</v>
      </c>
      <c r="V186" s="48"/>
      <c r="W186" s="49">
        <v>1</v>
      </c>
      <c r="X186" s="49">
        <v>1</v>
      </c>
      <c r="Y186" s="49">
        <v>100000000</v>
      </c>
      <c r="Z186" s="49">
        <f t="shared" si="45"/>
        <v>1365114.194686</v>
      </c>
      <c r="AA186" s="49">
        <f t="shared" si="46"/>
        <v>1365114.194686</v>
      </c>
      <c r="AB186" s="82">
        <f t="shared" si="35"/>
        <v>0</v>
      </c>
      <c r="AC186" s="82">
        <f t="shared" si="36"/>
        <v>293290345052745.87</v>
      </c>
      <c r="AD186" s="81">
        <f t="shared" si="34"/>
        <v>341790836872973.44</v>
      </c>
      <c r="AE186" s="80">
        <f t="shared" si="37"/>
        <v>1165.3668204164892</v>
      </c>
      <c r="AF186" s="52">
        <f t="shared" si="47"/>
        <v>-1.2612112740557531E-3</v>
      </c>
      <c r="AG186" s="48">
        <f t="shared" si="38"/>
        <v>-2.1528525296017221E-3</v>
      </c>
      <c r="AH186" s="48">
        <f t="shared" si="48"/>
        <v>-1.6835016835016835E-2</v>
      </c>
      <c r="AI186" s="48">
        <f t="shared" si="49"/>
        <v>4.9833887043189366E-3</v>
      </c>
      <c r="AJ186" s="48">
        <f t="shared" si="50"/>
        <v>0</v>
      </c>
    </row>
    <row r="187" spans="1:36" x14ac:dyDescent="0.3">
      <c r="A187" s="48">
        <v>20181002</v>
      </c>
      <c r="B187" s="48" t="s">
        <v>88</v>
      </c>
      <c r="C187" s="49">
        <v>46350</v>
      </c>
      <c r="D187" s="49">
        <v>45700</v>
      </c>
      <c r="E187" s="49">
        <v>6419324700</v>
      </c>
      <c r="F187" s="49">
        <f t="shared" si="39"/>
        <v>0.170946124192833</v>
      </c>
      <c r="G187" s="49">
        <f t="shared" si="40"/>
        <v>0.170946124192833</v>
      </c>
      <c r="H187" s="48">
        <v>292000</v>
      </c>
      <c r="I187" s="48">
        <v>288500</v>
      </c>
      <c r="J187" s="51">
        <v>125395903</v>
      </c>
      <c r="K187" s="48">
        <f t="shared" si="41"/>
        <v>1.34511125821281</v>
      </c>
      <c r="L187" s="48">
        <f t="shared" si="42"/>
        <v>1.34511125821281</v>
      </c>
      <c r="M187" s="49">
        <v>242000</v>
      </c>
      <c r="N187" s="49">
        <v>235000</v>
      </c>
      <c r="O187" s="49">
        <v>15956260</v>
      </c>
      <c r="P187" s="49">
        <f t="shared" si="43"/>
        <v>27.234779000652601</v>
      </c>
      <c r="Q187" s="49">
        <f t="shared" si="44"/>
        <v>27.234779000652601</v>
      </c>
      <c r="R187" s="48">
        <v>0</v>
      </c>
      <c r="S187" s="48"/>
      <c r="T187" s="48">
        <v>0</v>
      </c>
      <c r="U187" s="48">
        <v>0</v>
      </c>
      <c r="V187" s="48"/>
      <c r="W187" s="49">
        <v>1</v>
      </c>
      <c r="X187" s="49">
        <v>1</v>
      </c>
      <c r="Y187" s="49">
        <v>100000000</v>
      </c>
      <c r="Z187" s="49">
        <f t="shared" si="45"/>
        <v>1365114.194686</v>
      </c>
      <c r="AA187" s="49">
        <f t="shared" si="46"/>
        <v>1365114.194686</v>
      </c>
      <c r="AB187" s="82">
        <f t="shared" si="35"/>
        <v>0</v>
      </c>
      <c r="AC187" s="82">
        <f t="shared" si="36"/>
        <v>293290345052745.87</v>
      </c>
      <c r="AD187" s="81">
        <f t="shared" si="34"/>
        <v>337445247186217.87</v>
      </c>
      <c r="AE187" s="80">
        <f t="shared" si="37"/>
        <v>1150.5501387218565</v>
      </c>
      <c r="AF187" s="52">
        <f t="shared" si="47"/>
        <v>-1.2714178432965352E-2</v>
      </c>
      <c r="AG187" s="48">
        <f t="shared" si="38"/>
        <v>-1.4023732470334413E-2</v>
      </c>
      <c r="AH187" s="48">
        <f t="shared" si="48"/>
        <v>-1.1986301369863013E-2</v>
      </c>
      <c r="AI187" s="48">
        <f t="shared" si="49"/>
        <v>-2.8925619834710745E-2</v>
      </c>
      <c r="AJ187" s="48">
        <f t="shared" si="50"/>
        <v>0</v>
      </c>
    </row>
    <row r="188" spans="1:36" x14ac:dyDescent="0.3">
      <c r="A188" s="48">
        <v>20181004</v>
      </c>
      <c r="B188" s="48" t="s">
        <v>88</v>
      </c>
      <c r="C188" s="49">
        <v>45700</v>
      </c>
      <c r="D188" s="49">
        <v>44700</v>
      </c>
      <c r="E188" s="49">
        <v>6419324700</v>
      </c>
      <c r="F188" s="49">
        <f t="shared" si="39"/>
        <v>0.170946124192833</v>
      </c>
      <c r="G188" s="49">
        <f t="shared" si="40"/>
        <v>0.170946124192833</v>
      </c>
      <c r="H188" s="48">
        <v>288500</v>
      </c>
      <c r="I188" s="48">
        <v>290500</v>
      </c>
      <c r="J188" s="51">
        <v>125395903</v>
      </c>
      <c r="K188" s="48">
        <f t="shared" si="41"/>
        <v>1.34511125821281</v>
      </c>
      <c r="L188" s="48">
        <f t="shared" si="42"/>
        <v>1.34511125821281</v>
      </c>
      <c r="M188" s="49">
        <v>235000</v>
      </c>
      <c r="N188" s="49">
        <v>231700</v>
      </c>
      <c r="O188" s="49">
        <v>15956260</v>
      </c>
      <c r="P188" s="49">
        <f t="shared" si="43"/>
        <v>27.234779000652601</v>
      </c>
      <c r="Q188" s="49">
        <f t="shared" si="44"/>
        <v>27.234779000652601</v>
      </c>
      <c r="R188" s="48">
        <v>0</v>
      </c>
      <c r="S188" s="48"/>
      <c r="T188" s="48">
        <v>0</v>
      </c>
      <c r="U188" s="48">
        <v>0</v>
      </c>
      <c r="V188" s="48"/>
      <c r="W188" s="49">
        <v>1</v>
      </c>
      <c r="X188" s="49">
        <v>1</v>
      </c>
      <c r="Y188" s="49">
        <v>100000000</v>
      </c>
      <c r="Z188" s="49">
        <f t="shared" si="45"/>
        <v>1365114.194686</v>
      </c>
      <c r="AA188" s="49">
        <f t="shared" si="46"/>
        <v>1365114.194686</v>
      </c>
      <c r="AB188" s="82">
        <f t="shared" si="35"/>
        <v>0</v>
      </c>
      <c r="AC188" s="82">
        <f t="shared" si="36"/>
        <v>293290345052745.87</v>
      </c>
      <c r="AD188" s="81">
        <f t="shared" si="34"/>
        <v>335251166181771.75</v>
      </c>
      <c r="AE188" s="80">
        <f t="shared" si="37"/>
        <v>1143.0692207801098</v>
      </c>
      <c r="AF188" s="52">
        <f t="shared" si="47"/>
        <v>-6.5020355827840291E-3</v>
      </c>
      <c r="AG188" s="48">
        <f t="shared" si="38"/>
        <v>-2.1881838074398249E-2</v>
      </c>
      <c r="AH188" s="48">
        <f t="shared" si="48"/>
        <v>6.9324090121317154E-3</v>
      </c>
      <c r="AI188" s="48">
        <f t="shared" si="49"/>
        <v>-1.4042553191489362E-2</v>
      </c>
      <c r="AJ188" s="48">
        <f t="shared" si="50"/>
        <v>0</v>
      </c>
    </row>
    <row r="189" spans="1:36" x14ac:dyDescent="0.3">
      <c r="A189" s="48">
        <v>20181005</v>
      </c>
      <c r="B189" s="48" t="s">
        <v>88</v>
      </c>
      <c r="C189" s="49">
        <v>44700</v>
      </c>
      <c r="D189" s="49">
        <v>44700</v>
      </c>
      <c r="E189" s="49">
        <v>6419324700</v>
      </c>
      <c r="F189" s="49">
        <f t="shared" si="39"/>
        <v>0.170946124192833</v>
      </c>
      <c r="G189" s="49">
        <f t="shared" si="40"/>
        <v>0.170946124192833</v>
      </c>
      <c r="H189" s="48">
        <v>290500</v>
      </c>
      <c r="I189" s="48">
        <v>289000</v>
      </c>
      <c r="J189" s="51">
        <v>125395903</v>
      </c>
      <c r="K189" s="48">
        <f t="shared" si="41"/>
        <v>1.34511125821281</v>
      </c>
      <c r="L189" s="48">
        <f t="shared" si="42"/>
        <v>1.34511125821281</v>
      </c>
      <c r="M189" s="49">
        <v>231700</v>
      </c>
      <c r="N189" s="49">
        <v>220800</v>
      </c>
      <c r="O189" s="49">
        <v>15956260</v>
      </c>
      <c r="P189" s="49">
        <f t="shared" si="43"/>
        <v>27.234779000652601</v>
      </c>
      <c r="Q189" s="49">
        <f t="shared" si="44"/>
        <v>27.234779000652601</v>
      </c>
      <c r="R189" s="48">
        <v>0</v>
      </c>
      <c r="S189" s="48"/>
      <c r="T189" s="48">
        <v>0</v>
      </c>
      <c r="U189" s="48">
        <v>0</v>
      </c>
      <c r="V189" s="48"/>
      <c r="W189" s="49">
        <v>1</v>
      </c>
      <c r="X189" s="49">
        <v>1</v>
      </c>
      <c r="Y189" s="49">
        <v>100000000</v>
      </c>
      <c r="Z189" s="49">
        <f t="shared" si="45"/>
        <v>1365114.194686</v>
      </c>
      <c r="AA189" s="49">
        <f t="shared" si="46"/>
        <v>1365114.194686</v>
      </c>
      <c r="AB189" s="82">
        <f t="shared" si="35"/>
        <v>0</v>
      </c>
      <c r="AC189" s="82">
        <f t="shared" si="36"/>
        <v>293290345052745.87</v>
      </c>
      <c r="AD189" s="81">
        <f t="shared" si="34"/>
        <v>330261398179414.31</v>
      </c>
      <c r="AE189" s="80">
        <f t="shared" si="37"/>
        <v>1126.0561547637019</v>
      </c>
      <c r="AF189" s="52">
        <f t="shared" si="47"/>
        <v>-1.488367082861093E-2</v>
      </c>
      <c r="AG189" s="48">
        <f t="shared" si="38"/>
        <v>0</v>
      </c>
      <c r="AH189" s="48">
        <f t="shared" si="48"/>
        <v>-5.1635111876075735E-3</v>
      </c>
      <c r="AI189" s="48">
        <f t="shared" si="49"/>
        <v>-4.7043590850237377E-2</v>
      </c>
      <c r="AJ189" s="48">
        <f t="shared" si="50"/>
        <v>0</v>
      </c>
    </row>
    <row r="190" spans="1:36" x14ac:dyDescent="0.3">
      <c r="A190" s="48">
        <v>20181008</v>
      </c>
      <c r="B190" s="48" t="s">
        <v>88</v>
      </c>
      <c r="C190" s="49">
        <v>44700</v>
      </c>
      <c r="D190" s="49">
        <v>44950</v>
      </c>
      <c r="E190" s="49">
        <v>6419324700</v>
      </c>
      <c r="F190" s="49">
        <f t="shared" si="39"/>
        <v>0.170946124192833</v>
      </c>
      <c r="G190" s="49">
        <f t="shared" si="40"/>
        <v>0.170946124192833</v>
      </c>
      <c r="H190" s="48">
        <v>289000</v>
      </c>
      <c r="I190" s="48">
        <v>290000</v>
      </c>
      <c r="J190" s="51">
        <v>125395903</v>
      </c>
      <c r="K190" s="48">
        <f t="shared" si="41"/>
        <v>1.34511125821281</v>
      </c>
      <c r="L190" s="48">
        <f t="shared" si="42"/>
        <v>1.34511125821281</v>
      </c>
      <c r="M190" s="49">
        <v>220800</v>
      </c>
      <c r="N190" s="49">
        <v>217500</v>
      </c>
      <c r="O190" s="49">
        <v>15956260</v>
      </c>
      <c r="P190" s="49">
        <f t="shared" si="43"/>
        <v>27.234779000652601</v>
      </c>
      <c r="Q190" s="49">
        <f t="shared" si="44"/>
        <v>27.234779000652601</v>
      </c>
      <c r="R190" s="48">
        <v>0</v>
      </c>
      <c r="S190" s="48"/>
      <c r="T190" s="48">
        <v>0</v>
      </c>
      <c r="U190" s="48">
        <v>0</v>
      </c>
      <c r="V190" s="48"/>
      <c r="W190" s="49">
        <v>1</v>
      </c>
      <c r="X190" s="49">
        <v>1</v>
      </c>
      <c r="Y190" s="49">
        <v>100000000</v>
      </c>
      <c r="Z190" s="49">
        <f t="shared" si="45"/>
        <v>1365114.194686</v>
      </c>
      <c r="AA190" s="49">
        <f t="shared" si="46"/>
        <v>1365114.194686</v>
      </c>
      <c r="AB190" s="82">
        <f t="shared" si="35"/>
        <v>0</v>
      </c>
      <c r="AC190" s="82">
        <f t="shared" si="36"/>
        <v>293290345052745.87</v>
      </c>
      <c r="AD190" s="81">
        <f t="shared" si="34"/>
        <v>329270344080859.5</v>
      </c>
      <c r="AE190" s="80">
        <f t="shared" si="37"/>
        <v>1122.6770660372163</v>
      </c>
      <c r="AF190" s="52">
        <f t="shared" si="47"/>
        <v>-3.0008172436078208E-3</v>
      </c>
      <c r="AG190" s="48">
        <f t="shared" si="38"/>
        <v>5.5928411633109623E-3</v>
      </c>
      <c r="AH190" s="48">
        <f t="shared" si="48"/>
        <v>3.4602076124567475E-3</v>
      </c>
      <c r="AI190" s="48">
        <f t="shared" si="49"/>
        <v>-1.4945652173913044E-2</v>
      </c>
      <c r="AJ190" s="48">
        <f t="shared" si="50"/>
        <v>0</v>
      </c>
    </row>
    <row r="191" spans="1:36" x14ac:dyDescent="0.3">
      <c r="A191" s="48">
        <v>20181010</v>
      </c>
      <c r="B191" s="48" t="s">
        <v>88</v>
      </c>
      <c r="C191" s="49">
        <v>44950</v>
      </c>
      <c r="D191" s="49">
        <v>45300</v>
      </c>
      <c r="E191" s="49">
        <v>6419324700</v>
      </c>
      <c r="F191" s="49">
        <f t="shared" si="39"/>
        <v>0.170946124192833</v>
      </c>
      <c r="G191" s="49">
        <f t="shared" si="40"/>
        <v>0.170946124192833</v>
      </c>
      <c r="H191" s="48">
        <v>290000</v>
      </c>
      <c r="I191" s="48">
        <v>286500</v>
      </c>
      <c r="J191" s="51">
        <v>125395903</v>
      </c>
      <c r="K191" s="48">
        <f t="shared" si="41"/>
        <v>1.34511125821281</v>
      </c>
      <c r="L191" s="48">
        <f t="shared" si="42"/>
        <v>1.34511125821281</v>
      </c>
      <c r="M191" s="49">
        <v>217500</v>
      </c>
      <c r="N191" s="49">
        <v>219500</v>
      </c>
      <c r="O191" s="49">
        <v>15956260</v>
      </c>
      <c r="P191" s="49">
        <f t="shared" si="43"/>
        <v>27.234779000652601</v>
      </c>
      <c r="Q191" s="49">
        <f t="shared" si="44"/>
        <v>27.234779000652601</v>
      </c>
      <c r="R191" s="48">
        <v>0</v>
      </c>
      <c r="S191" s="48"/>
      <c r="T191" s="48">
        <v>0</v>
      </c>
      <c r="U191" s="48">
        <v>0</v>
      </c>
      <c r="V191" s="48"/>
      <c r="W191" s="49">
        <v>1</v>
      </c>
      <c r="X191" s="49">
        <v>1</v>
      </c>
      <c r="Y191" s="49">
        <v>100000000</v>
      </c>
      <c r="Z191" s="49">
        <f t="shared" si="45"/>
        <v>1365114.194686</v>
      </c>
      <c r="AA191" s="49">
        <f t="shared" si="46"/>
        <v>1365114.194686</v>
      </c>
      <c r="AB191" s="82">
        <f t="shared" si="35"/>
        <v>0</v>
      </c>
      <c r="AC191" s="82">
        <f t="shared" si="36"/>
        <v>293290345052745.87</v>
      </c>
      <c r="AD191" s="81">
        <f t="shared" si="34"/>
        <v>329933200004496.81</v>
      </c>
      <c r="AE191" s="80">
        <f t="shared" si="37"/>
        <v>1124.9371333555525</v>
      </c>
      <c r="AF191" s="52">
        <f t="shared" si="47"/>
        <v>2.0131054483136191E-3</v>
      </c>
      <c r="AG191" s="48">
        <f t="shared" si="38"/>
        <v>7.7864293659621799E-3</v>
      </c>
      <c r="AH191" s="48">
        <f t="shared" si="48"/>
        <v>-1.2068965517241379E-2</v>
      </c>
      <c r="AI191" s="48">
        <f t="shared" si="49"/>
        <v>9.1954022988505746E-3</v>
      </c>
      <c r="AJ191" s="48">
        <f t="shared" si="50"/>
        <v>0</v>
      </c>
    </row>
    <row r="192" spans="1:36" x14ac:dyDescent="0.3">
      <c r="A192" s="48">
        <v>20181011</v>
      </c>
      <c r="B192" s="48" t="s">
        <v>88</v>
      </c>
      <c r="C192" s="49">
        <v>45300</v>
      </c>
      <c r="D192" s="49">
        <v>43100</v>
      </c>
      <c r="E192" s="49">
        <v>6419324700</v>
      </c>
      <c r="F192" s="49">
        <f t="shared" si="39"/>
        <v>0.170946124192833</v>
      </c>
      <c r="G192" s="49">
        <f t="shared" si="40"/>
        <v>0.170946124192833</v>
      </c>
      <c r="H192" s="48">
        <v>286500</v>
      </c>
      <c r="I192" s="48">
        <v>271500</v>
      </c>
      <c r="J192" s="51">
        <v>125395903</v>
      </c>
      <c r="K192" s="48">
        <f t="shared" si="41"/>
        <v>1.34511125821281</v>
      </c>
      <c r="L192" s="48">
        <f t="shared" si="42"/>
        <v>1.34511125821281</v>
      </c>
      <c r="M192" s="49">
        <v>219500</v>
      </c>
      <c r="N192" s="49">
        <v>211100</v>
      </c>
      <c r="O192" s="49">
        <v>15956260</v>
      </c>
      <c r="P192" s="49">
        <f t="shared" si="43"/>
        <v>27.234779000652601</v>
      </c>
      <c r="Q192" s="49">
        <f t="shared" si="44"/>
        <v>27.234779000652601</v>
      </c>
      <c r="R192" s="48">
        <v>0</v>
      </c>
      <c r="S192" s="48"/>
      <c r="T192" s="48">
        <v>0</v>
      </c>
      <c r="U192" s="48">
        <v>0</v>
      </c>
      <c r="V192" s="48"/>
      <c r="W192" s="49">
        <v>1</v>
      </c>
      <c r="X192" s="49">
        <v>1</v>
      </c>
      <c r="Y192" s="49">
        <v>100000000</v>
      </c>
      <c r="Z192" s="49">
        <f t="shared" si="45"/>
        <v>1365114.194686</v>
      </c>
      <c r="AA192" s="49">
        <f t="shared" si="46"/>
        <v>1365114.194686</v>
      </c>
      <c r="AB192" s="82">
        <f t="shared" si="35"/>
        <v>0</v>
      </c>
      <c r="AC192" s="82">
        <f t="shared" si="36"/>
        <v>293290345052745.87</v>
      </c>
      <c r="AD192" s="81">
        <f t="shared" si="34"/>
        <v>321338591497203.81</v>
      </c>
      <c r="AE192" s="80">
        <f t="shared" si="37"/>
        <v>1095.6330370828052</v>
      </c>
      <c r="AF192" s="52">
        <f t="shared" si="47"/>
        <v>-2.6049541262218538E-2</v>
      </c>
      <c r="AG192" s="48">
        <f t="shared" si="38"/>
        <v>-4.856512141280353E-2</v>
      </c>
      <c r="AH192" s="48">
        <f t="shared" si="48"/>
        <v>-5.2356020942408377E-2</v>
      </c>
      <c r="AI192" s="48">
        <f t="shared" si="49"/>
        <v>-3.826879271070615E-2</v>
      </c>
      <c r="AJ192" s="48">
        <f t="shared" si="50"/>
        <v>0</v>
      </c>
    </row>
    <row r="193" spans="1:36" x14ac:dyDescent="0.3">
      <c r="A193" s="48">
        <v>20181012</v>
      </c>
      <c r="B193" s="48" t="s">
        <v>88</v>
      </c>
      <c r="C193" s="49">
        <v>43100</v>
      </c>
      <c r="D193" s="49">
        <v>44000</v>
      </c>
      <c r="E193" s="49">
        <v>6419324700</v>
      </c>
      <c r="F193" s="49">
        <f t="shared" si="39"/>
        <v>0.170946124192833</v>
      </c>
      <c r="G193" s="49">
        <f t="shared" si="40"/>
        <v>0.170946124192833</v>
      </c>
      <c r="H193" s="48">
        <v>271500</v>
      </c>
      <c r="I193" s="48">
        <v>274500</v>
      </c>
      <c r="J193" s="51">
        <v>125395903</v>
      </c>
      <c r="K193" s="48">
        <f t="shared" si="41"/>
        <v>1.34511125821281</v>
      </c>
      <c r="L193" s="48">
        <f t="shared" si="42"/>
        <v>1.34511125821281</v>
      </c>
      <c r="M193" s="49">
        <v>211100</v>
      </c>
      <c r="N193" s="49">
        <v>222200</v>
      </c>
      <c r="O193" s="49">
        <v>15956260</v>
      </c>
      <c r="P193" s="49">
        <f t="shared" si="43"/>
        <v>27.234779000652601</v>
      </c>
      <c r="Q193" s="49">
        <f t="shared" si="44"/>
        <v>27.234779000652601</v>
      </c>
      <c r="R193" s="48">
        <v>0</v>
      </c>
      <c r="S193" s="48"/>
      <c r="T193" s="48">
        <v>0</v>
      </c>
      <c r="U193" s="48">
        <v>0</v>
      </c>
      <c r="V193" s="48"/>
      <c r="W193" s="49">
        <v>1</v>
      </c>
      <c r="X193" s="49">
        <v>1</v>
      </c>
      <c r="Y193" s="49">
        <v>100000000</v>
      </c>
      <c r="Z193" s="49">
        <f t="shared" si="45"/>
        <v>1365114.194686</v>
      </c>
      <c r="AA193" s="49">
        <f t="shared" si="46"/>
        <v>1365114.194686</v>
      </c>
      <c r="AB193" s="82">
        <f t="shared" si="35"/>
        <v>0</v>
      </c>
      <c r="AC193" s="82">
        <f t="shared" si="36"/>
        <v>293290345052745.87</v>
      </c>
      <c r="AD193" s="81">
        <f t="shared" si="34"/>
        <v>327655902513465.44</v>
      </c>
      <c r="AE193" s="80">
        <f t="shared" si="37"/>
        <v>1117.1724812643909</v>
      </c>
      <c r="AF193" s="52">
        <f t="shared" si="47"/>
        <v>1.9659359888358062E-2</v>
      </c>
      <c r="AG193" s="48">
        <f t="shared" si="38"/>
        <v>2.0881670533642691E-2</v>
      </c>
      <c r="AH193" s="48">
        <f t="shared" si="48"/>
        <v>1.1049723756906077E-2</v>
      </c>
      <c r="AI193" s="48">
        <f t="shared" si="49"/>
        <v>5.2581714827096164E-2</v>
      </c>
      <c r="AJ193" s="48">
        <f t="shared" si="50"/>
        <v>0</v>
      </c>
    </row>
    <row r="194" spans="1:36" x14ac:dyDescent="0.3">
      <c r="A194" s="48">
        <v>20181015</v>
      </c>
      <c r="B194" s="48" t="s">
        <v>88</v>
      </c>
      <c r="C194" s="49">
        <v>44000</v>
      </c>
      <c r="D194" s="49">
        <v>43800</v>
      </c>
      <c r="E194" s="49">
        <v>6419324700</v>
      </c>
      <c r="F194" s="49">
        <f t="shared" si="39"/>
        <v>0.170946124192833</v>
      </c>
      <c r="G194" s="49">
        <f t="shared" si="40"/>
        <v>0.170946124192833</v>
      </c>
      <c r="H194" s="48">
        <v>274500</v>
      </c>
      <c r="I194" s="48">
        <v>261500</v>
      </c>
      <c r="J194" s="51">
        <v>125395903</v>
      </c>
      <c r="K194" s="48">
        <f t="shared" si="41"/>
        <v>1.34511125821281</v>
      </c>
      <c r="L194" s="48">
        <f t="shared" si="42"/>
        <v>1.34511125821281</v>
      </c>
      <c r="M194" s="49">
        <v>222200</v>
      </c>
      <c r="N194" s="49">
        <v>210000</v>
      </c>
      <c r="O194" s="49">
        <v>15956260</v>
      </c>
      <c r="P194" s="49">
        <f t="shared" si="43"/>
        <v>27.234779000652601</v>
      </c>
      <c r="Q194" s="49">
        <f t="shared" si="44"/>
        <v>27.234779000652601</v>
      </c>
      <c r="R194" s="48">
        <v>0</v>
      </c>
      <c r="S194" s="48"/>
      <c r="T194" s="48">
        <v>0</v>
      </c>
      <c r="U194" s="48">
        <v>0</v>
      </c>
      <c r="V194" s="48"/>
      <c r="W194" s="49">
        <v>1</v>
      </c>
      <c r="X194" s="49">
        <v>1</v>
      </c>
      <c r="Y194" s="49">
        <v>100000000</v>
      </c>
      <c r="Z194" s="49">
        <f t="shared" si="45"/>
        <v>1365114.194686</v>
      </c>
      <c r="AA194" s="49">
        <f t="shared" si="46"/>
        <v>1365114.194686</v>
      </c>
      <c r="AB194" s="82">
        <f t="shared" si="35"/>
        <v>0</v>
      </c>
      <c r="AC194" s="82">
        <f t="shared" si="36"/>
        <v>293290345052745.87</v>
      </c>
      <c r="AD194" s="81">
        <f t="shared" si="34"/>
        <v>319942006426538.75</v>
      </c>
      <c r="AE194" s="80">
        <f t="shared" si="37"/>
        <v>1090.8712537707295</v>
      </c>
      <c r="AF194" s="52">
        <f t="shared" si="47"/>
        <v>-2.3542673969102989E-2</v>
      </c>
      <c r="AG194" s="48">
        <f t="shared" si="38"/>
        <v>-4.5454545454545452E-3</v>
      </c>
      <c r="AH194" s="48">
        <f t="shared" si="48"/>
        <v>-4.7358834244080147E-2</v>
      </c>
      <c r="AI194" s="48">
        <f t="shared" si="49"/>
        <v>-5.4905490549054907E-2</v>
      </c>
      <c r="AJ194" s="48">
        <f t="shared" si="50"/>
        <v>0</v>
      </c>
    </row>
    <row r="195" spans="1:36" x14ac:dyDescent="0.3">
      <c r="A195" s="48">
        <v>20181016</v>
      </c>
      <c r="B195" s="48" t="s">
        <v>88</v>
      </c>
      <c r="C195" s="49">
        <v>43800</v>
      </c>
      <c r="D195" s="49">
        <v>43600</v>
      </c>
      <c r="E195" s="49">
        <v>6419324700</v>
      </c>
      <c r="F195" s="49">
        <f t="shared" si="39"/>
        <v>0.170946124192833</v>
      </c>
      <c r="G195" s="49">
        <f t="shared" si="40"/>
        <v>0.170946124192833</v>
      </c>
      <c r="H195" s="48">
        <v>261500</v>
      </c>
      <c r="I195" s="48">
        <v>262000</v>
      </c>
      <c r="J195" s="51">
        <v>125395903</v>
      </c>
      <c r="K195" s="48">
        <f t="shared" si="41"/>
        <v>1.34511125821281</v>
      </c>
      <c r="L195" s="48">
        <f t="shared" si="42"/>
        <v>1.34511125821281</v>
      </c>
      <c r="M195" s="49">
        <v>210000</v>
      </c>
      <c r="N195" s="49">
        <v>216000</v>
      </c>
      <c r="O195" s="49">
        <v>15956260</v>
      </c>
      <c r="P195" s="49">
        <f t="shared" si="43"/>
        <v>27.234779000652601</v>
      </c>
      <c r="Q195" s="49">
        <f t="shared" si="44"/>
        <v>27.234779000652601</v>
      </c>
      <c r="R195" s="48">
        <v>0</v>
      </c>
      <c r="S195" s="48"/>
      <c r="T195" s="48">
        <v>0</v>
      </c>
      <c r="U195" s="48">
        <v>0</v>
      </c>
      <c r="V195" s="48"/>
      <c r="W195" s="49">
        <v>1</v>
      </c>
      <c r="X195" s="49">
        <v>1</v>
      </c>
      <c r="Y195" s="49">
        <v>100000000</v>
      </c>
      <c r="Z195" s="49">
        <f t="shared" si="45"/>
        <v>1365114.194686</v>
      </c>
      <c r="AA195" s="49">
        <f t="shared" si="46"/>
        <v>1365114.194686</v>
      </c>
      <c r="AB195" s="82">
        <f t="shared" si="35"/>
        <v>0</v>
      </c>
      <c r="AC195" s="82">
        <f t="shared" si="36"/>
        <v>293290345052745.87</v>
      </c>
      <c r="AD195" s="81">
        <f t="shared" ref="AD195:AD247" si="51">D195*E195*G195+I195*J195*L195+N195*O195*Q195+X195*Y195*AA195</f>
        <v>322414261700149.94</v>
      </c>
      <c r="AE195" s="80">
        <f t="shared" si="37"/>
        <v>1099.300632082404</v>
      </c>
      <c r="AF195" s="52">
        <f t="shared" si="47"/>
        <v>7.7271981295110497E-3</v>
      </c>
      <c r="AG195" s="48">
        <f t="shared" si="38"/>
        <v>-4.5662100456621002E-3</v>
      </c>
      <c r="AH195" s="48">
        <f t="shared" si="48"/>
        <v>1.9120458891013384E-3</v>
      </c>
      <c r="AI195" s="48">
        <f t="shared" si="49"/>
        <v>2.8571428571428571E-2</v>
      </c>
      <c r="AJ195" s="48">
        <f t="shared" si="50"/>
        <v>0</v>
      </c>
    </row>
    <row r="196" spans="1:36" x14ac:dyDescent="0.3">
      <c r="A196" s="48">
        <v>20181017</v>
      </c>
      <c r="B196" s="48" t="s">
        <v>88</v>
      </c>
      <c r="C196" s="49">
        <v>43600</v>
      </c>
      <c r="D196" s="49">
        <v>44150</v>
      </c>
      <c r="E196" s="49">
        <v>6419324700</v>
      </c>
      <c r="F196" s="49">
        <f t="shared" si="39"/>
        <v>0.170946124192833</v>
      </c>
      <c r="G196" s="49">
        <f t="shared" si="40"/>
        <v>0.170946124192833</v>
      </c>
      <c r="H196" s="48">
        <v>262000</v>
      </c>
      <c r="I196" s="48">
        <v>265500</v>
      </c>
      <c r="J196" s="51">
        <v>125395903</v>
      </c>
      <c r="K196" s="48">
        <f t="shared" si="41"/>
        <v>1.34511125821281</v>
      </c>
      <c r="L196" s="48">
        <f t="shared" si="42"/>
        <v>1.34511125821281</v>
      </c>
      <c r="M196" s="49">
        <v>216000</v>
      </c>
      <c r="N196" s="49">
        <v>217500</v>
      </c>
      <c r="O196" s="49">
        <v>15956260</v>
      </c>
      <c r="P196" s="49">
        <f t="shared" si="43"/>
        <v>27.234779000652601</v>
      </c>
      <c r="Q196" s="49">
        <f t="shared" si="44"/>
        <v>27.234779000652601</v>
      </c>
      <c r="R196" s="48">
        <v>0</v>
      </c>
      <c r="S196" s="48"/>
      <c r="T196" s="48">
        <v>0</v>
      </c>
      <c r="U196" s="48">
        <v>0</v>
      </c>
      <c r="V196" s="48"/>
      <c r="W196" s="49">
        <v>1</v>
      </c>
      <c r="X196" s="49">
        <v>1</v>
      </c>
      <c r="Y196" s="49">
        <v>100000000</v>
      </c>
      <c r="Z196" s="49">
        <f t="shared" si="45"/>
        <v>1365114.194686</v>
      </c>
      <c r="AA196" s="49">
        <f t="shared" si="46"/>
        <v>1365114.194686</v>
      </c>
      <c r="AB196" s="82">
        <f t="shared" ref="AB196:AB247" si="52">IF(AD195&lt;&gt;(C196*E196*F196+H196*J196*K196+M196*O196*P196+W196*Y196*Z196),1,0)</f>
        <v>0</v>
      </c>
      <c r="AC196" s="82">
        <f t="shared" ref="AC196:AC247" si="53">IF(AND(AB196=0,B196="N"),AC195,AC195*(C196*E196*G196+H196*J196*L196+M196*O196*Q196+W196*Y196*AA196)/AD195)</f>
        <v>293290345052745.87</v>
      </c>
      <c r="AD196" s="81">
        <f t="shared" si="51"/>
        <v>324260006837892.25</v>
      </c>
      <c r="AE196" s="80">
        <f t="shared" ref="AE196:AE259" si="54">AD196/AC196*1000</f>
        <v>1105.5938673316257</v>
      </c>
      <c r="AF196" s="52">
        <f t="shared" si="47"/>
        <v>5.7247626950785819E-3</v>
      </c>
      <c r="AG196" s="48">
        <f t="shared" ref="AG196:AG259" si="55">(D196-C196)/C196</f>
        <v>1.261467889908257E-2</v>
      </c>
      <c r="AH196" s="48">
        <f t="shared" si="48"/>
        <v>1.3358778625954198E-2</v>
      </c>
      <c r="AI196" s="48">
        <f t="shared" si="49"/>
        <v>6.9444444444444441E-3</v>
      </c>
      <c r="AJ196" s="48">
        <f t="shared" si="50"/>
        <v>0</v>
      </c>
    </row>
    <row r="197" spans="1:36" x14ac:dyDescent="0.3">
      <c r="A197" s="48">
        <v>20181018</v>
      </c>
      <c r="B197" s="48" t="s">
        <v>88</v>
      </c>
      <c r="C197" s="49">
        <v>44150</v>
      </c>
      <c r="D197" s="49">
        <v>44050</v>
      </c>
      <c r="E197" s="49">
        <v>6419324700</v>
      </c>
      <c r="F197" s="49">
        <f t="shared" ref="F197:F260" si="56">G196</f>
        <v>0.170946124192833</v>
      </c>
      <c r="G197" s="49">
        <f t="shared" ref="G197:G247" si="57">IF(B197="Y",ROUND(0.15*(C197*E197+H197*J197+M197*O197+W197*Y197)/(C197*E197),17),IF(AB197=0,F197,ROUND(D196*E196*G196/AD196*(C197*E197+H197*J197+M197*O197+W197*Y197)/(C197*E197),17)))</f>
        <v>0.170946124192833</v>
      </c>
      <c r="H197" s="48">
        <v>265500</v>
      </c>
      <c r="I197" s="48">
        <v>260500</v>
      </c>
      <c r="J197" s="51">
        <v>125395903</v>
      </c>
      <c r="K197" s="48">
        <f t="shared" ref="K197:K260" si="58">L196</f>
        <v>1.34511125821281</v>
      </c>
      <c r="L197" s="48">
        <f t="shared" ref="L197:L247" si="59">IF(B197="Y",ROUND(0.15*(C197*E197+H197*J197+M197*O197+W197*Y197)/(H197*J197),17),IF(AB197=0,K197,ROUND(I196*J196*L196/AD196*(C197*E197+H197*J197+M197*O197+W197*Y197)/(H197*J197),17)))</f>
        <v>1.34511125821281</v>
      </c>
      <c r="M197" s="49">
        <v>217500</v>
      </c>
      <c r="N197" s="49">
        <v>213700</v>
      </c>
      <c r="O197" s="49">
        <v>15956260</v>
      </c>
      <c r="P197" s="49">
        <f t="shared" ref="P197:P260" si="60">Q196</f>
        <v>27.234779000652601</v>
      </c>
      <c r="Q197" s="49">
        <f t="shared" ref="Q197:Q247" si="61">IF(B197="Y",ROUND(0.3*(C197*E197+H197*J197+M197*O197+W197*Y197)/(M197*O197),17),IF(AB197=0,P197,ROUND(N196*O196*Q196/AD196*(C197*E197+H197*J197+M197*O197+W197*Y197)/(M197*O197),17)))</f>
        <v>27.234779000652601</v>
      </c>
      <c r="R197" s="48">
        <v>0</v>
      </c>
      <c r="S197" s="48"/>
      <c r="T197" s="48">
        <v>0</v>
      </c>
      <c r="U197" s="48">
        <v>0</v>
      </c>
      <c r="V197" s="48"/>
      <c r="W197" s="49">
        <v>1</v>
      </c>
      <c r="X197" s="49">
        <v>1</v>
      </c>
      <c r="Y197" s="49">
        <v>100000000</v>
      </c>
      <c r="Z197" s="49">
        <f t="shared" ref="Z197:Z260" si="62">AA196</f>
        <v>1365114.194686</v>
      </c>
      <c r="AA197" s="49">
        <f t="shared" ref="AA197:AA247" si="63">IF(B197="Y",ROUND(0.4*(C197*E197+H197*J197+M197*O197+W197*Y197)/(W197*Y197),17),IF(AB197=0,Z197,ROUND(X196*Y196*AA196/AD196*(C197*E197+H197*J197+M197*O197+W197*Y197)/(W197*Y197),17)))</f>
        <v>1365114.194686</v>
      </c>
      <c r="AB197" s="82">
        <f t="shared" si="52"/>
        <v>0</v>
      </c>
      <c r="AC197" s="82">
        <f t="shared" si="53"/>
        <v>293290345052745.87</v>
      </c>
      <c r="AD197" s="81">
        <f t="shared" si="51"/>
        <v>321655565949704.5</v>
      </c>
      <c r="AE197" s="80">
        <f t="shared" si="54"/>
        <v>1096.7137901926415</v>
      </c>
      <c r="AF197" s="52">
        <f t="shared" ref="AF197:AF260" si="64">(AE197-AE196)/AE196</f>
        <v>-8.0319522397645799E-3</v>
      </c>
      <c r="AG197" s="48">
        <f t="shared" si="55"/>
        <v>-2.2650056625141564E-3</v>
      </c>
      <c r="AH197" s="48">
        <f t="shared" ref="AH197:AH260" si="65">(I197-H197)/H197</f>
        <v>-1.8832391713747645E-2</v>
      </c>
      <c r="AI197" s="48">
        <f t="shared" ref="AI197:AI260" si="66">(N197-M197)/M197</f>
        <v>-1.747126436781609E-2</v>
      </c>
      <c r="AJ197" s="48">
        <f t="shared" ref="AJ197:AJ260" si="67">(X197-W197)/X197</f>
        <v>0</v>
      </c>
    </row>
    <row r="198" spans="1:36" x14ac:dyDescent="0.3">
      <c r="A198" s="48">
        <v>20181019</v>
      </c>
      <c r="B198" s="48" t="s">
        <v>88</v>
      </c>
      <c r="C198" s="49">
        <v>44050</v>
      </c>
      <c r="D198" s="49">
        <v>43900</v>
      </c>
      <c r="E198" s="49">
        <v>6419324700</v>
      </c>
      <c r="F198" s="49">
        <f t="shared" si="56"/>
        <v>0.170946124192833</v>
      </c>
      <c r="G198" s="49">
        <f t="shared" si="57"/>
        <v>0.170946124192833</v>
      </c>
      <c r="H198" s="48">
        <v>260500</v>
      </c>
      <c r="I198" s="48">
        <v>273000</v>
      </c>
      <c r="J198" s="51">
        <v>125395903</v>
      </c>
      <c r="K198" s="48">
        <f t="shared" si="58"/>
        <v>1.34511125821281</v>
      </c>
      <c r="L198" s="48">
        <f t="shared" si="59"/>
        <v>1.34511125821281</v>
      </c>
      <c r="M198" s="49">
        <v>213700</v>
      </c>
      <c r="N198" s="49">
        <v>224200</v>
      </c>
      <c r="O198" s="49">
        <v>15956260</v>
      </c>
      <c r="P198" s="49">
        <f t="shared" si="60"/>
        <v>27.234779000652601</v>
      </c>
      <c r="Q198" s="49">
        <f t="shared" si="61"/>
        <v>27.234779000652601</v>
      </c>
      <c r="R198" s="48">
        <v>0</v>
      </c>
      <c r="S198" s="48"/>
      <c r="T198" s="48">
        <v>0</v>
      </c>
      <c r="U198" s="48">
        <v>0</v>
      </c>
      <c r="V198" s="48"/>
      <c r="W198" s="49">
        <v>1</v>
      </c>
      <c r="X198" s="49">
        <v>1</v>
      </c>
      <c r="Y198" s="49">
        <v>100000000</v>
      </c>
      <c r="Z198" s="49">
        <f t="shared" si="62"/>
        <v>1365114.194686</v>
      </c>
      <c r="AA198" s="49">
        <f t="shared" si="63"/>
        <v>1365114.194686</v>
      </c>
      <c r="AB198" s="82">
        <f t="shared" si="52"/>
        <v>0</v>
      </c>
      <c r="AC198" s="82">
        <f t="shared" si="53"/>
        <v>293290345052745.87</v>
      </c>
      <c r="AD198" s="81">
        <f t="shared" si="51"/>
        <v>328162289913990.75</v>
      </c>
      <c r="AE198" s="80">
        <f t="shared" si="54"/>
        <v>1118.8990549790292</v>
      </c>
      <c r="AF198" s="52">
        <f t="shared" si="64"/>
        <v>2.0228855499747858E-2</v>
      </c>
      <c r="AG198" s="48">
        <f t="shared" si="55"/>
        <v>-3.4052213393870601E-3</v>
      </c>
      <c r="AH198" s="48">
        <f t="shared" si="65"/>
        <v>4.7984644913627639E-2</v>
      </c>
      <c r="AI198" s="48">
        <f t="shared" si="66"/>
        <v>4.9134300421151147E-2</v>
      </c>
      <c r="AJ198" s="48">
        <f t="shared" si="67"/>
        <v>0</v>
      </c>
    </row>
    <row r="199" spans="1:36" x14ac:dyDescent="0.3">
      <c r="A199" s="48">
        <v>20181022</v>
      </c>
      <c r="B199" s="48" t="s">
        <v>88</v>
      </c>
      <c r="C199" s="49">
        <v>43900</v>
      </c>
      <c r="D199" s="49">
        <v>43550</v>
      </c>
      <c r="E199" s="49">
        <v>6419324700</v>
      </c>
      <c r="F199" s="49">
        <f t="shared" si="56"/>
        <v>0.170946124192833</v>
      </c>
      <c r="G199" s="49">
        <f t="shared" si="57"/>
        <v>0.170946124192833</v>
      </c>
      <c r="H199" s="48">
        <v>273000</v>
      </c>
      <c r="I199" s="48">
        <v>268500</v>
      </c>
      <c r="J199" s="51">
        <v>125395903</v>
      </c>
      <c r="K199" s="48">
        <f t="shared" si="58"/>
        <v>1.34511125821281</v>
      </c>
      <c r="L199" s="48">
        <f t="shared" si="59"/>
        <v>1.34511125821281</v>
      </c>
      <c r="M199" s="49">
        <v>224200</v>
      </c>
      <c r="N199" s="49">
        <v>224500</v>
      </c>
      <c r="O199" s="49">
        <v>15956260</v>
      </c>
      <c r="P199" s="49">
        <f t="shared" si="60"/>
        <v>27.234779000652601</v>
      </c>
      <c r="Q199" s="49">
        <f t="shared" si="61"/>
        <v>27.234779000652601</v>
      </c>
      <c r="R199" s="48">
        <v>0</v>
      </c>
      <c r="S199" s="48"/>
      <c r="T199" s="48">
        <v>0</v>
      </c>
      <c r="U199" s="48">
        <v>0</v>
      </c>
      <c r="V199" s="48"/>
      <c r="W199" s="49">
        <v>1</v>
      </c>
      <c r="X199" s="49">
        <v>1</v>
      </c>
      <c r="Y199" s="49">
        <v>100000000</v>
      </c>
      <c r="Z199" s="49">
        <f t="shared" si="62"/>
        <v>1365114.194686</v>
      </c>
      <c r="AA199" s="49">
        <f t="shared" si="63"/>
        <v>1365114.194686</v>
      </c>
      <c r="AB199" s="82">
        <f t="shared" si="52"/>
        <v>0</v>
      </c>
      <c r="AC199" s="82">
        <f t="shared" si="53"/>
        <v>293290345052745.87</v>
      </c>
      <c r="AD199" s="81">
        <f t="shared" si="51"/>
        <v>327149562457467.94</v>
      </c>
      <c r="AE199" s="80">
        <f t="shared" si="54"/>
        <v>1115.4460689752088</v>
      </c>
      <c r="AF199" s="52">
        <f t="shared" si="64"/>
        <v>-3.0860567702285344E-3</v>
      </c>
      <c r="AG199" s="48">
        <f t="shared" si="55"/>
        <v>-7.972665148063782E-3</v>
      </c>
      <c r="AH199" s="48">
        <f t="shared" si="65"/>
        <v>-1.6483516483516484E-2</v>
      </c>
      <c r="AI199" s="48">
        <f t="shared" si="66"/>
        <v>1.3380909901873326E-3</v>
      </c>
      <c r="AJ199" s="48">
        <f t="shared" si="67"/>
        <v>0</v>
      </c>
    </row>
    <row r="200" spans="1:36" x14ac:dyDescent="0.3">
      <c r="A200" s="48">
        <v>20181023</v>
      </c>
      <c r="B200" s="48" t="s">
        <v>88</v>
      </c>
      <c r="C200" s="49">
        <v>43550</v>
      </c>
      <c r="D200" s="49">
        <v>43050</v>
      </c>
      <c r="E200" s="49">
        <v>6419324700</v>
      </c>
      <c r="F200" s="49">
        <f t="shared" si="56"/>
        <v>0.170946124192833</v>
      </c>
      <c r="G200" s="49">
        <f t="shared" si="57"/>
        <v>0.170946124192833</v>
      </c>
      <c r="H200" s="48">
        <v>268500</v>
      </c>
      <c r="I200" s="48">
        <v>246500</v>
      </c>
      <c r="J200" s="51">
        <v>125395903</v>
      </c>
      <c r="K200" s="48">
        <f t="shared" si="58"/>
        <v>1.34511125821281</v>
      </c>
      <c r="L200" s="48">
        <f t="shared" si="59"/>
        <v>1.34511125821281</v>
      </c>
      <c r="M200" s="49">
        <v>224500</v>
      </c>
      <c r="N200" s="49">
        <v>215900</v>
      </c>
      <c r="O200" s="49">
        <v>15956260</v>
      </c>
      <c r="P200" s="49">
        <f t="shared" si="60"/>
        <v>27.234779000652601</v>
      </c>
      <c r="Q200" s="49">
        <f t="shared" si="61"/>
        <v>27.234779000652601</v>
      </c>
      <c r="R200" s="48">
        <v>0</v>
      </c>
      <c r="S200" s="48"/>
      <c r="T200" s="48">
        <v>0</v>
      </c>
      <c r="U200" s="48">
        <v>0</v>
      </c>
      <c r="V200" s="48"/>
      <c r="W200" s="49">
        <v>1</v>
      </c>
      <c r="X200" s="49">
        <v>1</v>
      </c>
      <c r="Y200" s="49">
        <v>100000000</v>
      </c>
      <c r="Z200" s="49">
        <f t="shared" si="62"/>
        <v>1365114.194686</v>
      </c>
      <c r="AA200" s="49">
        <f t="shared" si="63"/>
        <v>1365114.194686</v>
      </c>
      <c r="AB200" s="82">
        <f t="shared" si="52"/>
        <v>0</v>
      </c>
      <c r="AC200" s="82">
        <f t="shared" si="53"/>
        <v>293290345052745.87</v>
      </c>
      <c r="AD200" s="81">
        <f t="shared" si="51"/>
        <v>319152850572786.62</v>
      </c>
      <c r="AE200" s="80">
        <f t="shared" si="54"/>
        <v>1088.180555399427</v>
      </c>
      <c r="AF200" s="52">
        <f t="shared" si="64"/>
        <v>-2.4443596453597623E-2</v>
      </c>
      <c r="AG200" s="48">
        <f t="shared" si="55"/>
        <v>-1.1481056257175661E-2</v>
      </c>
      <c r="AH200" s="48">
        <f t="shared" si="65"/>
        <v>-8.1936685288640593E-2</v>
      </c>
      <c r="AI200" s="48">
        <f t="shared" si="66"/>
        <v>-3.8307349665924278E-2</v>
      </c>
      <c r="AJ200" s="48">
        <f t="shared" si="67"/>
        <v>0</v>
      </c>
    </row>
    <row r="201" spans="1:36" x14ac:dyDescent="0.3">
      <c r="A201" s="48">
        <v>20181024</v>
      </c>
      <c r="B201" s="48" t="s">
        <v>88</v>
      </c>
      <c r="C201" s="49">
        <v>43050</v>
      </c>
      <c r="D201" s="49">
        <v>42550</v>
      </c>
      <c r="E201" s="49">
        <v>6419324700</v>
      </c>
      <c r="F201" s="49">
        <f t="shared" si="56"/>
        <v>0.170946124192833</v>
      </c>
      <c r="G201" s="49">
        <f t="shared" si="57"/>
        <v>0.170946124192833</v>
      </c>
      <c r="H201" s="48">
        <v>246500</v>
      </c>
      <c r="I201" s="48">
        <v>225500</v>
      </c>
      <c r="J201" s="51">
        <v>125395903</v>
      </c>
      <c r="K201" s="48">
        <f t="shared" si="58"/>
        <v>1.34511125821281</v>
      </c>
      <c r="L201" s="48">
        <f t="shared" si="59"/>
        <v>1.34511125821281</v>
      </c>
      <c r="M201" s="49">
        <v>215900</v>
      </c>
      <c r="N201" s="49">
        <v>216700</v>
      </c>
      <c r="O201" s="49">
        <v>15956260</v>
      </c>
      <c r="P201" s="49">
        <f t="shared" si="60"/>
        <v>27.234779000652601</v>
      </c>
      <c r="Q201" s="49">
        <f t="shared" si="61"/>
        <v>27.234779000652601</v>
      </c>
      <c r="R201" s="48">
        <v>0</v>
      </c>
      <c r="S201" s="48"/>
      <c r="T201" s="48">
        <v>0</v>
      </c>
      <c r="U201" s="48">
        <v>0</v>
      </c>
      <c r="V201" s="48"/>
      <c r="W201" s="49">
        <v>1</v>
      </c>
      <c r="X201" s="49">
        <v>1</v>
      </c>
      <c r="Y201" s="49">
        <v>100000000</v>
      </c>
      <c r="Z201" s="49">
        <f t="shared" si="62"/>
        <v>1365114.194686</v>
      </c>
      <c r="AA201" s="49">
        <f t="shared" si="63"/>
        <v>1365114.194686</v>
      </c>
      <c r="AB201" s="82">
        <f t="shared" si="52"/>
        <v>0</v>
      </c>
      <c r="AC201" s="82">
        <f t="shared" si="53"/>
        <v>293290345052745.87</v>
      </c>
      <c r="AD201" s="81">
        <f t="shared" si="51"/>
        <v>315409723147867.75</v>
      </c>
      <c r="AE201" s="80">
        <f t="shared" si="54"/>
        <v>1075.4180233622892</v>
      </c>
      <c r="AF201" s="52">
        <f t="shared" si="64"/>
        <v>-1.1728322082040152E-2</v>
      </c>
      <c r="AG201" s="48">
        <f t="shared" si="55"/>
        <v>-1.1614401858304297E-2</v>
      </c>
      <c r="AH201" s="48">
        <f t="shared" si="65"/>
        <v>-8.5192697768762676E-2</v>
      </c>
      <c r="AI201" s="48">
        <f t="shared" si="66"/>
        <v>3.7054191755442334E-3</v>
      </c>
      <c r="AJ201" s="48">
        <f t="shared" si="67"/>
        <v>0</v>
      </c>
    </row>
    <row r="202" spans="1:36" x14ac:dyDescent="0.3">
      <c r="A202" s="48">
        <v>20181025</v>
      </c>
      <c r="B202" s="48" t="s">
        <v>88</v>
      </c>
      <c r="C202" s="49">
        <v>42550</v>
      </c>
      <c r="D202" s="49">
        <v>41000</v>
      </c>
      <c r="E202" s="49">
        <v>6419324700</v>
      </c>
      <c r="F202" s="49">
        <f t="shared" si="56"/>
        <v>0.170946124192833</v>
      </c>
      <c r="G202" s="49">
        <f t="shared" si="57"/>
        <v>0.170946124192833</v>
      </c>
      <c r="H202" s="48">
        <v>225500</v>
      </c>
      <c r="I202" s="48">
        <v>236500</v>
      </c>
      <c r="J202" s="51">
        <v>125395903</v>
      </c>
      <c r="K202" s="48">
        <f t="shared" si="58"/>
        <v>1.34511125821281</v>
      </c>
      <c r="L202" s="48">
        <f t="shared" si="59"/>
        <v>1.34511125821281</v>
      </c>
      <c r="M202" s="49">
        <v>216700</v>
      </c>
      <c r="N202" s="49">
        <v>203000</v>
      </c>
      <c r="O202" s="49">
        <v>15956260</v>
      </c>
      <c r="P202" s="49">
        <f t="shared" si="60"/>
        <v>27.234779000652601</v>
      </c>
      <c r="Q202" s="49">
        <f t="shared" si="61"/>
        <v>27.234779000652601</v>
      </c>
      <c r="R202" s="48">
        <v>0</v>
      </c>
      <c r="S202" s="48"/>
      <c r="T202" s="48">
        <v>0</v>
      </c>
      <c r="U202" s="48">
        <v>0</v>
      </c>
      <c r="V202" s="48"/>
      <c r="W202" s="49">
        <v>1</v>
      </c>
      <c r="X202" s="49">
        <v>1</v>
      </c>
      <c r="Y202" s="49">
        <v>100000000</v>
      </c>
      <c r="Z202" s="49">
        <f t="shared" si="62"/>
        <v>1365114.194686</v>
      </c>
      <c r="AA202" s="49">
        <f t="shared" si="63"/>
        <v>1365114.194686</v>
      </c>
      <c r="AB202" s="82">
        <f t="shared" si="52"/>
        <v>0</v>
      </c>
      <c r="AC202" s="82">
        <f t="shared" si="53"/>
        <v>293290345052745.87</v>
      </c>
      <c r="AD202" s="81">
        <f t="shared" si="51"/>
        <v>309610659604902.62</v>
      </c>
      <c r="AE202" s="80">
        <f t="shared" si="54"/>
        <v>1055.645590887834</v>
      </c>
      <c r="AF202" s="52">
        <f t="shared" si="64"/>
        <v>-1.8385810954364295E-2</v>
      </c>
      <c r="AG202" s="48">
        <f t="shared" si="55"/>
        <v>-3.6427732079905996E-2</v>
      </c>
      <c r="AH202" s="48">
        <f t="shared" si="65"/>
        <v>4.878048780487805E-2</v>
      </c>
      <c r="AI202" s="48">
        <f t="shared" si="66"/>
        <v>-6.3221042916474388E-2</v>
      </c>
      <c r="AJ202" s="48">
        <f t="shared" si="67"/>
        <v>0</v>
      </c>
    </row>
    <row r="203" spans="1:36" x14ac:dyDescent="0.3">
      <c r="A203" s="48">
        <v>20181026</v>
      </c>
      <c r="B203" s="48" t="s">
        <v>88</v>
      </c>
      <c r="C203" s="49">
        <v>41000</v>
      </c>
      <c r="D203" s="49">
        <v>41000</v>
      </c>
      <c r="E203" s="49">
        <v>6419324700</v>
      </c>
      <c r="F203" s="49">
        <f t="shared" si="56"/>
        <v>0.170946124192833</v>
      </c>
      <c r="G203" s="49">
        <f t="shared" si="57"/>
        <v>0.170946124192833</v>
      </c>
      <c r="H203" s="48">
        <v>236500</v>
      </c>
      <c r="I203" s="48">
        <v>228000</v>
      </c>
      <c r="J203" s="51">
        <v>125395903</v>
      </c>
      <c r="K203" s="48">
        <f t="shared" si="58"/>
        <v>1.34511125821281</v>
      </c>
      <c r="L203" s="48">
        <f t="shared" si="59"/>
        <v>1.34511125821281</v>
      </c>
      <c r="M203" s="49">
        <v>203000</v>
      </c>
      <c r="N203" s="49">
        <v>194900</v>
      </c>
      <c r="O203" s="49">
        <v>15956260</v>
      </c>
      <c r="P203" s="49">
        <f t="shared" si="60"/>
        <v>27.234779000652601</v>
      </c>
      <c r="Q203" s="49">
        <f t="shared" si="61"/>
        <v>27.234779000652601</v>
      </c>
      <c r="R203" s="48">
        <v>0</v>
      </c>
      <c r="S203" s="48"/>
      <c r="T203" s="48">
        <v>0</v>
      </c>
      <c r="U203" s="48">
        <v>0</v>
      </c>
      <c r="V203" s="48"/>
      <c r="W203" s="49">
        <v>1</v>
      </c>
      <c r="X203" s="49">
        <v>1</v>
      </c>
      <c r="Y203" s="49">
        <v>100000000</v>
      </c>
      <c r="Z203" s="49">
        <f t="shared" si="62"/>
        <v>1365114.194686</v>
      </c>
      <c r="AA203" s="49">
        <f t="shared" si="63"/>
        <v>1365114.194686</v>
      </c>
      <c r="AB203" s="82">
        <f t="shared" si="52"/>
        <v>0</v>
      </c>
      <c r="AC203" s="82">
        <f t="shared" si="53"/>
        <v>293290345052745.87</v>
      </c>
      <c r="AD203" s="81">
        <f t="shared" si="51"/>
        <v>304656974117907.31</v>
      </c>
      <c r="AE203" s="80">
        <f t="shared" si="54"/>
        <v>1038.7555514761907</v>
      </c>
      <c r="AF203" s="52">
        <f t="shared" si="64"/>
        <v>-1.5999725246271551E-2</v>
      </c>
      <c r="AG203" s="48">
        <f t="shared" si="55"/>
        <v>0</v>
      </c>
      <c r="AH203" s="48">
        <f t="shared" si="65"/>
        <v>-3.5940803382663845E-2</v>
      </c>
      <c r="AI203" s="48">
        <f t="shared" si="66"/>
        <v>-3.9901477832512314E-2</v>
      </c>
      <c r="AJ203" s="48">
        <f t="shared" si="67"/>
        <v>0</v>
      </c>
    </row>
    <row r="204" spans="1:36" x14ac:dyDescent="0.3">
      <c r="A204" s="48">
        <v>20181029</v>
      </c>
      <c r="B204" s="48" t="s">
        <v>88</v>
      </c>
      <c r="C204" s="49">
        <v>41000</v>
      </c>
      <c r="D204" s="49">
        <v>41400</v>
      </c>
      <c r="E204" s="49">
        <v>6419324700</v>
      </c>
      <c r="F204" s="49">
        <f t="shared" si="56"/>
        <v>0.170946124192833</v>
      </c>
      <c r="G204" s="49">
        <f t="shared" si="57"/>
        <v>0.170946124192833</v>
      </c>
      <c r="H204" s="48">
        <v>228000</v>
      </c>
      <c r="I204" s="48">
        <v>218000</v>
      </c>
      <c r="J204" s="51">
        <v>125395903</v>
      </c>
      <c r="K204" s="48">
        <f t="shared" si="58"/>
        <v>1.34511125821281</v>
      </c>
      <c r="L204" s="48">
        <f t="shared" si="59"/>
        <v>1.34511125821281</v>
      </c>
      <c r="M204" s="49">
        <v>194900</v>
      </c>
      <c r="N204" s="49">
        <v>181800</v>
      </c>
      <c r="O204" s="49">
        <v>15956260</v>
      </c>
      <c r="P204" s="49">
        <f t="shared" si="60"/>
        <v>27.234779000652601</v>
      </c>
      <c r="Q204" s="49">
        <f t="shared" si="61"/>
        <v>27.234779000652601</v>
      </c>
      <c r="R204" s="48">
        <v>0</v>
      </c>
      <c r="S204" s="48"/>
      <c r="T204" s="48">
        <v>0</v>
      </c>
      <c r="U204" s="48">
        <v>0</v>
      </c>
      <c r="V204" s="48"/>
      <c r="W204" s="49">
        <v>1</v>
      </c>
      <c r="X204" s="49">
        <v>1</v>
      </c>
      <c r="Y204" s="49">
        <v>100000000</v>
      </c>
      <c r="Z204" s="49">
        <f t="shared" si="62"/>
        <v>1365114.194686</v>
      </c>
      <c r="AA204" s="49">
        <f t="shared" si="63"/>
        <v>1365114.194686</v>
      </c>
      <c r="AB204" s="82">
        <f t="shared" si="52"/>
        <v>0</v>
      </c>
      <c r="AC204" s="82">
        <f t="shared" si="53"/>
        <v>293290345052745.87</v>
      </c>
      <c r="AD204" s="81">
        <f t="shared" si="51"/>
        <v>297716398866698.75</v>
      </c>
      <c r="AE204" s="80">
        <f t="shared" si="54"/>
        <v>1015.0910314253845</v>
      </c>
      <c r="AF204" s="52">
        <f t="shared" si="64"/>
        <v>-2.2781606333825352E-2</v>
      </c>
      <c r="AG204" s="48">
        <f t="shared" si="55"/>
        <v>9.7560975609756097E-3</v>
      </c>
      <c r="AH204" s="48">
        <f t="shared" si="65"/>
        <v>-4.3859649122807015E-2</v>
      </c>
      <c r="AI204" s="48">
        <f t="shared" si="66"/>
        <v>-6.7213955874807593E-2</v>
      </c>
      <c r="AJ204" s="48">
        <f t="shared" si="67"/>
        <v>0</v>
      </c>
    </row>
    <row r="205" spans="1:36" x14ac:dyDescent="0.3">
      <c r="A205" s="48">
        <v>20181030</v>
      </c>
      <c r="B205" s="48" t="s">
        <v>88</v>
      </c>
      <c r="C205" s="49">
        <v>41400</v>
      </c>
      <c r="D205" s="49">
        <v>42350</v>
      </c>
      <c r="E205" s="49">
        <v>6419324700</v>
      </c>
      <c r="F205" s="49">
        <f t="shared" si="56"/>
        <v>0.170946124192833</v>
      </c>
      <c r="G205" s="49">
        <f t="shared" si="57"/>
        <v>0.170946124192833</v>
      </c>
      <c r="H205" s="48">
        <v>218000</v>
      </c>
      <c r="I205" s="48">
        <v>225500</v>
      </c>
      <c r="J205" s="51">
        <v>125395903</v>
      </c>
      <c r="K205" s="48">
        <f t="shared" si="58"/>
        <v>1.34511125821281</v>
      </c>
      <c r="L205" s="48">
        <f t="shared" si="59"/>
        <v>1.34511125821281</v>
      </c>
      <c r="M205" s="49">
        <v>181800</v>
      </c>
      <c r="N205" s="49">
        <v>190500</v>
      </c>
      <c r="O205" s="49">
        <v>15956260</v>
      </c>
      <c r="P205" s="49">
        <f t="shared" si="60"/>
        <v>27.234779000652601</v>
      </c>
      <c r="Q205" s="49">
        <f t="shared" si="61"/>
        <v>27.234779000652601</v>
      </c>
      <c r="R205" s="48">
        <v>0</v>
      </c>
      <c r="S205" s="48"/>
      <c r="T205" s="48">
        <v>0</v>
      </c>
      <c r="U205" s="48">
        <v>0</v>
      </c>
      <c r="V205" s="48"/>
      <c r="W205" s="49">
        <v>1</v>
      </c>
      <c r="X205" s="49">
        <v>1</v>
      </c>
      <c r="Y205" s="49">
        <v>100000000</v>
      </c>
      <c r="Z205" s="49">
        <f t="shared" si="62"/>
        <v>1365114.194686</v>
      </c>
      <c r="AA205" s="49">
        <f t="shared" si="63"/>
        <v>1365114.194686</v>
      </c>
      <c r="AB205" s="82">
        <f t="shared" si="52"/>
        <v>0</v>
      </c>
      <c r="AC205" s="82">
        <f t="shared" si="53"/>
        <v>293290345052745.87</v>
      </c>
      <c r="AD205" s="81">
        <f t="shared" si="51"/>
        <v>303804642785231.5</v>
      </c>
      <c r="AE205" s="80">
        <f t="shared" si="54"/>
        <v>1035.8494505865672</v>
      </c>
      <c r="AF205" s="52">
        <f t="shared" si="64"/>
        <v>2.0449810429350221E-2</v>
      </c>
      <c r="AG205" s="48">
        <f t="shared" si="55"/>
        <v>2.2946859903381644E-2</v>
      </c>
      <c r="AH205" s="48">
        <f t="shared" si="65"/>
        <v>3.4403669724770644E-2</v>
      </c>
      <c r="AI205" s="48">
        <f t="shared" si="66"/>
        <v>4.7854785478547858E-2</v>
      </c>
      <c r="AJ205" s="48">
        <f t="shared" si="67"/>
        <v>0</v>
      </c>
    </row>
    <row r="206" spans="1:36" x14ac:dyDescent="0.3">
      <c r="A206" s="48">
        <v>20181031</v>
      </c>
      <c r="B206" s="48" t="s">
        <v>88</v>
      </c>
      <c r="C206" s="49">
        <v>42350</v>
      </c>
      <c r="D206" s="49">
        <v>42400</v>
      </c>
      <c r="E206" s="49">
        <v>6419324700</v>
      </c>
      <c r="F206" s="49">
        <f t="shared" si="56"/>
        <v>0.170946124192833</v>
      </c>
      <c r="G206" s="49">
        <f t="shared" si="57"/>
        <v>0.170946124192833</v>
      </c>
      <c r="H206" s="48">
        <v>225500</v>
      </c>
      <c r="I206" s="48">
        <v>217500</v>
      </c>
      <c r="J206" s="51">
        <v>125395903</v>
      </c>
      <c r="K206" s="48">
        <f t="shared" si="58"/>
        <v>1.34511125821281</v>
      </c>
      <c r="L206" s="48">
        <f t="shared" si="59"/>
        <v>1.34511125821281</v>
      </c>
      <c r="M206" s="49">
        <v>190500</v>
      </c>
      <c r="N206" s="49">
        <v>186300</v>
      </c>
      <c r="O206" s="49">
        <v>15956260</v>
      </c>
      <c r="P206" s="49">
        <f t="shared" si="60"/>
        <v>27.234779000652601</v>
      </c>
      <c r="Q206" s="49">
        <f t="shared" si="61"/>
        <v>27.234779000652601</v>
      </c>
      <c r="R206" s="48">
        <v>0</v>
      </c>
      <c r="S206" s="48"/>
      <c r="T206" s="48">
        <v>0</v>
      </c>
      <c r="U206" s="48">
        <v>0</v>
      </c>
      <c r="V206" s="48"/>
      <c r="W206" s="49">
        <v>1</v>
      </c>
      <c r="X206" s="49">
        <v>1</v>
      </c>
      <c r="Y206" s="49">
        <v>100000000</v>
      </c>
      <c r="Z206" s="49">
        <f t="shared" si="62"/>
        <v>1365114.194686</v>
      </c>
      <c r="AA206" s="49">
        <f t="shared" si="63"/>
        <v>1365114.194686</v>
      </c>
      <c r="AB206" s="82">
        <f t="shared" si="52"/>
        <v>0</v>
      </c>
      <c r="AC206" s="82">
        <f t="shared" si="53"/>
        <v>293290345052745.87</v>
      </c>
      <c r="AD206" s="81">
        <f t="shared" si="51"/>
        <v>300684965290165.81</v>
      </c>
      <c r="AE206" s="80">
        <f t="shared" si="54"/>
        <v>1025.2126275622545</v>
      </c>
      <c r="AF206" s="52">
        <f t="shared" si="64"/>
        <v>-1.0268695917432192E-2</v>
      </c>
      <c r="AG206" s="48">
        <f t="shared" si="55"/>
        <v>1.1806375442739079E-3</v>
      </c>
      <c r="AH206" s="48">
        <f t="shared" si="65"/>
        <v>-3.5476718403547672E-2</v>
      </c>
      <c r="AI206" s="48">
        <f t="shared" si="66"/>
        <v>-2.2047244094488189E-2</v>
      </c>
      <c r="AJ206" s="48">
        <f t="shared" si="67"/>
        <v>0</v>
      </c>
    </row>
    <row r="207" spans="1:36" x14ac:dyDescent="0.3">
      <c r="A207" s="48">
        <v>20181101</v>
      </c>
      <c r="B207" s="48" t="s">
        <v>88</v>
      </c>
      <c r="C207" s="49">
        <v>42400</v>
      </c>
      <c r="D207" s="49">
        <v>42150</v>
      </c>
      <c r="E207" s="49">
        <v>6419324700</v>
      </c>
      <c r="F207" s="49">
        <f t="shared" si="56"/>
        <v>0.170946124192833</v>
      </c>
      <c r="G207" s="49">
        <f t="shared" si="57"/>
        <v>0.170946124192833</v>
      </c>
      <c r="H207" s="48">
        <v>217500</v>
      </c>
      <c r="I207" s="48">
        <v>227500</v>
      </c>
      <c r="J207" s="51">
        <v>125395903</v>
      </c>
      <c r="K207" s="48">
        <f t="shared" si="58"/>
        <v>1.34511125821281</v>
      </c>
      <c r="L207" s="48">
        <f t="shared" si="59"/>
        <v>1.34511125821281</v>
      </c>
      <c r="M207" s="49">
        <v>186300</v>
      </c>
      <c r="N207" s="49">
        <v>183000</v>
      </c>
      <c r="O207" s="49">
        <v>15956260</v>
      </c>
      <c r="P207" s="49">
        <f t="shared" si="60"/>
        <v>27.234779000652601</v>
      </c>
      <c r="Q207" s="49">
        <f t="shared" si="61"/>
        <v>27.234779000652601</v>
      </c>
      <c r="R207" s="48">
        <v>0</v>
      </c>
      <c r="S207" s="48"/>
      <c r="T207" s="48">
        <v>0</v>
      </c>
      <c r="U207" s="48">
        <v>0</v>
      </c>
      <c r="V207" s="48"/>
      <c r="W207" s="49">
        <v>1</v>
      </c>
      <c r="X207" s="49">
        <v>1</v>
      </c>
      <c r="Y207" s="49">
        <v>100000000</v>
      </c>
      <c r="Z207" s="49">
        <f t="shared" si="62"/>
        <v>1365114.194686</v>
      </c>
      <c r="AA207" s="49">
        <f t="shared" si="63"/>
        <v>1365114.194686</v>
      </c>
      <c r="AB207" s="82">
        <f t="shared" si="52"/>
        <v>0</v>
      </c>
      <c r="AC207" s="82">
        <f t="shared" si="53"/>
        <v>293290345052745.87</v>
      </c>
      <c r="AD207" s="81">
        <f t="shared" si="51"/>
        <v>300663274820642.37</v>
      </c>
      <c r="AE207" s="80">
        <f t="shared" si="54"/>
        <v>1025.1386719415211</v>
      </c>
      <c r="AF207" s="52">
        <f t="shared" si="64"/>
        <v>-7.2136860925364868E-5</v>
      </c>
      <c r="AG207" s="48">
        <f t="shared" si="55"/>
        <v>-5.89622641509434E-3</v>
      </c>
      <c r="AH207" s="48">
        <f t="shared" si="65"/>
        <v>4.5977011494252873E-2</v>
      </c>
      <c r="AI207" s="48">
        <f t="shared" si="66"/>
        <v>-1.7713365539452495E-2</v>
      </c>
      <c r="AJ207" s="48">
        <f t="shared" si="67"/>
        <v>0</v>
      </c>
    </row>
    <row r="208" spans="1:36" x14ac:dyDescent="0.3">
      <c r="A208" s="48">
        <v>20181102</v>
      </c>
      <c r="B208" s="48" t="s">
        <v>88</v>
      </c>
      <c r="C208" s="49">
        <v>42150</v>
      </c>
      <c r="D208" s="49">
        <v>44150</v>
      </c>
      <c r="E208" s="49">
        <v>6419324700</v>
      </c>
      <c r="F208" s="49">
        <f t="shared" si="56"/>
        <v>0.170946124192833</v>
      </c>
      <c r="G208" s="49">
        <f t="shared" si="57"/>
        <v>0.170946124192833</v>
      </c>
      <c r="H208" s="48">
        <v>227500</v>
      </c>
      <c r="I208" s="48">
        <v>236500</v>
      </c>
      <c r="J208" s="51">
        <v>125395903</v>
      </c>
      <c r="K208" s="48">
        <f t="shared" si="58"/>
        <v>1.34511125821281</v>
      </c>
      <c r="L208" s="48">
        <f t="shared" si="59"/>
        <v>1.34511125821281</v>
      </c>
      <c r="M208" s="49">
        <v>183000</v>
      </c>
      <c r="N208" s="49">
        <v>197900</v>
      </c>
      <c r="O208" s="49">
        <v>15956260</v>
      </c>
      <c r="P208" s="49">
        <f t="shared" si="60"/>
        <v>27.234779000652601</v>
      </c>
      <c r="Q208" s="49">
        <f t="shared" si="61"/>
        <v>27.234779000652601</v>
      </c>
      <c r="R208" s="48">
        <v>0</v>
      </c>
      <c r="S208" s="48"/>
      <c r="T208" s="48">
        <v>0</v>
      </c>
      <c r="U208" s="48">
        <v>0</v>
      </c>
      <c r="V208" s="48"/>
      <c r="W208" s="49">
        <v>1</v>
      </c>
      <c r="X208" s="49">
        <v>1</v>
      </c>
      <c r="Y208" s="49">
        <v>100000000</v>
      </c>
      <c r="Z208" s="49">
        <f t="shared" si="62"/>
        <v>1365114.194686</v>
      </c>
      <c r="AA208" s="49">
        <f t="shared" si="63"/>
        <v>1365114.194686</v>
      </c>
      <c r="AB208" s="82">
        <f t="shared" si="52"/>
        <v>0</v>
      </c>
      <c r="AC208" s="82">
        <f t="shared" si="53"/>
        <v>293290345052745.87</v>
      </c>
      <c r="AD208" s="81">
        <f t="shared" si="51"/>
        <v>310851056843351.19</v>
      </c>
      <c r="AE208" s="80">
        <f t="shared" si="54"/>
        <v>1059.8748376372471</v>
      </c>
      <c r="AF208" s="52">
        <f t="shared" si="64"/>
        <v>3.3884357937583959E-2</v>
      </c>
      <c r="AG208" s="48">
        <f t="shared" si="55"/>
        <v>4.7449584816132859E-2</v>
      </c>
      <c r="AH208" s="48">
        <f t="shared" si="65"/>
        <v>3.9560439560439559E-2</v>
      </c>
      <c r="AI208" s="48">
        <f t="shared" si="66"/>
        <v>8.14207650273224E-2</v>
      </c>
      <c r="AJ208" s="48">
        <f t="shared" si="67"/>
        <v>0</v>
      </c>
    </row>
    <row r="209" spans="1:36" x14ac:dyDescent="0.3">
      <c r="A209" s="48">
        <v>20181105</v>
      </c>
      <c r="B209" s="48" t="s">
        <v>88</v>
      </c>
      <c r="C209" s="49">
        <v>44150</v>
      </c>
      <c r="D209" s="49">
        <v>43800</v>
      </c>
      <c r="E209" s="49">
        <v>6419324700</v>
      </c>
      <c r="F209" s="49">
        <f t="shared" si="56"/>
        <v>0.170946124192833</v>
      </c>
      <c r="G209" s="49">
        <f t="shared" si="57"/>
        <v>0.170946124192833</v>
      </c>
      <c r="H209" s="48">
        <v>236500</v>
      </c>
      <c r="I209" s="48">
        <v>240000</v>
      </c>
      <c r="J209" s="51">
        <v>125395903</v>
      </c>
      <c r="K209" s="48">
        <f t="shared" si="58"/>
        <v>1.34511125821281</v>
      </c>
      <c r="L209" s="48">
        <f t="shared" si="59"/>
        <v>1.34511125821281</v>
      </c>
      <c r="M209" s="49">
        <v>197900</v>
      </c>
      <c r="N209" s="49">
        <v>204000</v>
      </c>
      <c r="O209" s="49">
        <v>15956260</v>
      </c>
      <c r="P209" s="49">
        <f t="shared" si="60"/>
        <v>27.234779000652601</v>
      </c>
      <c r="Q209" s="49">
        <f t="shared" si="61"/>
        <v>27.234779000652601</v>
      </c>
      <c r="R209" s="48">
        <v>0</v>
      </c>
      <c r="S209" s="48"/>
      <c r="T209" s="48">
        <v>0</v>
      </c>
      <c r="U209" s="48">
        <v>0</v>
      </c>
      <c r="V209" s="48"/>
      <c r="W209" s="49">
        <v>1</v>
      </c>
      <c r="X209" s="49">
        <v>1</v>
      </c>
      <c r="Y209" s="49">
        <v>100000000</v>
      </c>
      <c r="Z209" s="49">
        <f t="shared" si="62"/>
        <v>1365114.194686</v>
      </c>
      <c r="AA209" s="49">
        <f t="shared" si="63"/>
        <v>1365114.194686</v>
      </c>
      <c r="AB209" s="82">
        <f t="shared" si="52"/>
        <v>0</v>
      </c>
      <c r="AC209" s="82">
        <f t="shared" si="53"/>
        <v>293290345052745.87</v>
      </c>
      <c r="AD209" s="81">
        <f t="shared" si="51"/>
        <v>313708179159407.19</v>
      </c>
      <c r="AE209" s="80">
        <f t="shared" si="54"/>
        <v>1069.6164549944162</v>
      </c>
      <c r="AF209" s="52">
        <f t="shared" si="64"/>
        <v>9.1912903403631226E-3</v>
      </c>
      <c r="AG209" s="48">
        <f t="shared" si="55"/>
        <v>-7.9275198187995465E-3</v>
      </c>
      <c r="AH209" s="48">
        <f t="shared" si="65"/>
        <v>1.4799154334038054E-2</v>
      </c>
      <c r="AI209" s="48">
        <f t="shared" si="66"/>
        <v>3.0823648307225872E-2</v>
      </c>
      <c r="AJ209" s="48">
        <f t="shared" si="67"/>
        <v>0</v>
      </c>
    </row>
    <row r="210" spans="1:36" x14ac:dyDescent="0.3">
      <c r="A210" s="48">
        <v>20181106</v>
      </c>
      <c r="B210" s="48" t="s">
        <v>88</v>
      </c>
      <c r="C210" s="49">
        <v>43800</v>
      </c>
      <c r="D210" s="49">
        <v>43750</v>
      </c>
      <c r="E210" s="49">
        <v>6419324700</v>
      </c>
      <c r="F210" s="49">
        <f t="shared" si="56"/>
        <v>0.170946124192833</v>
      </c>
      <c r="G210" s="49">
        <f t="shared" si="57"/>
        <v>0.170946124192833</v>
      </c>
      <c r="H210" s="48">
        <v>240000</v>
      </c>
      <c r="I210" s="48">
        <v>241000</v>
      </c>
      <c r="J210" s="51">
        <v>125395903</v>
      </c>
      <c r="K210" s="48">
        <f t="shared" si="58"/>
        <v>1.34511125821281</v>
      </c>
      <c r="L210" s="48">
        <f t="shared" si="59"/>
        <v>1.34511125821281</v>
      </c>
      <c r="M210" s="49">
        <v>204000</v>
      </c>
      <c r="N210" s="49">
        <v>203200</v>
      </c>
      <c r="O210" s="49">
        <v>15956260</v>
      </c>
      <c r="P210" s="49">
        <f t="shared" si="60"/>
        <v>27.234779000652601</v>
      </c>
      <c r="Q210" s="49">
        <f t="shared" si="61"/>
        <v>27.234779000652601</v>
      </c>
      <c r="R210" s="48">
        <v>0</v>
      </c>
      <c r="S210" s="48"/>
      <c r="T210" s="48">
        <v>0</v>
      </c>
      <c r="U210" s="48">
        <v>0</v>
      </c>
      <c r="V210" s="48"/>
      <c r="W210" s="49">
        <v>1</v>
      </c>
      <c r="X210" s="49">
        <v>1</v>
      </c>
      <c r="Y210" s="49">
        <v>100000000</v>
      </c>
      <c r="Z210" s="49">
        <f t="shared" si="62"/>
        <v>1365114.194686</v>
      </c>
      <c r="AA210" s="49">
        <f t="shared" si="63"/>
        <v>1365114.194686</v>
      </c>
      <c r="AB210" s="82">
        <f t="shared" si="52"/>
        <v>0</v>
      </c>
      <c r="AC210" s="82">
        <f t="shared" si="53"/>
        <v>293290345052745.87</v>
      </c>
      <c r="AD210" s="81">
        <f t="shared" si="51"/>
        <v>313474330494574.69</v>
      </c>
      <c r="AE210" s="80">
        <f t="shared" si="54"/>
        <v>1068.8191267878212</v>
      </c>
      <c r="AF210" s="52">
        <f t="shared" si="64"/>
        <v>-7.454337513900475E-4</v>
      </c>
      <c r="AG210" s="48">
        <f t="shared" si="55"/>
        <v>-1.1415525114155251E-3</v>
      </c>
      <c r="AH210" s="48">
        <f t="shared" si="65"/>
        <v>4.1666666666666666E-3</v>
      </c>
      <c r="AI210" s="48">
        <f t="shared" si="66"/>
        <v>-3.9215686274509803E-3</v>
      </c>
      <c r="AJ210" s="48">
        <f t="shared" si="67"/>
        <v>0</v>
      </c>
    </row>
    <row r="211" spans="1:36" x14ac:dyDescent="0.3">
      <c r="A211" s="48">
        <v>20181107</v>
      </c>
      <c r="B211" s="48" t="s">
        <v>88</v>
      </c>
      <c r="C211" s="49">
        <v>43750</v>
      </c>
      <c r="D211" s="49">
        <v>44000</v>
      </c>
      <c r="E211" s="49">
        <v>6419324700</v>
      </c>
      <c r="F211" s="49">
        <f t="shared" si="56"/>
        <v>0.170946124192833</v>
      </c>
      <c r="G211" s="49">
        <f t="shared" si="57"/>
        <v>0.170946124192833</v>
      </c>
      <c r="H211" s="48">
        <v>241000</v>
      </c>
      <c r="I211" s="48">
        <v>233500</v>
      </c>
      <c r="J211" s="51">
        <v>125395903</v>
      </c>
      <c r="K211" s="48">
        <f t="shared" si="58"/>
        <v>1.34511125821281</v>
      </c>
      <c r="L211" s="48">
        <f t="shared" si="59"/>
        <v>1.34511125821281</v>
      </c>
      <c r="M211" s="49">
        <v>203200</v>
      </c>
      <c r="N211" s="49">
        <v>201000</v>
      </c>
      <c r="O211" s="49">
        <v>15956260</v>
      </c>
      <c r="P211" s="49">
        <f t="shared" si="60"/>
        <v>27.234779000652601</v>
      </c>
      <c r="Q211" s="49">
        <f t="shared" si="61"/>
        <v>27.234779000652601</v>
      </c>
      <c r="R211" s="48">
        <v>0</v>
      </c>
      <c r="S211" s="48"/>
      <c r="T211" s="48">
        <v>0</v>
      </c>
      <c r="U211" s="48">
        <v>0</v>
      </c>
      <c r="V211" s="48"/>
      <c r="W211" s="49">
        <v>1</v>
      </c>
      <c r="X211" s="49">
        <v>1</v>
      </c>
      <c r="Y211" s="49">
        <v>100000000</v>
      </c>
      <c r="Z211" s="49">
        <f t="shared" si="62"/>
        <v>1365114.194686</v>
      </c>
      <c r="AA211" s="49">
        <f t="shared" si="63"/>
        <v>1365114.194686</v>
      </c>
      <c r="AB211" s="82">
        <f t="shared" si="52"/>
        <v>0</v>
      </c>
      <c r="AC211" s="82">
        <f t="shared" si="53"/>
        <v>293290345052745.87</v>
      </c>
      <c r="AD211" s="81">
        <f t="shared" si="51"/>
        <v>311527590884972.5</v>
      </c>
      <c r="AE211" s="80">
        <f t="shared" si="54"/>
        <v>1062.1815417379212</v>
      </c>
      <c r="AF211" s="52">
        <f t="shared" si="64"/>
        <v>-6.2102042184147095E-3</v>
      </c>
      <c r="AG211" s="48">
        <f t="shared" si="55"/>
        <v>5.7142857142857143E-3</v>
      </c>
      <c r="AH211" s="48">
        <f t="shared" si="65"/>
        <v>-3.1120331950207469E-2</v>
      </c>
      <c r="AI211" s="48">
        <f t="shared" si="66"/>
        <v>-1.0826771653543307E-2</v>
      </c>
      <c r="AJ211" s="48">
        <f t="shared" si="67"/>
        <v>0</v>
      </c>
    </row>
    <row r="212" spans="1:36" x14ac:dyDescent="0.3">
      <c r="A212" s="48">
        <v>20181108</v>
      </c>
      <c r="B212" s="48" t="s">
        <v>88</v>
      </c>
      <c r="C212" s="49">
        <v>44000</v>
      </c>
      <c r="D212" s="49">
        <v>44050</v>
      </c>
      <c r="E212" s="49">
        <v>6419324700</v>
      </c>
      <c r="F212" s="49">
        <f t="shared" si="56"/>
        <v>0.170946124192833</v>
      </c>
      <c r="G212" s="49">
        <f t="shared" si="57"/>
        <v>0.170946124192833</v>
      </c>
      <c r="H212" s="48">
        <v>233500</v>
      </c>
      <c r="I212" s="48">
        <v>238500</v>
      </c>
      <c r="J212" s="51">
        <v>125395903</v>
      </c>
      <c r="K212" s="48">
        <f t="shared" si="58"/>
        <v>1.34511125821281</v>
      </c>
      <c r="L212" s="48">
        <f t="shared" si="59"/>
        <v>1.34511125821281</v>
      </c>
      <c r="M212" s="49">
        <v>201000</v>
      </c>
      <c r="N212" s="49">
        <v>202700</v>
      </c>
      <c r="O212" s="49">
        <v>15956260</v>
      </c>
      <c r="P212" s="49">
        <f t="shared" si="60"/>
        <v>27.234779000652601</v>
      </c>
      <c r="Q212" s="49">
        <f t="shared" si="61"/>
        <v>27.234779000652601</v>
      </c>
      <c r="R212" s="48">
        <v>0</v>
      </c>
      <c r="S212" s="48"/>
      <c r="T212" s="48">
        <v>0</v>
      </c>
      <c r="U212" s="48">
        <v>0</v>
      </c>
      <c r="V212" s="48"/>
      <c r="W212" s="49">
        <v>1</v>
      </c>
      <c r="X212" s="49">
        <v>1</v>
      </c>
      <c r="Y212" s="49">
        <v>100000000</v>
      </c>
      <c r="Z212" s="49">
        <f t="shared" si="62"/>
        <v>1365114.194686</v>
      </c>
      <c r="AA212" s="49">
        <f t="shared" si="63"/>
        <v>1365114.194686</v>
      </c>
      <c r="AB212" s="82">
        <f t="shared" si="52"/>
        <v>0</v>
      </c>
      <c r="AC212" s="82">
        <f t="shared" si="53"/>
        <v>293290345052745.87</v>
      </c>
      <c r="AD212" s="81">
        <f t="shared" si="51"/>
        <v>313164576888258.69</v>
      </c>
      <c r="AE212" s="80">
        <f t="shared" si="54"/>
        <v>1067.762993807173</v>
      </c>
      <c r="AF212" s="52">
        <f t="shared" si="64"/>
        <v>5.254706328373506E-3</v>
      </c>
      <c r="AG212" s="48">
        <f t="shared" si="55"/>
        <v>1.1363636363636363E-3</v>
      </c>
      <c r="AH212" s="48">
        <f t="shared" si="65"/>
        <v>2.1413276231263382E-2</v>
      </c>
      <c r="AI212" s="48">
        <f t="shared" si="66"/>
        <v>8.4577114427860697E-3</v>
      </c>
      <c r="AJ212" s="48">
        <f t="shared" si="67"/>
        <v>0</v>
      </c>
    </row>
    <row r="213" spans="1:36" x14ac:dyDescent="0.3">
      <c r="A213" s="48">
        <v>20181109</v>
      </c>
      <c r="B213" s="48" t="s">
        <v>88</v>
      </c>
      <c r="C213" s="49">
        <v>44050</v>
      </c>
      <c r="D213" s="49">
        <v>44300</v>
      </c>
      <c r="E213" s="49">
        <v>6419324700</v>
      </c>
      <c r="F213" s="49">
        <f t="shared" si="56"/>
        <v>0.170946124192833</v>
      </c>
      <c r="G213" s="49">
        <f t="shared" si="57"/>
        <v>0.170946124192833</v>
      </c>
      <c r="H213" s="48">
        <v>238500</v>
      </c>
      <c r="I213" s="48">
        <v>229500</v>
      </c>
      <c r="J213" s="51">
        <v>125395903</v>
      </c>
      <c r="K213" s="48">
        <f t="shared" si="58"/>
        <v>1.34511125821281</v>
      </c>
      <c r="L213" s="48">
        <f t="shared" si="59"/>
        <v>1.34511125821281</v>
      </c>
      <c r="M213" s="49">
        <v>202700</v>
      </c>
      <c r="N213" s="49">
        <v>193600</v>
      </c>
      <c r="O213" s="49">
        <v>15956260</v>
      </c>
      <c r="P213" s="49">
        <f t="shared" si="60"/>
        <v>27.234779000652601</v>
      </c>
      <c r="Q213" s="49">
        <f t="shared" si="61"/>
        <v>27.234779000652601</v>
      </c>
      <c r="R213" s="48">
        <v>0</v>
      </c>
      <c r="S213" s="48"/>
      <c r="T213" s="48">
        <v>0</v>
      </c>
      <c r="U213" s="48">
        <v>0</v>
      </c>
      <c r="V213" s="48"/>
      <c r="W213" s="49">
        <v>1</v>
      </c>
      <c r="X213" s="49">
        <v>1</v>
      </c>
      <c r="Y213" s="49">
        <v>100000000</v>
      </c>
      <c r="Z213" s="49">
        <f t="shared" si="62"/>
        <v>1365114.194686</v>
      </c>
      <c r="AA213" s="49">
        <f t="shared" si="63"/>
        <v>1365114.194686</v>
      </c>
      <c r="AB213" s="82">
        <f t="shared" si="52"/>
        <v>0</v>
      </c>
      <c r="AC213" s="82">
        <f t="shared" si="53"/>
        <v>293290345052745.87</v>
      </c>
      <c r="AD213" s="81">
        <f t="shared" si="51"/>
        <v>307966330135406.94</v>
      </c>
      <c r="AE213" s="80">
        <f t="shared" si="54"/>
        <v>1050.0391006053123</v>
      </c>
      <c r="AF213" s="52">
        <f t="shared" si="64"/>
        <v>-1.6599089221724209E-2</v>
      </c>
      <c r="AG213" s="48">
        <f t="shared" si="55"/>
        <v>5.6753688989784334E-3</v>
      </c>
      <c r="AH213" s="48">
        <f t="shared" si="65"/>
        <v>-3.7735849056603772E-2</v>
      </c>
      <c r="AI213" s="48">
        <f t="shared" si="66"/>
        <v>-4.4893931919092252E-2</v>
      </c>
      <c r="AJ213" s="48">
        <f t="shared" si="67"/>
        <v>0</v>
      </c>
    </row>
    <row r="214" spans="1:36" x14ac:dyDescent="0.3">
      <c r="A214" s="48">
        <v>20181112</v>
      </c>
      <c r="B214" s="48" t="s">
        <v>88</v>
      </c>
      <c r="C214" s="49">
        <v>44300</v>
      </c>
      <c r="D214" s="49">
        <v>45200</v>
      </c>
      <c r="E214" s="49">
        <v>6419324700</v>
      </c>
      <c r="F214" s="49">
        <f t="shared" si="56"/>
        <v>0.170946124192833</v>
      </c>
      <c r="G214" s="49">
        <f t="shared" si="57"/>
        <v>0.170946124192833</v>
      </c>
      <c r="H214" s="48">
        <v>229500</v>
      </c>
      <c r="I214" s="48">
        <v>202000</v>
      </c>
      <c r="J214" s="51">
        <v>125395903</v>
      </c>
      <c r="K214" s="48">
        <f t="shared" si="58"/>
        <v>1.34511125821281</v>
      </c>
      <c r="L214" s="48">
        <f t="shared" si="59"/>
        <v>1.34511125821281</v>
      </c>
      <c r="M214" s="49">
        <v>193600</v>
      </c>
      <c r="N214" s="49">
        <v>181000</v>
      </c>
      <c r="O214" s="49">
        <v>15956260</v>
      </c>
      <c r="P214" s="49">
        <f t="shared" si="60"/>
        <v>27.234779000652601</v>
      </c>
      <c r="Q214" s="49">
        <f t="shared" si="61"/>
        <v>27.234779000652601</v>
      </c>
      <c r="R214" s="48">
        <v>0</v>
      </c>
      <c r="S214" s="48"/>
      <c r="T214" s="48">
        <v>0</v>
      </c>
      <c r="U214" s="48">
        <v>0</v>
      </c>
      <c r="V214" s="48"/>
      <c r="W214" s="49">
        <v>1</v>
      </c>
      <c r="X214" s="49">
        <v>1</v>
      </c>
      <c r="Y214" s="49">
        <v>100000000</v>
      </c>
      <c r="Z214" s="49">
        <f t="shared" si="62"/>
        <v>1365114.194686</v>
      </c>
      <c r="AA214" s="49">
        <f t="shared" si="63"/>
        <v>1365114.194686</v>
      </c>
      <c r="AB214" s="82">
        <f t="shared" si="52"/>
        <v>0</v>
      </c>
      <c r="AC214" s="82">
        <f t="shared" si="53"/>
        <v>293290345052745.87</v>
      </c>
      <c r="AD214" s="81">
        <f t="shared" si="51"/>
        <v>298839966615253.37</v>
      </c>
      <c r="AE214" s="80">
        <f t="shared" si="54"/>
        <v>1018.9219374456717</v>
      </c>
      <c r="AF214" s="52">
        <f t="shared" si="64"/>
        <v>-2.9634289943777002E-2</v>
      </c>
      <c r="AG214" s="48">
        <f t="shared" si="55"/>
        <v>2.0316027088036117E-2</v>
      </c>
      <c r="AH214" s="48">
        <f t="shared" si="65"/>
        <v>-0.11982570806100218</v>
      </c>
      <c r="AI214" s="48">
        <f t="shared" si="66"/>
        <v>-6.5082644628099179E-2</v>
      </c>
      <c r="AJ214" s="48">
        <f t="shared" si="67"/>
        <v>0</v>
      </c>
    </row>
    <row r="215" spans="1:36" x14ac:dyDescent="0.3">
      <c r="A215" s="48">
        <v>20181113</v>
      </c>
      <c r="B215" s="48" t="s">
        <v>88</v>
      </c>
      <c r="C215" s="49">
        <v>45200</v>
      </c>
      <c r="D215" s="49">
        <v>44500</v>
      </c>
      <c r="E215" s="49">
        <v>6419324700</v>
      </c>
      <c r="F215" s="49">
        <f t="shared" si="56"/>
        <v>0.170946124192833</v>
      </c>
      <c r="G215" s="49">
        <f t="shared" si="57"/>
        <v>0.170946124192833</v>
      </c>
      <c r="H215" s="48">
        <v>202000</v>
      </c>
      <c r="I215" s="48">
        <v>200500</v>
      </c>
      <c r="J215" s="51">
        <v>125395903</v>
      </c>
      <c r="K215" s="48">
        <f t="shared" si="58"/>
        <v>1.34511125821281</v>
      </c>
      <c r="L215" s="48">
        <f t="shared" si="59"/>
        <v>1.34511125821281</v>
      </c>
      <c r="M215" s="49">
        <v>181000</v>
      </c>
      <c r="N215" s="49">
        <v>185600</v>
      </c>
      <c r="O215" s="49">
        <v>15956260</v>
      </c>
      <c r="P215" s="49">
        <f t="shared" si="60"/>
        <v>27.234779000652601</v>
      </c>
      <c r="Q215" s="49">
        <f t="shared" si="61"/>
        <v>27.234779000652601</v>
      </c>
      <c r="R215" s="48">
        <v>0</v>
      </c>
      <c r="S215" s="48"/>
      <c r="T215" s="48">
        <v>0</v>
      </c>
      <c r="U215" s="48">
        <v>0</v>
      </c>
      <c r="V215" s="48"/>
      <c r="W215" s="49">
        <v>1</v>
      </c>
      <c r="X215" s="49">
        <v>1</v>
      </c>
      <c r="Y215" s="49">
        <v>100000000</v>
      </c>
      <c r="Z215" s="49">
        <f t="shared" si="62"/>
        <v>1365114.194686</v>
      </c>
      <c r="AA215" s="49">
        <f t="shared" si="63"/>
        <v>1365114.194686</v>
      </c>
      <c r="AB215" s="82">
        <f t="shared" si="52"/>
        <v>0</v>
      </c>
      <c r="AC215" s="82">
        <f t="shared" si="53"/>
        <v>293290345052745.87</v>
      </c>
      <c r="AD215" s="81">
        <f t="shared" si="51"/>
        <v>299817808367758.56</v>
      </c>
      <c r="AE215" s="80">
        <f t="shared" si="54"/>
        <v>1022.2559774814231</v>
      </c>
      <c r="AF215" s="52">
        <f t="shared" si="64"/>
        <v>3.2721250894935895E-3</v>
      </c>
      <c r="AG215" s="48">
        <f t="shared" si="55"/>
        <v>-1.5486725663716814E-2</v>
      </c>
      <c r="AH215" s="48">
        <f t="shared" si="65"/>
        <v>-7.4257425742574254E-3</v>
      </c>
      <c r="AI215" s="48">
        <f t="shared" si="66"/>
        <v>2.541436464088398E-2</v>
      </c>
      <c r="AJ215" s="48">
        <f t="shared" si="67"/>
        <v>0</v>
      </c>
    </row>
    <row r="216" spans="1:36" x14ac:dyDescent="0.3">
      <c r="A216" s="48">
        <v>20181114</v>
      </c>
      <c r="B216" s="48" t="s">
        <v>88</v>
      </c>
      <c r="C216" s="49">
        <v>44500</v>
      </c>
      <c r="D216" s="49">
        <v>44100</v>
      </c>
      <c r="E216" s="49">
        <v>6419324700</v>
      </c>
      <c r="F216" s="49">
        <f t="shared" si="56"/>
        <v>0.170946124192833</v>
      </c>
      <c r="G216" s="49">
        <f t="shared" si="57"/>
        <v>0.170946124192833</v>
      </c>
      <c r="H216" s="48">
        <v>200500</v>
      </c>
      <c r="I216" s="48">
        <v>208000</v>
      </c>
      <c r="J216" s="51">
        <v>125395903</v>
      </c>
      <c r="K216" s="48">
        <f t="shared" si="58"/>
        <v>1.34511125821281</v>
      </c>
      <c r="L216" s="48">
        <f t="shared" si="59"/>
        <v>1.34511125821281</v>
      </c>
      <c r="M216" s="49">
        <v>185600</v>
      </c>
      <c r="N216" s="49">
        <v>185400</v>
      </c>
      <c r="O216" s="49">
        <v>15956260</v>
      </c>
      <c r="P216" s="49">
        <f t="shared" si="60"/>
        <v>27.234779000652601</v>
      </c>
      <c r="Q216" s="49">
        <f t="shared" si="61"/>
        <v>27.234779000652601</v>
      </c>
      <c r="R216" s="48">
        <v>0</v>
      </c>
      <c r="S216" s="48"/>
      <c r="T216" s="48">
        <v>0</v>
      </c>
      <c r="U216" s="48">
        <v>0</v>
      </c>
      <c r="V216" s="48"/>
      <c r="W216" s="49">
        <v>1</v>
      </c>
      <c r="X216" s="49">
        <v>1</v>
      </c>
      <c r="Y216" s="49">
        <v>100000000</v>
      </c>
      <c r="Z216" s="49">
        <f t="shared" si="62"/>
        <v>1365114.194686</v>
      </c>
      <c r="AA216" s="49">
        <f t="shared" si="63"/>
        <v>1365114.194686</v>
      </c>
      <c r="AB216" s="82">
        <f t="shared" si="52"/>
        <v>0</v>
      </c>
      <c r="AC216" s="82">
        <f t="shared" si="53"/>
        <v>293290345052745.87</v>
      </c>
      <c r="AD216" s="81">
        <f t="shared" si="51"/>
        <v>300556987660286</v>
      </c>
      <c r="AE216" s="80">
        <f t="shared" si="54"/>
        <v>1024.7762762399605</v>
      </c>
      <c r="AF216" s="52">
        <f t="shared" si="64"/>
        <v>2.4654282430773703E-3</v>
      </c>
      <c r="AG216" s="48">
        <f t="shared" si="55"/>
        <v>-8.988764044943821E-3</v>
      </c>
      <c r="AH216" s="48">
        <f t="shared" si="65"/>
        <v>3.7406483790523692E-2</v>
      </c>
      <c r="AI216" s="48">
        <f t="shared" si="66"/>
        <v>-1.0775862068965517E-3</v>
      </c>
      <c r="AJ216" s="48">
        <f t="shared" si="67"/>
        <v>0</v>
      </c>
    </row>
    <row r="217" spans="1:36" s="47" customFormat="1" x14ac:dyDescent="0.3">
      <c r="A217" s="48">
        <v>20181115</v>
      </c>
      <c r="B217" s="48" t="s">
        <v>88</v>
      </c>
      <c r="C217" s="49">
        <v>44100</v>
      </c>
      <c r="D217" s="49">
        <v>44250</v>
      </c>
      <c r="E217" s="49">
        <v>6419324700</v>
      </c>
      <c r="F217" s="49">
        <f t="shared" si="56"/>
        <v>0.170946124192833</v>
      </c>
      <c r="G217" s="49">
        <f t="shared" si="57"/>
        <v>0.17753724959914399</v>
      </c>
      <c r="H217" s="48">
        <v>208000</v>
      </c>
      <c r="I217" s="48">
        <v>218500</v>
      </c>
      <c r="J217" s="51">
        <v>125456133</v>
      </c>
      <c r="K217" s="48">
        <f t="shared" si="58"/>
        <v>1.34511125821281</v>
      </c>
      <c r="L217" s="48">
        <f t="shared" si="59"/>
        <v>1.39630369357553</v>
      </c>
      <c r="M217" s="49">
        <v>185400</v>
      </c>
      <c r="N217" s="49">
        <v>187100</v>
      </c>
      <c r="O217" s="49">
        <v>15956260</v>
      </c>
      <c r="P217" s="49">
        <f t="shared" si="60"/>
        <v>27.234779000652601</v>
      </c>
      <c r="Q217" s="49">
        <f t="shared" si="61"/>
        <v>28.284863316129599</v>
      </c>
      <c r="R217" s="48">
        <v>0</v>
      </c>
      <c r="S217" s="48"/>
      <c r="T217" s="48">
        <v>0</v>
      </c>
      <c r="U217" s="48">
        <v>0</v>
      </c>
      <c r="V217" s="48"/>
      <c r="W217" s="49">
        <v>1</v>
      </c>
      <c r="X217" s="49">
        <v>1</v>
      </c>
      <c r="Y217" s="49">
        <v>100000000</v>
      </c>
      <c r="Z217" s="49">
        <f t="shared" si="62"/>
        <v>1365114.194686</v>
      </c>
      <c r="AA217" s="49">
        <f t="shared" si="63"/>
        <v>1417748.54889318</v>
      </c>
      <c r="AB217" s="82">
        <f t="shared" si="52"/>
        <v>1</v>
      </c>
      <c r="AC217" s="82">
        <f t="shared" si="53"/>
        <v>304598664874739.81</v>
      </c>
      <c r="AD217" s="81">
        <f t="shared" si="51"/>
        <v>314923017051900.87</v>
      </c>
      <c r="AE217" s="80">
        <f t="shared" si="54"/>
        <v>1033.8949357555678</v>
      </c>
      <c r="AF217" s="52">
        <f t="shared" si="64"/>
        <v>8.898195369105218E-3</v>
      </c>
      <c r="AG217" s="48">
        <f t="shared" si="55"/>
        <v>3.4013605442176869E-3</v>
      </c>
      <c r="AH217" s="48">
        <f t="shared" si="65"/>
        <v>5.0480769230769232E-2</v>
      </c>
      <c r="AI217" s="48">
        <f t="shared" si="66"/>
        <v>9.1693635382955763E-3</v>
      </c>
      <c r="AJ217" s="48">
        <f t="shared" si="67"/>
        <v>0</v>
      </c>
    </row>
    <row r="218" spans="1:36" x14ac:dyDescent="0.3">
      <c r="A218" s="48">
        <v>20181116</v>
      </c>
      <c r="B218" s="48" t="s">
        <v>88</v>
      </c>
      <c r="C218" s="49">
        <v>44250</v>
      </c>
      <c r="D218" s="49">
        <v>44000</v>
      </c>
      <c r="E218" s="49">
        <v>6419324700</v>
      </c>
      <c r="F218" s="49">
        <f t="shared" si="56"/>
        <v>0.17753724959914399</v>
      </c>
      <c r="G218" s="49">
        <f t="shared" si="57"/>
        <v>0.17753724959914399</v>
      </c>
      <c r="H218" s="48">
        <v>218500</v>
      </c>
      <c r="I218" s="48">
        <v>224000</v>
      </c>
      <c r="J218" s="51">
        <v>125456133</v>
      </c>
      <c r="K218" s="48">
        <f t="shared" si="58"/>
        <v>1.39630369357553</v>
      </c>
      <c r="L218" s="48">
        <f t="shared" si="59"/>
        <v>1.39630369357553</v>
      </c>
      <c r="M218" s="49">
        <v>187100</v>
      </c>
      <c r="N218" s="49">
        <v>190400</v>
      </c>
      <c r="O218" s="49">
        <v>15956260</v>
      </c>
      <c r="P218" s="49">
        <f t="shared" si="60"/>
        <v>28.284863316129599</v>
      </c>
      <c r="Q218" s="49">
        <f t="shared" si="61"/>
        <v>28.284863316129599</v>
      </c>
      <c r="R218" s="48">
        <v>0</v>
      </c>
      <c r="S218" s="48"/>
      <c r="T218" s="48">
        <v>0</v>
      </c>
      <c r="U218" s="48">
        <v>0</v>
      </c>
      <c r="V218" s="48"/>
      <c r="W218" s="49">
        <v>1</v>
      </c>
      <c r="X218" s="49">
        <v>1</v>
      </c>
      <c r="Y218" s="49">
        <v>100000000</v>
      </c>
      <c r="Z218" s="49">
        <f t="shared" si="62"/>
        <v>1417748.54889318</v>
      </c>
      <c r="AA218" s="49">
        <f t="shared" si="63"/>
        <v>1417748.54889318</v>
      </c>
      <c r="AB218" s="82">
        <f t="shared" si="52"/>
        <v>0</v>
      </c>
      <c r="AC218" s="82">
        <f t="shared" si="53"/>
        <v>304598664874739.81</v>
      </c>
      <c r="AD218" s="81">
        <f t="shared" si="51"/>
        <v>317090919568764.06</v>
      </c>
      <c r="AE218" s="80">
        <f t="shared" si="54"/>
        <v>1041.0121781038058</v>
      </c>
      <c r="AF218" s="52">
        <f t="shared" si="64"/>
        <v>6.8839125738020838E-3</v>
      </c>
      <c r="AG218" s="48">
        <f t="shared" si="55"/>
        <v>-5.6497175141242938E-3</v>
      </c>
      <c r="AH218" s="48">
        <f t="shared" si="65"/>
        <v>2.5171624713958809E-2</v>
      </c>
      <c r="AI218" s="48">
        <f t="shared" si="66"/>
        <v>1.7637626937466594E-2</v>
      </c>
      <c r="AJ218" s="48">
        <f t="shared" si="67"/>
        <v>0</v>
      </c>
    </row>
    <row r="219" spans="1:36" x14ac:dyDescent="0.3">
      <c r="A219" s="48">
        <v>20181119</v>
      </c>
      <c r="B219" s="48" t="s">
        <v>88</v>
      </c>
      <c r="C219" s="49">
        <v>44000</v>
      </c>
      <c r="D219" s="49">
        <v>43650</v>
      </c>
      <c r="E219" s="49">
        <v>6419324700</v>
      </c>
      <c r="F219" s="49">
        <f t="shared" si="56"/>
        <v>0.17753724959914399</v>
      </c>
      <c r="G219" s="49">
        <f t="shared" si="57"/>
        <v>0.17753724959914399</v>
      </c>
      <c r="H219" s="48">
        <v>224000</v>
      </c>
      <c r="I219" s="48">
        <v>229000</v>
      </c>
      <c r="J219" s="51">
        <v>125456133</v>
      </c>
      <c r="K219" s="48">
        <f t="shared" si="58"/>
        <v>1.39630369357553</v>
      </c>
      <c r="L219" s="48">
        <f t="shared" si="59"/>
        <v>1.39630369357553</v>
      </c>
      <c r="M219" s="49">
        <v>190400</v>
      </c>
      <c r="N219" s="49">
        <v>201700</v>
      </c>
      <c r="O219" s="49">
        <v>15956260</v>
      </c>
      <c r="P219" s="49">
        <f t="shared" si="60"/>
        <v>28.284863316129599</v>
      </c>
      <c r="Q219" s="49">
        <f t="shared" si="61"/>
        <v>28.284863316129599</v>
      </c>
      <c r="R219" s="48">
        <v>0</v>
      </c>
      <c r="S219" s="48"/>
      <c r="T219" s="48">
        <v>0</v>
      </c>
      <c r="U219" s="48">
        <v>0</v>
      </c>
      <c r="V219" s="48"/>
      <c r="W219" s="49">
        <v>1</v>
      </c>
      <c r="X219" s="49">
        <v>1</v>
      </c>
      <c r="Y219" s="49">
        <v>100000000</v>
      </c>
      <c r="Z219" s="49">
        <f t="shared" si="62"/>
        <v>1417748.54889318</v>
      </c>
      <c r="AA219" s="49">
        <f t="shared" si="63"/>
        <v>1417748.54889318</v>
      </c>
      <c r="AB219" s="82">
        <f t="shared" si="52"/>
        <v>0</v>
      </c>
      <c r="AC219" s="82">
        <f t="shared" si="53"/>
        <v>304598664874739.81</v>
      </c>
      <c r="AD219" s="81">
        <f t="shared" si="51"/>
        <v>322667832794623.31</v>
      </c>
      <c r="AE219" s="80">
        <f t="shared" si="54"/>
        <v>1059.3212315205456</v>
      </c>
      <c r="AF219" s="52">
        <f t="shared" si="64"/>
        <v>1.7587741816901238E-2</v>
      </c>
      <c r="AG219" s="48">
        <f t="shared" si="55"/>
        <v>-7.9545454545454537E-3</v>
      </c>
      <c r="AH219" s="48">
        <f t="shared" si="65"/>
        <v>2.2321428571428572E-2</v>
      </c>
      <c r="AI219" s="48">
        <f t="shared" si="66"/>
        <v>5.9348739495798317E-2</v>
      </c>
      <c r="AJ219" s="48">
        <f t="shared" si="67"/>
        <v>0</v>
      </c>
    </row>
    <row r="220" spans="1:36" x14ac:dyDescent="0.3">
      <c r="A220" s="48">
        <v>20181120</v>
      </c>
      <c r="B220" s="48" t="s">
        <v>88</v>
      </c>
      <c r="C220" s="49">
        <v>43650</v>
      </c>
      <c r="D220" s="49">
        <v>42800</v>
      </c>
      <c r="E220" s="49">
        <v>6419324700</v>
      </c>
      <c r="F220" s="49">
        <f t="shared" si="56"/>
        <v>0.17753724959914399</v>
      </c>
      <c r="G220" s="49">
        <f t="shared" si="57"/>
        <v>0.17753724959914399</v>
      </c>
      <c r="H220" s="48">
        <v>229000</v>
      </c>
      <c r="I220" s="48">
        <v>227500</v>
      </c>
      <c r="J220" s="51">
        <v>125456133</v>
      </c>
      <c r="K220" s="48">
        <f t="shared" si="58"/>
        <v>1.39630369357553</v>
      </c>
      <c r="L220" s="48">
        <f t="shared" si="59"/>
        <v>1.39630369357553</v>
      </c>
      <c r="M220" s="49">
        <v>201700</v>
      </c>
      <c r="N220" s="49">
        <v>194200</v>
      </c>
      <c r="O220" s="49">
        <v>15956260</v>
      </c>
      <c r="P220" s="49">
        <f t="shared" si="60"/>
        <v>28.284863316129599</v>
      </c>
      <c r="Q220" s="49">
        <f t="shared" si="61"/>
        <v>28.284863316129599</v>
      </c>
      <c r="R220" s="48">
        <v>0</v>
      </c>
      <c r="S220" s="48"/>
      <c r="T220" s="48">
        <v>0</v>
      </c>
      <c r="U220" s="48">
        <v>0</v>
      </c>
      <c r="V220" s="48"/>
      <c r="W220" s="49">
        <v>1</v>
      </c>
      <c r="X220" s="49">
        <v>1</v>
      </c>
      <c r="Y220" s="49">
        <v>100000000</v>
      </c>
      <c r="Z220" s="49">
        <f t="shared" si="62"/>
        <v>1417748.54889318</v>
      </c>
      <c r="AA220" s="49">
        <f t="shared" si="63"/>
        <v>1417748.54889318</v>
      </c>
      <c r="AB220" s="82">
        <f t="shared" si="52"/>
        <v>0</v>
      </c>
      <c r="AC220" s="82">
        <f t="shared" si="53"/>
        <v>304598664874739.81</v>
      </c>
      <c r="AD220" s="81">
        <f t="shared" si="51"/>
        <v>318051446889470.62</v>
      </c>
      <c r="AE220" s="80">
        <f t="shared" si="54"/>
        <v>1044.1655974436494</v>
      </c>
      <c r="AF220" s="52">
        <f t="shared" si="64"/>
        <v>-1.4306929405296457E-2</v>
      </c>
      <c r="AG220" s="48">
        <f t="shared" si="55"/>
        <v>-1.9473081328751432E-2</v>
      </c>
      <c r="AH220" s="48">
        <f t="shared" si="65"/>
        <v>-6.5502183406113534E-3</v>
      </c>
      <c r="AI220" s="48">
        <f t="shared" si="66"/>
        <v>-3.7183936539414972E-2</v>
      </c>
      <c r="AJ220" s="48">
        <f t="shared" si="67"/>
        <v>0</v>
      </c>
    </row>
    <row r="221" spans="1:36" x14ac:dyDescent="0.3">
      <c r="A221" s="48">
        <v>20181121</v>
      </c>
      <c r="B221" s="48" t="s">
        <v>88</v>
      </c>
      <c r="C221" s="49">
        <v>42800</v>
      </c>
      <c r="D221" s="49">
        <v>42100</v>
      </c>
      <c r="E221" s="49">
        <v>6419324700</v>
      </c>
      <c r="F221" s="49">
        <f t="shared" si="56"/>
        <v>0.17753724959914399</v>
      </c>
      <c r="G221" s="49">
        <f t="shared" si="57"/>
        <v>0.17753724959914399</v>
      </c>
      <c r="H221" s="48">
        <v>227500</v>
      </c>
      <c r="I221" s="48">
        <v>225000</v>
      </c>
      <c r="J221" s="51">
        <v>125456133</v>
      </c>
      <c r="K221" s="48">
        <f t="shared" si="58"/>
        <v>1.39630369357553</v>
      </c>
      <c r="L221" s="48">
        <f t="shared" si="59"/>
        <v>1.39630369357553</v>
      </c>
      <c r="M221" s="49">
        <v>194200</v>
      </c>
      <c r="N221" s="49">
        <v>191100</v>
      </c>
      <c r="O221" s="49">
        <v>15956260</v>
      </c>
      <c r="P221" s="49">
        <f t="shared" si="60"/>
        <v>28.284863316129599</v>
      </c>
      <c r="Q221" s="49">
        <f t="shared" si="61"/>
        <v>28.284863316129599</v>
      </c>
      <c r="R221" s="48">
        <v>0</v>
      </c>
      <c r="S221" s="48"/>
      <c r="T221" s="48">
        <v>0</v>
      </c>
      <c r="U221" s="48">
        <v>0</v>
      </c>
      <c r="V221" s="48"/>
      <c r="W221" s="49">
        <v>1</v>
      </c>
      <c r="X221" s="49">
        <v>1</v>
      </c>
      <c r="Y221" s="49">
        <v>100000000</v>
      </c>
      <c r="Z221" s="49">
        <f t="shared" si="62"/>
        <v>1417748.54889318</v>
      </c>
      <c r="AA221" s="49">
        <f t="shared" si="63"/>
        <v>1417748.54889318</v>
      </c>
      <c r="AB221" s="82">
        <f t="shared" si="52"/>
        <v>0</v>
      </c>
      <c r="AC221" s="82">
        <f t="shared" si="53"/>
        <v>304598664874739.81</v>
      </c>
      <c r="AD221" s="81">
        <f t="shared" si="51"/>
        <v>315416647295957.75</v>
      </c>
      <c r="AE221" s="80">
        <f t="shared" si="54"/>
        <v>1035.5155280331469</v>
      </c>
      <c r="AF221" s="52">
        <f t="shared" si="64"/>
        <v>-8.2841930740486115E-3</v>
      </c>
      <c r="AG221" s="48">
        <f t="shared" si="55"/>
        <v>-1.6355140186915886E-2</v>
      </c>
      <c r="AH221" s="48">
        <f t="shared" si="65"/>
        <v>-1.098901098901099E-2</v>
      </c>
      <c r="AI221" s="48">
        <f t="shared" si="66"/>
        <v>-1.596292481977343E-2</v>
      </c>
      <c r="AJ221" s="48">
        <f t="shared" si="67"/>
        <v>0</v>
      </c>
    </row>
    <row r="222" spans="1:36" x14ac:dyDescent="0.3">
      <c r="A222" s="48">
        <v>20181122</v>
      </c>
      <c r="B222" s="48" t="s">
        <v>88</v>
      </c>
      <c r="C222" s="49">
        <v>42100</v>
      </c>
      <c r="D222" s="49">
        <v>42450</v>
      </c>
      <c r="E222" s="49">
        <v>6419324700</v>
      </c>
      <c r="F222" s="49">
        <f t="shared" si="56"/>
        <v>0.17753724959914399</v>
      </c>
      <c r="G222" s="49">
        <f t="shared" si="57"/>
        <v>0.17753724959914399</v>
      </c>
      <c r="H222" s="48">
        <v>225000</v>
      </c>
      <c r="I222" s="48">
        <v>223000</v>
      </c>
      <c r="J222" s="51">
        <v>125456133</v>
      </c>
      <c r="K222" s="48">
        <f t="shared" si="58"/>
        <v>1.39630369357553</v>
      </c>
      <c r="L222" s="48">
        <f t="shared" si="59"/>
        <v>1.39630369357553</v>
      </c>
      <c r="M222" s="49">
        <v>191100</v>
      </c>
      <c r="N222" s="49">
        <v>194900</v>
      </c>
      <c r="O222" s="49">
        <v>15956260</v>
      </c>
      <c r="P222" s="49">
        <f t="shared" si="60"/>
        <v>28.284863316129599</v>
      </c>
      <c r="Q222" s="49">
        <f t="shared" si="61"/>
        <v>28.284863316129599</v>
      </c>
      <c r="R222" s="48">
        <v>0</v>
      </c>
      <c r="S222" s="48"/>
      <c r="T222" s="48">
        <v>0</v>
      </c>
      <c r="U222" s="48">
        <v>0</v>
      </c>
      <c r="V222" s="48"/>
      <c r="W222" s="49">
        <v>1</v>
      </c>
      <c r="X222" s="49">
        <v>1</v>
      </c>
      <c r="Y222" s="49">
        <v>100000000</v>
      </c>
      <c r="Z222" s="49">
        <f t="shared" si="62"/>
        <v>1417748.54889318</v>
      </c>
      <c r="AA222" s="49">
        <f t="shared" si="63"/>
        <v>1417748.54889318</v>
      </c>
      <c r="AB222" s="82">
        <f t="shared" si="52"/>
        <v>0</v>
      </c>
      <c r="AC222" s="82">
        <f t="shared" si="53"/>
        <v>304598664874739.81</v>
      </c>
      <c r="AD222" s="81">
        <f t="shared" si="51"/>
        <v>317180200216130.44</v>
      </c>
      <c r="AE222" s="80">
        <f t="shared" si="54"/>
        <v>1041.3052872262738</v>
      </c>
      <c r="AF222" s="52">
        <f t="shared" si="64"/>
        <v>5.5911852950422903E-3</v>
      </c>
      <c r="AG222" s="48">
        <f t="shared" si="55"/>
        <v>8.3135391923990498E-3</v>
      </c>
      <c r="AH222" s="48">
        <f t="shared" si="65"/>
        <v>-8.8888888888888889E-3</v>
      </c>
      <c r="AI222" s="48">
        <f t="shared" si="66"/>
        <v>1.9884877027734171E-2</v>
      </c>
      <c r="AJ222" s="48">
        <f t="shared" si="67"/>
        <v>0</v>
      </c>
    </row>
    <row r="223" spans="1:36" x14ac:dyDescent="0.3">
      <c r="A223" s="48">
        <v>20181123</v>
      </c>
      <c r="B223" s="48" t="s">
        <v>88</v>
      </c>
      <c r="C223" s="49">
        <v>42450</v>
      </c>
      <c r="D223" s="49">
        <v>42400</v>
      </c>
      <c r="E223" s="49">
        <v>6419324700</v>
      </c>
      <c r="F223" s="49">
        <f t="shared" si="56"/>
        <v>0.17753724959914399</v>
      </c>
      <c r="G223" s="49">
        <f t="shared" si="57"/>
        <v>0.17753724959914399</v>
      </c>
      <c r="H223" s="48">
        <v>223000</v>
      </c>
      <c r="I223" s="48">
        <v>221000</v>
      </c>
      <c r="J223" s="51">
        <v>125456133</v>
      </c>
      <c r="K223" s="48">
        <f t="shared" si="58"/>
        <v>1.39630369357553</v>
      </c>
      <c r="L223" s="48">
        <f t="shared" si="59"/>
        <v>1.39630369357553</v>
      </c>
      <c r="M223" s="49">
        <v>194900</v>
      </c>
      <c r="N223" s="49">
        <v>189200</v>
      </c>
      <c r="O223" s="49">
        <v>15956260</v>
      </c>
      <c r="P223" s="49">
        <f t="shared" si="60"/>
        <v>28.284863316129599</v>
      </c>
      <c r="Q223" s="49">
        <f t="shared" si="61"/>
        <v>28.284863316129599</v>
      </c>
      <c r="R223" s="48">
        <v>0</v>
      </c>
      <c r="S223" s="48"/>
      <c r="T223" s="48">
        <v>0</v>
      </c>
      <c r="U223" s="48">
        <v>0</v>
      </c>
      <c r="V223" s="48"/>
      <c r="W223" s="49">
        <v>1</v>
      </c>
      <c r="X223" s="49">
        <v>1</v>
      </c>
      <c r="Y223" s="49">
        <v>100000000</v>
      </c>
      <c r="Z223" s="49">
        <f t="shared" si="62"/>
        <v>1417748.54889318</v>
      </c>
      <c r="AA223" s="49">
        <f t="shared" si="63"/>
        <v>1417748.54889318</v>
      </c>
      <c r="AB223" s="82">
        <f t="shared" si="52"/>
        <v>0</v>
      </c>
      <c r="AC223" s="82">
        <f t="shared" si="53"/>
        <v>304598664874739.81</v>
      </c>
      <c r="AD223" s="81">
        <f t="shared" si="51"/>
        <v>314200339420896.37</v>
      </c>
      <c r="AE223" s="80">
        <f t="shared" si="54"/>
        <v>1031.5223789641529</v>
      </c>
      <c r="AF223" s="52">
        <f t="shared" si="64"/>
        <v>-9.3948512334740691E-3</v>
      </c>
      <c r="AG223" s="48">
        <f t="shared" si="55"/>
        <v>-1.1778563015312131E-3</v>
      </c>
      <c r="AH223" s="48">
        <f t="shared" si="65"/>
        <v>-8.9686098654708519E-3</v>
      </c>
      <c r="AI223" s="48">
        <f t="shared" si="66"/>
        <v>-2.9245767060030785E-2</v>
      </c>
      <c r="AJ223" s="48">
        <f t="shared" si="67"/>
        <v>0</v>
      </c>
    </row>
    <row r="224" spans="1:36" x14ac:dyDescent="0.3">
      <c r="A224" s="48">
        <v>20181126</v>
      </c>
      <c r="B224" s="48" t="s">
        <v>88</v>
      </c>
      <c r="C224" s="49">
        <v>42400</v>
      </c>
      <c r="D224" s="49">
        <v>42600</v>
      </c>
      <c r="E224" s="49">
        <v>6419324700</v>
      </c>
      <c r="F224" s="49">
        <f t="shared" si="56"/>
        <v>0.17753724959914399</v>
      </c>
      <c r="G224" s="49">
        <f t="shared" si="57"/>
        <v>0.17753724959914399</v>
      </c>
      <c r="H224" s="48">
        <v>221000</v>
      </c>
      <c r="I224" s="48">
        <v>240500</v>
      </c>
      <c r="J224" s="51">
        <v>125456133</v>
      </c>
      <c r="K224" s="48">
        <f t="shared" si="58"/>
        <v>1.39630369357553</v>
      </c>
      <c r="L224" s="48">
        <f t="shared" si="59"/>
        <v>1.39630369357553</v>
      </c>
      <c r="M224" s="49">
        <v>189200</v>
      </c>
      <c r="N224" s="49">
        <v>194700</v>
      </c>
      <c r="O224" s="49">
        <v>15956260</v>
      </c>
      <c r="P224" s="49">
        <f t="shared" si="60"/>
        <v>28.284863316129599</v>
      </c>
      <c r="Q224" s="49">
        <f t="shared" si="61"/>
        <v>28.284863316129599</v>
      </c>
      <c r="R224" s="48">
        <v>0</v>
      </c>
      <c r="S224" s="48"/>
      <c r="T224" s="48">
        <v>0</v>
      </c>
      <c r="U224" s="48">
        <v>0</v>
      </c>
      <c r="V224" s="48"/>
      <c r="W224" s="49">
        <v>1</v>
      </c>
      <c r="X224" s="49">
        <v>1</v>
      </c>
      <c r="Y224" s="49">
        <v>100000000</v>
      </c>
      <c r="Z224" s="49">
        <f t="shared" si="62"/>
        <v>1417748.54889318</v>
      </c>
      <c r="AA224" s="49">
        <f t="shared" si="63"/>
        <v>1417748.54889318</v>
      </c>
      <c r="AB224" s="82">
        <f t="shared" si="52"/>
        <v>0</v>
      </c>
      <c r="AC224" s="82">
        <f t="shared" si="53"/>
        <v>304598664874739.81</v>
      </c>
      <c r="AD224" s="81">
        <f t="shared" si="51"/>
        <v>320326446560299.37</v>
      </c>
      <c r="AE224" s="80">
        <f t="shared" si="54"/>
        <v>1051.6344406566172</v>
      </c>
      <c r="AF224" s="52">
        <f t="shared" si="64"/>
        <v>1.9497455511009541E-2</v>
      </c>
      <c r="AG224" s="48">
        <f t="shared" si="55"/>
        <v>4.7169811320754715E-3</v>
      </c>
      <c r="AH224" s="48">
        <f t="shared" si="65"/>
        <v>8.8235294117647065E-2</v>
      </c>
      <c r="AI224" s="48">
        <f t="shared" si="66"/>
        <v>2.9069767441860465E-2</v>
      </c>
      <c r="AJ224" s="48">
        <f t="shared" si="67"/>
        <v>0</v>
      </c>
    </row>
    <row r="225" spans="1:36" x14ac:dyDescent="0.3">
      <c r="A225" s="48">
        <v>20181127</v>
      </c>
      <c r="B225" s="48" t="s">
        <v>88</v>
      </c>
      <c r="C225" s="49">
        <v>42600</v>
      </c>
      <c r="D225" s="49">
        <v>43050</v>
      </c>
      <c r="E225" s="49">
        <v>6419324700</v>
      </c>
      <c r="F225" s="49">
        <f t="shared" si="56"/>
        <v>0.17753724959914399</v>
      </c>
      <c r="G225" s="49">
        <f t="shared" si="57"/>
        <v>0.17753724959914399</v>
      </c>
      <c r="H225" s="48">
        <v>240500</v>
      </c>
      <c r="I225" s="48">
        <v>238000</v>
      </c>
      <c r="J225" s="51">
        <v>125456133</v>
      </c>
      <c r="K225" s="48">
        <f t="shared" si="58"/>
        <v>1.39630369357553</v>
      </c>
      <c r="L225" s="48">
        <f t="shared" si="59"/>
        <v>1.39630369357553</v>
      </c>
      <c r="M225" s="49">
        <v>194700</v>
      </c>
      <c r="N225" s="49">
        <v>202800</v>
      </c>
      <c r="O225" s="49">
        <v>15956260</v>
      </c>
      <c r="P225" s="49">
        <f t="shared" si="60"/>
        <v>28.284863316129599</v>
      </c>
      <c r="Q225" s="49">
        <f t="shared" si="61"/>
        <v>28.284863316129599</v>
      </c>
      <c r="R225" s="48">
        <v>0</v>
      </c>
      <c r="S225" s="48"/>
      <c r="T225" s="48">
        <v>0</v>
      </c>
      <c r="U225" s="48">
        <v>0</v>
      </c>
      <c r="V225" s="48"/>
      <c r="W225" s="49">
        <v>1</v>
      </c>
      <c r="X225" s="49">
        <v>1</v>
      </c>
      <c r="Y225" s="49">
        <v>100000000</v>
      </c>
      <c r="Z225" s="49">
        <f t="shared" si="62"/>
        <v>1417748.54889318</v>
      </c>
      <c r="AA225" s="49">
        <f t="shared" si="63"/>
        <v>1417748.54889318</v>
      </c>
      <c r="AB225" s="82">
        <f t="shared" si="52"/>
        <v>0</v>
      </c>
      <c r="AC225" s="82">
        <f t="shared" si="53"/>
        <v>304598664874739.81</v>
      </c>
      <c r="AD225" s="81">
        <f t="shared" si="51"/>
        <v>324057057697166.94</v>
      </c>
      <c r="AE225" s="80">
        <f t="shared" si="54"/>
        <v>1063.8820686572249</v>
      </c>
      <c r="AF225" s="52">
        <f t="shared" si="64"/>
        <v>1.1646278903684889E-2</v>
      </c>
      <c r="AG225" s="48">
        <f t="shared" si="55"/>
        <v>1.0563380281690141E-2</v>
      </c>
      <c r="AH225" s="48">
        <f t="shared" si="65"/>
        <v>-1.0395010395010396E-2</v>
      </c>
      <c r="AI225" s="48">
        <f t="shared" si="66"/>
        <v>4.1602465331278891E-2</v>
      </c>
      <c r="AJ225" s="48">
        <f t="shared" si="67"/>
        <v>0</v>
      </c>
    </row>
    <row r="226" spans="1:36" x14ac:dyDescent="0.3">
      <c r="A226" s="48">
        <v>20181128</v>
      </c>
      <c r="B226" s="48" t="s">
        <v>88</v>
      </c>
      <c r="C226" s="49">
        <v>43050</v>
      </c>
      <c r="D226" s="49">
        <v>43150</v>
      </c>
      <c r="E226" s="49">
        <v>6419324700</v>
      </c>
      <c r="F226" s="49">
        <f t="shared" si="56"/>
        <v>0.17753724959914399</v>
      </c>
      <c r="G226" s="49">
        <f t="shared" si="57"/>
        <v>0.17753724959914399</v>
      </c>
      <c r="H226" s="48">
        <v>238000</v>
      </c>
      <c r="I226" s="48">
        <v>236000</v>
      </c>
      <c r="J226" s="51">
        <v>125456133</v>
      </c>
      <c r="K226" s="48">
        <f t="shared" si="58"/>
        <v>1.39630369357553</v>
      </c>
      <c r="L226" s="48">
        <f t="shared" si="59"/>
        <v>1.39630369357553</v>
      </c>
      <c r="M226" s="49">
        <v>202800</v>
      </c>
      <c r="N226" s="49">
        <v>199000</v>
      </c>
      <c r="O226" s="49">
        <v>15956260</v>
      </c>
      <c r="P226" s="49">
        <f t="shared" si="60"/>
        <v>28.284863316129599</v>
      </c>
      <c r="Q226" s="49">
        <f t="shared" si="61"/>
        <v>28.284863316129599</v>
      </c>
      <c r="R226" s="48">
        <v>0</v>
      </c>
      <c r="S226" s="48"/>
      <c r="T226" s="48">
        <v>0</v>
      </c>
      <c r="U226" s="48">
        <v>0</v>
      </c>
      <c r="V226" s="48"/>
      <c r="W226" s="49">
        <v>1</v>
      </c>
      <c r="X226" s="49">
        <v>1</v>
      </c>
      <c r="Y226" s="49">
        <v>100000000</v>
      </c>
      <c r="Z226" s="49">
        <f t="shared" si="62"/>
        <v>1417748.54889318</v>
      </c>
      <c r="AA226" s="49">
        <f t="shared" si="63"/>
        <v>1417748.54889318</v>
      </c>
      <c r="AB226" s="82">
        <f t="shared" si="52"/>
        <v>0</v>
      </c>
      <c r="AC226" s="82">
        <f t="shared" si="53"/>
        <v>304598664874739.81</v>
      </c>
      <c r="AD226" s="81">
        <f t="shared" si="51"/>
        <v>322105656492620.75</v>
      </c>
      <c r="AE226" s="80">
        <f t="shared" si="54"/>
        <v>1057.4756019534109</v>
      </c>
      <c r="AF226" s="52">
        <f t="shared" si="64"/>
        <v>-6.0217827638545281E-3</v>
      </c>
      <c r="AG226" s="48">
        <f t="shared" si="55"/>
        <v>2.3228803716608595E-3</v>
      </c>
      <c r="AH226" s="48">
        <f t="shared" si="65"/>
        <v>-8.4033613445378148E-3</v>
      </c>
      <c r="AI226" s="48">
        <f t="shared" si="66"/>
        <v>-1.8737672583826429E-2</v>
      </c>
      <c r="AJ226" s="48">
        <f t="shared" si="67"/>
        <v>0</v>
      </c>
    </row>
    <row r="227" spans="1:36" x14ac:dyDescent="0.3">
      <c r="A227" s="48">
        <v>20181129</v>
      </c>
      <c r="B227" s="48" t="s">
        <v>88</v>
      </c>
      <c r="C227" s="49">
        <v>43150</v>
      </c>
      <c r="D227" s="49">
        <v>43150</v>
      </c>
      <c r="E227" s="49">
        <v>6419324700</v>
      </c>
      <c r="F227" s="49">
        <f t="shared" si="56"/>
        <v>0.17753724959914399</v>
      </c>
      <c r="G227" s="49">
        <f t="shared" si="57"/>
        <v>0.17753724959914399</v>
      </c>
      <c r="H227" s="48">
        <v>236000</v>
      </c>
      <c r="I227" s="48">
        <v>237000</v>
      </c>
      <c r="J227" s="51">
        <v>125456133</v>
      </c>
      <c r="K227" s="48">
        <f t="shared" si="58"/>
        <v>1.39630369357553</v>
      </c>
      <c r="L227" s="48">
        <f t="shared" si="59"/>
        <v>1.39630369357553</v>
      </c>
      <c r="M227" s="49">
        <v>199000</v>
      </c>
      <c r="N227" s="49">
        <v>196200</v>
      </c>
      <c r="O227" s="49">
        <v>15956260</v>
      </c>
      <c r="P227" s="49">
        <f t="shared" si="60"/>
        <v>28.284863316129599</v>
      </c>
      <c r="Q227" s="49">
        <f t="shared" si="61"/>
        <v>28.284863316129599</v>
      </c>
      <c r="R227" s="48">
        <v>0</v>
      </c>
      <c r="S227" s="48"/>
      <c r="T227" s="48">
        <v>0</v>
      </c>
      <c r="U227" s="48">
        <v>0</v>
      </c>
      <c r="V227" s="48"/>
      <c r="W227" s="49">
        <v>1</v>
      </c>
      <c r="X227" s="49">
        <v>1</v>
      </c>
      <c r="Y227" s="49">
        <v>100000000</v>
      </c>
      <c r="Z227" s="49">
        <f t="shared" si="62"/>
        <v>1417748.54889318</v>
      </c>
      <c r="AA227" s="49">
        <f t="shared" si="63"/>
        <v>1417748.54889318</v>
      </c>
      <c r="AB227" s="82">
        <f t="shared" si="52"/>
        <v>0</v>
      </c>
      <c r="AC227" s="82">
        <f t="shared" si="53"/>
        <v>304598664874739.81</v>
      </c>
      <c r="AD227" s="81">
        <f t="shared" si="51"/>
        <v>321017133581727.75</v>
      </c>
      <c r="AE227" s="80">
        <f t="shared" si="54"/>
        <v>1053.9019720054903</v>
      </c>
      <c r="AF227" s="52">
        <f t="shared" si="64"/>
        <v>-3.379397067241322E-3</v>
      </c>
      <c r="AG227" s="48">
        <f t="shared" si="55"/>
        <v>0</v>
      </c>
      <c r="AH227" s="48">
        <f t="shared" si="65"/>
        <v>4.2372881355932203E-3</v>
      </c>
      <c r="AI227" s="48">
        <f t="shared" si="66"/>
        <v>-1.407035175879397E-2</v>
      </c>
      <c r="AJ227" s="48">
        <f t="shared" si="67"/>
        <v>0</v>
      </c>
    </row>
    <row r="228" spans="1:36" x14ac:dyDescent="0.3">
      <c r="A228" s="48">
        <v>20181130</v>
      </c>
      <c r="B228" s="48" t="s">
        <v>88</v>
      </c>
      <c r="C228" s="49">
        <v>43150</v>
      </c>
      <c r="D228" s="49">
        <v>41850</v>
      </c>
      <c r="E228" s="49">
        <v>6419324700</v>
      </c>
      <c r="F228" s="49">
        <f t="shared" si="56"/>
        <v>0.17753724959914399</v>
      </c>
      <c r="G228" s="49">
        <f t="shared" si="57"/>
        <v>0.17753724959914399</v>
      </c>
      <c r="H228" s="48">
        <v>237000</v>
      </c>
      <c r="I228" s="48">
        <v>239500</v>
      </c>
      <c r="J228" s="51">
        <v>125456133</v>
      </c>
      <c r="K228" s="48">
        <f t="shared" si="58"/>
        <v>1.39630369357553</v>
      </c>
      <c r="L228" s="48">
        <f t="shared" si="59"/>
        <v>1.39630369357553</v>
      </c>
      <c r="M228" s="49">
        <v>196200</v>
      </c>
      <c r="N228" s="49">
        <v>197300</v>
      </c>
      <c r="O228" s="49">
        <v>15956260</v>
      </c>
      <c r="P228" s="49">
        <f t="shared" si="60"/>
        <v>28.284863316129599</v>
      </c>
      <c r="Q228" s="49">
        <f t="shared" si="61"/>
        <v>28.284863316129599</v>
      </c>
      <c r="R228" s="48">
        <v>0</v>
      </c>
      <c r="S228" s="48"/>
      <c r="T228" s="48">
        <v>0</v>
      </c>
      <c r="U228" s="48">
        <v>0</v>
      </c>
      <c r="V228" s="48"/>
      <c r="W228" s="49">
        <v>1</v>
      </c>
      <c r="X228" s="49">
        <v>1</v>
      </c>
      <c r="Y228" s="49">
        <v>100000000</v>
      </c>
      <c r="Z228" s="49">
        <f t="shared" si="62"/>
        <v>1417748.54889318</v>
      </c>
      <c r="AA228" s="49">
        <f t="shared" si="63"/>
        <v>1417748.54889318</v>
      </c>
      <c r="AB228" s="82">
        <f t="shared" si="52"/>
        <v>0</v>
      </c>
      <c r="AC228" s="82">
        <f t="shared" si="53"/>
        <v>304598664874739.81</v>
      </c>
      <c r="AD228" s="81">
        <f t="shared" si="51"/>
        <v>320469953405923.69</v>
      </c>
      <c r="AE228" s="80">
        <f t="shared" si="54"/>
        <v>1052.1055748478432</v>
      </c>
      <c r="AF228" s="52">
        <f t="shared" si="64"/>
        <v>-1.7045201597153368E-3</v>
      </c>
      <c r="AG228" s="48">
        <f t="shared" si="55"/>
        <v>-3.0127462340672075E-2</v>
      </c>
      <c r="AH228" s="48">
        <f t="shared" si="65"/>
        <v>1.0548523206751054E-2</v>
      </c>
      <c r="AI228" s="48">
        <f t="shared" si="66"/>
        <v>5.6065239551478085E-3</v>
      </c>
      <c r="AJ228" s="48">
        <f t="shared" si="67"/>
        <v>0</v>
      </c>
    </row>
    <row r="229" spans="1:36" x14ac:dyDescent="0.3">
      <c r="A229" s="48">
        <v>20181203</v>
      </c>
      <c r="B229" s="48" t="s">
        <v>88</v>
      </c>
      <c r="C229" s="49">
        <v>41850</v>
      </c>
      <c r="D229" s="49">
        <v>43250</v>
      </c>
      <c r="E229" s="49">
        <v>6419324700</v>
      </c>
      <c r="F229" s="49">
        <f t="shared" si="56"/>
        <v>0.17753724959914399</v>
      </c>
      <c r="G229" s="49">
        <f t="shared" si="57"/>
        <v>0.17753724959914399</v>
      </c>
      <c r="H229" s="48">
        <v>239500</v>
      </c>
      <c r="I229" s="48">
        <v>240500</v>
      </c>
      <c r="J229" s="51">
        <v>125456133</v>
      </c>
      <c r="K229" s="48">
        <f t="shared" si="58"/>
        <v>1.39630369357553</v>
      </c>
      <c r="L229" s="48">
        <f t="shared" si="59"/>
        <v>1.39630369357553</v>
      </c>
      <c r="M229" s="49">
        <v>197300</v>
      </c>
      <c r="N229" s="49">
        <v>206200</v>
      </c>
      <c r="O229" s="49">
        <v>15956260</v>
      </c>
      <c r="P229" s="49">
        <f t="shared" si="60"/>
        <v>28.284863316129599</v>
      </c>
      <c r="Q229" s="49">
        <f t="shared" si="61"/>
        <v>28.284863316129599</v>
      </c>
      <c r="R229" s="48">
        <v>0</v>
      </c>
      <c r="S229" s="48"/>
      <c r="T229" s="48">
        <v>0</v>
      </c>
      <c r="U229" s="48">
        <v>0</v>
      </c>
      <c r="V229" s="48"/>
      <c r="W229" s="49">
        <v>1</v>
      </c>
      <c r="X229" s="49">
        <v>1</v>
      </c>
      <c r="Y229" s="49">
        <v>100000000</v>
      </c>
      <c r="Z229" s="49">
        <f t="shared" si="62"/>
        <v>1417748.54889318</v>
      </c>
      <c r="AA229" s="49">
        <f t="shared" si="63"/>
        <v>1417748.54889318</v>
      </c>
      <c r="AB229" s="82">
        <f t="shared" si="52"/>
        <v>0</v>
      </c>
      <c r="AC229" s="82">
        <f t="shared" si="53"/>
        <v>304598664874739.81</v>
      </c>
      <c r="AD229" s="81">
        <f t="shared" si="51"/>
        <v>326257418854859.81</v>
      </c>
      <c r="AE229" s="80">
        <f t="shared" si="54"/>
        <v>1071.1058729985791</v>
      </c>
      <c r="AF229" s="52">
        <f t="shared" si="64"/>
        <v>1.8059307549514497E-2</v>
      </c>
      <c r="AG229" s="48">
        <f t="shared" si="55"/>
        <v>3.3452807646356032E-2</v>
      </c>
      <c r="AH229" s="48">
        <f t="shared" si="65"/>
        <v>4.1753653444676405E-3</v>
      </c>
      <c r="AI229" s="48">
        <f t="shared" si="66"/>
        <v>4.5108971109984797E-2</v>
      </c>
      <c r="AJ229" s="48">
        <f t="shared" si="67"/>
        <v>0</v>
      </c>
    </row>
    <row r="230" spans="1:36" x14ac:dyDescent="0.3">
      <c r="A230" s="48">
        <v>20181204</v>
      </c>
      <c r="B230" s="48" t="s">
        <v>88</v>
      </c>
      <c r="C230" s="49">
        <v>43250</v>
      </c>
      <c r="D230" s="49">
        <v>42150</v>
      </c>
      <c r="E230" s="49">
        <v>6419324700</v>
      </c>
      <c r="F230" s="49">
        <f t="shared" si="56"/>
        <v>0.17753724959914399</v>
      </c>
      <c r="G230" s="49">
        <f t="shared" si="57"/>
        <v>0.17753724959914399</v>
      </c>
      <c r="H230" s="48">
        <v>240500</v>
      </c>
      <c r="I230" s="48">
        <v>243500</v>
      </c>
      <c r="J230" s="51">
        <v>125456133</v>
      </c>
      <c r="K230" s="48">
        <f t="shared" si="58"/>
        <v>1.39630369357553</v>
      </c>
      <c r="L230" s="48">
        <f t="shared" si="59"/>
        <v>1.39630369357553</v>
      </c>
      <c r="M230" s="49">
        <v>206200</v>
      </c>
      <c r="N230" s="49">
        <v>205800</v>
      </c>
      <c r="O230" s="49">
        <v>15956260</v>
      </c>
      <c r="P230" s="49">
        <f t="shared" si="60"/>
        <v>28.284863316129599</v>
      </c>
      <c r="Q230" s="49">
        <f t="shared" si="61"/>
        <v>28.284863316129599</v>
      </c>
      <c r="R230" s="48">
        <v>0</v>
      </c>
      <c r="S230" s="48"/>
      <c r="T230" s="48">
        <v>0</v>
      </c>
      <c r="U230" s="48">
        <v>0</v>
      </c>
      <c r="V230" s="48"/>
      <c r="W230" s="49">
        <v>1</v>
      </c>
      <c r="X230" s="49">
        <v>1</v>
      </c>
      <c r="Y230" s="49">
        <v>100000000</v>
      </c>
      <c r="Z230" s="49">
        <f t="shared" si="62"/>
        <v>1417748.54889318</v>
      </c>
      <c r="AA230" s="49">
        <f t="shared" si="63"/>
        <v>1417748.54889318</v>
      </c>
      <c r="AB230" s="82">
        <f t="shared" si="52"/>
        <v>0</v>
      </c>
      <c r="AC230" s="82">
        <f t="shared" si="53"/>
        <v>304598664874739.81</v>
      </c>
      <c r="AD230" s="81">
        <f t="shared" si="51"/>
        <v>325348779010599.94</v>
      </c>
      <c r="AE230" s="80">
        <f t="shared" si="54"/>
        <v>1068.1228006839531</v>
      </c>
      <c r="AF230" s="52">
        <f t="shared" si="64"/>
        <v>-2.7850396397088935E-3</v>
      </c>
      <c r="AG230" s="48">
        <f t="shared" si="55"/>
        <v>-2.5433526011560695E-2</v>
      </c>
      <c r="AH230" s="48">
        <f t="shared" si="65"/>
        <v>1.2474012474012475E-2</v>
      </c>
      <c r="AI230" s="48">
        <f t="shared" si="66"/>
        <v>-1.9398642095053346E-3</v>
      </c>
      <c r="AJ230" s="48">
        <f t="shared" si="67"/>
        <v>0</v>
      </c>
    </row>
    <row r="231" spans="1:36" x14ac:dyDescent="0.3">
      <c r="A231" s="48">
        <v>20181205</v>
      </c>
      <c r="B231" s="48" t="s">
        <v>88</v>
      </c>
      <c r="C231" s="49">
        <v>42150</v>
      </c>
      <c r="D231" s="49">
        <v>41450</v>
      </c>
      <c r="E231" s="49">
        <v>6419324700</v>
      </c>
      <c r="F231" s="49">
        <f t="shared" si="56"/>
        <v>0.17753724959914399</v>
      </c>
      <c r="G231" s="49">
        <f t="shared" si="57"/>
        <v>0.17753724959914399</v>
      </c>
      <c r="H231" s="48">
        <v>243500</v>
      </c>
      <c r="I231" s="48">
        <v>242000</v>
      </c>
      <c r="J231" s="51">
        <v>125456133</v>
      </c>
      <c r="K231" s="48">
        <f t="shared" si="58"/>
        <v>1.39630369357553</v>
      </c>
      <c r="L231" s="48">
        <f t="shared" si="59"/>
        <v>1.39630369357553</v>
      </c>
      <c r="M231" s="49">
        <v>205800</v>
      </c>
      <c r="N231" s="49">
        <v>201500</v>
      </c>
      <c r="O231" s="49">
        <v>15956260</v>
      </c>
      <c r="P231" s="49">
        <f t="shared" si="60"/>
        <v>28.284863316129599</v>
      </c>
      <c r="Q231" s="49">
        <f t="shared" si="61"/>
        <v>28.284863316129599</v>
      </c>
      <c r="R231" s="48">
        <v>0</v>
      </c>
      <c r="S231" s="48"/>
      <c r="T231" s="48">
        <v>0</v>
      </c>
      <c r="U231" s="48">
        <v>0</v>
      </c>
      <c r="V231" s="48"/>
      <c r="W231" s="49">
        <v>1</v>
      </c>
      <c r="X231" s="49">
        <v>1</v>
      </c>
      <c r="Y231" s="49">
        <v>100000000</v>
      </c>
      <c r="Z231" s="49">
        <f t="shared" si="62"/>
        <v>1417748.54889318</v>
      </c>
      <c r="AA231" s="49">
        <f t="shared" si="63"/>
        <v>1417748.54889318</v>
      </c>
      <c r="AB231" s="82">
        <f t="shared" si="52"/>
        <v>0</v>
      </c>
      <c r="AC231" s="82">
        <f t="shared" si="53"/>
        <v>304598664874739.81</v>
      </c>
      <c r="AD231" s="81">
        <f t="shared" si="51"/>
        <v>322347569519212.75</v>
      </c>
      <c r="AE231" s="80">
        <f t="shared" si="54"/>
        <v>1058.2698044713093</v>
      </c>
      <c r="AF231" s="52">
        <f t="shared" si="64"/>
        <v>-9.2245912233449318E-3</v>
      </c>
      <c r="AG231" s="48">
        <f t="shared" si="55"/>
        <v>-1.6607354685646499E-2</v>
      </c>
      <c r="AH231" s="48">
        <f t="shared" si="65"/>
        <v>-6.1601642710472282E-3</v>
      </c>
      <c r="AI231" s="48">
        <f t="shared" si="66"/>
        <v>-2.0894071914480079E-2</v>
      </c>
      <c r="AJ231" s="48">
        <f t="shared" si="67"/>
        <v>0</v>
      </c>
    </row>
    <row r="232" spans="1:36" x14ac:dyDescent="0.3">
      <c r="A232" s="48">
        <v>20181206</v>
      </c>
      <c r="B232" s="48" t="s">
        <v>88</v>
      </c>
      <c r="C232" s="49">
        <v>41450</v>
      </c>
      <c r="D232" s="49">
        <v>40500</v>
      </c>
      <c r="E232" s="49">
        <v>6419324700</v>
      </c>
      <c r="F232" s="49">
        <f t="shared" si="56"/>
        <v>0.17753724959914399</v>
      </c>
      <c r="G232" s="49">
        <f t="shared" si="57"/>
        <v>0.17753724959914399</v>
      </c>
      <c r="H232" s="48">
        <v>242000</v>
      </c>
      <c r="I232" s="48">
        <v>235500</v>
      </c>
      <c r="J232" s="51">
        <v>125456133</v>
      </c>
      <c r="K232" s="48">
        <f t="shared" si="58"/>
        <v>1.39630369357553</v>
      </c>
      <c r="L232" s="48">
        <f t="shared" si="59"/>
        <v>1.39630369357553</v>
      </c>
      <c r="M232" s="49">
        <v>201500</v>
      </c>
      <c r="N232" s="49">
        <v>194500</v>
      </c>
      <c r="O232" s="49">
        <v>15956260</v>
      </c>
      <c r="P232" s="49">
        <f t="shared" si="60"/>
        <v>28.284863316129599</v>
      </c>
      <c r="Q232" s="49">
        <f t="shared" si="61"/>
        <v>28.284863316129599</v>
      </c>
      <c r="R232" s="48">
        <v>0</v>
      </c>
      <c r="S232" s="48"/>
      <c r="T232" s="48">
        <v>0</v>
      </c>
      <c r="U232" s="48">
        <v>0</v>
      </c>
      <c r="V232" s="48"/>
      <c r="W232" s="49">
        <v>1</v>
      </c>
      <c r="X232" s="49">
        <v>1</v>
      </c>
      <c r="Y232" s="49">
        <v>100000000</v>
      </c>
      <c r="Z232" s="49">
        <f t="shared" si="62"/>
        <v>1417748.54889318</v>
      </c>
      <c r="AA232" s="49">
        <f t="shared" si="63"/>
        <v>1417748.54889318</v>
      </c>
      <c r="AB232" s="82">
        <f t="shared" si="52"/>
        <v>0</v>
      </c>
      <c r="AC232" s="82">
        <f t="shared" si="53"/>
        <v>304598664874739.81</v>
      </c>
      <c r="AD232" s="81">
        <f t="shared" si="51"/>
        <v>316967002696028.19</v>
      </c>
      <c r="AE232" s="80">
        <f t="shared" si="54"/>
        <v>1040.6053579597094</v>
      </c>
      <c r="AF232" s="52">
        <f t="shared" si="64"/>
        <v>-1.6691817565771587E-2</v>
      </c>
      <c r="AG232" s="48">
        <f t="shared" si="55"/>
        <v>-2.2919179734620022E-2</v>
      </c>
      <c r="AH232" s="48">
        <f t="shared" si="65"/>
        <v>-2.6859504132231406E-2</v>
      </c>
      <c r="AI232" s="48">
        <f t="shared" si="66"/>
        <v>-3.4739454094292806E-2</v>
      </c>
      <c r="AJ232" s="48">
        <f t="shared" si="67"/>
        <v>0</v>
      </c>
    </row>
    <row r="233" spans="1:36" x14ac:dyDescent="0.3">
      <c r="A233" s="48">
        <v>20181207</v>
      </c>
      <c r="B233" s="48" t="s">
        <v>88</v>
      </c>
      <c r="C233" s="49">
        <v>40500</v>
      </c>
      <c r="D233" s="49">
        <v>40950</v>
      </c>
      <c r="E233" s="49">
        <v>6419324700</v>
      </c>
      <c r="F233" s="49">
        <f t="shared" si="56"/>
        <v>0.17753724959914399</v>
      </c>
      <c r="G233" s="49">
        <f t="shared" si="57"/>
        <v>0.17753724959914399</v>
      </c>
      <c r="H233" s="48">
        <v>235500</v>
      </c>
      <c r="I233" s="48">
        <v>245500</v>
      </c>
      <c r="J233" s="51">
        <v>125456133</v>
      </c>
      <c r="K233" s="48">
        <f t="shared" si="58"/>
        <v>1.39630369357553</v>
      </c>
      <c r="L233" s="48">
        <f t="shared" si="59"/>
        <v>1.39630369357553</v>
      </c>
      <c r="M233" s="49">
        <v>194500</v>
      </c>
      <c r="N233" s="49">
        <v>198300</v>
      </c>
      <c r="O233" s="49">
        <v>15956260</v>
      </c>
      <c r="P233" s="49">
        <f t="shared" si="60"/>
        <v>28.284863316129599</v>
      </c>
      <c r="Q233" s="49">
        <f t="shared" si="61"/>
        <v>28.284863316129599</v>
      </c>
      <c r="R233" s="48">
        <v>0</v>
      </c>
      <c r="S233" s="48"/>
      <c r="T233" s="48">
        <v>0</v>
      </c>
      <c r="U233" s="48">
        <v>0</v>
      </c>
      <c r="V233" s="48"/>
      <c r="W233" s="49">
        <v>1</v>
      </c>
      <c r="X233" s="49">
        <v>1</v>
      </c>
      <c r="Y233" s="49">
        <v>100000000</v>
      </c>
      <c r="Z233" s="49">
        <f t="shared" si="62"/>
        <v>1417748.54889318</v>
      </c>
      <c r="AA233" s="49">
        <f t="shared" si="63"/>
        <v>1417748.54889318</v>
      </c>
      <c r="AB233" s="82">
        <f t="shared" si="52"/>
        <v>0</v>
      </c>
      <c r="AC233" s="82">
        <f t="shared" si="53"/>
        <v>304598664874739.81</v>
      </c>
      <c r="AD233" s="81">
        <f t="shared" si="51"/>
        <v>320946620884028.25</v>
      </c>
      <c r="AE233" s="80">
        <f t="shared" si="54"/>
        <v>1053.6704782209442</v>
      </c>
      <c r="AF233" s="52">
        <f t="shared" si="64"/>
        <v>1.2555307505672755E-2</v>
      </c>
      <c r="AG233" s="48">
        <f t="shared" si="55"/>
        <v>1.1111111111111112E-2</v>
      </c>
      <c r="AH233" s="48">
        <f t="shared" si="65"/>
        <v>4.2462845010615709E-2</v>
      </c>
      <c r="AI233" s="48">
        <f t="shared" si="66"/>
        <v>1.9537275064267352E-2</v>
      </c>
      <c r="AJ233" s="48">
        <f t="shared" si="67"/>
        <v>0</v>
      </c>
    </row>
    <row r="234" spans="1:36" x14ac:dyDescent="0.3">
      <c r="A234" s="48">
        <v>20181210</v>
      </c>
      <c r="B234" s="48" t="s">
        <v>88</v>
      </c>
      <c r="C234" s="49">
        <v>40950</v>
      </c>
      <c r="D234" s="49">
        <v>40200</v>
      </c>
      <c r="E234" s="49">
        <v>6419324700</v>
      </c>
      <c r="F234" s="49">
        <f t="shared" si="56"/>
        <v>0.17753724959914399</v>
      </c>
      <c r="G234" s="49">
        <f t="shared" si="57"/>
        <v>0.17753724959914399</v>
      </c>
      <c r="H234" s="48">
        <v>245500</v>
      </c>
      <c r="I234" s="48">
        <v>244500</v>
      </c>
      <c r="J234" s="51">
        <v>125456133</v>
      </c>
      <c r="K234" s="48">
        <f t="shared" si="58"/>
        <v>1.39630369357553</v>
      </c>
      <c r="L234" s="48">
        <f t="shared" si="59"/>
        <v>1.39630369357553</v>
      </c>
      <c r="M234" s="49">
        <v>198300</v>
      </c>
      <c r="N234" s="49">
        <v>195300</v>
      </c>
      <c r="O234" s="49">
        <v>15956260</v>
      </c>
      <c r="P234" s="49">
        <f t="shared" si="60"/>
        <v>28.284863316129599</v>
      </c>
      <c r="Q234" s="49">
        <f t="shared" si="61"/>
        <v>28.284863316129599</v>
      </c>
      <c r="R234" s="48">
        <v>0</v>
      </c>
      <c r="S234" s="48"/>
      <c r="T234" s="48">
        <v>0</v>
      </c>
      <c r="U234" s="48">
        <v>0</v>
      </c>
      <c r="V234" s="48"/>
      <c r="W234" s="49">
        <v>1</v>
      </c>
      <c r="X234" s="49">
        <v>1</v>
      </c>
      <c r="Y234" s="49">
        <v>100000000</v>
      </c>
      <c r="Z234" s="49">
        <f t="shared" si="62"/>
        <v>1417748.54889318</v>
      </c>
      <c r="AA234" s="49">
        <f t="shared" si="63"/>
        <v>1417748.54889318</v>
      </c>
      <c r="AB234" s="82">
        <f t="shared" si="52"/>
        <v>0</v>
      </c>
      <c r="AC234" s="82">
        <f t="shared" si="53"/>
        <v>304598664874739.81</v>
      </c>
      <c r="AD234" s="81">
        <f t="shared" si="51"/>
        <v>318562732184087.37</v>
      </c>
      <c r="AE234" s="80">
        <f t="shared" si="54"/>
        <v>1045.8441514019439</v>
      </c>
      <c r="AF234" s="52">
        <f t="shared" si="64"/>
        <v>-7.4276796975602574E-3</v>
      </c>
      <c r="AG234" s="48">
        <f t="shared" si="55"/>
        <v>-1.8315018315018316E-2</v>
      </c>
      <c r="AH234" s="48">
        <f t="shared" si="65"/>
        <v>-4.0733197556008143E-3</v>
      </c>
      <c r="AI234" s="48">
        <f t="shared" si="66"/>
        <v>-1.5128593040847202E-2</v>
      </c>
      <c r="AJ234" s="48">
        <f t="shared" si="67"/>
        <v>0</v>
      </c>
    </row>
    <row r="235" spans="1:36" x14ac:dyDescent="0.3">
      <c r="A235" s="48">
        <v>20181211</v>
      </c>
      <c r="B235" s="48" t="s">
        <v>88</v>
      </c>
      <c r="C235" s="49">
        <v>40200</v>
      </c>
      <c r="D235" s="49">
        <v>40250</v>
      </c>
      <c r="E235" s="49">
        <v>6419324700</v>
      </c>
      <c r="F235" s="49">
        <f t="shared" si="56"/>
        <v>0.17753724959914399</v>
      </c>
      <c r="G235" s="49">
        <f t="shared" si="57"/>
        <v>0.17753724959914399</v>
      </c>
      <c r="H235" s="48">
        <v>244500</v>
      </c>
      <c r="I235" s="48">
        <v>220000</v>
      </c>
      <c r="J235" s="51">
        <v>125456133</v>
      </c>
      <c r="K235" s="48">
        <f t="shared" si="58"/>
        <v>1.39630369357553</v>
      </c>
      <c r="L235" s="48">
        <f t="shared" si="59"/>
        <v>1.39630369357553</v>
      </c>
      <c r="M235" s="49">
        <v>195300</v>
      </c>
      <c r="N235" s="49">
        <v>195400</v>
      </c>
      <c r="O235" s="49">
        <v>15956260</v>
      </c>
      <c r="P235" s="49">
        <f t="shared" si="60"/>
        <v>28.284863316129599</v>
      </c>
      <c r="Q235" s="49">
        <f t="shared" si="61"/>
        <v>28.284863316129599</v>
      </c>
      <c r="R235" s="48">
        <v>0</v>
      </c>
      <c r="S235" s="48"/>
      <c r="T235" s="48">
        <v>0</v>
      </c>
      <c r="U235" s="48">
        <v>0</v>
      </c>
      <c r="V235" s="48"/>
      <c r="W235" s="49">
        <v>1</v>
      </c>
      <c r="X235" s="49">
        <v>1</v>
      </c>
      <c r="Y235" s="49">
        <v>100000000</v>
      </c>
      <c r="Z235" s="49">
        <f t="shared" si="62"/>
        <v>1417748.54889318</v>
      </c>
      <c r="AA235" s="49">
        <f t="shared" si="63"/>
        <v>1417748.54889318</v>
      </c>
      <c r="AB235" s="82">
        <f t="shared" si="52"/>
        <v>0</v>
      </c>
      <c r="AC235" s="82">
        <f t="shared" si="53"/>
        <v>304598664874739.81</v>
      </c>
      <c r="AD235" s="81">
        <f t="shared" si="51"/>
        <v>314373063593681.87</v>
      </c>
      <c r="AE235" s="80">
        <f t="shared" si="54"/>
        <v>1032.0894338882331</v>
      </c>
      <c r="AF235" s="52">
        <f t="shared" si="64"/>
        <v>-1.31517850869776E-2</v>
      </c>
      <c r="AG235" s="48">
        <f t="shared" si="55"/>
        <v>1.2437810945273632E-3</v>
      </c>
      <c r="AH235" s="48">
        <f t="shared" si="65"/>
        <v>-0.10020449897750511</v>
      </c>
      <c r="AI235" s="48">
        <f t="shared" si="66"/>
        <v>5.1203277009728623E-4</v>
      </c>
      <c r="AJ235" s="48">
        <f t="shared" si="67"/>
        <v>0</v>
      </c>
    </row>
    <row r="236" spans="1:36" s="47" customFormat="1" x14ac:dyDescent="0.3">
      <c r="A236" s="65">
        <v>20181212</v>
      </c>
      <c r="B236" s="48" t="s">
        <v>88</v>
      </c>
      <c r="C236" s="49">
        <v>40250</v>
      </c>
      <c r="D236" s="49">
        <v>40450</v>
      </c>
      <c r="E236" s="49">
        <v>5969782550</v>
      </c>
      <c r="F236" s="49">
        <f t="shared" si="56"/>
        <v>0.17753724959914399</v>
      </c>
      <c r="G236" s="49">
        <f t="shared" si="57"/>
        <v>0.16456882480900001</v>
      </c>
      <c r="H236" s="48">
        <v>220000</v>
      </c>
      <c r="I236" s="48">
        <v>226500</v>
      </c>
      <c r="J236" s="51">
        <v>125456133</v>
      </c>
      <c r="K236" s="48">
        <f t="shared" si="58"/>
        <v>1.39630369357553</v>
      </c>
      <c r="L236" s="48">
        <f t="shared" si="59"/>
        <v>1.20366916680984</v>
      </c>
      <c r="M236" s="49">
        <v>195400</v>
      </c>
      <c r="N236" s="49">
        <v>203000</v>
      </c>
      <c r="O236" s="49">
        <v>15956260</v>
      </c>
      <c r="P236" s="49">
        <f t="shared" si="60"/>
        <v>28.284863316129599</v>
      </c>
      <c r="Q236" s="49">
        <f t="shared" si="61"/>
        <v>24.382674068472198</v>
      </c>
      <c r="R236" s="48">
        <v>0</v>
      </c>
      <c r="S236" s="48"/>
      <c r="T236" s="48">
        <v>0</v>
      </c>
      <c r="U236" s="48">
        <v>0</v>
      </c>
      <c r="V236" s="48"/>
      <c r="W236" s="49">
        <v>1</v>
      </c>
      <c r="X236" s="49">
        <v>1</v>
      </c>
      <c r="Y236" s="49">
        <v>100000000</v>
      </c>
      <c r="Z236" s="49">
        <f t="shared" si="62"/>
        <v>1417748.54889318</v>
      </c>
      <c r="AA236" s="49">
        <f t="shared" si="63"/>
        <v>1222155.4826817601</v>
      </c>
      <c r="AB236" s="82">
        <f t="shared" si="52"/>
        <v>1</v>
      </c>
      <c r="AC236" s="82">
        <f t="shared" si="53"/>
        <v>262576130714315.16</v>
      </c>
      <c r="AD236" s="81">
        <f t="shared" si="51"/>
        <v>275136915815921.12</v>
      </c>
      <c r="AE236" s="80">
        <f t="shared" si="54"/>
        <v>1047.8367362160279</v>
      </c>
      <c r="AF236" s="52">
        <f t="shared" si="64"/>
        <v>1.5257691640606551E-2</v>
      </c>
      <c r="AG236" s="48">
        <f t="shared" si="55"/>
        <v>4.9689440993788822E-3</v>
      </c>
      <c r="AH236" s="48">
        <f t="shared" si="65"/>
        <v>2.9545454545454545E-2</v>
      </c>
      <c r="AI236" s="48">
        <f t="shared" si="66"/>
        <v>3.8894575230296824E-2</v>
      </c>
      <c r="AJ236" s="48">
        <f t="shared" si="67"/>
        <v>0</v>
      </c>
    </row>
    <row r="237" spans="1:36" x14ac:dyDescent="0.3">
      <c r="A237" s="48">
        <v>20181213</v>
      </c>
      <c r="B237" s="48" t="s">
        <v>88</v>
      </c>
      <c r="C237" s="49">
        <v>40450</v>
      </c>
      <c r="D237" s="49">
        <v>40000</v>
      </c>
      <c r="E237" s="49">
        <v>5969782550</v>
      </c>
      <c r="F237" s="49">
        <f t="shared" si="56"/>
        <v>0.16456882480900001</v>
      </c>
      <c r="G237" s="49">
        <f t="shared" si="57"/>
        <v>0.16456882480900001</v>
      </c>
      <c r="H237" s="48">
        <v>226500</v>
      </c>
      <c r="I237" s="48">
        <v>217500</v>
      </c>
      <c r="J237" s="51">
        <v>125456133</v>
      </c>
      <c r="K237" s="48">
        <f t="shared" si="58"/>
        <v>1.20366916680984</v>
      </c>
      <c r="L237" s="48">
        <f t="shared" si="59"/>
        <v>1.20366916680984</v>
      </c>
      <c r="M237" s="49">
        <v>203000</v>
      </c>
      <c r="N237" s="49">
        <v>205700</v>
      </c>
      <c r="O237" s="49">
        <v>15956260</v>
      </c>
      <c r="P237" s="49">
        <f t="shared" si="60"/>
        <v>24.382674068472198</v>
      </c>
      <c r="Q237" s="49">
        <f t="shared" si="61"/>
        <v>24.382674068472198</v>
      </c>
      <c r="R237" s="48">
        <v>0</v>
      </c>
      <c r="S237" s="48"/>
      <c r="T237" s="48">
        <v>0</v>
      </c>
      <c r="U237" s="48">
        <v>0</v>
      </c>
      <c r="V237" s="48"/>
      <c r="W237" s="49">
        <v>1</v>
      </c>
      <c r="X237" s="49">
        <v>1</v>
      </c>
      <c r="Y237" s="49">
        <v>100000000</v>
      </c>
      <c r="Z237" s="49">
        <f t="shared" si="62"/>
        <v>1222155.4826817601</v>
      </c>
      <c r="AA237" s="49">
        <f t="shared" si="63"/>
        <v>1222155.4826817601</v>
      </c>
      <c r="AB237" s="82">
        <f t="shared" si="52"/>
        <v>0</v>
      </c>
      <c r="AC237" s="82">
        <f t="shared" si="53"/>
        <v>262576130714315.16</v>
      </c>
      <c r="AD237" s="81">
        <f t="shared" si="51"/>
        <v>274386200634544.87</v>
      </c>
      <c r="AE237" s="80">
        <f t="shared" si="54"/>
        <v>1044.9776980417125</v>
      </c>
      <c r="AF237" s="52">
        <f t="shared" si="64"/>
        <v>-2.7285149255598974E-3</v>
      </c>
      <c r="AG237" s="48">
        <f t="shared" si="55"/>
        <v>-1.1124845488257108E-2</v>
      </c>
      <c r="AH237" s="48">
        <f t="shared" si="65"/>
        <v>-3.9735099337748346E-2</v>
      </c>
      <c r="AI237" s="48">
        <f t="shared" si="66"/>
        <v>1.3300492610837438E-2</v>
      </c>
      <c r="AJ237" s="48">
        <f t="shared" si="67"/>
        <v>0</v>
      </c>
    </row>
    <row r="238" spans="1:36" x14ac:dyDescent="0.3">
      <c r="A238" s="48">
        <v>20181214</v>
      </c>
      <c r="B238" s="48" t="s">
        <v>88</v>
      </c>
      <c r="C238" s="49">
        <v>40000</v>
      </c>
      <c r="D238" s="49">
        <v>38950</v>
      </c>
      <c r="E238" s="49">
        <v>5969782550</v>
      </c>
      <c r="F238" s="49">
        <f t="shared" si="56"/>
        <v>0.16456882480900001</v>
      </c>
      <c r="G238" s="49">
        <f t="shared" si="57"/>
        <v>0.16456882480900001</v>
      </c>
      <c r="H238" s="48">
        <v>217500</v>
      </c>
      <c r="I238" s="48">
        <v>208000</v>
      </c>
      <c r="J238" s="51">
        <v>125456133</v>
      </c>
      <c r="K238" s="48">
        <f t="shared" si="58"/>
        <v>1.20366916680984</v>
      </c>
      <c r="L238" s="48">
        <f t="shared" si="59"/>
        <v>1.20366916680984</v>
      </c>
      <c r="M238" s="49">
        <v>205700</v>
      </c>
      <c r="N238" s="49">
        <v>199600</v>
      </c>
      <c r="O238" s="49">
        <v>15956260</v>
      </c>
      <c r="P238" s="49">
        <f t="shared" si="60"/>
        <v>24.382674068472198</v>
      </c>
      <c r="Q238" s="49">
        <f t="shared" si="61"/>
        <v>24.382674068472198</v>
      </c>
      <c r="R238" s="48">
        <v>0</v>
      </c>
      <c r="S238" s="48"/>
      <c r="T238" s="48">
        <v>0</v>
      </c>
      <c r="U238" s="48">
        <v>0</v>
      </c>
      <c r="V238" s="48"/>
      <c r="W238" s="49">
        <v>1</v>
      </c>
      <c r="X238" s="49">
        <v>1</v>
      </c>
      <c r="Y238" s="49">
        <v>100000000</v>
      </c>
      <c r="Z238" s="49">
        <f t="shared" si="62"/>
        <v>1222155.4826817601</v>
      </c>
      <c r="AA238" s="49">
        <f t="shared" si="63"/>
        <v>1222155.4826817601</v>
      </c>
      <c r="AB238" s="82">
        <f t="shared" si="52"/>
        <v>0</v>
      </c>
      <c r="AC238" s="82">
        <f t="shared" si="53"/>
        <v>262576130714315.16</v>
      </c>
      <c r="AD238" s="81">
        <f t="shared" si="51"/>
        <v>269546822229457.87</v>
      </c>
      <c r="AE238" s="80">
        <f t="shared" si="54"/>
        <v>1026.5473159962391</v>
      </c>
      <c r="AF238" s="52">
        <f t="shared" si="64"/>
        <v>-1.763710563394023E-2</v>
      </c>
      <c r="AG238" s="48">
        <f t="shared" si="55"/>
        <v>-2.6249999999999999E-2</v>
      </c>
      <c r="AH238" s="48">
        <f t="shared" si="65"/>
        <v>-4.3678160919540229E-2</v>
      </c>
      <c r="AI238" s="48">
        <f t="shared" si="66"/>
        <v>-2.9654837141468156E-2</v>
      </c>
      <c r="AJ238" s="48">
        <f t="shared" si="67"/>
        <v>0</v>
      </c>
    </row>
    <row r="239" spans="1:36" x14ac:dyDescent="0.3">
      <c r="A239" s="48">
        <v>20181217</v>
      </c>
      <c r="B239" s="48" t="s">
        <v>88</v>
      </c>
      <c r="C239" s="49">
        <v>38950</v>
      </c>
      <c r="D239" s="49">
        <v>39150</v>
      </c>
      <c r="E239" s="49">
        <v>5969782550</v>
      </c>
      <c r="F239" s="49">
        <f t="shared" si="56"/>
        <v>0.16456882480900001</v>
      </c>
      <c r="G239" s="49">
        <f t="shared" si="57"/>
        <v>0.16456882480900001</v>
      </c>
      <c r="H239" s="48">
        <v>208000</v>
      </c>
      <c r="I239" s="48">
        <v>214500</v>
      </c>
      <c r="J239" s="51">
        <v>125456133</v>
      </c>
      <c r="K239" s="48">
        <f t="shared" si="58"/>
        <v>1.20366916680984</v>
      </c>
      <c r="L239" s="48">
        <f t="shared" si="59"/>
        <v>1.20366916680984</v>
      </c>
      <c r="M239" s="49">
        <v>199600</v>
      </c>
      <c r="N239" s="49">
        <v>202000</v>
      </c>
      <c r="O239" s="49">
        <v>15956260</v>
      </c>
      <c r="P239" s="49">
        <f t="shared" si="60"/>
        <v>24.382674068472198</v>
      </c>
      <c r="Q239" s="49">
        <f t="shared" si="61"/>
        <v>24.382674068472198</v>
      </c>
      <c r="R239" s="48">
        <v>0</v>
      </c>
      <c r="S239" s="48"/>
      <c r="T239" s="48">
        <v>0</v>
      </c>
      <c r="U239" s="48">
        <v>0</v>
      </c>
      <c r="V239" s="48"/>
      <c r="W239" s="49">
        <v>1</v>
      </c>
      <c r="X239" s="49">
        <v>1</v>
      </c>
      <c r="Y239" s="49">
        <v>100000000</v>
      </c>
      <c r="Z239" s="49">
        <f t="shared" si="62"/>
        <v>1222155.4826817601</v>
      </c>
      <c r="AA239" s="49">
        <f t="shared" si="63"/>
        <v>1222155.4826817601</v>
      </c>
      <c r="AB239" s="82">
        <f t="shared" si="52"/>
        <v>0</v>
      </c>
      <c r="AC239" s="82">
        <f t="shared" si="53"/>
        <v>262576130714315.16</v>
      </c>
      <c r="AD239" s="81">
        <f t="shared" si="51"/>
        <v>271658595251833.37</v>
      </c>
      <c r="AE239" s="80">
        <f t="shared" si="54"/>
        <v>1034.5898331002522</v>
      </c>
      <c r="AF239" s="52">
        <f t="shared" si="64"/>
        <v>7.8345313252395181E-3</v>
      </c>
      <c r="AG239" s="48">
        <f t="shared" si="55"/>
        <v>5.1347881899871627E-3</v>
      </c>
      <c r="AH239" s="48">
        <f t="shared" si="65"/>
        <v>3.125E-2</v>
      </c>
      <c r="AI239" s="48">
        <f t="shared" si="66"/>
        <v>1.2024048096192385E-2</v>
      </c>
      <c r="AJ239" s="48">
        <f t="shared" si="67"/>
        <v>0</v>
      </c>
    </row>
    <row r="240" spans="1:36" x14ac:dyDescent="0.3">
      <c r="A240" s="48">
        <v>20181218</v>
      </c>
      <c r="B240" s="48" t="s">
        <v>88</v>
      </c>
      <c r="C240" s="49">
        <v>39150</v>
      </c>
      <c r="D240" s="49">
        <v>38900</v>
      </c>
      <c r="E240" s="49">
        <v>5969782550</v>
      </c>
      <c r="F240" s="49">
        <f t="shared" si="56"/>
        <v>0.16456882480900001</v>
      </c>
      <c r="G240" s="49">
        <f t="shared" si="57"/>
        <v>0.16456882480900001</v>
      </c>
      <c r="H240" s="48">
        <v>214500</v>
      </c>
      <c r="I240" s="48">
        <v>218500</v>
      </c>
      <c r="J240" s="51">
        <v>125456133</v>
      </c>
      <c r="K240" s="48">
        <f t="shared" si="58"/>
        <v>1.20366916680984</v>
      </c>
      <c r="L240" s="48">
        <f t="shared" si="59"/>
        <v>1.20366916680984</v>
      </c>
      <c r="M240" s="49">
        <v>202000</v>
      </c>
      <c r="N240" s="49">
        <v>215000</v>
      </c>
      <c r="O240" s="49">
        <v>15956260</v>
      </c>
      <c r="P240" s="49">
        <f t="shared" si="60"/>
        <v>24.382674068472198</v>
      </c>
      <c r="Q240" s="49">
        <f t="shared" si="61"/>
        <v>24.382674068472198</v>
      </c>
      <c r="R240" s="48">
        <v>0</v>
      </c>
      <c r="S240" s="48"/>
      <c r="T240" s="48">
        <v>0</v>
      </c>
      <c r="U240" s="48">
        <v>0</v>
      </c>
      <c r="V240" s="48"/>
      <c r="W240" s="49">
        <v>1</v>
      </c>
      <c r="X240" s="49">
        <v>1</v>
      </c>
      <c r="Y240" s="49">
        <v>100000000</v>
      </c>
      <c r="Z240" s="49">
        <f t="shared" si="62"/>
        <v>1222155.4826817601</v>
      </c>
      <c r="AA240" s="49">
        <f t="shared" si="63"/>
        <v>1222155.4826817601</v>
      </c>
      <c r="AB240" s="82">
        <f t="shared" si="52"/>
        <v>0</v>
      </c>
      <c r="AC240" s="82">
        <f t="shared" si="53"/>
        <v>262576130714315.16</v>
      </c>
      <c r="AD240" s="81">
        <f t="shared" si="51"/>
        <v>277074747673609.25</v>
      </c>
      <c r="AE240" s="80">
        <f t="shared" si="54"/>
        <v>1055.2168124339858</v>
      </c>
      <c r="AF240" s="52">
        <f t="shared" si="64"/>
        <v>1.9937349733973996E-2</v>
      </c>
      <c r="AG240" s="48">
        <f t="shared" si="55"/>
        <v>-6.3856960408684551E-3</v>
      </c>
      <c r="AH240" s="48">
        <f t="shared" si="65"/>
        <v>1.8648018648018648E-2</v>
      </c>
      <c r="AI240" s="48">
        <f t="shared" si="66"/>
        <v>6.4356435643564358E-2</v>
      </c>
      <c r="AJ240" s="48">
        <f t="shared" si="67"/>
        <v>0</v>
      </c>
    </row>
    <row r="241" spans="1:36" x14ac:dyDescent="0.3">
      <c r="A241" s="48">
        <v>20181219</v>
      </c>
      <c r="B241" s="48" t="s">
        <v>88</v>
      </c>
      <c r="C241" s="49">
        <v>38900</v>
      </c>
      <c r="D241" s="49">
        <v>39100</v>
      </c>
      <c r="E241" s="49">
        <v>5969782550</v>
      </c>
      <c r="F241" s="49">
        <f t="shared" si="56"/>
        <v>0.16456882480900001</v>
      </c>
      <c r="G241" s="49">
        <f t="shared" si="57"/>
        <v>0.16456882480900001</v>
      </c>
      <c r="H241" s="48">
        <v>218500</v>
      </c>
      <c r="I241" s="48">
        <v>225500</v>
      </c>
      <c r="J241" s="51">
        <v>125456133</v>
      </c>
      <c r="K241" s="48">
        <f t="shared" si="58"/>
        <v>1.20366916680984</v>
      </c>
      <c r="L241" s="48">
        <f t="shared" si="59"/>
        <v>1.20366916680984</v>
      </c>
      <c r="M241" s="49">
        <v>215000</v>
      </c>
      <c r="N241" s="49">
        <v>216700</v>
      </c>
      <c r="O241" s="49">
        <v>15956260</v>
      </c>
      <c r="P241" s="49">
        <f t="shared" si="60"/>
        <v>24.382674068472198</v>
      </c>
      <c r="Q241" s="49">
        <f t="shared" si="61"/>
        <v>24.382674068472198</v>
      </c>
      <c r="R241" s="48">
        <v>0</v>
      </c>
      <c r="S241" s="48"/>
      <c r="T241" s="48">
        <v>0</v>
      </c>
      <c r="U241" s="48">
        <v>0</v>
      </c>
      <c r="V241" s="48"/>
      <c r="W241" s="49">
        <v>1</v>
      </c>
      <c r="X241" s="49">
        <v>1</v>
      </c>
      <c r="Y241" s="49">
        <v>100000000</v>
      </c>
      <c r="Z241" s="49">
        <f t="shared" si="62"/>
        <v>1222155.4826817601</v>
      </c>
      <c r="AA241" s="49">
        <f t="shared" si="63"/>
        <v>1222155.4826817601</v>
      </c>
      <c r="AB241" s="82">
        <f t="shared" si="52"/>
        <v>0</v>
      </c>
      <c r="AC241" s="82">
        <f t="shared" si="53"/>
        <v>262576130714315.16</v>
      </c>
      <c r="AD241" s="81">
        <f t="shared" si="51"/>
        <v>278989685134672.12</v>
      </c>
      <c r="AE241" s="80">
        <f t="shared" si="54"/>
        <v>1062.5096971903172</v>
      </c>
      <c r="AF241" s="52">
        <f t="shared" si="64"/>
        <v>6.9112666424537986E-3</v>
      </c>
      <c r="AG241" s="48">
        <f t="shared" si="55"/>
        <v>5.1413881748071976E-3</v>
      </c>
      <c r="AH241" s="48">
        <f t="shared" si="65"/>
        <v>3.2036613272311214E-2</v>
      </c>
      <c r="AI241" s="48">
        <f t="shared" si="66"/>
        <v>7.9069767441860457E-3</v>
      </c>
      <c r="AJ241" s="48">
        <f t="shared" si="67"/>
        <v>0</v>
      </c>
    </row>
    <row r="242" spans="1:36" x14ac:dyDescent="0.3">
      <c r="A242" s="48">
        <v>20181220</v>
      </c>
      <c r="B242" s="48" t="s">
        <v>88</v>
      </c>
      <c r="C242" s="49">
        <v>39100</v>
      </c>
      <c r="D242" s="49">
        <v>38650</v>
      </c>
      <c r="E242" s="49">
        <v>5969782550</v>
      </c>
      <c r="F242" s="49">
        <f t="shared" si="56"/>
        <v>0.16456882480900001</v>
      </c>
      <c r="G242" s="49">
        <f t="shared" si="57"/>
        <v>0.16456882480900001</v>
      </c>
      <c r="H242" s="48">
        <v>225500</v>
      </c>
      <c r="I242" s="48">
        <v>224000</v>
      </c>
      <c r="J242" s="51">
        <v>125456133</v>
      </c>
      <c r="K242" s="48">
        <f t="shared" si="58"/>
        <v>1.20366916680984</v>
      </c>
      <c r="L242" s="48">
        <f t="shared" si="59"/>
        <v>1.20366916680984</v>
      </c>
      <c r="M242" s="49">
        <v>216700</v>
      </c>
      <c r="N242" s="49">
        <v>224500</v>
      </c>
      <c r="O242" s="49">
        <v>15956260</v>
      </c>
      <c r="P242" s="49">
        <f t="shared" si="60"/>
        <v>24.382674068472198</v>
      </c>
      <c r="Q242" s="49">
        <f t="shared" si="61"/>
        <v>24.382674068472198</v>
      </c>
      <c r="R242" s="48">
        <v>0</v>
      </c>
      <c r="S242" s="48"/>
      <c r="T242" s="48">
        <v>0</v>
      </c>
      <c r="U242" s="48">
        <v>0</v>
      </c>
      <c r="V242" s="48"/>
      <c r="W242" s="49">
        <v>1</v>
      </c>
      <c r="X242" s="49">
        <v>1</v>
      </c>
      <c r="Y242" s="49">
        <v>100000000</v>
      </c>
      <c r="Z242" s="49">
        <f t="shared" si="62"/>
        <v>1222155.4826817601</v>
      </c>
      <c r="AA242" s="49">
        <f t="shared" si="63"/>
        <v>1222155.4826817601</v>
      </c>
      <c r="AB242" s="82">
        <f t="shared" si="52"/>
        <v>0</v>
      </c>
      <c r="AC242" s="82">
        <f t="shared" si="53"/>
        <v>262576130714315.16</v>
      </c>
      <c r="AD242" s="81">
        <f t="shared" si="51"/>
        <v>281355714609742.75</v>
      </c>
      <c r="AE242" s="80">
        <f t="shared" si="54"/>
        <v>1071.5205294721168</v>
      </c>
      <c r="AF242" s="52">
        <f t="shared" si="64"/>
        <v>8.4807059226166947E-3</v>
      </c>
      <c r="AG242" s="48">
        <f t="shared" si="55"/>
        <v>-1.1508951406649617E-2</v>
      </c>
      <c r="AH242" s="48">
        <f t="shared" si="65"/>
        <v>-6.6518847006651885E-3</v>
      </c>
      <c r="AI242" s="48">
        <f t="shared" si="66"/>
        <v>3.599446239040148E-2</v>
      </c>
      <c r="AJ242" s="48">
        <f t="shared" si="67"/>
        <v>0</v>
      </c>
    </row>
    <row r="243" spans="1:36" x14ac:dyDescent="0.3">
      <c r="A243" s="48">
        <v>20181221</v>
      </c>
      <c r="B243" s="48" t="s">
        <v>88</v>
      </c>
      <c r="C243" s="49">
        <v>38650</v>
      </c>
      <c r="D243" s="49">
        <v>38650</v>
      </c>
      <c r="E243" s="49">
        <v>5969782550</v>
      </c>
      <c r="F243" s="49">
        <f t="shared" si="56"/>
        <v>0.16456882480900001</v>
      </c>
      <c r="G243" s="49">
        <f t="shared" si="57"/>
        <v>0.16456882480900001</v>
      </c>
      <c r="H243" s="48">
        <v>224000</v>
      </c>
      <c r="I243" s="48">
        <v>220000</v>
      </c>
      <c r="J243" s="51">
        <v>125456133</v>
      </c>
      <c r="K243" s="48">
        <f t="shared" si="58"/>
        <v>1.20366916680984</v>
      </c>
      <c r="L243" s="48">
        <f t="shared" si="59"/>
        <v>1.20366916680984</v>
      </c>
      <c r="M243" s="49">
        <v>224500</v>
      </c>
      <c r="N243" s="49">
        <v>228300</v>
      </c>
      <c r="O243" s="49">
        <v>15956260</v>
      </c>
      <c r="P243" s="49">
        <f t="shared" si="60"/>
        <v>24.382674068472198</v>
      </c>
      <c r="Q243" s="49">
        <f t="shared" si="61"/>
        <v>24.382674068472198</v>
      </c>
      <c r="R243" s="48">
        <v>0</v>
      </c>
      <c r="S243" s="48"/>
      <c r="T243" s="48">
        <v>0</v>
      </c>
      <c r="U243" s="48">
        <v>0</v>
      </c>
      <c r="V243" s="48"/>
      <c r="W243" s="49">
        <v>1</v>
      </c>
      <c r="X243" s="49">
        <v>1</v>
      </c>
      <c r="Y243" s="49">
        <v>100000000</v>
      </c>
      <c r="Z243" s="49">
        <f t="shared" si="62"/>
        <v>1222155.4826817601</v>
      </c>
      <c r="AA243" s="49">
        <f t="shared" si="63"/>
        <v>1222155.4826817601</v>
      </c>
      <c r="AB243" s="82">
        <f t="shared" si="52"/>
        <v>0</v>
      </c>
      <c r="AC243" s="82">
        <f t="shared" si="53"/>
        <v>262576130714315.16</v>
      </c>
      <c r="AD243" s="81">
        <f t="shared" si="51"/>
        <v>282230097783766.44</v>
      </c>
      <c r="AE243" s="80">
        <f t="shared" si="54"/>
        <v>1074.8505472145714</v>
      </c>
      <c r="AF243" s="52">
        <f t="shared" si="64"/>
        <v>3.1077498292031401E-3</v>
      </c>
      <c r="AG243" s="48">
        <f t="shared" si="55"/>
        <v>0</v>
      </c>
      <c r="AH243" s="48">
        <f t="shared" si="65"/>
        <v>-1.7857142857142856E-2</v>
      </c>
      <c r="AI243" s="48">
        <f t="shared" si="66"/>
        <v>1.6926503340757237E-2</v>
      </c>
      <c r="AJ243" s="48">
        <f t="shared" si="67"/>
        <v>0</v>
      </c>
    </row>
    <row r="244" spans="1:36" x14ac:dyDescent="0.3">
      <c r="A244" s="48">
        <v>20181224</v>
      </c>
      <c r="B244" s="48" t="s">
        <v>88</v>
      </c>
      <c r="C244" s="49">
        <v>38650</v>
      </c>
      <c r="D244" s="49">
        <v>38800</v>
      </c>
      <c r="E244" s="49">
        <v>5969782550</v>
      </c>
      <c r="F244" s="49">
        <f t="shared" si="56"/>
        <v>0.16456882480900001</v>
      </c>
      <c r="G244" s="49">
        <f t="shared" si="57"/>
        <v>0.16456882480900001</v>
      </c>
      <c r="H244" s="48">
        <v>220000</v>
      </c>
      <c r="I244" s="48">
        <v>210500</v>
      </c>
      <c r="J244" s="51">
        <v>125456133</v>
      </c>
      <c r="K244" s="48">
        <f t="shared" si="58"/>
        <v>1.20366916680984</v>
      </c>
      <c r="L244" s="48">
        <f t="shared" si="59"/>
        <v>1.20366916680984</v>
      </c>
      <c r="M244" s="49">
        <v>228300</v>
      </c>
      <c r="N244" s="49">
        <v>226900</v>
      </c>
      <c r="O244" s="49">
        <v>15956260</v>
      </c>
      <c r="P244" s="49">
        <f t="shared" si="60"/>
        <v>24.382674068472198</v>
      </c>
      <c r="Q244" s="49">
        <f t="shared" si="61"/>
        <v>24.382674068472198</v>
      </c>
      <c r="R244" s="48">
        <v>0</v>
      </c>
      <c r="S244" s="48"/>
      <c r="T244" s="48">
        <v>0</v>
      </c>
      <c r="U244" s="48">
        <v>0</v>
      </c>
      <c r="V244" s="48"/>
      <c r="W244" s="49">
        <v>1</v>
      </c>
      <c r="X244" s="49">
        <v>1</v>
      </c>
      <c r="Y244" s="49">
        <v>100000000</v>
      </c>
      <c r="Z244" s="49">
        <f t="shared" si="62"/>
        <v>1222155.4826817601</v>
      </c>
      <c r="AA244" s="49">
        <f t="shared" si="63"/>
        <v>1222155.4826817601</v>
      </c>
      <c r="AB244" s="82">
        <f t="shared" si="52"/>
        <v>0</v>
      </c>
      <c r="AC244" s="82">
        <f t="shared" si="53"/>
        <v>262576130714315.16</v>
      </c>
      <c r="AD244" s="81">
        <f t="shared" si="51"/>
        <v>280398212045601.44</v>
      </c>
      <c r="AE244" s="80">
        <f t="shared" si="54"/>
        <v>1067.8739582413789</v>
      </c>
      <c r="AF244" s="52">
        <f t="shared" si="64"/>
        <v>-6.4907525899968585E-3</v>
      </c>
      <c r="AG244" s="48">
        <f t="shared" si="55"/>
        <v>3.8809831824062097E-3</v>
      </c>
      <c r="AH244" s="48">
        <f t="shared" si="65"/>
        <v>-4.3181818181818182E-2</v>
      </c>
      <c r="AI244" s="48">
        <f t="shared" si="66"/>
        <v>-6.1322820849759093E-3</v>
      </c>
      <c r="AJ244" s="48">
        <f t="shared" si="67"/>
        <v>0</v>
      </c>
    </row>
    <row r="245" spans="1:36" x14ac:dyDescent="0.3">
      <c r="A245" s="48">
        <v>20181226</v>
      </c>
      <c r="B245" s="48" t="s">
        <v>88</v>
      </c>
      <c r="C245" s="49">
        <v>38800</v>
      </c>
      <c r="D245" s="49">
        <v>38350</v>
      </c>
      <c r="E245" s="49">
        <v>5969782550</v>
      </c>
      <c r="F245" s="49">
        <f t="shared" si="56"/>
        <v>0.16456882480900001</v>
      </c>
      <c r="G245" s="49">
        <f t="shared" si="57"/>
        <v>0.16456882480900001</v>
      </c>
      <c r="H245" s="48">
        <v>210500</v>
      </c>
      <c r="I245" s="48">
        <v>228000</v>
      </c>
      <c r="J245" s="51">
        <v>125456133</v>
      </c>
      <c r="K245" s="48">
        <f t="shared" si="58"/>
        <v>1.20366916680984</v>
      </c>
      <c r="L245" s="48">
        <f t="shared" si="59"/>
        <v>1.20366916680984</v>
      </c>
      <c r="M245" s="49">
        <v>226900</v>
      </c>
      <c r="N245" s="49">
        <v>233100</v>
      </c>
      <c r="O245" s="49">
        <v>15956260</v>
      </c>
      <c r="P245" s="49">
        <f t="shared" si="60"/>
        <v>24.382674068472198</v>
      </c>
      <c r="Q245" s="49">
        <f t="shared" si="61"/>
        <v>24.382674068472198</v>
      </c>
      <c r="R245" s="48">
        <v>0</v>
      </c>
      <c r="S245" s="48"/>
      <c r="T245" s="48">
        <v>0</v>
      </c>
      <c r="U245" s="48">
        <v>0</v>
      </c>
      <c r="V245" s="48"/>
      <c r="W245" s="49">
        <v>1</v>
      </c>
      <c r="X245" s="49">
        <v>1</v>
      </c>
      <c r="Y245" s="49">
        <v>100000000</v>
      </c>
      <c r="Z245" s="49">
        <f t="shared" si="62"/>
        <v>1222155.4826817601</v>
      </c>
      <c r="AA245" s="49">
        <f t="shared" si="63"/>
        <v>1222155.4826817601</v>
      </c>
      <c r="AB245" s="82">
        <f t="shared" si="52"/>
        <v>0</v>
      </c>
      <c r="AC245" s="82">
        <f t="shared" si="53"/>
        <v>262576130714315.16</v>
      </c>
      <c r="AD245" s="81">
        <f t="shared" si="51"/>
        <v>285010897364087.81</v>
      </c>
      <c r="AE245" s="80">
        <f t="shared" si="54"/>
        <v>1085.4409979640604</v>
      </c>
      <c r="AF245" s="52">
        <f t="shared" si="64"/>
        <v>1.6450480496417123E-2</v>
      </c>
      <c r="AG245" s="48">
        <f t="shared" si="55"/>
        <v>-1.1597938144329897E-2</v>
      </c>
      <c r="AH245" s="48">
        <f t="shared" si="65"/>
        <v>8.3135391923990498E-2</v>
      </c>
      <c r="AI245" s="48">
        <f t="shared" si="66"/>
        <v>2.7324812692816218E-2</v>
      </c>
      <c r="AJ245" s="48">
        <f t="shared" si="67"/>
        <v>0</v>
      </c>
    </row>
    <row r="246" spans="1:36" s="47" customFormat="1" x14ac:dyDescent="0.3">
      <c r="A246" s="48">
        <v>20181227</v>
      </c>
      <c r="B246" s="48" t="s">
        <v>88</v>
      </c>
      <c r="C246" s="49">
        <v>38350</v>
      </c>
      <c r="D246" s="49">
        <v>38250</v>
      </c>
      <c r="E246" s="49">
        <v>5969782550</v>
      </c>
      <c r="F246" s="49">
        <f t="shared" si="56"/>
        <v>0.16456882480900001</v>
      </c>
      <c r="G246" s="49">
        <f t="shared" si="57"/>
        <v>0.150567695237251</v>
      </c>
      <c r="H246" s="48">
        <v>224000</v>
      </c>
      <c r="I246" s="48">
        <v>223000</v>
      </c>
      <c r="J246" s="51">
        <v>125456133</v>
      </c>
      <c r="K246" s="48">
        <f t="shared" si="58"/>
        <v>1.20366916680984</v>
      </c>
      <c r="L246" s="48">
        <f t="shared" si="59"/>
        <v>1.1209292429612601</v>
      </c>
      <c r="M246" s="49">
        <v>233100</v>
      </c>
      <c r="N246" s="49">
        <v>243600</v>
      </c>
      <c r="O246" s="49">
        <v>15956260</v>
      </c>
      <c r="P246" s="49">
        <f t="shared" si="60"/>
        <v>24.382674068472198</v>
      </c>
      <c r="Q246" s="49">
        <f t="shared" si="61"/>
        <v>22.308253355225801</v>
      </c>
      <c r="R246" s="48">
        <v>0</v>
      </c>
      <c r="S246" s="48"/>
      <c r="T246" s="48">
        <v>0</v>
      </c>
      <c r="U246" s="48">
        <v>0</v>
      </c>
      <c r="V246" s="48"/>
      <c r="W246" s="49">
        <v>1</v>
      </c>
      <c r="X246" s="49">
        <v>1</v>
      </c>
      <c r="Y246" s="49">
        <v>100000000</v>
      </c>
      <c r="Z246" s="49">
        <f t="shared" si="62"/>
        <v>1222155.4826817601</v>
      </c>
      <c r="AA246" s="49">
        <f t="shared" si="63"/>
        <v>1118177.3611286001</v>
      </c>
      <c r="AB246" s="82">
        <f t="shared" si="52"/>
        <v>1</v>
      </c>
      <c r="AC246" s="82">
        <f t="shared" si="53"/>
        <v>240236769460162.22</v>
      </c>
      <c r="AD246" s="81">
        <f t="shared" si="51"/>
        <v>264269866754509.25</v>
      </c>
      <c r="AE246" s="80">
        <f t="shared" si="54"/>
        <v>1100.0392127664386</v>
      </c>
      <c r="AF246" s="52">
        <f t="shared" si="64"/>
        <v>1.3449109467727611E-2</v>
      </c>
      <c r="AG246" s="48">
        <f t="shared" si="55"/>
        <v>-2.6075619295958278E-3</v>
      </c>
      <c r="AH246" s="48">
        <f t="shared" si="65"/>
        <v>-4.464285714285714E-3</v>
      </c>
      <c r="AI246" s="48">
        <f t="shared" si="66"/>
        <v>4.5045045045045043E-2</v>
      </c>
      <c r="AJ246" s="48">
        <f t="shared" si="67"/>
        <v>0</v>
      </c>
    </row>
    <row r="247" spans="1:36" x14ac:dyDescent="0.3">
      <c r="A247" s="48">
        <v>20181228</v>
      </c>
      <c r="B247" s="48" t="s">
        <v>88</v>
      </c>
      <c r="C247" s="49">
        <v>38250</v>
      </c>
      <c r="D247" s="49">
        <v>38700</v>
      </c>
      <c r="E247" s="49">
        <v>5969782550</v>
      </c>
      <c r="F247" s="49">
        <f t="shared" si="56"/>
        <v>0.150567695237251</v>
      </c>
      <c r="G247" s="49">
        <f t="shared" si="57"/>
        <v>0.150567695237251</v>
      </c>
      <c r="H247" s="48">
        <v>223000</v>
      </c>
      <c r="I247" s="48">
        <v>222500</v>
      </c>
      <c r="J247" s="51">
        <v>125456133</v>
      </c>
      <c r="K247" s="48">
        <f t="shared" si="58"/>
        <v>1.1209292429612601</v>
      </c>
      <c r="L247" s="48">
        <f t="shared" si="59"/>
        <v>1.1209292429612601</v>
      </c>
      <c r="M247" s="49">
        <v>243600</v>
      </c>
      <c r="N247" s="49">
        <v>254000</v>
      </c>
      <c r="O247" s="49">
        <v>15956260</v>
      </c>
      <c r="P247" s="49">
        <f t="shared" si="60"/>
        <v>22.308253355225801</v>
      </c>
      <c r="Q247" s="49">
        <f t="shared" si="61"/>
        <v>22.308253355225801</v>
      </c>
      <c r="R247" s="48">
        <v>0</v>
      </c>
      <c r="S247" s="48"/>
      <c r="T247" s="48">
        <v>0</v>
      </c>
      <c r="U247" s="48">
        <v>0</v>
      </c>
      <c r="V247" s="48"/>
      <c r="W247" s="49">
        <v>1</v>
      </c>
      <c r="X247" s="49">
        <v>1</v>
      </c>
      <c r="Y247" s="49">
        <v>100000000</v>
      </c>
      <c r="Z247" s="49">
        <f t="shared" si="62"/>
        <v>1118177.3611286001</v>
      </c>
      <c r="AA247" s="49">
        <f t="shared" si="63"/>
        <v>1118177.3611286001</v>
      </c>
      <c r="AB247" s="82">
        <f t="shared" si="52"/>
        <v>0</v>
      </c>
      <c r="AC247" s="82">
        <f t="shared" si="53"/>
        <v>240236769460162.22</v>
      </c>
      <c r="AD247" s="81">
        <f t="shared" si="51"/>
        <v>268305983833335.75</v>
      </c>
      <c r="AE247" s="80">
        <f t="shared" si="54"/>
        <v>1116.8397928270849</v>
      </c>
      <c r="AF247" s="52">
        <f t="shared" si="64"/>
        <v>1.5272710159481779E-2</v>
      </c>
      <c r="AG247" s="48">
        <f t="shared" si="55"/>
        <v>1.1764705882352941E-2</v>
      </c>
      <c r="AH247" s="48">
        <f t="shared" si="65"/>
        <v>-2.242152466367713E-3</v>
      </c>
      <c r="AI247" s="48">
        <f t="shared" si="66"/>
        <v>4.2692939244663386E-2</v>
      </c>
      <c r="AJ247" s="48">
        <f t="shared" si="67"/>
        <v>0</v>
      </c>
    </row>
    <row r="248" spans="1:36" s="72" customFormat="1" x14ac:dyDescent="0.3">
      <c r="A248" s="71">
        <v>20190102</v>
      </c>
      <c r="B248" s="71" t="s">
        <v>89</v>
      </c>
      <c r="C248" s="53">
        <v>38700</v>
      </c>
      <c r="D248" s="53">
        <v>38750</v>
      </c>
      <c r="E248" s="53">
        <v>5969782550</v>
      </c>
      <c r="F248" s="53">
        <f t="shared" si="56"/>
        <v>0.150567695237251</v>
      </c>
      <c r="G248" s="49">
        <f>IF(B248="Y",ROUND(0.15*(C248*E248+H248*J248+M248*O248+R248*T248)/(C248*E248),17),IF(AB248=0,F248,ROUND(D247*E247*G247/AD247*(C248*E248+H248*J248+M248*O248+R248*T248)/(C248*E248),17)))</f>
        <v>0.17115977220739101</v>
      </c>
      <c r="H248" s="71">
        <v>222500</v>
      </c>
      <c r="I248" s="71">
        <v>214500</v>
      </c>
      <c r="J248" s="75">
        <v>125456133</v>
      </c>
      <c r="K248" s="71">
        <f t="shared" si="58"/>
        <v>1.1209292429612601</v>
      </c>
      <c r="L248" s="48">
        <f>IF(B248="Y",ROUND(0.15*(C248*E248+H248*J248+M248*O248+R248*T248)/(H248*J248),17),IF(AB248=0,K248,ROUND(I247*J247*L247/AD247*(C248*E248+H248*J248+M248*O248+R248*T248)/(H248*J248),17)))</f>
        <v>1.41660661284511</v>
      </c>
      <c r="M248" s="53">
        <v>254000</v>
      </c>
      <c r="N248" s="53">
        <v>260000</v>
      </c>
      <c r="O248" s="53">
        <v>15956260</v>
      </c>
      <c r="P248" s="53">
        <f t="shared" si="60"/>
        <v>22.308253355225801</v>
      </c>
      <c r="Q248" s="49">
        <f>IF(B248="Y",ROUND(0.3*(C248*E248+H248*J248+M248*O248+R248*T248)/(M248*O248),17),IF(AB248=0,P248,ROUND(N247*O247*Q247/AD247*(C248*E248+H248*J248+M248*O248+R248*T248)/(M248*O248),17)))</f>
        <v>19.513552974471999</v>
      </c>
      <c r="R248" s="71">
        <v>10040</v>
      </c>
      <c r="S248" s="71">
        <v>9845</v>
      </c>
      <c r="T248" s="71">
        <v>62100000</v>
      </c>
      <c r="U248" s="71">
        <f>ROUND(0.4*(C248*E248+H248*J248+M248*O248+R248*T248)/(R248*T248),17)</f>
        <v>169.12764293390001</v>
      </c>
      <c r="V248" s="71">
        <f>ROUND(0.4*(C248*E248+H248*J248+M248*O248+R248*T248)/(R248*T248),17)</f>
        <v>169.12764293390001</v>
      </c>
      <c r="W248" s="53">
        <v>0</v>
      </c>
      <c r="X248" s="53">
        <v>0</v>
      </c>
      <c r="Y248" s="53">
        <v>0</v>
      </c>
      <c r="Z248" s="53">
        <v>0</v>
      </c>
      <c r="AA248" s="53">
        <v>0</v>
      </c>
      <c r="AB248" s="83">
        <f t="shared" ref="AB248:AB279" si="68">IF(AD247&lt;&gt;(C248*E248*F248+H248*J248*K248+M248*O248*P248+R248*T248*U248),1,0)</f>
        <v>1</v>
      </c>
      <c r="AC248" s="83">
        <f t="shared" ref="AC248:AC279" si="69">IF(AND(AB248=0,B248="N"),AC247,AC247*(C248*E248*G248+H248*J248*L248+M248*O248*Q248+R248*T248*V248)/AD247)</f>
        <v>236041865637854.19</v>
      </c>
      <c r="AD248" s="83">
        <f t="shared" ref="AD248:AD279" si="70">D248*E248*G248+I248*J248*L248+N248*O248*Q248+S248*T248*V248</f>
        <v>262070390504129.41</v>
      </c>
      <c r="AE248" s="84">
        <f t="shared" si="54"/>
        <v>1110.2707979194222</v>
      </c>
      <c r="AF248" s="85">
        <f t="shared" si="64"/>
        <v>-5.8817701069143174E-3</v>
      </c>
      <c r="AG248" s="71">
        <f t="shared" si="55"/>
        <v>1.2919896640826874E-3</v>
      </c>
      <c r="AH248" s="71">
        <f t="shared" si="65"/>
        <v>-3.5955056179775284E-2</v>
      </c>
      <c r="AI248" s="71">
        <f t="shared" si="66"/>
        <v>2.3622047244094488E-2</v>
      </c>
      <c r="AJ248" s="71" t="e">
        <f t="shared" si="67"/>
        <v>#DIV/0!</v>
      </c>
    </row>
    <row r="249" spans="1:36" x14ac:dyDescent="0.3">
      <c r="A249" s="48">
        <v>20190103</v>
      </c>
      <c r="B249" s="48" t="s">
        <v>88</v>
      </c>
      <c r="C249" s="49">
        <v>38750</v>
      </c>
      <c r="D249" s="49">
        <v>37600</v>
      </c>
      <c r="E249" s="49">
        <v>5969782550</v>
      </c>
      <c r="F249" s="49">
        <f t="shared" si="56"/>
        <v>0.17115977220739101</v>
      </c>
      <c r="G249" s="49">
        <f t="shared" ref="G249:G312" si="71">IF(B249="Y",ROUND(0.15*(C249*E249+H249*J249+M249*O249+R249*T249)/(C249*E249),17),IF(AB249=0,F249,ROUND(D248*E248*G248/AD248*(C249*E249+H249*J249+M249*O249+R249*T249)/(C249*E249),17)))</f>
        <v>0.17115977220739101</v>
      </c>
      <c r="H249" s="48">
        <v>214500</v>
      </c>
      <c r="I249" s="48">
        <v>210500</v>
      </c>
      <c r="J249" s="51">
        <v>125456133</v>
      </c>
      <c r="K249" s="48">
        <f t="shared" si="58"/>
        <v>1.41660661284511</v>
      </c>
      <c r="L249" s="48">
        <f t="shared" ref="L249:L312" si="72">IF(B249="Y",ROUND(0.15*(C249*E249+H249*J249+M249*O249+R249*T249)/(H249*J249),17),IF(AB249=0,K249,ROUND(I248*J248*L248/AD248*(C249*E249+H249*J249+M249*O249+R249*T249)/(H249*J249),17)))</f>
        <v>1.41660661284511</v>
      </c>
      <c r="M249" s="49">
        <v>260000</v>
      </c>
      <c r="N249" s="49">
        <v>249400</v>
      </c>
      <c r="O249" s="49">
        <v>15956260</v>
      </c>
      <c r="P249" s="49">
        <f t="shared" si="60"/>
        <v>19.513552974471999</v>
      </c>
      <c r="Q249" s="49">
        <f t="shared" ref="Q249:Q312" si="73">IF(B249="Y",ROUND(0.3*(C249*E249+H249*J249+M249*O249+R249*T249)/(M249*O249),17),IF(AB249=0,P249,ROUND(N248*O248*Q248/AD248*(C249*E249+H249*J249+M249*O249+R249*T249)/(M249*O249),17)))</f>
        <v>19.513552974471999</v>
      </c>
      <c r="R249" s="48">
        <v>9845</v>
      </c>
      <c r="S249" s="48">
        <v>9750</v>
      </c>
      <c r="T249" s="48">
        <v>62100000</v>
      </c>
      <c r="U249" s="48">
        <f>V248</f>
        <v>169.12764293390001</v>
      </c>
      <c r="V249" s="48">
        <f>IF(B249="Y",ROUND(0.4*(C249*E249+H249*J249+M249*O249+R249*T249)/(R249*T249),17),IF(AB249=0,U249,ROUND(S248*T248*V248/AD248*(C249*E249+H249*J249+M249*O249+R249*T249)/(R249*T249),17)))</f>
        <v>169.12764293390001</v>
      </c>
      <c r="W249" s="49">
        <v>0</v>
      </c>
      <c r="X249" s="49">
        <v>0</v>
      </c>
      <c r="Y249" s="49">
        <v>0</v>
      </c>
      <c r="Z249" s="49">
        <f t="shared" si="62"/>
        <v>0</v>
      </c>
      <c r="AA249" s="49">
        <v>0</v>
      </c>
      <c r="AB249" s="82">
        <f t="shared" si="68"/>
        <v>0</v>
      </c>
      <c r="AC249" s="82">
        <f t="shared" si="69"/>
        <v>236041865637854.19</v>
      </c>
      <c r="AD249" s="81">
        <f t="shared" si="70"/>
        <v>255886228166813.06</v>
      </c>
      <c r="AE249" s="80">
        <f t="shared" si="54"/>
        <v>1084.0713679132029</v>
      </c>
      <c r="AF249" s="52">
        <f t="shared" si="64"/>
        <v>-2.3597333240967279E-2</v>
      </c>
      <c r="AG249" s="48">
        <f t="shared" si="55"/>
        <v>-2.9677419354838711E-2</v>
      </c>
      <c r="AH249" s="48">
        <f t="shared" si="65"/>
        <v>-1.8648018648018648E-2</v>
      </c>
      <c r="AI249" s="48">
        <f t="shared" si="66"/>
        <v>-4.0769230769230766E-2</v>
      </c>
      <c r="AJ249" s="48" t="e">
        <f t="shared" si="67"/>
        <v>#DIV/0!</v>
      </c>
    </row>
    <row r="250" spans="1:36" x14ac:dyDescent="0.3">
      <c r="A250" s="48">
        <v>20190104</v>
      </c>
      <c r="B250" s="48" t="s">
        <v>88</v>
      </c>
      <c r="C250" s="49">
        <v>37600</v>
      </c>
      <c r="D250" s="49">
        <v>37450</v>
      </c>
      <c r="E250" s="49">
        <v>5969782550</v>
      </c>
      <c r="F250" s="49">
        <f t="shared" si="56"/>
        <v>0.17115977220739101</v>
      </c>
      <c r="G250" s="49">
        <f t="shared" si="71"/>
        <v>0.17115977220739101</v>
      </c>
      <c r="H250" s="48">
        <v>210500</v>
      </c>
      <c r="I250" s="48">
        <v>220000</v>
      </c>
      <c r="J250" s="51">
        <v>125456133</v>
      </c>
      <c r="K250" s="48">
        <f t="shared" si="58"/>
        <v>1.41660661284511</v>
      </c>
      <c r="L250" s="48">
        <f t="shared" si="72"/>
        <v>1.41660661284511</v>
      </c>
      <c r="M250" s="49">
        <v>249400</v>
      </c>
      <c r="N250" s="49">
        <v>254200</v>
      </c>
      <c r="O250" s="49">
        <v>15956260</v>
      </c>
      <c r="P250" s="49">
        <f t="shared" si="60"/>
        <v>19.513552974471999</v>
      </c>
      <c r="Q250" s="49">
        <f t="shared" si="73"/>
        <v>19.513552974471999</v>
      </c>
      <c r="R250" s="48">
        <v>9750</v>
      </c>
      <c r="S250" s="48">
        <v>9810</v>
      </c>
      <c r="T250" s="48">
        <v>62100000</v>
      </c>
      <c r="U250" s="48">
        <f t="shared" ref="U250:U313" si="74">V249</f>
        <v>169.12764293390001</v>
      </c>
      <c r="V250" s="48">
        <f t="shared" ref="V250:V313" si="75">IF(B250="Y",ROUND(0.4*(C250*E250+H250*J250+M250*O250+R250*T250)/(R250*T250),17),IF(AB250=0,U250,ROUND(S249*T249*V249/AD249*(C250*E250+H250*J250+M250*O250+R250*T250)/(R250*T250),17)))</f>
        <v>169.12764293390001</v>
      </c>
      <c r="W250" s="49">
        <v>0</v>
      </c>
      <c r="X250" s="49">
        <v>0</v>
      </c>
      <c r="Y250" s="49">
        <v>0</v>
      </c>
      <c r="Z250" s="49">
        <f t="shared" si="62"/>
        <v>0</v>
      </c>
      <c r="AA250" s="49">
        <v>0</v>
      </c>
      <c r="AB250" s="82">
        <f t="shared" si="68"/>
        <v>0</v>
      </c>
      <c r="AC250" s="82">
        <f t="shared" si="69"/>
        <v>236041865637854.19</v>
      </c>
      <c r="AD250" s="81">
        <f t="shared" si="70"/>
        <v>259546032612625.19</v>
      </c>
      <c r="AE250" s="80">
        <f t="shared" si="54"/>
        <v>1099.5762633516554</v>
      </c>
      <c r="AF250" s="52">
        <f t="shared" si="64"/>
        <v>1.4302467436529359E-2</v>
      </c>
      <c r="AG250" s="48">
        <f t="shared" si="55"/>
        <v>-3.9893617021276593E-3</v>
      </c>
      <c r="AH250" s="48">
        <f t="shared" si="65"/>
        <v>4.5130641330166268E-2</v>
      </c>
      <c r="AI250" s="48">
        <f t="shared" si="66"/>
        <v>1.9246190858059342E-2</v>
      </c>
      <c r="AJ250" s="48" t="e">
        <f t="shared" si="67"/>
        <v>#DIV/0!</v>
      </c>
    </row>
    <row r="251" spans="1:36" x14ac:dyDescent="0.3">
      <c r="A251" s="48">
        <v>20190107</v>
      </c>
      <c r="B251" s="48" t="s">
        <v>88</v>
      </c>
      <c r="C251" s="49">
        <v>37450</v>
      </c>
      <c r="D251" s="49">
        <v>38750</v>
      </c>
      <c r="E251" s="49">
        <v>5969782550</v>
      </c>
      <c r="F251" s="49">
        <f t="shared" si="56"/>
        <v>0.17115977220739101</v>
      </c>
      <c r="G251" s="49">
        <f t="shared" si="71"/>
        <v>0.17115977220739101</v>
      </c>
      <c r="H251" s="48">
        <v>220000</v>
      </c>
      <c r="I251" s="48">
        <v>216000</v>
      </c>
      <c r="J251" s="51">
        <v>125456133</v>
      </c>
      <c r="K251" s="48">
        <f t="shared" si="58"/>
        <v>1.41660661284511</v>
      </c>
      <c r="L251" s="48">
        <f t="shared" si="72"/>
        <v>1.41660661284511</v>
      </c>
      <c r="M251" s="49">
        <v>254200</v>
      </c>
      <c r="N251" s="49">
        <v>255400</v>
      </c>
      <c r="O251" s="49">
        <v>15956260</v>
      </c>
      <c r="P251" s="49">
        <f t="shared" si="60"/>
        <v>19.513552974471999</v>
      </c>
      <c r="Q251" s="49">
        <f t="shared" si="73"/>
        <v>19.513552974471999</v>
      </c>
      <c r="R251" s="48">
        <v>9810</v>
      </c>
      <c r="S251" s="48">
        <v>9975</v>
      </c>
      <c r="T251" s="48">
        <v>62100000</v>
      </c>
      <c r="U251" s="48">
        <f t="shared" si="74"/>
        <v>169.12764293390001</v>
      </c>
      <c r="V251" s="48">
        <f t="shared" si="75"/>
        <v>169.12764293390001</v>
      </c>
      <c r="W251" s="49">
        <v>0</v>
      </c>
      <c r="X251" s="49">
        <v>0</v>
      </c>
      <c r="Y251" s="49">
        <v>0</v>
      </c>
      <c r="Z251" s="49">
        <f t="shared" si="62"/>
        <v>0</v>
      </c>
      <c r="AA251" s="49">
        <v>0</v>
      </c>
      <c r="AB251" s="82">
        <f t="shared" si="68"/>
        <v>0</v>
      </c>
      <c r="AC251" s="82">
        <f t="shared" si="69"/>
        <v>236041865637854.19</v>
      </c>
      <c r="AD251" s="81">
        <f t="shared" si="70"/>
        <v>262270069652970.97</v>
      </c>
      <c r="AE251" s="80">
        <f t="shared" si="54"/>
        <v>1111.1167459392871</v>
      </c>
      <c r="AF251" s="52">
        <f t="shared" si="64"/>
        <v>1.0495390790316583E-2</v>
      </c>
      <c r="AG251" s="48">
        <f t="shared" si="55"/>
        <v>3.4712950600801068E-2</v>
      </c>
      <c r="AH251" s="48">
        <f t="shared" si="65"/>
        <v>-1.8181818181818181E-2</v>
      </c>
      <c r="AI251" s="48">
        <f t="shared" si="66"/>
        <v>4.7206923682140047E-3</v>
      </c>
      <c r="AJ251" s="48" t="e">
        <f t="shared" si="67"/>
        <v>#DIV/0!</v>
      </c>
    </row>
    <row r="252" spans="1:36" x14ac:dyDescent="0.3">
      <c r="A252" s="48">
        <v>20190108</v>
      </c>
      <c r="B252" s="48" t="s">
        <v>88</v>
      </c>
      <c r="C252" s="49">
        <v>38750</v>
      </c>
      <c r="D252" s="49">
        <v>38100</v>
      </c>
      <c r="E252" s="49">
        <v>5969782550</v>
      </c>
      <c r="F252" s="49">
        <f t="shared" si="56"/>
        <v>0.17115977220739101</v>
      </c>
      <c r="G252" s="49">
        <f t="shared" si="71"/>
        <v>0.17115977220739101</v>
      </c>
      <c r="H252" s="48">
        <v>216000</v>
      </c>
      <c r="I252" s="48">
        <v>213500</v>
      </c>
      <c r="J252" s="51">
        <v>125456133</v>
      </c>
      <c r="K252" s="48">
        <f t="shared" si="58"/>
        <v>1.41660661284511</v>
      </c>
      <c r="L252" s="48">
        <f t="shared" si="72"/>
        <v>1.41660661284511</v>
      </c>
      <c r="M252" s="49">
        <v>255400</v>
      </c>
      <c r="N252" s="49">
        <v>259800</v>
      </c>
      <c r="O252" s="49">
        <v>15956260</v>
      </c>
      <c r="P252" s="49">
        <f t="shared" si="60"/>
        <v>19.513552974471999</v>
      </c>
      <c r="Q252" s="49">
        <f t="shared" si="73"/>
        <v>19.513552974471999</v>
      </c>
      <c r="R252" s="48">
        <v>9975</v>
      </c>
      <c r="S252" s="48">
        <v>9920</v>
      </c>
      <c r="T252" s="48">
        <v>62100000</v>
      </c>
      <c r="U252" s="48">
        <f t="shared" si="74"/>
        <v>169.12764293390001</v>
      </c>
      <c r="V252" s="48">
        <f t="shared" si="75"/>
        <v>169.12764293390001</v>
      </c>
      <c r="W252" s="49">
        <v>0</v>
      </c>
      <c r="X252" s="49">
        <v>0</v>
      </c>
      <c r="Y252" s="49">
        <v>0</v>
      </c>
      <c r="Z252" s="49">
        <f t="shared" si="62"/>
        <v>0</v>
      </c>
      <c r="AA252" s="49">
        <v>0</v>
      </c>
      <c r="AB252" s="82">
        <f t="shared" si="68"/>
        <v>0</v>
      </c>
      <c r="AC252" s="82">
        <f t="shared" si="69"/>
        <v>236041865637854.19</v>
      </c>
      <c r="AD252" s="81">
        <f t="shared" si="70"/>
        <v>261953946544606.66</v>
      </c>
      <c r="AE252" s="80">
        <f t="shared" si="54"/>
        <v>1109.7774788244892</v>
      </c>
      <c r="AF252" s="52">
        <f t="shared" si="64"/>
        <v>-1.2053342906516039E-3</v>
      </c>
      <c r="AG252" s="48">
        <f t="shared" si="55"/>
        <v>-1.6774193548387096E-2</v>
      </c>
      <c r="AH252" s="48">
        <f t="shared" si="65"/>
        <v>-1.1574074074074073E-2</v>
      </c>
      <c r="AI252" s="48">
        <f t="shared" si="66"/>
        <v>1.7227877838684416E-2</v>
      </c>
      <c r="AJ252" s="48" t="e">
        <f t="shared" si="67"/>
        <v>#DIV/0!</v>
      </c>
    </row>
    <row r="253" spans="1:36" x14ac:dyDescent="0.3">
      <c r="A253" s="48">
        <v>20190109</v>
      </c>
      <c r="B253" s="48" t="s">
        <v>88</v>
      </c>
      <c r="C253" s="49">
        <v>38100</v>
      </c>
      <c r="D253" s="49">
        <v>39600</v>
      </c>
      <c r="E253" s="49">
        <v>5969782550</v>
      </c>
      <c r="F253" s="49">
        <f t="shared" si="56"/>
        <v>0.17115977220739101</v>
      </c>
      <c r="G253" s="49">
        <f t="shared" si="71"/>
        <v>0.17115977220739101</v>
      </c>
      <c r="H253" s="48">
        <v>213500</v>
      </c>
      <c r="I253" s="48">
        <v>214000</v>
      </c>
      <c r="J253" s="51">
        <v>125456133</v>
      </c>
      <c r="K253" s="48">
        <f t="shared" si="58"/>
        <v>1.41660661284511</v>
      </c>
      <c r="L253" s="48">
        <f t="shared" si="72"/>
        <v>1.41660661284511</v>
      </c>
      <c r="M253" s="49">
        <v>259800</v>
      </c>
      <c r="N253" s="49">
        <v>243700</v>
      </c>
      <c r="O253" s="49">
        <v>15956260</v>
      </c>
      <c r="P253" s="49">
        <f t="shared" si="60"/>
        <v>19.513552974471999</v>
      </c>
      <c r="Q253" s="49">
        <f t="shared" si="73"/>
        <v>19.513552974471999</v>
      </c>
      <c r="R253" s="48">
        <v>9920</v>
      </c>
      <c r="S253" s="48">
        <v>10145</v>
      </c>
      <c r="T253" s="48">
        <v>62100000</v>
      </c>
      <c r="U253" s="48">
        <f t="shared" si="74"/>
        <v>169.12764293390001</v>
      </c>
      <c r="V253" s="48">
        <f t="shared" si="75"/>
        <v>169.12764293390001</v>
      </c>
      <c r="W253" s="49">
        <v>0</v>
      </c>
      <c r="X253" s="49">
        <v>0</v>
      </c>
      <c r="Y253" s="49">
        <v>0</v>
      </c>
      <c r="Z253" s="49">
        <f t="shared" si="62"/>
        <v>0</v>
      </c>
      <c r="AA253" s="49">
        <v>0</v>
      </c>
      <c r="AB253" s="82">
        <f t="shared" si="68"/>
        <v>0</v>
      </c>
      <c r="AC253" s="82">
        <f t="shared" si="69"/>
        <v>236041865637854.19</v>
      </c>
      <c r="AD253" s="81">
        <f t="shared" si="70"/>
        <v>260925673932364.37</v>
      </c>
      <c r="AE253" s="80">
        <f t="shared" si="54"/>
        <v>1105.4211642806113</v>
      </c>
      <c r="AF253" s="52">
        <f t="shared" si="64"/>
        <v>-3.9253946191918458E-3</v>
      </c>
      <c r="AG253" s="48">
        <f t="shared" si="55"/>
        <v>3.937007874015748E-2</v>
      </c>
      <c r="AH253" s="48">
        <f t="shared" si="65"/>
        <v>2.34192037470726E-3</v>
      </c>
      <c r="AI253" s="48">
        <f t="shared" si="66"/>
        <v>-6.19707467282525E-2</v>
      </c>
      <c r="AJ253" s="48" t="e">
        <f t="shared" si="67"/>
        <v>#DIV/0!</v>
      </c>
    </row>
    <row r="254" spans="1:36" x14ac:dyDescent="0.3">
      <c r="A254" s="48">
        <v>20190110</v>
      </c>
      <c r="B254" s="48" t="s">
        <v>88</v>
      </c>
      <c r="C254" s="49">
        <v>39600</v>
      </c>
      <c r="D254" s="49">
        <v>39800</v>
      </c>
      <c r="E254" s="49">
        <v>5969782550</v>
      </c>
      <c r="F254" s="49">
        <f t="shared" si="56"/>
        <v>0.17115977220739101</v>
      </c>
      <c r="G254" s="49">
        <f t="shared" si="71"/>
        <v>0.17115977220739101</v>
      </c>
      <c r="H254" s="48">
        <v>214000</v>
      </c>
      <c r="I254" s="48">
        <v>216500</v>
      </c>
      <c r="J254" s="51">
        <v>125456133</v>
      </c>
      <c r="K254" s="48">
        <f t="shared" si="58"/>
        <v>1.41660661284511</v>
      </c>
      <c r="L254" s="48">
        <f t="shared" si="72"/>
        <v>1.41660661284511</v>
      </c>
      <c r="M254" s="49">
        <v>243700</v>
      </c>
      <c r="N254" s="49">
        <v>249300</v>
      </c>
      <c r="O254" s="49">
        <v>15956260</v>
      </c>
      <c r="P254" s="49">
        <f t="shared" si="60"/>
        <v>19.513552974471999</v>
      </c>
      <c r="Q254" s="49">
        <f t="shared" si="73"/>
        <v>19.513552974471999</v>
      </c>
      <c r="R254" s="48">
        <v>10145</v>
      </c>
      <c r="S254" s="48">
        <v>10125</v>
      </c>
      <c r="T254" s="48">
        <v>62100000</v>
      </c>
      <c r="U254" s="48">
        <f t="shared" si="74"/>
        <v>169.12764293390001</v>
      </c>
      <c r="V254" s="48">
        <f t="shared" si="75"/>
        <v>169.12764293390001</v>
      </c>
      <c r="W254" s="49">
        <v>0</v>
      </c>
      <c r="X254" s="49">
        <v>0</v>
      </c>
      <c r="Y254" s="49">
        <v>0</v>
      </c>
      <c r="Z254" s="49">
        <f t="shared" si="62"/>
        <v>0</v>
      </c>
      <c r="AA254" s="49">
        <v>0</v>
      </c>
      <c r="AB254" s="82">
        <f t="shared" si="68"/>
        <v>0</v>
      </c>
      <c r="AC254" s="82">
        <f t="shared" si="69"/>
        <v>236041865637854.19</v>
      </c>
      <c r="AD254" s="81">
        <f t="shared" si="70"/>
        <v>263107914311984.94</v>
      </c>
      <c r="AE254" s="80">
        <f t="shared" si="54"/>
        <v>1114.6663054919957</v>
      </c>
      <c r="AF254" s="52">
        <f t="shared" si="64"/>
        <v>8.3634559479426867E-3</v>
      </c>
      <c r="AG254" s="48">
        <f t="shared" si="55"/>
        <v>5.0505050505050509E-3</v>
      </c>
      <c r="AH254" s="48">
        <f t="shared" si="65"/>
        <v>1.1682242990654205E-2</v>
      </c>
      <c r="AI254" s="48">
        <f t="shared" si="66"/>
        <v>2.2979072630283134E-2</v>
      </c>
      <c r="AJ254" s="48" t="e">
        <f t="shared" si="67"/>
        <v>#DIV/0!</v>
      </c>
    </row>
    <row r="255" spans="1:36" x14ac:dyDescent="0.3">
      <c r="A255" s="48">
        <v>20190111</v>
      </c>
      <c r="B255" s="48" t="s">
        <v>88</v>
      </c>
      <c r="C255" s="49">
        <v>39800</v>
      </c>
      <c r="D255" s="49">
        <v>40500</v>
      </c>
      <c r="E255" s="49">
        <v>5969782550</v>
      </c>
      <c r="F255" s="49">
        <f t="shared" si="56"/>
        <v>0.17115977220739101</v>
      </c>
      <c r="G255" s="49">
        <f t="shared" si="71"/>
        <v>0.17115977220739101</v>
      </c>
      <c r="H255" s="48">
        <v>216500</v>
      </c>
      <c r="I255" s="48">
        <v>216500</v>
      </c>
      <c r="J255" s="51">
        <v>125456133</v>
      </c>
      <c r="K255" s="48">
        <f t="shared" si="58"/>
        <v>1.41660661284511</v>
      </c>
      <c r="L255" s="48">
        <f t="shared" si="72"/>
        <v>1.41660661284511</v>
      </c>
      <c r="M255" s="49">
        <v>249300</v>
      </c>
      <c r="N255" s="49">
        <v>248700</v>
      </c>
      <c r="O255" s="49">
        <v>15956260</v>
      </c>
      <c r="P255" s="49">
        <f t="shared" si="60"/>
        <v>19.513552974471999</v>
      </c>
      <c r="Q255" s="49">
        <f t="shared" si="73"/>
        <v>19.513552974471999</v>
      </c>
      <c r="R255" s="48">
        <v>10125</v>
      </c>
      <c r="S255" s="48">
        <v>10240</v>
      </c>
      <c r="T255" s="48">
        <v>62100000</v>
      </c>
      <c r="U255" s="48">
        <f t="shared" si="74"/>
        <v>169.12764293390001</v>
      </c>
      <c r="V255" s="48">
        <f t="shared" si="75"/>
        <v>169.12764293390001</v>
      </c>
      <c r="W255" s="49">
        <v>0</v>
      </c>
      <c r="X255" s="49">
        <v>0</v>
      </c>
      <c r="Y255" s="49">
        <v>0</v>
      </c>
      <c r="Z255" s="49">
        <f t="shared" si="62"/>
        <v>0</v>
      </c>
      <c r="AA255" s="49">
        <v>0</v>
      </c>
      <c r="AB255" s="82">
        <f t="shared" si="68"/>
        <v>0</v>
      </c>
      <c r="AC255" s="82">
        <f t="shared" si="69"/>
        <v>236041865637854.19</v>
      </c>
      <c r="AD255" s="81">
        <f t="shared" si="70"/>
        <v>264844172014096.69</v>
      </c>
      <c r="AE255" s="80">
        <f t="shared" si="54"/>
        <v>1122.0220247726404</v>
      </c>
      <c r="AF255" s="52">
        <f t="shared" si="64"/>
        <v>6.599032593344642E-3</v>
      </c>
      <c r="AG255" s="48">
        <f t="shared" si="55"/>
        <v>1.7587939698492462E-2</v>
      </c>
      <c r="AH255" s="48">
        <f t="shared" si="65"/>
        <v>0</v>
      </c>
      <c r="AI255" s="48">
        <f t="shared" si="66"/>
        <v>-2.4067388688327317E-3</v>
      </c>
      <c r="AJ255" s="48" t="e">
        <f t="shared" si="67"/>
        <v>#DIV/0!</v>
      </c>
    </row>
    <row r="256" spans="1:36" x14ac:dyDescent="0.3">
      <c r="A256" s="48">
        <v>20190114</v>
      </c>
      <c r="B256" s="48" t="s">
        <v>88</v>
      </c>
      <c r="C256" s="49">
        <v>40500</v>
      </c>
      <c r="D256" s="49">
        <v>40050</v>
      </c>
      <c r="E256" s="49">
        <v>5969782550</v>
      </c>
      <c r="F256" s="49">
        <f t="shared" si="56"/>
        <v>0.17115977220739101</v>
      </c>
      <c r="G256" s="49">
        <f t="shared" si="71"/>
        <v>0.17115977220739101</v>
      </c>
      <c r="H256" s="48">
        <v>216500</v>
      </c>
      <c r="I256" s="48">
        <v>211000</v>
      </c>
      <c r="J256" s="51">
        <v>125456133</v>
      </c>
      <c r="K256" s="48">
        <f t="shared" si="58"/>
        <v>1.41660661284511</v>
      </c>
      <c r="L256" s="48">
        <f t="shared" si="72"/>
        <v>1.41660661284511</v>
      </c>
      <c r="M256" s="49">
        <v>248700</v>
      </c>
      <c r="N256" s="49">
        <v>243800</v>
      </c>
      <c r="O256" s="49">
        <v>15956260</v>
      </c>
      <c r="P256" s="49">
        <f t="shared" si="60"/>
        <v>19.513552974471999</v>
      </c>
      <c r="Q256" s="49">
        <f t="shared" si="73"/>
        <v>19.513552974471999</v>
      </c>
      <c r="R256" s="48">
        <v>10240</v>
      </c>
      <c r="S256" s="48">
        <v>10200</v>
      </c>
      <c r="T256" s="48">
        <v>62100000</v>
      </c>
      <c r="U256" s="48">
        <f t="shared" si="74"/>
        <v>169.12764293390001</v>
      </c>
      <c r="V256" s="48">
        <f t="shared" si="75"/>
        <v>169.12764293390001</v>
      </c>
      <c r="W256" s="49">
        <v>0</v>
      </c>
      <c r="X256" s="49">
        <v>0</v>
      </c>
      <c r="Y256" s="49">
        <v>0</v>
      </c>
      <c r="Z256" s="49">
        <f t="shared" si="62"/>
        <v>0</v>
      </c>
      <c r="AA256" s="49">
        <v>0</v>
      </c>
      <c r="AB256" s="82">
        <f t="shared" si="68"/>
        <v>0</v>
      </c>
      <c r="AC256" s="82">
        <f t="shared" si="69"/>
        <v>236041865637854.19</v>
      </c>
      <c r="AD256" s="81">
        <f t="shared" si="70"/>
        <v>261461103746017.75</v>
      </c>
      <c r="AE256" s="80">
        <f t="shared" si="54"/>
        <v>1107.6895322762907</v>
      </c>
      <c r="AF256" s="52">
        <f t="shared" si="64"/>
        <v>-1.2773806734545994E-2</v>
      </c>
      <c r="AG256" s="48">
        <f t="shared" si="55"/>
        <v>-1.1111111111111112E-2</v>
      </c>
      <c r="AH256" s="48">
        <f t="shared" si="65"/>
        <v>-2.5404157043879907E-2</v>
      </c>
      <c r="AI256" s="48">
        <f t="shared" si="66"/>
        <v>-1.9702452754322478E-2</v>
      </c>
      <c r="AJ256" s="48" t="e">
        <f t="shared" si="67"/>
        <v>#DIV/0!</v>
      </c>
    </row>
    <row r="257" spans="1:36" x14ac:dyDescent="0.3">
      <c r="A257" s="48">
        <v>20190115</v>
      </c>
      <c r="B257" s="48" t="s">
        <v>88</v>
      </c>
      <c r="C257" s="49">
        <v>40050</v>
      </c>
      <c r="D257" s="49">
        <v>41100</v>
      </c>
      <c r="E257" s="49">
        <v>5969782550</v>
      </c>
      <c r="F257" s="49">
        <f t="shared" si="56"/>
        <v>0.17115977220739101</v>
      </c>
      <c r="G257" s="49">
        <f t="shared" si="71"/>
        <v>0.17115977220739101</v>
      </c>
      <c r="H257" s="48">
        <v>211000</v>
      </c>
      <c r="I257" s="48">
        <v>207500</v>
      </c>
      <c r="J257" s="51">
        <v>125456133</v>
      </c>
      <c r="K257" s="48">
        <f t="shared" si="58"/>
        <v>1.41660661284511</v>
      </c>
      <c r="L257" s="48">
        <f t="shared" si="72"/>
        <v>1.41660661284511</v>
      </c>
      <c r="M257" s="49">
        <v>243800</v>
      </c>
      <c r="N257" s="49">
        <v>247100</v>
      </c>
      <c r="O257" s="49">
        <v>15956260</v>
      </c>
      <c r="P257" s="49">
        <f t="shared" si="60"/>
        <v>19.513552974471999</v>
      </c>
      <c r="Q257" s="49">
        <f t="shared" si="73"/>
        <v>19.513552974471999</v>
      </c>
      <c r="R257" s="48">
        <v>10200</v>
      </c>
      <c r="S257" s="48">
        <v>10295</v>
      </c>
      <c r="T257" s="48">
        <v>62100000</v>
      </c>
      <c r="U257" s="48">
        <f t="shared" si="74"/>
        <v>169.12764293390001</v>
      </c>
      <c r="V257" s="48">
        <f t="shared" si="75"/>
        <v>169.12764293390001</v>
      </c>
      <c r="W257" s="49">
        <v>0</v>
      </c>
      <c r="X257" s="49">
        <v>0</v>
      </c>
      <c r="Y257" s="49">
        <v>0</v>
      </c>
      <c r="Z257" s="49">
        <f t="shared" si="62"/>
        <v>0</v>
      </c>
      <c r="AA257" s="49">
        <v>0</v>
      </c>
      <c r="AB257" s="82">
        <f t="shared" si="68"/>
        <v>0</v>
      </c>
      <c r="AC257" s="82">
        <f t="shared" si="69"/>
        <v>236041865637854.19</v>
      </c>
      <c r="AD257" s="81">
        <f t="shared" si="70"/>
        <v>263937220243045.75</v>
      </c>
      <c r="AE257" s="80">
        <f t="shared" si="54"/>
        <v>1118.1796904113182</v>
      </c>
      <c r="AF257" s="52">
        <f t="shared" si="64"/>
        <v>9.4703053783223405E-3</v>
      </c>
      <c r="AG257" s="48">
        <f t="shared" si="55"/>
        <v>2.6217228464419477E-2</v>
      </c>
      <c r="AH257" s="48">
        <f t="shared" si="65"/>
        <v>-1.6587677725118485E-2</v>
      </c>
      <c r="AI257" s="48">
        <f t="shared" si="66"/>
        <v>1.3535684987694831E-2</v>
      </c>
      <c r="AJ257" s="48" t="e">
        <f t="shared" si="67"/>
        <v>#DIV/0!</v>
      </c>
    </row>
    <row r="258" spans="1:36" x14ac:dyDescent="0.3">
      <c r="A258" s="48">
        <v>20190116</v>
      </c>
      <c r="B258" s="48" t="s">
        <v>88</v>
      </c>
      <c r="C258" s="49">
        <v>41100</v>
      </c>
      <c r="D258" s="49">
        <v>41450</v>
      </c>
      <c r="E258" s="49">
        <v>5969782550</v>
      </c>
      <c r="F258" s="49">
        <f t="shared" si="56"/>
        <v>0.17115977220739101</v>
      </c>
      <c r="G258" s="49">
        <f t="shared" si="71"/>
        <v>0.17115977220739101</v>
      </c>
      <c r="H258" s="48">
        <v>207500</v>
      </c>
      <c r="I258" s="48">
        <v>202000</v>
      </c>
      <c r="J258" s="51">
        <v>125456133</v>
      </c>
      <c r="K258" s="48">
        <f t="shared" si="58"/>
        <v>1.41660661284511</v>
      </c>
      <c r="L258" s="48">
        <f t="shared" si="72"/>
        <v>1.41660661284511</v>
      </c>
      <c r="M258" s="49">
        <v>247100</v>
      </c>
      <c r="N258" s="49">
        <v>249200</v>
      </c>
      <c r="O258" s="49">
        <v>15956260</v>
      </c>
      <c r="P258" s="49">
        <f t="shared" si="60"/>
        <v>19.513552974471999</v>
      </c>
      <c r="Q258" s="49">
        <f t="shared" si="73"/>
        <v>19.513552974471999</v>
      </c>
      <c r="R258" s="48">
        <v>10295</v>
      </c>
      <c r="S258" s="48">
        <v>10400</v>
      </c>
      <c r="T258" s="48">
        <v>62100000</v>
      </c>
      <c r="U258" s="48">
        <f t="shared" si="74"/>
        <v>169.12764293390001</v>
      </c>
      <c r="V258" s="48">
        <f t="shared" si="75"/>
        <v>169.12764293390001</v>
      </c>
      <c r="W258" s="49">
        <v>0</v>
      </c>
      <c r="X258" s="49">
        <v>0</v>
      </c>
      <c r="Y258" s="49">
        <v>0</v>
      </c>
      <c r="Z258" s="49">
        <f t="shared" si="62"/>
        <v>0</v>
      </c>
      <c r="AA258" s="49">
        <v>0</v>
      </c>
      <c r="AB258" s="82">
        <f t="shared" si="68"/>
        <v>0</v>
      </c>
      <c r="AC258" s="82">
        <f t="shared" si="69"/>
        <v>236041865637854.19</v>
      </c>
      <c r="AD258" s="81">
        <f t="shared" si="70"/>
        <v>265074034406364.75</v>
      </c>
      <c r="AE258" s="80">
        <f t="shared" si="54"/>
        <v>1122.9958452076166</v>
      </c>
      <c r="AF258" s="52">
        <f t="shared" si="64"/>
        <v>4.3071385016184667E-3</v>
      </c>
      <c r="AG258" s="48">
        <f t="shared" si="55"/>
        <v>8.5158150851581509E-3</v>
      </c>
      <c r="AH258" s="48">
        <f t="shared" si="65"/>
        <v>-2.6506024096385541E-2</v>
      </c>
      <c r="AI258" s="48">
        <f t="shared" si="66"/>
        <v>8.4985835694051E-3</v>
      </c>
      <c r="AJ258" s="48" t="e">
        <f t="shared" si="67"/>
        <v>#DIV/0!</v>
      </c>
    </row>
    <row r="259" spans="1:36" x14ac:dyDescent="0.3">
      <c r="A259" s="48">
        <v>20190117</v>
      </c>
      <c r="B259" s="48" t="s">
        <v>88</v>
      </c>
      <c r="C259" s="49">
        <v>41450</v>
      </c>
      <c r="D259" s="49">
        <v>41950</v>
      </c>
      <c r="E259" s="49">
        <v>5969782550</v>
      </c>
      <c r="F259" s="49">
        <f t="shared" si="56"/>
        <v>0.17115977220739101</v>
      </c>
      <c r="G259" s="49">
        <f t="shared" si="71"/>
        <v>0.17115977220739101</v>
      </c>
      <c r="H259" s="48">
        <v>202000</v>
      </c>
      <c r="I259" s="48">
        <v>195500</v>
      </c>
      <c r="J259" s="51">
        <v>125456133</v>
      </c>
      <c r="K259" s="48">
        <f t="shared" si="58"/>
        <v>1.41660661284511</v>
      </c>
      <c r="L259" s="48">
        <f t="shared" si="72"/>
        <v>1.41660661284511</v>
      </c>
      <c r="M259" s="49">
        <v>249200</v>
      </c>
      <c r="N259" s="49">
        <v>255100</v>
      </c>
      <c r="O259" s="49">
        <v>15956260</v>
      </c>
      <c r="P259" s="49">
        <f t="shared" si="60"/>
        <v>19.513552974471999</v>
      </c>
      <c r="Q259" s="49">
        <f t="shared" si="73"/>
        <v>19.513552974471999</v>
      </c>
      <c r="R259" s="48">
        <v>10400</v>
      </c>
      <c r="S259" s="48">
        <v>10410</v>
      </c>
      <c r="T259" s="48">
        <v>62100000</v>
      </c>
      <c r="U259" s="48">
        <f t="shared" si="74"/>
        <v>169.12764293390001</v>
      </c>
      <c r="V259" s="48">
        <f t="shared" si="75"/>
        <v>169.12764293390001</v>
      </c>
      <c r="W259" s="49">
        <v>0</v>
      </c>
      <c r="X259" s="49">
        <v>0</v>
      </c>
      <c r="Y259" s="49">
        <v>0</v>
      </c>
      <c r="Z259" s="49">
        <f t="shared" si="62"/>
        <v>0</v>
      </c>
      <c r="AA259" s="49">
        <v>0</v>
      </c>
      <c r="AB259" s="82">
        <f t="shared" si="68"/>
        <v>0</v>
      </c>
      <c r="AC259" s="82">
        <f t="shared" si="69"/>
        <v>236041865637854.19</v>
      </c>
      <c r="AD259" s="81">
        <f t="shared" si="70"/>
        <v>266371806679954.25</v>
      </c>
      <c r="AE259" s="80">
        <f t="shared" si="54"/>
        <v>1128.4939049271607</v>
      </c>
      <c r="AF259" s="52">
        <f t="shared" si="64"/>
        <v>4.8958860738505666E-3</v>
      </c>
      <c r="AG259" s="48">
        <f t="shared" si="55"/>
        <v>1.2062726176115802E-2</v>
      </c>
      <c r="AH259" s="48">
        <f t="shared" si="65"/>
        <v>-3.2178217821782179E-2</v>
      </c>
      <c r="AI259" s="48">
        <f t="shared" si="66"/>
        <v>2.3675762439807384E-2</v>
      </c>
      <c r="AJ259" s="48" t="e">
        <f t="shared" si="67"/>
        <v>#DIV/0!</v>
      </c>
    </row>
    <row r="260" spans="1:36" x14ac:dyDescent="0.3">
      <c r="A260" s="48">
        <v>20190118</v>
      </c>
      <c r="B260" s="48" t="s">
        <v>88</v>
      </c>
      <c r="C260" s="49">
        <v>41950</v>
      </c>
      <c r="D260" s="49">
        <v>42300</v>
      </c>
      <c r="E260" s="49">
        <v>5969782550</v>
      </c>
      <c r="F260" s="49">
        <f t="shared" si="56"/>
        <v>0.17115977220739101</v>
      </c>
      <c r="G260" s="49">
        <f t="shared" si="71"/>
        <v>0.17115977220739101</v>
      </c>
      <c r="H260" s="48">
        <v>195500</v>
      </c>
      <c r="I260" s="48">
        <v>201000</v>
      </c>
      <c r="J260" s="51">
        <v>125456133</v>
      </c>
      <c r="K260" s="48">
        <f t="shared" si="58"/>
        <v>1.41660661284511</v>
      </c>
      <c r="L260" s="48">
        <f t="shared" si="72"/>
        <v>1.41660661284511</v>
      </c>
      <c r="M260" s="49">
        <v>255100</v>
      </c>
      <c r="N260" s="49">
        <v>261000</v>
      </c>
      <c r="O260" s="49">
        <v>15956260</v>
      </c>
      <c r="P260" s="49">
        <f t="shared" si="60"/>
        <v>19.513552974471999</v>
      </c>
      <c r="Q260" s="49">
        <f t="shared" si="73"/>
        <v>19.513552974471999</v>
      </c>
      <c r="R260" s="48">
        <v>10410</v>
      </c>
      <c r="S260" s="48">
        <v>10470</v>
      </c>
      <c r="T260" s="48">
        <v>62100000</v>
      </c>
      <c r="U260" s="48">
        <f t="shared" si="74"/>
        <v>169.12764293390001</v>
      </c>
      <c r="V260" s="48">
        <f t="shared" si="75"/>
        <v>169.12764293390001</v>
      </c>
      <c r="W260" s="49">
        <v>0</v>
      </c>
      <c r="X260" s="49">
        <v>0</v>
      </c>
      <c r="Y260" s="49">
        <v>0</v>
      </c>
      <c r="Z260" s="49">
        <f t="shared" si="62"/>
        <v>0</v>
      </c>
      <c r="AA260" s="49">
        <v>0</v>
      </c>
      <c r="AB260" s="82">
        <f t="shared" si="68"/>
        <v>0</v>
      </c>
      <c r="AC260" s="82">
        <f t="shared" si="69"/>
        <v>236041865637854.19</v>
      </c>
      <c r="AD260" s="81">
        <f t="shared" si="70"/>
        <v>270174116143202.94</v>
      </c>
      <c r="AE260" s="80">
        <f t="shared" ref="AE260:AE323" si="76">AD260/AC260*1000</f>
        <v>1144.6025280859117</v>
      </c>
      <c r="AF260" s="52">
        <f t="shared" si="64"/>
        <v>1.4274444096169715E-2</v>
      </c>
      <c r="AG260" s="48">
        <f t="shared" ref="AG260:AG323" si="77">(D260-C260)/C260</f>
        <v>8.3432657926102508E-3</v>
      </c>
      <c r="AH260" s="48">
        <f t="shared" si="65"/>
        <v>2.8132992327365727E-2</v>
      </c>
      <c r="AI260" s="48">
        <f t="shared" si="66"/>
        <v>2.3128185025480204E-2</v>
      </c>
      <c r="AJ260" s="48" t="e">
        <f t="shared" si="67"/>
        <v>#DIV/0!</v>
      </c>
    </row>
    <row r="261" spans="1:36" x14ac:dyDescent="0.3">
      <c r="A261" s="48">
        <v>20190121</v>
      </c>
      <c r="B261" s="48" t="s">
        <v>88</v>
      </c>
      <c r="C261" s="49">
        <v>42300</v>
      </c>
      <c r="D261" s="49">
        <v>42750</v>
      </c>
      <c r="E261" s="49">
        <v>5969782550</v>
      </c>
      <c r="F261" s="49">
        <f t="shared" ref="F261:F324" si="78">G260</f>
        <v>0.17115977220739101</v>
      </c>
      <c r="G261" s="49">
        <f t="shared" si="71"/>
        <v>0.17115977220739101</v>
      </c>
      <c r="H261" s="48">
        <v>201000</v>
      </c>
      <c r="I261" s="48">
        <v>198000</v>
      </c>
      <c r="J261" s="51">
        <v>125456133</v>
      </c>
      <c r="K261" s="48">
        <f t="shared" ref="K261:K324" si="79">L260</f>
        <v>1.41660661284511</v>
      </c>
      <c r="L261" s="48">
        <f t="shared" si="72"/>
        <v>1.41660661284511</v>
      </c>
      <c r="M261" s="49">
        <v>261000</v>
      </c>
      <c r="N261" s="49">
        <v>257000</v>
      </c>
      <c r="O261" s="49">
        <v>15956260</v>
      </c>
      <c r="P261" s="49">
        <f t="shared" ref="P261:P324" si="80">Q260</f>
        <v>19.513552974471999</v>
      </c>
      <c r="Q261" s="49">
        <f t="shared" si="73"/>
        <v>19.513552974471999</v>
      </c>
      <c r="R261" s="48">
        <v>10470</v>
      </c>
      <c r="S261" s="48">
        <v>10505</v>
      </c>
      <c r="T261" s="48">
        <v>62100000</v>
      </c>
      <c r="U261" s="48">
        <f t="shared" si="74"/>
        <v>169.12764293390001</v>
      </c>
      <c r="V261" s="48">
        <f t="shared" si="75"/>
        <v>169.12764293390001</v>
      </c>
      <c r="W261" s="49">
        <v>0</v>
      </c>
      <c r="X261" s="49">
        <v>0</v>
      </c>
      <c r="Y261" s="49">
        <v>0</v>
      </c>
      <c r="Z261" s="49">
        <f t="shared" ref="Z261:Z324" si="81">AA260</f>
        <v>0</v>
      </c>
      <c r="AA261" s="49">
        <v>0</v>
      </c>
      <c r="AB261" s="82">
        <f t="shared" si="68"/>
        <v>0</v>
      </c>
      <c r="AC261" s="82">
        <f t="shared" si="69"/>
        <v>236041865637854.19</v>
      </c>
      <c r="AD261" s="81">
        <f t="shared" si="70"/>
        <v>269222899792716.22</v>
      </c>
      <c r="AE261" s="80">
        <f t="shared" si="76"/>
        <v>1140.5726652142712</v>
      </c>
      <c r="AF261" s="52">
        <f t="shared" ref="AF261:AF324" si="82">(AE261-AE260)/AE260</f>
        <v>-3.5207530760739464E-3</v>
      </c>
      <c r="AG261" s="48">
        <f t="shared" si="77"/>
        <v>1.0638297872340425E-2</v>
      </c>
      <c r="AH261" s="48">
        <f t="shared" ref="AH261:AH324" si="83">(I261-H261)/H261</f>
        <v>-1.4925373134328358E-2</v>
      </c>
      <c r="AI261" s="48">
        <f t="shared" ref="AI261:AI324" si="84">(N261-M261)/M261</f>
        <v>-1.532567049808429E-2</v>
      </c>
      <c r="AJ261" s="48" t="e">
        <f t="shared" ref="AJ261:AJ324" si="85">(X261-W261)/X261</f>
        <v>#DIV/0!</v>
      </c>
    </row>
    <row r="262" spans="1:36" x14ac:dyDescent="0.3">
      <c r="A262" s="48">
        <v>20190122</v>
      </c>
      <c r="B262" s="48" t="s">
        <v>88</v>
      </c>
      <c r="C262" s="49">
        <v>42750</v>
      </c>
      <c r="D262" s="49">
        <v>42150</v>
      </c>
      <c r="E262" s="49">
        <v>5969782550</v>
      </c>
      <c r="F262" s="49">
        <f t="shared" si="78"/>
        <v>0.17115977220739101</v>
      </c>
      <c r="G262" s="49">
        <f t="shared" si="71"/>
        <v>0.17115977220739101</v>
      </c>
      <c r="H262" s="48">
        <v>198000</v>
      </c>
      <c r="I262" s="48">
        <v>200000</v>
      </c>
      <c r="J262" s="51">
        <v>125456133</v>
      </c>
      <c r="K262" s="48">
        <f t="shared" si="79"/>
        <v>1.41660661284511</v>
      </c>
      <c r="L262" s="48">
        <f t="shared" si="72"/>
        <v>1.41660661284511</v>
      </c>
      <c r="M262" s="49">
        <v>257000</v>
      </c>
      <c r="N262" s="49">
        <v>257100</v>
      </c>
      <c r="O262" s="49">
        <v>15956260</v>
      </c>
      <c r="P262" s="49">
        <f t="shared" si="80"/>
        <v>19.513552974471999</v>
      </c>
      <c r="Q262" s="49">
        <f t="shared" si="73"/>
        <v>19.513552974471999</v>
      </c>
      <c r="R262" s="48">
        <v>10505</v>
      </c>
      <c r="S262" s="48">
        <v>10450</v>
      </c>
      <c r="T262" s="48">
        <v>62100000</v>
      </c>
      <c r="U262" s="48">
        <f t="shared" si="74"/>
        <v>169.12764293390001</v>
      </c>
      <c r="V262" s="48">
        <f t="shared" si="75"/>
        <v>169.12764293390001</v>
      </c>
      <c r="W262" s="49">
        <v>0</v>
      </c>
      <c r="X262" s="49">
        <v>0</v>
      </c>
      <c r="Y262" s="49">
        <v>0</v>
      </c>
      <c r="Z262" s="49">
        <f t="shared" si="81"/>
        <v>0</v>
      </c>
      <c r="AA262" s="49">
        <v>0</v>
      </c>
      <c r="AB262" s="82">
        <f t="shared" si="68"/>
        <v>0</v>
      </c>
      <c r="AC262" s="82">
        <f t="shared" si="69"/>
        <v>236041865637854.19</v>
      </c>
      <c r="AD262" s="81">
        <f t="shared" si="70"/>
        <v>268418752663182.06</v>
      </c>
      <c r="AE262" s="80">
        <f t="shared" si="76"/>
        <v>1137.1658664781185</v>
      </c>
      <c r="AF262" s="52">
        <f t="shared" si="82"/>
        <v>-2.9869195011022927E-3</v>
      </c>
      <c r="AG262" s="48">
        <f t="shared" si="77"/>
        <v>-1.4035087719298246E-2</v>
      </c>
      <c r="AH262" s="48">
        <f t="shared" si="83"/>
        <v>1.0101010101010102E-2</v>
      </c>
      <c r="AI262" s="48">
        <f t="shared" si="84"/>
        <v>3.8910505836575878E-4</v>
      </c>
      <c r="AJ262" s="48" t="e">
        <f t="shared" si="85"/>
        <v>#DIV/0!</v>
      </c>
    </row>
    <row r="263" spans="1:36" x14ac:dyDescent="0.3">
      <c r="A263" s="48">
        <v>20190123</v>
      </c>
      <c r="B263" s="48" t="s">
        <v>88</v>
      </c>
      <c r="C263" s="49">
        <v>42150</v>
      </c>
      <c r="D263" s="49">
        <v>42000</v>
      </c>
      <c r="E263" s="49">
        <v>5969782550</v>
      </c>
      <c r="F263" s="49">
        <f t="shared" si="78"/>
        <v>0.17115977220739101</v>
      </c>
      <c r="G263" s="49">
        <f t="shared" si="71"/>
        <v>0.17115977220739101</v>
      </c>
      <c r="H263" s="48">
        <v>200000</v>
      </c>
      <c r="I263" s="48">
        <v>200000</v>
      </c>
      <c r="J263" s="51">
        <v>125456133</v>
      </c>
      <c r="K263" s="48">
        <f t="shared" si="79"/>
        <v>1.41660661284511</v>
      </c>
      <c r="L263" s="48">
        <f t="shared" si="72"/>
        <v>1.41660661284511</v>
      </c>
      <c r="M263" s="49">
        <v>257100</v>
      </c>
      <c r="N263" s="49">
        <v>251900</v>
      </c>
      <c r="O263" s="49">
        <v>15956260</v>
      </c>
      <c r="P263" s="49">
        <f t="shared" si="80"/>
        <v>19.513552974471999</v>
      </c>
      <c r="Q263" s="49">
        <f t="shared" si="73"/>
        <v>19.513552974471999</v>
      </c>
      <c r="R263" s="48">
        <v>10450</v>
      </c>
      <c r="S263" s="48">
        <v>10485</v>
      </c>
      <c r="T263" s="48">
        <v>62100000</v>
      </c>
      <c r="U263" s="48">
        <f t="shared" si="74"/>
        <v>169.12764293390001</v>
      </c>
      <c r="V263" s="48">
        <f t="shared" si="75"/>
        <v>169.12764293390001</v>
      </c>
      <c r="W263" s="49">
        <v>0</v>
      </c>
      <c r="X263" s="49">
        <v>0</v>
      </c>
      <c r="Y263" s="49">
        <v>0</v>
      </c>
      <c r="Z263" s="49">
        <f t="shared" si="81"/>
        <v>0</v>
      </c>
      <c r="AA263" s="49">
        <v>0</v>
      </c>
      <c r="AB263" s="82">
        <f t="shared" si="68"/>
        <v>0</v>
      </c>
      <c r="AC263" s="82">
        <f t="shared" si="69"/>
        <v>236041865637854.19</v>
      </c>
      <c r="AD263" s="81">
        <f t="shared" si="70"/>
        <v>267013994313011.94</v>
      </c>
      <c r="AE263" s="80">
        <f t="shared" si="76"/>
        <v>1131.2145563307679</v>
      </c>
      <c r="AF263" s="52">
        <f t="shared" si="82"/>
        <v>-5.2334583043564158E-3</v>
      </c>
      <c r="AG263" s="48">
        <f t="shared" si="77"/>
        <v>-3.5587188612099642E-3</v>
      </c>
      <c r="AH263" s="48">
        <f t="shared" si="83"/>
        <v>0</v>
      </c>
      <c r="AI263" s="48">
        <f t="shared" si="84"/>
        <v>-2.0225593154414623E-2</v>
      </c>
      <c r="AJ263" s="48" t="e">
        <f t="shared" si="85"/>
        <v>#DIV/0!</v>
      </c>
    </row>
    <row r="264" spans="1:36" x14ac:dyDescent="0.3">
      <c r="A264" s="48">
        <v>20190124</v>
      </c>
      <c r="B264" s="48" t="s">
        <v>88</v>
      </c>
      <c r="C264" s="49">
        <v>42000</v>
      </c>
      <c r="D264" s="49">
        <v>43050</v>
      </c>
      <c r="E264" s="49">
        <v>5969782550</v>
      </c>
      <c r="F264" s="49">
        <f t="shared" si="78"/>
        <v>0.17115977220739101</v>
      </c>
      <c r="G264" s="49">
        <f t="shared" si="71"/>
        <v>0.17115977220739101</v>
      </c>
      <c r="H264" s="48">
        <v>200000</v>
      </c>
      <c r="I264" s="48">
        <v>208000</v>
      </c>
      <c r="J264" s="51">
        <v>125456133</v>
      </c>
      <c r="K264" s="48">
        <f t="shared" si="79"/>
        <v>1.41660661284511</v>
      </c>
      <c r="L264" s="48">
        <f t="shared" si="72"/>
        <v>1.41660661284511</v>
      </c>
      <c r="M264" s="49">
        <v>251900</v>
      </c>
      <c r="N264" s="49">
        <v>261700</v>
      </c>
      <c r="O264" s="49">
        <v>15956260</v>
      </c>
      <c r="P264" s="49">
        <f t="shared" si="80"/>
        <v>19.513552974471999</v>
      </c>
      <c r="Q264" s="49">
        <f t="shared" si="73"/>
        <v>19.513552974471999</v>
      </c>
      <c r="R264" s="48">
        <v>10485</v>
      </c>
      <c r="S264" s="48">
        <v>10605</v>
      </c>
      <c r="T264" s="48">
        <v>62100000</v>
      </c>
      <c r="U264" s="48">
        <f t="shared" si="74"/>
        <v>169.12764293390001</v>
      </c>
      <c r="V264" s="48">
        <f t="shared" si="75"/>
        <v>169.12764293390001</v>
      </c>
      <c r="W264" s="49">
        <v>0</v>
      </c>
      <c r="X264" s="49">
        <v>0</v>
      </c>
      <c r="Y264" s="49">
        <v>0</v>
      </c>
      <c r="Z264" s="49">
        <f t="shared" si="81"/>
        <v>0</v>
      </c>
      <c r="AA264" s="49">
        <v>0</v>
      </c>
      <c r="AB264" s="82">
        <f t="shared" si="68"/>
        <v>0</v>
      </c>
      <c r="AC264" s="82">
        <f t="shared" si="69"/>
        <v>236041865637854.19</v>
      </c>
      <c r="AD264" s="81">
        <f t="shared" si="70"/>
        <v>273820345944536.09</v>
      </c>
      <c r="AE264" s="80">
        <f t="shared" si="76"/>
        <v>1160.0499140463637</v>
      </c>
      <c r="AF264" s="52">
        <f t="shared" si="82"/>
        <v>2.5490617632367471E-2</v>
      </c>
      <c r="AG264" s="48">
        <f t="shared" si="77"/>
        <v>2.5000000000000001E-2</v>
      </c>
      <c r="AH264" s="48">
        <f t="shared" si="83"/>
        <v>0.04</v>
      </c>
      <c r="AI264" s="48">
        <f t="shared" si="84"/>
        <v>3.8904327113934101E-2</v>
      </c>
      <c r="AJ264" s="48" t="e">
        <f t="shared" si="85"/>
        <v>#DIV/0!</v>
      </c>
    </row>
    <row r="265" spans="1:36" x14ac:dyDescent="0.3">
      <c r="A265" s="48">
        <v>20190125</v>
      </c>
      <c r="B265" s="48" t="s">
        <v>88</v>
      </c>
      <c r="C265" s="49">
        <v>43050</v>
      </c>
      <c r="D265" s="49">
        <v>44750</v>
      </c>
      <c r="E265" s="49">
        <v>5969782550</v>
      </c>
      <c r="F265" s="49">
        <f t="shared" si="78"/>
        <v>0.17115977220739101</v>
      </c>
      <c r="G265" s="49">
        <f t="shared" si="71"/>
        <v>0.17115977220739101</v>
      </c>
      <c r="H265" s="48">
        <v>208000</v>
      </c>
      <c r="I265" s="48">
        <v>208500</v>
      </c>
      <c r="J265" s="51">
        <v>125456133</v>
      </c>
      <c r="K265" s="48">
        <f t="shared" si="79"/>
        <v>1.41660661284511</v>
      </c>
      <c r="L265" s="48">
        <f t="shared" si="72"/>
        <v>1.41660661284511</v>
      </c>
      <c r="M265" s="49">
        <v>261700</v>
      </c>
      <c r="N265" s="49">
        <v>260300</v>
      </c>
      <c r="O265" s="49">
        <v>15956260</v>
      </c>
      <c r="P265" s="49">
        <f t="shared" si="80"/>
        <v>19.513552974471999</v>
      </c>
      <c r="Q265" s="49">
        <f t="shared" si="73"/>
        <v>19.513552974471999</v>
      </c>
      <c r="R265" s="48">
        <v>10605</v>
      </c>
      <c r="S265" s="48">
        <v>10820</v>
      </c>
      <c r="T265" s="48">
        <v>62100000</v>
      </c>
      <c r="U265" s="48">
        <f t="shared" si="74"/>
        <v>169.12764293390001</v>
      </c>
      <c r="V265" s="48">
        <f t="shared" si="75"/>
        <v>169.12764293390001</v>
      </c>
      <c r="W265" s="49">
        <v>0</v>
      </c>
      <c r="X265" s="49">
        <v>0</v>
      </c>
      <c r="Y265" s="49">
        <v>0</v>
      </c>
      <c r="Z265" s="49">
        <f t="shared" si="81"/>
        <v>0</v>
      </c>
      <c r="AA265" s="49">
        <v>0</v>
      </c>
      <c r="AB265" s="82">
        <f t="shared" si="68"/>
        <v>0</v>
      </c>
      <c r="AC265" s="82">
        <f t="shared" si="69"/>
        <v>236041865637854.19</v>
      </c>
      <c r="AD265" s="81">
        <f t="shared" si="70"/>
        <v>277468443264640.31</v>
      </c>
      <c r="AE265" s="80">
        <f t="shared" si="76"/>
        <v>1175.505211818418</v>
      </c>
      <c r="AF265" s="52">
        <f t="shared" si="82"/>
        <v>1.332295928383357E-2</v>
      </c>
      <c r="AG265" s="48">
        <f t="shared" si="77"/>
        <v>3.9488966318234613E-2</v>
      </c>
      <c r="AH265" s="48">
        <f t="shared" si="83"/>
        <v>2.403846153846154E-3</v>
      </c>
      <c r="AI265" s="48">
        <f t="shared" si="84"/>
        <v>-5.349636988918609E-3</v>
      </c>
      <c r="AJ265" s="48" t="e">
        <f t="shared" si="85"/>
        <v>#DIV/0!</v>
      </c>
    </row>
    <row r="266" spans="1:36" x14ac:dyDescent="0.3">
      <c r="A266" s="48">
        <v>20190128</v>
      </c>
      <c r="B266" s="48" t="s">
        <v>88</v>
      </c>
      <c r="C266" s="49">
        <v>44750</v>
      </c>
      <c r="D266" s="49">
        <v>45050</v>
      </c>
      <c r="E266" s="49">
        <v>5969782550</v>
      </c>
      <c r="F266" s="49">
        <f t="shared" si="78"/>
        <v>0.17115977220739101</v>
      </c>
      <c r="G266" s="49">
        <f t="shared" si="71"/>
        <v>0.17115977220739101</v>
      </c>
      <c r="H266" s="48">
        <v>208500</v>
      </c>
      <c r="I266" s="48">
        <v>211000</v>
      </c>
      <c r="J266" s="51">
        <v>125456133</v>
      </c>
      <c r="K266" s="48">
        <f t="shared" si="79"/>
        <v>1.41660661284511</v>
      </c>
      <c r="L266" s="48">
        <f t="shared" si="72"/>
        <v>1.41660661284511</v>
      </c>
      <c r="M266" s="49">
        <v>260300</v>
      </c>
      <c r="N266" s="49">
        <v>262700</v>
      </c>
      <c r="O266" s="49">
        <v>15956260</v>
      </c>
      <c r="P266" s="49">
        <f t="shared" si="80"/>
        <v>19.513552974471999</v>
      </c>
      <c r="Q266" s="49">
        <f t="shared" si="73"/>
        <v>19.513552974471999</v>
      </c>
      <c r="R266" s="48">
        <v>10820</v>
      </c>
      <c r="S266" s="48">
        <v>10875</v>
      </c>
      <c r="T266" s="48">
        <v>62100000</v>
      </c>
      <c r="U266" s="48">
        <f t="shared" si="74"/>
        <v>169.12764293390001</v>
      </c>
      <c r="V266" s="48">
        <f t="shared" si="75"/>
        <v>169.12764293390001</v>
      </c>
      <c r="W266" s="49">
        <v>0</v>
      </c>
      <c r="X266" s="49">
        <v>0</v>
      </c>
      <c r="Y266" s="49">
        <v>0</v>
      </c>
      <c r="Z266" s="49">
        <f t="shared" si="81"/>
        <v>0</v>
      </c>
      <c r="AA266" s="49">
        <v>0</v>
      </c>
      <c r="AB266" s="82">
        <f t="shared" si="68"/>
        <v>0</v>
      </c>
      <c r="AC266" s="82">
        <f t="shared" si="69"/>
        <v>236041865637854.19</v>
      </c>
      <c r="AD266" s="81">
        <f t="shared" si="70"/>
        <v>279544211664053.87</v>
      </c>
      <c r="AE266" s="80">
        <f t="shared" si="76"/>
        <v>1184.2992805900919</v>
      </c>
      <c r="AF266" s="52">
        <f t="shared" si="82"/>
        <v>7.4810972195266832E-3</v>
      </c>
      <c r="AG266" s="48">
        <f t="shared" si="77"/>
        <v>6.7039106145251395E-3</v>
      </c>
      <c r="AH266" s="48">
        <f t="shared" si="83"/>
        <v>1.1990407673860911E-2</v>
      </c>
      <c r="AI266" s="48">
        <f t="shared" si="84"/>
        <v>9.2201306185170952E-3</v>
      </c>
      <c r="AJ266" s="48" t="e">
        <f t="shared" si="85"/>
        <v>#DIV/0!</v>
      </c>
    </row>
    <row r="267" spans="1:36" x14ac:dyDescent="0.3">
      <c r="A267" s="48">
        <v>20190129</v>
      </c>
      <c r="B267" s="48" t="s">
        <v>88</v>
      </c>
      <c r="C267" s="49">
        <v>45050</v>
      </c>
      <c r="D267" s="49">
        <v>45500</v>
      </c>
      <c r="E267" s="49">
        <v>5969782550</v>
      </c>
      <c r="F267" s="49">
        <f t="shared" si="78"/>
        <v>0.17115977220739101</v>
      </c>
      <c r="G267" s="49">
        <f t="shared" si="71"/>
        <v>0.17115977220739101</v>
      </c>
      <c r="H267" s="48">
        <v>211000</v>
      </c>
      <c r="I267" s="48">
        <v>210500</v>
      </c>
      <c r="J267" s="51">
        <v>125456133</v>
      </c>
      <c r="K267" s="48">
        <f t="shared" si="79"/>
        <v>1.41660661284511</v>
      </c>
      <c r="L267" s="48">
        <f t="shared" si="72"/>
        <v>1.41660661284511</v>
      </c>
      <c r="M267" s="49">
        <v>262700</v>
      </c>
      <c r="N267" s="49">
        <v>269900</v>
      </c>
      <c r="O267" s="49">
        <v>15956260</v>
      </c>
      <c r="P267" s="49">
        <f t="shared" si="80"/>
        <v>19.513552974471999</v>
      </c>
      <c r="Q267" s="49">
        <f t="shared" si="73"/>
        <v>19.513552974471999</v>
      </c>
      <c r="R267" s="48">
        <v>10875</v>
      </c>
      <c r="S267" s="48">
        <v>10875</v>
      </c>
      <c r="T267" s="48">
        <v>62100000</v>
      </c>
      <c r="U267" s="48">
        <f t="shared" si="74"/>
        <v>169.12764293390001</v>
      </c>
      <c r="V267" s="48">
        <f t="shared" si="75"/>
        <v>169.12764293390001</v>
      </c>
      <c r="W267" s="49">
        <v>0</v>
      </c>
      <c r="X267" s="49">
        <v>0</v>
      </c>
      <c r="Y267" s="49">
        <v>0</v>
      </c>
      <c r="Z267" s="49">
        <f t="shared" si="81"/>
        <v>0</v>
      </c>
      <c r="AA267" s="49">
        <v>0</v>
      </c>
      <c r="AB267" s="82">
        <f t="shared" si="68"/>
        <v>0</v>
      </c>
      <c r="AC267" s="82">
        <f t="shared" si="69"/>
        <v>236041865637854.19</v>
      </c>
      <c r="AD267" s="81">
        <f t="shared" si="70"/>
        <v>282156970588310.56</v>
      </c>
      <c r="AE267" s="80">
        <f t="shared" si="76"/>
        <v>1195.3683293675037</v>
      </c>
      <c r="AF267" s="52">
        <f t="shared" si="82"/>
        <v>9.3464962436661421E-3</v>
      </c>
      <c r="AG267" s="48">
        <f t="shared" si="77"/>
        <v>9.9889012208657056E-3</v>
      </c>
      <c r="AH267" s="48">
        <f t="shared" si="83"/>
        <v>-2.3696682464454978E-3</v>
      </c>
      <c r="AI267" s="48">
        <f t="shared" si="84"/>
        <v>2.7407689379520365E-2</v>
      </c>
      <c r="AJ267" s="48" t="e">
        <f t="shared" si="85"/>
        <v>#DIV/0!</v>
      </c>
    </row>
    <row r="268" spans="1:36" x14ac:dyDescent="0.3">
      <c r="A268" s="48">
        <v>20190130</v>
      </c>
      <c r="B268" s="48" t="s">
        <v>88</v>
      </c>
      <c r="C268" s="49">
        <v>45500</v>
      </c>
      <c r="D268" s="49">
        <v>46400</v>
      </c>
      <c r="E268" s="49">
        <v>5969782550</v>
      </c>
      <c r="F268" s="49">
        <f t="shared" si="78"/>
        <v>0.17115977220739101</v>
      </c>
      <c r="G268" s="49">
        <f t="shared" si="71"/>
        <v>0.17115977220739101</v>
      </c>
      <c r="H268" s="48">
        <v>210500</v>
      </c>
      <c r="I268" s="48">
        <v>215000</v>
      </c>
      <c r="J268" s="51">
        <v>125456133</v>
      </c>
      <c r="K268" s="48">
        <f t="shared" si="79"/>
        <v>1.41660661284511</v>
      </c>
      <c r="L268" s="48">
        <f t="shared" si="72"/>
        <v>1.41660661284511</v>
      </c>
      <c r="M268" s="49">
        <v>269900</v>
      </c>
      <c r="N268" s="49">
        <v>273500</v>
      </c>
      <c r="O268" s="49">
        <v>15956260</v>
      </c>
      <c r="P268" s="49">
        <f t="shared" si="80"/>
        <v>19.513552974471999</v>
      </c>
      <c r="Q268" s="49">
        <f t="shared" si="73"/>
        <v>19.513552974471999</v>
      </c>
      <c r="R268" s="48">
        <v>10875</v>
      </c>
      <c r="S268" s="48">
        <v>11020</v>
      </c>
      <c r="T268" s="48">
        <v>62100000</v>
      </c>
      <c r="U268" s="48">
        <f t="shared" si="74"/>
        <v>169.12764293390001</v>
      </c>
      <c r="V268" s="48">
        <f t="shared" si="75"/>
        <v>169.12764293390001</v>
      </c>
      <c r="W268" s="49">
        <v>0</v>
      </c>
      <c r="X268" s="49">
        <v>0</v>
      </c>
      <c r="Y268" s="49">
        <v>0</v>
      </c>
      <c r="Z268" s="49">
        <f t="shared" si="81"/>
        <v>0</v>
      </c>
      <c r="AA268" s="49">
        <v>0</v>
      </c>
      <c r="AB268" s="82">
        <f t="shared" si="68"/>
        <v>0</v>
      </c>
      <c r="AC268" s="82">
        <f t="shared" si="69"/>
        <v>236041865637854.19</v>
      </c>
      <c r="AD268" s="81">
        <f t="shared" si="70"/>
        <v>286520145321914</v>
      </c>
      <c r="AE268" s="80">
        <f t="shared" si="76"/>
        <v>1213.8530787648738</v>
      </c>
      <c r="AF268" s="52">
        <f t="shared" si="82"/>
        <v>1.5463643249734349E-2</v>
      </c>
      <c r="AG268" s="48">
        <f t="shared" si="77"/>
        <v>1.9780219780219779E-2</v>
      </c>
      <c r="AH268" s="48">
        <f t="shared" si="83"/>
        <v>2.1377672209026127E-2</v>
      </c>
      <c r="AI268" s="48">
        <f t="shared" si="84"/>
        <v>1.333827343460541E-2</v>
      </c>
      <c r="AJ268" s="48" t="e">
        <f t="shared" si="85"/>
        <v>#DIV/0!</v>
      </c>
    </row>
    <row r="269" spans="1:36" x14ac:dyDescent="0.3">
      <c r="A269" s="48">
        <v>20190131</v>
      </c>
      <c r="B269" s="48" t="s">
        <v>88</v>
      </c>
      <c r="C269" s="49">
        <v>46400</v>
      </c>
      <c r="D269" s="49">
        <v>46150</v>
      </c>
      <c r="E269" s="49">
        <v>5969782550</v>
      </c>
      <c r="F269" s="49">
        <f t="shared" si="78"/>
        <v>0.17115977220739101</v>
      </c>
      <c r="G269" s="49">
        <f t="shared" si="71"/>
        <v>0.17115977220739101</v>
      </c>
      <c r="H269" s="48">
        <v>215000</v>
      </c>
      <c r="I269" s="48">
        <v>219000</v>
      </c>
      <c r="J269" s="51">
        <v>125456133</v>
      </c>
      <c r="K269" s="48">
        <f t="shared" si="79"/>
        <v>1.41660661284511</v>
      </c>
      <c r="L269" s="48">
        <f t="shared" si="72"/>
        <v>1.41660661284511</v>
      </c>
      <c r="M269" s="49">
        <v>273500</v>
      </c>
      <c r="N269" s="49">
        <v>276000</v>
      </c>
      <c r="O269" s="49">
        <v>15956260</v>
      </c>
      <c r="P269" s="49">
        <f t="shared" si="80"/>
        <v>19.513552974471999</v>
      </c>
      <c r="Q269" s="49">
        <f t="shared" si="73"/>
        <v>19.513552974471999</v>
      </c>
      <c r="R269" s="48">
        <v>11020</v>
      </c>
      <c r="S269" s="48">
        <v>11045</v>
      </c>
      <c r="T269" s="48">
        <v>62100000</v>
      </c>
      <c r="U269" s="48">
        <f t="shared" si="74"/>
        <v>169.12764293390001</v>
      </c>
      <c r="V269" s="48">
        <f t="shared" si="75"/>
        <v>169.12764293390001</v>
      </c>
      <c r="W269" s="49">
        <v>0</v>
      </c>
      <c r="X269" s="49">
        <v>0</v>
      </c>
      <c r="Y269" s="49">
        <v>0</v>
      </c>
      <c r="Z269" s="49">
        <f t="shared" si="81"/>
        <v>0</v>
      </c>
      <c r="AA269" s="49">
        <v>0</v>
      </c>
      <c r="AB269" s="82">
        <f t="shared" si="68"/>
        <v>0</v>
      </c>
      <c r="AC269" s="82">
        <f t="shared" si="69"/>
        <v>236041865637854.19</v>
      </c>
      <c r="AD269" s="81">
        <f t="shared" si="70"/>
        <v>288016565594702.62</v>
      </c>
      <c r="AE269" s="80">
        <f t="shared" si="76"/>
        <v>1220.1927180010953</v>
      </c>
      <c r="AF269" s="52">
        <f t="shared" si="82"/>
        <v>5.2227401710528629E-3</v>
      </c>
      <c r="AG269" s="48">
        <f t="shared" si="77"/>
        <v>-5.387931034482759E-3</v>
      </c>
      <c r="AH269" s="48">
        <f t="shared" si="83"/>
        <v>1.8604651162790697E-2</v>
      </c>
      <c r="AI269" s="48">
        <f t="shared" si="84"/>
        <v>9.140767824497258E-3</v>
      </c>
      <c r="AJ269" s="48" t="e">
        <f t="shared" si="85"/>
        <v>#DIV/0!</v>
      </c>
    </row>
    <row r="270" spans="1:36" x14ac:dyDescent="0.3">
      <c r="A270" s="48">
        <v>20190201</v>
      </c>
      <c r="B270" s="48" t="s">
        <v>88</v>
      </c>
      <c r="C270" s="49">
        <v>46150</v>
      </c>
      <c r="D270" s="49">
        <v>46350</v>
      </c>
      <c r="E270" s="49">
        <v>5969782550</v>
      </c>
      <c r="F270" s="49">
        <f t="shared" si="78"/>
        <v>0.17115977220739101</v>
      </c>
      <c r="G270" s="49">
        <f t="shared" si="71"/>
        <v>0.17115977220739101</v>
      </c>
      <c r="H270" s="48">
        <v>219000</v>
      </c>
      <c r="I270" s="48">
        <v>214500</v>
      </c>
      <c r="J270" s="51">
        <v>125456133</v>
      </c>
      <c r="K270" s="48">
        <f t="shared" si="79"/>
        <v>1.41660661284511</v>
      </c>
      <c r="L270" s="48">
        <f t="shared" si="72"/>
        <v>1.41660661284511</v>
      </c>
      <c r="M270" s="49">
        <v>276000</v>
      </c>
      <c r="N270" s="49">
        <v>278200</v>
      </c>
      <c r="O270" s="49">
        <v>15956260</v>
      </c>
      <c r="P270" s="49">
        <f t="shared" si="80"/>
        <v>19.513552974471999</v>
      </c>
      <c r="Q270" s="49">
        <f t="shared" si="73"/>
        <v>19.513552974471999</v>
      </c>
      <c r="R270" s="48">
        <v>11045</v>
      </c>
      <c r="S270" s="48">
        <v>11030</v>
      </c>
      <c r="T270" s="48">
        <v>62100000</v>
      </c>
      <c r="U270" s="48">
        <f t="shared" si="74"/>
        <v>169.12764293390001</v>
      </c>
      <c r="V270" s="48">
        <f t="shared" si="75"/>
        <v>169.12764293390001</v>
      </c>
      <c r="W270" s="49">
        <v>0</v>
      </c>
      <c r="X270" s="49">
        <v>0</v>
      </c>
      <c r="Y270" s="49">
        <v>0</v>
      </c>
      <c r="Z270" s="49">
        <f t="shared" si="81"/>
        <v>0</v>
      </c>
      <c r="AA270" s="49">
        <v>0</v>
      </c>
      <c r="AB270" s="82">
        <f t="shared" si="68"/>
        <v>0</v>
      </c>
      <c r="AC270" s="82">
        <f t="shared" si="69"/>
        <v>236041865637854.19</v>
      </c>
      <c r="AD270" s="81">
        <f t="shared" si="70"/>
        <v>287948630889778.69</v>
      </c>
      <c r="AE270" s="80">
        <f t="shared" si="76"/>
        <v>1219.9049101381115</v>
      </c>
      <c r="AF270" s="52">
        <f t="shared" si="82"/>
        <v>-2.3587082494250409E-4</v>
      </c>
      <c r="AG270" s="48">
        <f t="shared" si="77"/>
        <v>4.3336944745395447E-3</v>
      </c>
      <c r="AH270" s="48">
        <f t="shared" si="83"/>
        <v>-2.0547945205479451E-2</v>
      </c>
      <c r="AI270" s="48">
        <f t="shared" si="84"/>
        <v>7.9710144927536229E-3</v>
      </c>
      <c r="AJ270" s="48" t="e">
        <f t="shared" si="85"/>
        <v>#DIV/0!</v>
      </c>
    </row>
    <row r="271" spans="1:36" x14ac:dyDescent="0.3">
      <c r="A271" s="48">
        <v>20190207</v>
      </c>
      <c r="B271" s="48" t="s">
        <v>88</v>
      </c>
      <c r="C271" s="49">
        <v>46350</v>
      </c>
      <c r="D271" s="49">
        <v>46200</v>
      </c>
      <c r="E271" s="49">
        <v>5969782550</v>
      </c>
      <c r="F271" s="49">
        <f t="shared" si="78"/>
        <v>0.17115977220739101</v>
      </c>
      <c r="G271" s="49">
        <f t="shared" si="71"/>
        <v>0.17115977220739101</v>
      </c>
      <c r="H271" s="48">
        <v>214500</v>
      </c>
      <c r="I271" s="48">
        <v>214000</v>
      </c>
      <c r="J271" s="51">
        <v>125456133</v>
      </c>
      <c r="K271" s="48">
        <f t="shared" si="79"/>
        <v>1.41660661284511</v>
      </c>
      <c r="L271" s="48">
        <f t="shared" si="72"/>
        <v>1.41660661284511</v>
      </c>
      <c r="M271" s="49">
        <v>278200</v>
      </c>
      <c r="N271" s="49">
        <v>288100</v>
      </c>
      <c r="O271" s="49">
        <v>15956260</v>
      </c>
      <c r="P271" s="49">
        <f t="shared" si="80"/>
        <v>19.513552974471999</v>
      </c>
      <c r="Q271" s="49">
        <f t="shared" si="73"/>
        <v>19.513552974471999</v>
      </c>
      <c r="R271" s="48">
        <v>11030</v>
      </c>
      <c r="S271" s="48">
        <v>11020</v>
      </c>
      <c r="T271" s="48">
        <v>62100000</v>
      </c>
      <c r="U271" s="48">
        <f t="shared" si="74"/>
        <v>169.12764293390001</v>
      </c>
      <c r="V271" s="48">
        <f t="shared" si="75"/>
        <v>169.12764293390001</v>
      </c>
      <c r="W271" s="49">
        <v>0</v>
      </c>
      <c r="X271" s="49">
        <v>0</v>
      </c>
      <c r="Y271" s="49">
        <v>0</v>
      </c>
      <c r="Z271" s="49">
        <f t="shared" si="81"/>
        <v>0</v>
      </c>
      <c r="AA271" s="49">
        <v>0</v>
      </c>
      <c r="AB271" s="82">
        <f t="shared" si="68"/>
        <v>0</v>
      </c>
      <c r="AC271" s="82">
        <f t="shared" si="69"/>
        <v>236041865637854.19</v>
      </c>
      <c r="AD271" s="81">
        <f t="shared" si="70"/>
        <v>290683970551860</v>
      </c>
      <c r="AE271" s="80">
        <f t="shared" si="76"/>
        <v>1231.4932766962625</v>
      </c>
      <c r="AF271" s="52">
        <f t="shared" si="82"/>
        <v>9.4994015204340476E-3</v>
      </c>
      <c r="AG271" s="48">
        <f t="shared" si="77"/>
        <v>-3.2362459546925568E-3</v>
      </c>
      <c r="AH271" s="48">
        <f t="shared" si="83"/>
        <v>-2.331002331002331E-3</v>
      </c>
      <c r="AI271" s="48">
        <f t="shared" si="84"/>
        <v>3.5585909417685122E-2</v>
      </c>
      <c r="AJ271" s="48" t="e">
        <f t="shared" si="85"/>
        <v>#DIV/0!</v>
      </c>
    </row>
    <row r="272" spans="1:36" x14ac:dyDescent="0.3">
      <c r="A272" s="48">
        <v>20190208</v>
      </c>
      <c r="B272" s="48" t="s">
        <v>88</v>
      </c>
      <c r="C272" s="49">
        <v>46200</v>
      </c>
      <c r="D272" s="49">
        <v>44800</v>
      </c>
      <c r="E272" s="49">
        <v>5969782550</v>
      </c>
      <c r="F272" s="49">
        <f t="shared" si="78"/>
        <v>0.17115977220739101</v>
      </c>
      <c r="G272" s="49">
        <f t="shared" si="71"/>
        <v>0.17115977220739101</v>
      </c>
      <c r="H272" s="48">
        <v>214000</v>
      </c>
      <c r="I272" s="48">
        <v>215000</v>
      </c>
      <c r="J272" s="51">
        <v>125456133</v>
      </c>
      <c r="K272" s="48">
        <f t="shared" si="79"/>
        <v>1.41660661284511</v>
      </c>
      <c r="L272" s="48">
        <f t="shared" si="72"/>
        <v>1.41660661284511</v>
      </c>
      <c r="M272" s="49">
        <v>288100</v>
      </c>
      <c r="N272" s="49">
        <v>289200</v>
      </c>
      <c r="O272" s="49">
        <v>15956260</v>
      </c>
      <c r="P272" s="49">
        <f t="shared" si="80"/>
        <v>19.513552974471999</v>
      </c>
      <c r="Q272" s="49">
        <f t="shared" si="73"/>
        <v>19.513552974471999</v>
      </c>
      <c r="R272" s="48">
        <v>11020</v>
      </c>
      <c r="S272" s="48">
        <v>10845</v>
      </c>
      <c r="T272" s="48">
        <v>62100000</v>
      </c>
      <c r="U272" s="48">
        <f t="shared" si="74"/>
        <v>169.12764293390001</v>
      </c>
      <c r="V272" s="48">
        <f t="shared" si="75"/>
        <v>169.12764293390001</v>
      </c>
      <c r="W272" s="49">
        <v>0</v>
      </c>
      <c r="X272" s="49">
        <v>0</v>
      </c>
      <c r="Y272" s="49">
        <v>0</v>
      </c>
      <c r="Z272" s="49">
        <f t="shared" si="81"/>
        <v>0</v>
      </c>
      <c r="AA272" s="49">
        <v>0</v>
      </c>
      <c r="AB272" s="82">
        <f t="shared" si="68"/>
        <v>0</v>
      </c>
      <c r="AC272" s="82">
        <f t="shared" si="69"/>
        <v>236041865637854.19</v>
      </c>
      <c r="AD272" s="81">
        <f t="shared" si="70"/>
        <v>287935696267228.62</v>
      </c>
      <c r="AE272" s="80">
        <f t="shared" si="76"/>
        <v>1219.8501121364302</v>
      </c>
      <c r="AF272" s="52">
        <f t="shared" si="82"/>
        <v>-9.4545092370032866E-3</v>
      </c>
      <c r="AG272" s="48">
        <f t="shared" si="77"/>
        <v>-3.0303030303030304E-2</v>
      </c>
      <c r="AH272" s="48">
        <f t="shared" si="83"/>
        <v>4.6728971962616819E-3</v>
      </c>
      <c r="AI272" s="48">
        <f t="shared" si="84"/>
        <v>3.8181187087816732E-3</v>
      </c>
      <c r="AJ272" s="48" t="e">
        <f t="shared" si="85"/>
        <v>#DIV/0!</v>
      </c>
    </row>
    <row r="273" spans="1:36" x14ac:dyDescent="0.3">
      <c r="A273" s="48">
        <v>20190211</v>
      </c>
      <c r="B273" s="48" t="s">
        <v>88</v>
      </c>
      <c r="C273" s="49">
        <v>44800</v>
      </c>
      <c r="D273" s="49">
        <v>45000</v>
      </c>
      <c r="E273" s="49">
        <v>5969782550</v>
      </c>
      <c r="F273" s="49">
        <f t="shared" si="78"/>
        <v>0.17115977220739101</v>
      </c>
      <c r="G273" s="49">
        <f t="shared" si="71"/>
        <v>0.17115977220739101</v>
      </c>
      <c r="H273" s="48">
        <v>215000</v>
      </c>
      <c r="I273" s="48">
        <v>215500</v>
      </c>
      <c r="J273" s="51">
        <v>125456133</v>
      </c>
      <c r="K273" s="48">
        <f t="shared" si="79"/>
        <v>1.41660661284511</v>
      </c>
      <c r="L273" s="48">
        <f t="shared" si="72"/>
        <v>1.41660661284511</v>
      </c>
      <c r="M273" s="49">
        <v>289200</v>
      </c>
      <c r="N273" s="49">
        <v>290000</v>
      </c>
      <c r="O273" s="49">
        <v>15956260</v>
      </c>
      <c r="P273" s="49">
        <f t="shared" si="80"/>
        <v>19.513552974471999</v>
      </c>
      <c r="Q273" s="49">
        <f t="shared" si="73"/>
        <v>19.513552974471999</v>
      </c>
      <c r="R273" s="48">
        <v>10845</v>
      </c>
      <c r="S273" s="48">
        <v>10775</v>
      </c>
      <c r="T273" s="48">
        <v>62100000</v>
      </c>
      <c r="U273" s="48">
        <f t="shared" si="74"/>
        <v>169.12764293390001</v>
      </c>
      <c r="V273" s="48">
        <f t="shared" si="75"/>
        <v>169.12764293390001</v>
      </c>
      <c r="W273" s="49">
        <v>0</v>
      </c>
      <c r="X273" s="49">
        <v>0</v>
      </c>
      <c r="Y273" s="49">
        <v>0</v>
      </c>
      <c r="Z273" s="49">
        <f t="shared" si="81"/>
        <v>0</v>
      </c>
      <c r="AA273" s="49">
        <v>0</v>
      </c>
      <c r="AB273" s="82">
        <f t="shared" si="68"/>
        <v>0</v>
      </c>
      <c r="AC273" s="82">
        <f t="shared" si="69"/>
        <v>236041865637854.19</v>
      </c>
      <c r="AD273" s="81">
        <f t="shared" si="70"/>
        <v>287742807381314.5</v>
      </c>
      <c r="AE273" s="80">
        <f t="shared" si="76"/>
        <v>1219.0329313138975</v>
      </c>
      <c r="AF273" s="52">
        <f t="shared" si="82"/>
        <v>-6.6990264984399686E-4</v>
      </c>
      <c r="AG273" s="48">
        <f t="shared" si="77"/>
        <v>4.464285714285714E-3</v>
      </c>
      <c r="AH273" s="48">
        <f t="shared" si="83"/>
        <v>2.3255813953488372E-3</v>
      </c>
      <c r="AI273" s="48">
        <f t="shared" si="84"/>
        <v>2.7662517289073307E-3</v>
      </c>
      <c r="AJ273" s="48" t="e">
        <f t="shared" si="85"/>
        <v>#DIV/0!</v>
      </c>
    </row>
    <row r="274" spans="1:36" x14ac:dyDescent="0.3">
      <c r="A274" s="48">
        <v>20190212</v>
      </c>
      <c r="B274" s="48" t="s">
        <v>88</v>
      </c>
      <c r="C274" s="49">
        <v>45000</v>
      </c>
      <c r="D274" s="49">
        <v>46050</v>
      </c>
      <c r="E274" s="49">
        <v>5969782550</v>
      </c>
      <c r="F274" s="49">
        <f t="shared" si="78"/>
        <v>0.17115977220739101</v>
      </c>
      <c r="G274" s="49">
        <f t="shared" si="71"/>
        <v>0.17115977220739101</v>
      </c>
      <c r="H274" s="48">
        <v>215500</v>
      </c>
      <c r="I274" s="48">
        <v>212500</v>
      </c>
      <c r="J274" s="51">
        <v>125456133</v>
      </c>
      <c r="K274" s="48">
        <f t="shared" si="79"/>
        <v>1.41660661284511</v>
      </c>
      <c r="L274" s="48">
        <f t="shared" si="72"/>
        <v>1.41660661284511</v>
      </c>
      <c r="M274" s="49">
        <v>290000</v>
      </c>
      <c r="N274" s="49">
        <v>279300</v>
      </c>
      <c r="O274" s="49">
        <v>15956260</v>
      </c>
      <c r="P274" s="49">
        <f t="shared" si="80"/>
        <v>19.513552974471999</v>
      </c>
      <c r="Q274" s="49">
        <f t="shared" si="73"/>
        <v>19.513552974471999</v>
      </c>
      <c r="R274" s="48">
        <v>10775</v>
      </c>
      <c r="S274" s="48">
        <v>10935</v>
      </c>
      <c r="T274" s="48">
        <v>62100000</v>
      </c>
      <c r="U274" s="48">
        <f t="shared" si="74"/>
        <v>169.12764293390001</v>
      </c>
      <c r="V274" s="48">
        <f t="shared" si="75"/>
        <v>169.12764293390001</v>
      </c>
      <c r="W274" s="49">
        <v>0</v>
      </c>
      <c r="X274" s="49">
        <v>0</v>
      </c>
      <c r="Y274" s="49">
        <v>0</v>
      </c>
      <c r="Z274" s="49">
        <f t="shared" si="81"/>
        <v>0</v>
      </c>
      <c r="AA274" s="49">
        <v>0</v>
      </c>
      <c r="AB274" s="82">
        <f t="shared" si="68"/>
        <v>0</v>
      </c>
      <c r="AC274" s="82">
        <f t="shared" si="69"/>
        <v>236041865637854.19</v>
      </c>
      <c r="AD274" s="81">
        <f t="shared" si="70"/>
        <v>286631382055877.75</v>
      </c>
      <c r="AE274" s="80">
        <f t="shared" si="76"/>
        <v>1214.3243372582058</v>
      </c>
      <c r="AF274" s="52">
        <f t="shared" si="82"/>
        <v>-3.8625650995471506E-3</v>
      </c>
      <c r="AG274" s="48">
        <f t="shared" si="77"/>
        <v>2.3333333333333334E-2</v>
      </c>
      <c r="AH274" s="48">
        <f t="shared" si="83"/>
        <v>-1.3921113689095127E-2</v>
      </c>
      <c r="AI274" s="48">
        <f t="shared" si="84"/>
        <v>-3.689655172413793E-2</v>
      </c>
      <c r="AJ274" s="48" t="e">
        <f t="shared" si="85"/>
        <v>#DIV/0!</v>
      </c>
    </row>
    <row r="275" spans="1:36" x14ac:dyDescent="0.3">
      <c r="A275" s="48">
        <v>20190213</v>
      </c>
      <c r="B275" s="48" t="s">
        <v>88</v>
      </c>
      <c r="C275" s="49">
        <v>46050</v>
      </c>
      <c r="D275" s="49">
        <v>46200</v>
      </c>
      <c r="E275" s="49">
        <v>5969782550</v>
      </c>
      <c r="F275" s="49">
        <f t="shared" si="78"/>
        <v>0.17115977220739101</v>
      </c>
      <c r="G275" s="49">
        <f t="shared" si="71"/>
        <v>0.17115977220739101</v>
      </c>
      <c r="H275" s="48">
        <v>212500</v>
      </c>
      <c r="I275" s="48">
        <v>212000</v>
      </c>
      <c r="J275" s="51">
        <v>125456133</v>
      </c>
      <c r="K275" s="48">
        <f t="shared" si="79"/>
        <v>1.41660661284511</v>
      </c>
      <c r="L275" s="48">
        <f t="shared" si="72"/>
        <v>1.41660661284511</v>
      </c>
      <c r="M275" s="49">
        <v>279300</v>
      </c>
      <c r="N275" s="49">
        <v>282600</v>
      </c>
      <c r="O275" s="49">
        <v>15956260</v>
      </c>
      <c r="P275" s="49">
        <f t="shared" si="80"/>
        <v>19.513552974471999</v>
      </c>
      <c r="Q275" s="49">
        <f t="shared" si="73"/>
        <v>19.513552974471999</v>
      </c>
      <c r="R275" s="48">
        <v>10935</v>
      </c>
      <c r="S275" s="48">
        <v>10990</v>
      </c>
      <c r="T275" s="48">
        <v>62100000</v>
      </c>
      <c r="U275" s="48">
        <f t="shared" si="74"/>
        <v>169.12764293390001</v>
      </c>
      <c r="V275" s="48">
        <f t="shared" si="75"/>
        <v>169.12764293390001</v>
      </c>
      <c r="W275" s="49">
        <v>0</v>
      </c>
      <c r="X275" s="49">
        <v>0</v>
      </c>
      <c r="Y275" s="49">
        <v>0</v>
      </c>
      <c r="Z275" s="49">
        <f t="shared" si="81"/>
        <v>0</v>
      </c>
      <c r="AA275" s="49">
        <v>0</v>
      </c>
      <c r="AB275" s="82">
        <f t="shared" si="68"/>
        <v>0</v>
      </c>
      <c r="AC275" s="82">
        <f t="shared" si="69"/>
        <v>236041865637854.19</v>
      </c>
      <c r="AD275" s="81">
        <f t="shared" si="70"/>
        <v>288300943491500.12</v>
      </c>
      <c r="AE275" s="80">
        <f t="shared" si="76"/>
        <v>1221.3974953656066</v>
      </c>
      <c r="AF275" s="52">
        <f t="shared" si="82"/>
        <v>5.8247684661999798E-3</v>
      </c>
      <c r="AG275" s="48">
        <f t="shared" si="77"/>
        <v>3.2573289902280132E-3</v>
      </c>
      <c r="AH275" s="48">
        <f t="shared" si="83"/>
        <v>-2.352941176470588E-3</v>
      </c>
      <c r="AI275" s="48">
        <f t="shared" si="84"/>
        <v>1.1815252416756176E-2</v>
      </c>
      <c r="AJ275" s="48" t="e">
        <f t="shared" si="85"/>
        <v>#DIV/0!</v>
      </c>
    </row>
    <row r="276" spans="1:36" s="47" customFormat="1" x14ac:dyDescent="0.3">
      <c r="A276" s="48">
        <v>20190214</v>
      </c>
      <c r="B276" s="48" t="s">
        <v>88</v>
      </c>
      <c r="C276" s="49">
        <v>46200</v>
      </c>
      <c r="D276" s="49">
        <v>47500</v>
      </c>
      <c r="E276" s="49">
        <v>5969782550</v>
      </c>
      <c r="F276" s="49">
        <f t="shared" si="78"/>
        <v>0.17115977220739101</v>
      </c>
      <c r="G276" s="49">
        <f t="shared" si="71"/>
        <v>0.17115977220739101</v>
      </c>
      <c r="H276" s="48">
        <v>212000</v>
      </c>
      <c r="I276" s="48">
        <v>210000</v>
      </c>
      <c r="J276" s="51">
        <v>125456133</v>
      </c>
      <c r="K276" s="48">
        <f t="shared" si="79"/>
        <v>1.41660661284511</v>
      </c>
      <c r="L276" s="48">
        <f t="shared" si="72"/>
        <v>1.41660661284511</v>
      </c>
      <c r="M276" s="49">
        <v>282600</v>
      </c>
      <c r="N276" s="49">
        <v>280000</v>
      </c>
      <c r="O276" s="49">
        <v>15956260</v>
      </c>
      <c r="P276" s="49">
        <f t="shared" si="80"/>
        <v>19.513552974471999</v>
      </c>
      <c r="Q276" s="49">
        <f t="shared" si="73"/>
        <v>19.513552974471999</v>
      </c>
      <c r="R276" s="48">
        <v>10990</v>
      </c>
      <c r="S276" s="48">
        <v>11090</v>
      </c>
      <c r="T276" s="48">
        <v>62100000</v>
      </c>
      <c r="U276" s="48">
        <f t="shared" si="74"/>
        <v>169.12764293390001</v>
      </c>
      <c r="V276" s="48">
        <f t="shared" si="75"/>
        <v>169.12764293390001</v>
      </c>
      <c r="W276" s="49">
        <v>0</v>
      </c>
      <c r="X276" s="49">
        <v>0</v>
      </c>
      <c r="Y276" s="49">
        <v>0</v>
      </c>
      <c r="Z276" s="49">
        <f t="shared" si="81"/>
        <v>0</v>
      </c>
      <c r="AA276" s="49">
        <v>0</v>
      </c>
      <c r="AB276" s="82">
        <f t="shared" si="68"/>
        <v>0</v>
      </c>
      <c r="AC276" s="82">
        <f t="shared" si="69"/>
        <v>236041865637854.19</v>
      </c>
      <c r="AD276" s="81">
        <f t="shared" si="70"/>
        <v>289514560142221.87</v>
      </c>
      <c r="AE276" s="80">
        <f t="shared" si="76"/>
        <v>1226.5390267098119</v>
      </c>
      <c r="AF276" s="52">
        <f t="shared" si="82"/>
        <v>4.2095479675650282E-3</v>
      </c>
      <c r="AG276" s="48">
        <f t="shared" si="77"/>
        <v>2.813852813852814E-2</v>
      </c>
      <c r="AH276" s="48">
        <f t="shared" si="83"/>
        <v>-9.433962264150943E-3</v>
      </c>
      <c r="AI276" s="48">
        <f t="shared" si="84"/>
        <v>-9.200283085633405E-3</v>
      </c>
      <c r="AJ276" s="48" t="e">
        <f t="shared" si="85"/>
        <v>#DIV/0!</v>
      </c>
    </row>
    <row r="277" spans="1:36" x14ac:dyDescent="0.3">
      <c r="A277" s="48">
        <v>20190215</v>
      </c>
      <c r="B277" s="48" t="s">
        <v>88</v>
      </c>
      <c r="C277" s="49">
        <v>47500</v>
      </c>
      <c r="D277" s="49">
        <v>46050</v>
      </c>
      <c r="E277" s="49">
        <v>5969782550</v>
      </c>
      <c r="F277" s="49">
        <f t="shared" si="78"/>
        <v>0.17115977220739101</v>
      </c>
      <c r="G277" s="49">
        <f t="shared" si="71"/>
        <v>0.17115977220739101</v>
      </c>
      <c r="H277" s="48">
        <v>210000</v>
      </c>
      <c r="I277" s="48">
        <v>209500</v>
      </c>
      <c r="J277" s="51">
        <v>125456133</v>
      </c>
      <c r="K277" s="48">
        <f t="shared" si="79"/>
        <v>1.41660661284511</v>
      </c>
      <c r="L277" s="48">
        <f t="shared" si="72"/>
        <v>1.41660661284511</v>
      </c>
      <c r="M277" s="49">
        <v>280000</v>
      </c>
      <c r="N277" s="49">
        <v>284700</v>
      </c>
      <c r="O277" s="49">
        <v>15956260</v>
      </c>
      <c r="P277" s="49">
        <f t="shared" si="80"/>
        <v>19.513552974471999</v>
      </c>
      <c r="Q277" s="49">
        <f t="shared" si="73"/>
        <v>19.513552974471999</v>
      </c>
      <c r="R277" s="48">
        <v>11090</v>
      </c>
      <c r="S277" s="48">
        <v>10945</v>
      </c>
      <c r="T277" s="48">
        <v>62100000</v>
      </c>
      <c r="U277" s="48">
        <f t="shared" si="74"/>
        <v>169.12764293390001</v>
      </c>
      <c r="V277" s="48">
        <f t="shared" si="75"/>
        <v>169.12764293390001</v>
      </c>
      <c r="W277" s="49">
        <v>0</v>
      </c>
      <c r="X277" s="49">
        <v>0</v>
      </c>
      <c r="Y277" s="49">
        <v>0</v>
      </c>
      <c r="Z277" s="49">
        <f t="shared" si="81"/>
        <v>0</v>
      </c>
      <c r="AA277" s="49">
        <v>0</v>
      </c>
      <c r="AB277" s="82">
        <f t="shared" si="68"/>
        <v>0</v>
      </c>
      <c r="AC277" s="82">
        <f t="shared" si="69"/>
        <v>236041865637854.19</v>
      </c>
      <c r="AD277" s="81">
        <f t="shared" si="70"/>
        <v>287884606313086.44</v>
      </c>
      <c r="AE277" s="80">
        <f t="shared" si="76"/>
        <v>1219.6336676764436</v>
      </c>
      <c r="AF277" s="52">
        <f t="shared" si="82"/>
        <v>-5.6299545982584206E-3</v>
      </c>
      <c r="AG277" s="48">
        <f t="shared" si="77"/>
        <v>-3.0526315789473683E-2</v>
      </c>
      <c r="AH277" s="48">
        <f t="shared" si="83"/>
        <v>-2.3809523809523812E-3</v>
      </c>
      <c r="AI277" s="48">
        <f t="shared" si="84"/>
        <v>1.6785714285714286E-2</v>
      </c>
      <c r="AJ277" s="48" t="e">
        <f t="shared" si="85"/>
        <v>#DIV/0!</v>
      </c>
    </row>
    <row r="278" spans="1:36" x14ac:dyDescent="0.3">
      <c r="A278" s="48">
        <v>20190218</v>
      </c>
      <c r="B278" s="48" t="s">
        <v>88</v>
      </c>
      <c r="C278" s="49">
        <v>46050</v>
      </c>
      <c r="D278" s="49">
        <v>46200</v>
      </c>
      <c r="E278" s="49">
        <v>5969782550</v>
      </c>
      <c r="F278" s="49">
        <f t="shared" si="78"/>
        <v>0.17115977220739101</v>
      </c>
      <c r="G278" s="49">
        <f t="shared" si="71"/>
        <v>0.17115977220739101</v>
      </c>
      <c r="H278" s="48">
        <v>209500</v>
      </c>
      <c r="I278" s="48">
        <v>212000</v>
      </c>
      <c r="J278" s="51">
        <v>125456133</v>
      </c>
      <c r="K278" s="48">
        <f t="shared" si="79"/>
        <v>1.41660661284511</v>
      </c>
      <c r="L278" s="48">
        <f t="shared" si="72"/>
        <v>1.41660661284511</v>
      </c>
      <c r="M278" s="49">
        <v>284700</v>
      </c>
      <c r="N278" s="49">
        <v>278700</v>
      </c>
      <c r="O278" s="49">
        <v>15956260</v>
      </c>
      <c r="P278" s="49">
        <f t="shared" si="80"/>
        <v>19.513552974471999</v>
      </c>
      <c r="Q278" s="49">
        <f t="shared" si="73"/>
        <v>19.513552974471999</v>
      </c>
      <c r="R278" s="48">
        <v>10945</v>
      </c>
      <c r="S278" s="48">
        <v>11015</v>
      </c>
      <c r="T278" s="48">
        <v>62100000</v>
      </c>
      <c r="U278" s="48">
        <f t="shared" si="74"/>
        <v>169.12764293390001</v>
      </c>
      <c r="V278" s="48">
        <f t="shared" si="75"/>
        <v>169.12764293390001</v>
      </c>
      <c r="W278" s="49">
        <v>0</v>
      </c>
      <c r="X278" s="49">
        <v>0</v>
      </c>
      <c r="Y278" s="49">
        <v>0</v>
      </c>
      <c r="Z278" s="49">
        <f t="shared" si="81"/>
        <v>0</v>
      </c>
      <c r="AA278" s="49">
        <v>0</v>
      </c>
      <c r="AB278" s="82">
        <f t="shared" si="68"/>
        <v>0</v>
      </c>
      <c r="AC278" s="82">
        <f t="shared" si="69"/>
        <v>236041865637854.19</v>
      </c>
      <c r="AD278" s="81">
        <f t="shared" si="70"/>
        <v>287349197190495.62</v>
      </c>
      <c r="AE278" s="80">
        <f t="shared" si="76"/>
        <v>1217.3653873392079</v>
      </c>
      <c r="AF278" s="52">
        <f t="shared" si="82"/>
        <v>-1.8598046260538204E-3</v>
      </c>
      <c r="AG278" s="48">
        <f t="shared" si="77"/>
        <v>3.2573289902280132E-3</v>
      </c>
      <c r="AH278" s="48">
        <f t="shared" si="83"/>
        <v>1.1933174224343675E-2</v>
      </c>
      <c r="AI278" s="48">
        <f t="shared" si="84"/>
        <v>-2.107481559536354E-2</v>
      </c>
      <c r="AJ278" s="48" t="e">
        <f t="shared" si="85"/>
        <v>#DIV/0!</v>
      </c>
    </row>
    <row r="279" spans="1:36" x14ac:dyDescent="0.3">
      <c r="A279" s="48">
        <v>20190219</v>
      </c>
      <c r="B279" s="48" t="s">
        <v>88</v>
      </c>
      <c r="C279" s="49">
        <v>46200</v>
      </c>
      <c r="D279" s="49">
        <v>45950</v>
      </c>
      <c r="E279" s="49">
        <v>5969782550</v>
      </c>
      <c r="F279" s="49">
        <f t="shared" si="78"/>
        <v>0.17115977220739101</v>
      </c>
      <c r="G279" s="49">
        <f t="shared" si="71"/>
        <v>0.17115977220739101</v>
      </c>
      <c r="H279" s="48">
        <v>212000</v>
      </c>
      <c r="I279" s="48">
        <v>215000</v>
      </c>
      <c r="J279" s="51">
        <v>125456133</v>
      </c>
      <c r="K279" s="48">
        <f t="shared" si="79"/>
        <v>1.41660661284511</v>
      </c>
      <c r="L279" s="48">
        <f t="shared" si="72"/>
        <v>1.41660661284511</v>
      </c>
      <c r="M279" s="49">
        <v>278700</v>
      </c>
      <c r="N279" s="49">
        <v>288300</v>
      </c>
      <c r="O279" s="49">
        <v>15956260</v>
      </c>
      <c r="P279" s="49">
        <f t="shared" si="80"/>
        <v>19.513552974471999</v>
      </c>
      <c r="Q279" s="49">
        <f t="shared" si="73"/>
        <v>19.513552974471999</v>
      </c>
      <c r="R279" s="48">
        <v>11015</v>
      </c>
      <c r="S279" s="48">
        <v>10975</v>
      </c>
      <c r="T279" s="48">
        <v>62100000</v>
      </c>
      <c r="U279" s="48">
        <f t="shared" si="74"/>
        <v>169.12764293390001</v>
      </c>
      <c r="V279" s="48">
        <f t="shared" si="75"/>
        <v>169.12764293390001</v>
      </c>
      <c r="W279" s="49">
        <v>0</v>
      </c>
      <c r="X279" s="49">
        <v>0</v>
      </c>
      <c r="Y279" s="49">
        <v>0</v>
      </c>
      <c r="Z279" s="49">
        <f t="shared" si="81"/>
        <v>0</v>
      </c>
      <c r="AA279" s="49">
        <v>0</v>
      </c>
      <c r="AB279" s="82">
        <f t="shared" si="68"/>
        <v>0</v>
      </c>
      <c r="AC279" s="82">
        <f t="shared" si="69"/>
        <v>236041865637854.19</v>
      </c>
      <c r="AD279" s="81">
        <f t="shared" si="70"/>
        <v>290195891350921.5</v>
      </c>
      <c r="AE279" s="80">
        <f t="shared" si="76"/>
        <v>1229.4255113037991</v>
      </c>
      <c r="AF279" s="52">
        <f t="shared" si="82"/>
        <v>9.9067413038175529E-3</v>
      </c>
      <c r="AG279" s="48">
        <f t="shared" si="77"/>
        <v>-5.411255411255411E-3</v>
      </c>
      <c r="AH279" s="48">
        <f t="shared" si="83"/>
        <v>1.4150943396226415E-2</v>
      </c>
      <c r="AI279" s="48">
        <f t="shared" si="84"/>
        <v>3.4445640473627553E-2</v>
      </c>
      <c r="AJ279" s="48" t="e">
        <f t="shared" si="85"/>
        <v>#DIV/0!</v>
      </c>
    </row>
    <row r="280" spans="1:36" s="73" customFormat="1" x14ac:dyDescent="0.3">
      <c r="A280" s="48">
        <v>20190220</v>
      </c>
      <c r="B280" s="48" t="s">
        <v>88</v>
      </c>
      <c r="C280" s="49">
        <v>45950</v>
      </c>
      <c r="D280" s="49">
        <v>46900</v>
      </c>
      <c r="E280" s="49">
        <v>5969782550</v>
      </c>
      <c r="F280" s="49">
        <f t="shared" si="78"/>
        <v>0.17115977220739101</v>
      </c>
      <c r="G280" s="49">
        <f t="shared" si="71"/>
        <v>0.180815846328331</v>
      </c>
      <c r="H280" s="48">
        <v>215000</v>
      </c>
      <c r="I280" s="48">
        <v>213500</v>
      </c>
      <c r="J280" s="51">
        <v>125461438</v>
      </c>
      <c r="K280" s="48">
        <f t="shared" si="79"/>
        <v>1.41660661284511</v>
      </c>
      <c r="L280" s="48">
        <f t="shared" si="72"/>
        <v>1.4964619869729701</v>
      </c>
      <c r="M280" s="49">
        <v>288300</v>
      </c>
      <c r="N280" s="49">
        <v>290600</v>
      </c>
      <c r="O280" s="49">
        <v>15956260</v>
      </c>
      <c r="P280" s="49">
        <f t="shared" si="80"/>
        <v>19.513552974471999</v>
      </c>
      <c r="Q280" s="49">
        <f t="shared" si="73"/>
        <v>20.6144209614665</v>
      </c>
      <c r="R280" s="48">
        <v>10975</v>
      </c>
      <c r="S280" s="48">
        <v>11090</v>
      </c>
      <c r="T280" s="48">
        <v>62100000</v>
      </c>
      <c r="U280" s="48">
        <f t="shared" si="74"/>
        <v>169.12764293390001</v>
      </c>
      <c r="V280" s="48">
        <f t="shared" si="75"/>
        <v>178.66907334717999</v>
      </c>
      <c r="W280" s="49">
        <v>0</v>
      </c>
      <c r="X280" s="49">
        <v>0</v>
      </c>
      <c r="Y280" s="49">
        <v>0</v>
      </c>
      <c r="Z280" s="49">
        <f t="shared" si="81"/>
        <v>0</v>
      </c>
      <c r="AA280" s="49">
        <v>0</v>
      </c>
      <c r="AB280" s="82">
        <f t="shared" ref="AB280:AB311" si="86">IF(AD279&lt;&gt;(C280*E280*F280+H280*J280*K280+M280*O280*P280+R280*T280*U280),1,0)</f>
        <v>1</v>
      </c>
      <c r="AC280" s="82">
        <f t="shared" ref="AC280:AC311" si="87">IF(AND(AB280=0,B280="N"),AC279,AC279*(C280*E280*G280+H280*J280*L280+M280*O280*Q280+R280*T280*V280)/AD279)</f>
        <v>249358299288410.66</v>
      </c>
      <c r="AD280" s="81">
        <f t="shared" ref="AD280:AD311" si="88">D280*E280*G280+I280*J280*L280+N280*O280*Q280+S280*T280*V280</f>
        <v>309343793937982.06</v>
      </c>
      <c r="AE280" s="80">
        <f t="shared" si="76"/>
        <v>1240.5594472722623</v>
      </c>
      <c r="AF280" s="52">
        <f t="shared" si="82"/>
        <v>9.056210291793718E-3</v>
      </c>
      <c r="AG280" s="48">
        <f t="shared" si="77"/>
        <v>2.0674646354733407E-2</v>
      </c>
      <c r="AH280" s="48">
        <f t="shared" si="83"/>
        <v>-6.9767441860465115E-3</v>
      </c>
      <c r="AI280" s="48">
        <f t="shared" si="84"/>
        <v>7.9778009018383628E-3</v>
      </c>
      <c r="AJ280" s="48" t="e">
        <f t="shared" si="85"/>
        <v>#DIV/0!</v>
      </c>
    </row>
    <row r="281" spans="1:36" x14ac:dyDescent="0.3">
      <c r="A281" s="48">
        <v>20190221</v>
      </c>
      <c r="B281" s="48" t="s">
        <v>88</v>
      </c>
      <c r="C281" s="49">
        <v>46900</v>
      </c>
      <c r="D281" s="49">
        <v>46950</v>
      </c>
      <c r="E281" s="49">
        <v>5969782550</v>
      </c>
      <c r="F281" s="49">
        <f t="shared" si="78"/>
        <v>0.180815846328331</v>
      </c>
      <c r="G281" s="49">
        <f t="shared" si="71"/>
        <v>0.180815846328331</v>
      </c>
      <c r="H281" s="48">
        <v>213500</v>
      </c>
      <c r="I281" s="48">
        <v>207500</v>
      </c>
      <c r="J281" s="51">
        <v>125461438</v>
      </c>
      <c r="K281" s="48">
        <f t="shared" si="79"/>
        <v>1.4964619869729701</v>
      </c>
      <c r="L281" s="48">
        <f t="shared" si="72"/>
        <v>1.4964619869729701</v>
      </c>
      <c r="M281" s="49">
        <v>290600</v>
      </c>
      <c r="N281" s="49">
        <v>287200</v>
      </c>
      <c r="O281" s="49">
        <v>15956260</v>
      </c>
      <c r="P281" s="49">
        <f t="shared" si="80"/>
        <v>20.6144209614665</v>
      </c>
      <c r="Q281" s="49">
        <f t="shared" si="73"/>
        <v>20.6144209614665</v>
      </c>
      <c r="R281" s="48">
        <v>11090</v>
      </c>
      <c r="S281" s="48">
        <v>11095</v>
      </c>
      <c r="T281" s="48">
        <v>62100000</v>
      </c>
      <c r="U281" s="48">
        <f t="shared" si="74"/>
        <v>178.66907334717999</v>
      </c>
      <c r="V281" s="48">
        <f t="shared" si="75"/>
        <v>178.66907334717999</v>
      </c>
      <c r="W281" s="49">
        <v>0</v>
      </c>
      <c r="X281" s="49">
        <v>0</v>
      </c>
      <c r="Y281" s="49">
        <v>0</v>
      </c>
      <c r="Z281" s="49">
        <f t="shared" si="81"/>
        <v>0</v>
      </c>
      <c r="AA281" s="49">
        <v>0</v>
      </c>
      <c r="AB281" s="82">
        <f t="shared" si="86"/>
        <v>0</v>
      </c>
      <c r="AC281" s="82">
        <f t="shared" si="87"/>
        <v>249358299288410.66</v>
      </c>
      <c r="AD281" s="81">
        <f t="shared" si="88"/>
        <v>307208393806601.12</v>
      </c>
      <c r="AE281" s="80">
        <f t="shared" si="76"/>
        <v>1231.9958657212383</v>
      </c>
      <c r="AF281" s="52">
        <f t="shared" si="82"/>
        <v>-6.9029997472943713E-3</v>
      </c>
      <c r="AG281" s="48">
        <f t="shared" si="77"/>
        <v>1.0660980810234541E-3</v>
      </c>
      <c r="AH281" s="48">
        <f t="shared" si="83"/>
        <v>-2.8103044496487119E-2</v>
      </c>
      <c r="AI281" s="48">
        <f t="shared" si="84"/>
        <v>-1.1699931176875429E-2</v>
      </c>
      <c r="AJ281" s="48" t="e">
        <f t="shared" si="85"/>
        <v>#DIV/0!</v>
      </c>
    </row>
    <row r="282" spans="1:36" x14ac:dyDescent="0.3">
      <c r="A282" s="48">
        <v>20190222</v>
      </c>
      <c r="B282" s="48" t="s">
        <v>88</v>
      </c>
      <c r="C282" s="49">
        <v>46950</v>
      </c>
      <c r="D282" s="49">
        <v>47150</v>
      </c>
      <c r="E282" s="49">
        <v>5969782550</v>
      </c>
      <c r="F282" s="49">
        <f t="shared" si="78"/>
        <v>0.180815846328331</v>
      </c>
      <c r="G282" s="49">
        <f t="shared" si="71"/>
        <v>0.180815846328331</v>
      </c>
      <c r="H282" s="48">
        <v>207500</v>
      </c>
      <c r="I282" s="48">
        <v>207000</v>
      </c>
      <c r="J282" s="51">
        <v>125461438</v>
      </c>
      <c r="K282" s="48">
        <f t="shared" si="79"/>
        <v>1.4964619869729701</v>
      </c>
      <c r="L282" s="48">
        <f t="shared" si="72"/>
        <v>1.4964619869729701</v>
      </c>
      <c r="M282" s="49">
        <v>287200</v>
      </c>
      <c r="N282" s="49">
        <v>287500</v>
      </c>
      <c r="O282" s="49">
        <v>15956260</v>
      </c>
      <c r="P282" s="49">
        <f t="shared" si="80"/>
        <v>20.6144209614665</v>
      </c>
      <c r="Q282" s="49">
        <f t="shared" si="73"/>
        <v>20.6144209614665</v>
      </c>
      <c r="R282" s="48">
        <v>11095</v>
      </c>
      <c r="S282" s="48">
        <v>11075</v>
      </c>
      <c r="T282" s="48">
        <v>62100000</v>
      </c>
      <c r="U282" s="48">
        <f t="shared" si="74"/>
        <v>178.66907334717999</v>
      </c>
      <c r="V282" s="48">
        <f t="shared" si="75"/>
        <v>178.66907334717999</v>
      </c>
      <c r="W282" s="49">
        <v>0</v>
      </c>
      <c r="X282" s="49">
        <v>0</v>
      </c>
      <c r="Y282" s="49">
        <v>0</v>
      </c>
      <c r="Z282" s="49">
        <f t="shared" si="81"/>
        <v>0</v>
      </c>
      <c r="AA282" s="49">
        <v>0</v>
      </c>
      <c r="AB282" s="82">
        <f t="shared" si="86"/>
        <v>0</v>
      </c>
      <c r="AC282" s="82">
        <f t="shared" si="87"/>
        <v>249358299288410.66</v>
      </c>
      <c r="AD282" s="81">
        <f t="shared" si="88"/>
        <v>307207177656123.06</v>
      </c>
      <c r="AE282" s="80">
        <f t="shared" si="76"/>
        <v>1231.9909886007192</v>
      </c>
      <c r="AF282" s="52">
        <f t="shared" si="82"/>
        <v>-3.9587150044414868E-6</v>
      </c>
      <c r="AG282" s="48">
        <f t="shared" si="77"/>
        <v>4.2598509052183178E-3</v>
      </c>
      <c r="AH282" s="48">
        <f t="shared" si="83"/>
        <v>-2.4096385542168677E-3</v>
      </c>
      <c r="AI282" s="48">
        <f t="shared" si="84"/>
        <v>1.0445682451253482E-3</v>
      </c>
      <c r="AJ282" s="48" t="e">
        <f t="shared" si="85"/>
        <v>#DIV/0!</v>
      </c>
    </row>
    <row r="283" spans="1:36" x14ac:dyDescent="0.3">
      <c r="A283" s="48">
        <v>20190225</v>
      </c>
      <c r="B283" s="48" t="s">
        <v>88</v>
      </c>
      <c r="C283" s="49">
        <v>47150</v>
      </c>
      <c r="D283" s="49">
        <v>47350</v>
      </c>
      <c r="E283" s="49">
        <v>5969782550</v>
      </c>
      <c r="F283" s="49">
        <f t="shared" si="78"/>
        <v>0.180815846328331</v>
      </c>
      <c r="G283" s="49">
        <f t="shared" si="71"/>
        <v>0.180815846328331</v>
      </c>
      <c r="H283" s="48">
        <v>207000</v>
      </c>
      <c r="I283" s="48">
        <v>204000</v>
      </c>
      <c r="J283" s="51">
        <v>125461438</v>
      </c>
      <c r="K283" s="48">
        <f t="shared" si="79"/>
        <v>1.4964619869729701</v>
      </c>
      <c r="L283" s="48">
        <f t="shared" si="72"/>
        <v>1.4964619869729701</v>
      </c>
      <c r="M283" s="49">
        <v>287500</v>
      </c>
      <c r="N283" s="49">
        <v>283000</v>
      </c>
      <c r="O283" s="49">
        <v>15956260</v>
      </c>
      <c r="P283" s="49">
        <f t="shared" si="80"/>
        <v>20.6144209614665</v>
      </c>
      <c r="Q283" s="49">
        <f t="shared" si="73"/>
        <v>20.6144209614665</v>
      </c>
      <c r="R283" s="48">
        <v>11075</v>
      </c>
      <c r="S283" s="48">
        <v>11130</v>
      </c>
      <c r="T283" s="48">
        <v>62100000</v>
      </c>
      <c r="U283" s="48">
        <f t="shared" si="74"/>
        <v>178.66907334717999</v>
      </c>
      <c r="V283" s="48">
        <f t="shared" si="75"/>
        <v>178.66907334717999</v>
      </c>
      <c r="W283" s="49">
        <v>0</v>
      </c>
      <c r="X283" s="49">
        <v>0</v>
      </c>
      <c r="Y283" s="49">
        <v>0</v>
      </c>
      <c r="Z283" s="49">
        <f t="shared" si="81"/>
        <v>0</v>
      </c>
      <c r="AA283" s="49">
        <v>0</v>
      </c>
      <c r="AB283" s="82">
        <f t="shared" si="86"/>
        <v>0</v>
      </c>
      <c r="AC283" s="82">
        <f t="shared" si="87"/>
        <v>249358299288410.66</v>
      </c>
      <c r="AD283" s="81">
        <f t="shared" si="88"/>
        <v>305989882541833.56</v>
      </c>
      <c r="AE283" s="80">
        <f t="shared" si="76"/>
        <v>1227.1092777542653</v>
      </c>
      <c r="AF283" s="52">
        <f t="shared" si="82"/>
        <v>-3.9624566182894401E-3</v>
      </c>
      <c r="AG283" s="48">
        <f t="shared" si="77"/>
        <v>4.2417815482502655E-3</v>
      </c>
      <c r="AH283" s="48">
        <f t="shared" si="83"/>
        <v>-1.4492753623188406E-2</v>
      </c>
      <c r="AI283" s="48">
        <f t="shared" si="84"/>
        <v>-1.5652173913043479E-2</v>
      </c>
      <c r="AJ283" s="48" t="e">
        <f t="shared" si="85"/>
        <v>#DIV/0!</v>
      </c>
    </row>
    <row r="284" spans="1:36" x14ac:dyDescent="0.3">
      <c r="A284" s="48">
        <v>20190226</v>
      </c>
      <c r="B284" s="48" t="s">
        <v>88</v>
      </c>
      <c r="C284" s="49">
        <v>47350</v>
      </c>
      <c r="D284" s="49">
        <v>46750</v>
      </c>
      <c r="E284" s="49">
        <v>5969782550</v>
      </c>
      <c r="F284" s="49">
        <f t="shared" si="78"/>
        <v>0.180815846328331</v>
      </c>
      <c r="G284" s="49">
        <f t="shared" si="71"/>
        <v>0.180815846328331</v>
      </c>
      <c r="H284" s="48">
        <v>204000</v>
      </c>
      <c r="I284" s="48">
        <v>204500</v>
      </c>
      <c r="J284" s="51">
        <v>125461438</v>
      </c>
      <c r="K284" s="48">
        <f t="shared" si="79"/>
        <v>1.4964619869729701</v>
      </c>
      <c r="L284" s="48">
        <f t="shared" si="72"/>
        <v>1.4964619869729701</v>
      </c>
      <c r="M284" s="49">
        <v>283000</v>
      </c>
      <c r="N284" s="49">
        <v>281500</v>
      </c>
      <c r="O284" s="49">
        <v>15956260</v>
      </c>
      <c r="P284" s="49">
        <f t="shared" si="80"/>
        <v>20.6144209614665</v>
      </c>
      <c r="Q284" s="49">
        <f t="shared" si="73"/>
        <v>20.6144209614665</v>
      </c>
      <c r="R284" s="48">
        <v>11130</v>
      </c>
      <c r="S284" s="48">
        <v>11095</v>
      </c>
      <c r="T284" s="48">
        <v>62100000</v>
      </c>
      <c r="U284" s="48">
        <f t="shared" si="74"/>
        <v>178.66907334717999</v>
      </c>
      <c r="V284" s="48">
        <f t="shared" si="75"/>
        <v>178.66907334717999</v>
      </c>
      <c r="W284" s="49">
        <v>0</v>
      </c>
      <c r="X284" s="49">
        <v>0</v>
      </c>
      <c r="Y284" s="49">
        <v>0</v>
      </c>
      <c r="Z284" s="49">
        <f t="shared" si="81"/>
        <v>0</v>
      </c>
      <c r="AA284" s="49">
        <v>0</v>
      </c>
      <c r="AB284" s="82">
        <f t="shared" si="86"/>
        <v>0</v>
      </c>
      <c r="AC284" s="82">
        <f t="shared" si="87"/>
        <v>249358299288410.66</v>
      </c>
      <c r="AD284" s="81">
        <f t="shared" si="88"/>
        <v>304554367085891.87</v>
      </c>
      <c r="AE284" s="80">
        <f t="shared" si="76"/>
        <v>1221.3524392610684</v>
      </c>
      <c r="AF284" s="52">
        <f t="shared" si="82"/>
        <v>-4.6913820941298211E-3</v>
      </c>
      <c r="AG284" s="48">
        <f t="shared" si="77"/>
        <v>-1.2671594508975714E-2</v>
      </c>
      <c r="AH284" s="48">
        <f t="shared" si="83"/>
        <v>2.4509803921568627E-3</v>
      </c>
      <c r="AI284" s="48">
        <f t="shared" si="84"/>
        <v>-5.3003533568904597E-3</v>
      </c>
      <c r="AJ284" s="48" t="e">
        <f t="shared" si="85"/>
        <v>#DIV/0!</v>
      </c>
    </row>
    <row r="285" spans="1:36" x14ac:dyDescent="0.3">
      <c r="A285" s="48">
        <v>20190227</v>
      </c>
      <c r="B285" s="48" t="s">
        <v>88</v>
      </c>
      <c r="C285" s="49">
        <v>46750</v>
      </c>
      <c r="D285" s="49">
        <v>46750</v>
      </c>
      <c r="E285" s="49">
        <v>5969782550</v>
      </c>
      <c r="F285" s="49">
        <f t="shared" si="78"/>
        <v>0.180815846328331</v>
      </c>
      <c r="G285" s="49">
        <f t="shared" si="71"/>
        <v>0.180815846328331</v>
      </c>
      <c r="H285" s="48">
        <v>204500</v>
      </c>
      <c r="I285" s="48">
        <v>202500</v>
      </c>
      <c r="J285" s="51">
        <v>125461438</v>
      </c>
      <c r="K285" s="48">
        <f t="shared" si="79"/>
        <v>1.4964619869729701</v>
      </c>
      <c r="L285" s="48">
        <f t="shared" si="72"/>
        <v>1.4964619869729701</v>
      </c>
      <c r="M285" s="49">
        <v>281500</v>
      </c>
      <c r="N285" s="49">
        <v>277300</v>
      </c>
      <c r="O285" s="49">
        <v>15956260</v>
      </c>
      <c r="P285" s="49">
        <f t="shared" si="80"/>
        <v>20.6144209614665</v>
      </c>
      <c r="Q285" s="49">
        <f t="shared" si="73"/>
        <v>20.6144209614665</v>
      </c>
      <c r="R285" s="48">
        <v>11095</v>
      </c>
      <c r="S285" s="48">
        <v>11095</v>
      </c>
      <c r="T285" s="48">
        <v>62100000</v>
      </c>
      <c r="U285" s="48">
        <f t="shared" si="74"/>
        <v>178.66907334717999</v>
      </c>
      <c r="V285" s="48">
        <f t="shared" si="75"/>
        <v>178.66907334717999</v>
      </c>
      <c r="W285" s="49">
        <v>0</v>
      </c>
      <c r="X285" s="49">
        <v>0</v>
      </c>
      <c r="Y285" s="49">
        <v>0</v>
      </c>
      <c r="Z285" s="49">
        <f t="shared" si="81"/>
        <v>0</v>
      </c>
      <c r="AA285" s="49">
        <v>0</v>
      </c>
      <c r="AB285" s="82">
        <f t="shared" si="86"/>
        <v>0</v>
      </c>
      <c r="AC285" s="82">
        <f t="shared" si="87"/>
        <v>249358299288410.66</v>
      </c>
      <c r="AD285" s="81">
        <f t="shared" si="88"/>
        <v>302797368485731.44</v>
      </c>
      <c r="AE285" s="80">
        <f t="shared" si="76"/>
        <v>1214.3063589614578</v>
      </c>
      <c r="AF285" s="52">
        <f t="shared" si="82"/>
        <v>-5.7690803023847477E-3</v>
      </c>
      <c r="AG285" s="48">
        <f t="shared" si="77"/>
        <v>0</v>
      </c>
      <c r="AH285" s="48">
        <f t="shared" si="83"/>
        <v>-9.7799511002444987E-3</v>
      </c>
      <c r="AI285" s="48">
        <f t="shared" si="84"/>
        <v>-1.4920071047957371E-2</v>
      </c>
      <c r="AJ285" s="48" t="e">
        <f t="shared" si="85"/>
        <v>#DIV/0!</v>
      </c>
    </row>
    <row r="286" spans="1:36" x14ac:dyDescent="0.3">
      <c r="A286" s="48">
        <v>20190228</v>
      </c>
      <c r="B286" s="48" t="s">
        <v>88</v>
      </c>
      <c r="C286" s="49">
        <v>46750</v>
      </c>
      <c r="D286" s="49">
        <v>45100</v>
      </c>
      <c r="E286" s="49">
        <v>5969782550</v>
      </c>
      <c r="F286" s="49">
        <f t="shared" si="78"/>
        <v>0.180815846328331</v>
      </c>
      <c r="G286" s="49">
        <f t="shared" si="71"/>
        <v>0.180815846328331</v>
      </c>
      <c r="H286" s="48">
        <v>202500</v>
      </c>
      <c r="I286" s="48">
        <v>204500</v>
      </c>
      <c r="J286" s="51">
        <v>125461438</v>
      </c>
      <c r="K286" s="48">
        <f t="shared" si="79"/>
        <v>1.4964619869729701</v>
      </c>
      <c r="L286" s="48">
        <f t="shared" si="72"/>
        <v>1.4964619869729701</v>
      </c>
      <c r="M286" s="49">
        <v>277300</v>
      </c>
      <c r="N286" s="49">
        <v>277800</v>
      </c>
      <c r="O286" s="49">
        <v>15956260</v>
      </c>
      <c r="P286" s="49">
        <f t="shared" si="80"/>
        <v>20.6144209614665</v>
      </c>
      <c r="Q286" s="49">
        <f t="shared" si="73"/>
        <v>20.6144209614665</v>
      </c>
      <c r="R286" s="48">
        <v>11095</v>
      </c>
      <c r="S286" s="48">
        <v>10950</v>
      </c>
      <c r="T286" s="48">
        <v>62100000</v>
      </c>
      <c r="U286" s="48">
        <f t="shared" si="74"/>
        <v>178.66907334717999</v>
      </c>
      <c r="V286" s="48">
        <f t="shared" si="75"/>
        <v>178.66907334717999</v>
      </c>
      <c r="W286" s="49">
        <v>0</v>
      </c>
      <c r="X286" s="49">
        <v>0</v>
      </c>
      <c r="Y286" s="49">
        <v>0</v>
      </c>
      <c r="Z286" s="49">
        <f t="shared" si="81"/>
        <v>0</v>
      </c>
      <c r="AA286" s="49">
        <v>0</v>
      </c>
      <c r="AB286" s="82">
        <f t="shared" si="86"/>
        <v>0</v>
      </c>
      <c r="AC286" s="82">
        <f t="shared" si="87"/>
        <v>249358299288410.66</v>
      </c>
      <c r="AD286" s="81">
        <f t="shared" si="88"/>
        <v>299947442271790.31</v>
      </c>
      <c r="AE286" s="80">
        <f t="shared" si="76"/>
        <v>1202.8773180108503</v>
      </c>
      <c r="AF286" s="52">
        <f t="shared" si="82"/>
        <v>-9.411991353139448E-3</v>
      </c>
      <c r="AG286" s="48">
        <f t="shared" si="77"/>
        <v>-3.5294117647058823E-2</v>
      </c>
      <c r="AH286" s="48">
        <f t="shared" si="83"/>
        <v>9.876543209876543E-3</v>
      </c>
      <c r="AI286" s="48">
        <f t="shared" si="84"/>
        <v>1.8031013342949874E-3</v>
      </c>
      <c r="AJ286" s="48" t="e">
        <f t="shared" si="85"/>
        <v>#DIV/0!</v>
      </c>
    </row>
    <row r="287" spans="1:36" x14ac:dyDescent="0.3">
      <c r="A287" s="48">
        <v>20190304</v>
      </c>
      <c r="B287" s="48" t="s">
        <v>88</v>
      </c>
      <c r="C287" s="49">
        <v>45100</v>
      </c>
      <c r="D287" s="49">
        <v>44850</v>
      </c>
      <c r="E287" s="49">
        <v>5969782550</v>
      </c>
      <c r="F287" s="49">
        <f t="shared" si="78"/>
        <v>0.180815846328331</v>
      </c>
      <c r="G287" s="49">
        <f t="shared" si="71"/>
        <v>0.180815846328331</v>
      </c>
      <c r="H287" s="48">
        <v>204500</v>
      </c>
      <c r="I287" s="48">
        <v>207500</v>
      </c>
      <c r="J287" s="51">
        <v>125461438</v>
      </c>
      <c r="K287" s="48">
        <f t="shared" si="79"/>
        <v>1.4964619869729701</v>
      </c>
      <c r="L287" s="48">
        <f t="shared" si="72"/>
        <v>1.4964619869729701</v>
      </c>
      <c r="M287" s="49">
        <v>277800</v>
      </c>
      <c r="N287" s="49">
        <v>290800</v>
      </c>
      <c r="O287" s="49">
        <v>15956260</v>
      </c>
      <c r="P287" s="49">
        <f t="shared" si="80"/>
        <v>20.6144209614665</v>
      </c>
      <c r="Q287" s="49">
        <f t="shared" si="73"/>
        <v>20.6144209614665</v>
      </c>
      <c r="R287" s="48">
        <v>10950</v>
      </c>
      <c r="S287" s="48">
        <v>10895</v>
      </c>
      <c r="T287" s="48">
        <v>62100000</v>
      </c>
      <c r="U287" s="48">
        <f t="shared" si="74"/>
        <v>178.66907334717999</v>
      </c>
      <c r="V287" s="48">
        <f t="shared" si="75"/>
        <v>178.66907334717999</v>
      </c>
      <c r="W287" s="49">
        <v>0</v>
      </c>
      <c r="X287" s="49">
        <v>0</v>
      </c>
      <c r="Y287" s="49">
        <v>0</v>
      </c>
      <c r="Z287" s="49">
        <f t="shared" si="81"/>
        <v>0</v>
      </c>
      <c r="AA287" s="49">
        <v>0</v>
      </c>
      <c r="AB287" s="82">
        <f t="shared" si="86"/>
        <v>0</v>
      </c>
      <c r="AC287" s="82">
        <f t="shared" si="87"/>
        <v>249358299288410.66</v>
      </c>
      <c r="AD287" s="81">
        <f t="shared" si="88"/>
        <v>303906662837061.25</v>
      </c>
      <c r="AE287" s="80">
        <f t="shared" si="76"/>
        <v>1218.7549550358433</v>
      </c>
      <c r="AF287" s="52">
        <f t="shared" si="82"/>
        <v>1.3199714374238241E-2</v>
      </c>
      <c r="AG287" s="48">
        <f t="shared" si="77"/>
        <v>-5.5432372505543242E-3</v>
      </c>
      <c r="AH287" s="48">
        <f t="shared" si="83"/>
        <v>1.4669926650366748E-2</v>
      </c>
      <c r="AI287" s="48">
        <f t="shared" si="84"/>
        <v>4.679625629949604E-2</v>
      </c>
      <c r="AJ287" s="48" t="e">
        <f t="shared" si="85"/>
        <v>#DIV/0!</v>
      </c>
    </row>
    <row r="288" spans="1:36" x14ac:dyDescent="0.3">
      <c r="A288" s="48">
        <v>20190305</v>
      </c>
      <c r="B288" s="48" t="s">
        <v>88</v>
      </c>
      <c r="C288" s="49">
        <v>44850</v>
      </c>
      <c r="D288" s="49">
        <v>44250</v>
      </c>
      <c r="E288" s="49">
        <v>5969782550</v>
      </c>
      <c r="F288" s="49">
        <f t="shared" si="78"/>
        <v>0.180815846328331</v>
      </c>
      <c r="G288" s="49">
        <f t="shared" si="71"/>
        <v>0.180815846328331</v>
      </c>
      <c r="H288" s="48">
        <v>207500</v>
      </c>
      <c r="I288" s="48">
        <v>210000</v>
      </c>
      <c r="J288" s="51">
        <v>125461438</v>
      </c>
      <c r="K288" s="48">
        <f t="shared" si="79"/>
        <v>1.4964619869729701</v>
      </c>
      <c r="L288" s="48">
        <f t="shared" si="72"/>
        <v>1.4964619869729701</v>
      </c>
      <c r="M288" s="49">
        <v>290800</v>
      </c>
      <c r="N288" s="49">
        <v>298000</v>
      </c>
      <c r="O288" s="49">
        <v>15956260</v>
      </c>
      <c r="P288" s="49">
        <f t="shared" si="80"/>
        <v>20.6144209614665</v>
      </c>
      <c r="Q288" s="49">
        <f t="shared" si="73"/>
        <v>20.6144209614665</v>
      </c>
      <c r="R288" s="48">
        <v>10895</v>
      </c>
      <c r="S288" s="48">
        <v>10805</v>
      </c>
      <c r="T288" s="48">
        <v>62100000</v>
      </c>
      <c r="U288" s="48">
        <f t="shared" si="74"/>
        <v>178.66907334717999</v>
      </c>
      <c r="V288" s="48">
        <f t="shared" si="75"/>
        <v>178.66907334717999</v>
      </c>
      <c r="W288" s="49">
        <v>0</v>
      </c>
      <c r="X288" s="49">
        <v>0</v>
      </c>
      <c r="Y288" s="49">
        <v>0</v>
      </c>
      <c r="Z288" s="49">
        <f t="shared" si="81"/>
        <v>0</v>
      </c>
      <c r="AA288" s="49">
        <v>0</v>
      </c>
      <c r="AB288" s="82">
        <f t="shared" si="86"/>
        <v>0</v>
      </c>
      <c r="AC288" s="82">
        <f t="shared" si="87"/>
        <v>249358299288410.66</v>
      </c>
      <c r="AD288" s="81">
        <f t="shared" si="88"/>
        <v>305098082534010.56</v>
      </c>
      <c r="AE288" s="80">
        <f t="shared" si="76"/>
        <v>1223.5328978608834</v>
      </c>
      <c r="AF288" s="52">
        <f t="shared" si="82"/>
        <v>3.9203474047821056E-3</v>
      </c>
      <c r="AG288" s="48">
        <f t="shared" si="77"/>
        <v>-1.3377926421404682E-2</v>
      </c>
      <c r="AH288" s="48">
        <f t="shared" si="83"/>
        <v>1.2048192771084338E-2</v>
      </c>
      <c r="AI288" s="48">
        <f t="shared" si="84"/>
        <v>2.4759284731774415E-2</v>
      </c>
      <c r="AJ288" s="48" t="e">
        <f t="shared" si="85"/>
        <v>#DIV/0!</v>
      </c>
    </row>
    <row r="289" spans="1:36" x14ac:dyDescent="0.3">
      <c r="A289" s="48">
        <v>20190306</v>
      </c>
      <c r="B289" s="48" t="s">
        <v>88</v>
      </c>
      <c r="C289" s="49">
        <v>44250</v>
      </c>
      <c r="D289" s="49">
        <v>44000</v>
      </c>
      <c r="E289" s="49">
        <v>5969782550</v>
      </c>
      <c r="F289" s="49">
        <f t="shared" si="78"/>
        <v>0.180815846328331</v>
      </c>
      <c r="G289" s="49">
        <f t="shared" si="71"/>
        <v>0.180815846328331</v>
      </c>
      <c r="H289" s="48">
        <v>210000</v>
      </c>
      <c r="I289" s="48">
        <v>211000</v>
      </c>
      <c r="J289" s="51">
        <v>125461438</v>
      </c>
      <c r="K289" s="48">
        <f t="shared" si="79"/>
        <v>1.4964619869729701</v>
      </c>
      <c r="L289" s="48">
        <f t="shared" si="72"/>
        <v>1.4964619869729701</v>
      </c>
      <c r="M289" s="49">
        <v>298000</v>
      </c>
      <c r="N289" s="49">
        <v>297600</v>
      </c>
      <c r="O289" s="49">
        <v>15956260</v>
      </c>
      <c r="P289" s="49">
        <f t="shared" si="80"/>
        <v>20.6144209614665</v>
      </c>
      <c r="Q289" s="49">
        <f t="shared" si="73"/>
        <v>20.6144209614665</v>
      </c>
      <c r="R289" s="48">
        <v>10805</v>
      </c>
      <c r="S289" s="48">
        <v>10780</v>
      </c>
      <c r="T289" s="48">
        <v>62100000</v>
      </c>
      <c r="U289" s="48">
        <f t="shared" si="74"/>
        <v>178.66907334717999</v>
      </c>
      <c r="V289" s="48">
        <f t="shared" si="75"/>
        <v>178.66907334717999</v>
      </c>
      <c r="W289" s="49">
        <v>0</v>
      </c>
      <c r="X289" s="49">
        <v>0</v>
      </c>
      <c r="Y289" s="49">
        <v>0</v>
      </c>
      <c r="Z289" s="49">
        <f t="shared" si="81"/>
        <v>0</v>
      </c>
      <c r="AA289" s="49">
        <v>0</v>
      </c>
      <c r="AB289" s="82">
        <f t="shared" si="86"/>
        <v>0</v>
      </c>
      <c r="AC289" s="82">
        <f t="shared" si="87"/>
        <v>249358299288410.66</v>
      </c>
      <c r="AD289" s="81">
        <f t="shared" si="88"/>
        <v>304607017625149.19</v>
      </c>
      <c r="AE289" s="80">
        <f t="shared" si="76"/>
        <v>1221.5635833834319</v>
      </c>
      <c r="AF289" s="52">
        <f t="shared" si="82"/>
        <v>-1.6095312850961648E-3</v>
      </c>
      <c r="AG289" s="48">
        <f t="shared" si="77"/>
        <v>-5.6497175141242938E-3</v>
      </c>
      <c r="AH289" s="48">
        <f t="shared" si="83"/>
        <v>4.7619047619047623E-3</v>
      </c>
      <c r="AI289" s="48">
        <f t="shared" si="84"/>
        <v>-1.3422818791946308E-3</v>
      </c>
      <c r="AJ289" s="48" t="e">
        <f t="shared" si="85"/>
        <v>#DIV/0!</v>
      </c>
    </row>
    <row r="290" spans="1:36" x14ac:dyDescent="0.3">
      <c r="A290" s="48">
        <v>20190307</v>
      </c>
      <c r="B290" s="48" t="s">
        <v>88</v>
      </c>
      <c r="C290" s="49">
        <v>44000</v>
      </c>
      <c r="D290" s="49">
        <v>44450</v>
      </c>
      <c r="E290" s="49">
        <v>5969782550</v>
      </c>
      <c r="F290" s="49">
        <f t="shared" si="78"/>
        <v>0.180815846328331</v>
      </c>
      <c r="G290" s="49">
        <f t="shared" si="71"/>
        <v>0.180815846328331</v>
      </c>
      <c r="H290" s="48">
        <v>211000</v>
      </c>
      <c r="I290" s="48">
        <v>207000</v>
      </c>
      <c r="J290" s="51">
        <v>125461438</v>
      </c>
      <c r="K290" s="48">
        <f t="shared" si="79"/>
        <v>1.4964619869729701</v>
      </c>
      <c r="L290" s="48">
        <f t="shared" si="72"/>
        <v>1.4964619869729701</v>
      </c>
      <c r="M290" s="49">
        <v>297600</v>
      </c>
      <c r="N290" s="49">
        <v>284000</v>
      </c>
      <c r="O290" s="49">
        <v>15956260</v>
      </c>
      <c r="P290" s="49">
        <f t="shared" si="80"/>
        <v>20.6144209614665</v>
      </c>
      <c r="Q290" s="49">
        <f t="shared" si="73"/>
        <v>20.6144209614665</v>
      </c>
      <c r="R290" s="48">
        <v>10780</v>
      </c>
      <c r="S290" s="48">
        <v>10740</v>
      </c>
      <c r="T290" s="48">
        <v>62100000</v>
      </c>
      <c r="U290" s="48">
        <f t="shared" si="74"/>
        <v>178.66907334717999</v>
      </c>
      <c r="V290" s="48">
        <f t="shared" si="75"/>
        <v>178.66907334717999</v>
      </c>
      <c r="W290" s="49">
        <v>0</v>
      </c>
      <c r="X290" s="49">
        <v>0</v>
      </c>
      <c r="Y290" s="49">
        <v>0</v>
      </c>
      <c r="Z290" s="49">
        <f t="shared" si="81"/>
        <v>0</v>
      </c>
      <c r="AA290" s="49">
        <v>0</v>
      </c>
      <c r="AB290" s="82">
        <f t="shared" si="86"/>
        <v>0</v>
      </c>
      <c r="AC290" s="82">
        <f t="shared" si="87"/>
        <v>249358299288410.66</v>
      </c>
      <c r="AD290" s="81">
        <f t="shared" si="88"/>
        <v>299424519409337.12</v>
      </c>
      <c r="AE290" s="80">
        <f t="shared" si="76"/>
        <v>1200.7802437849452</v>
      </c>
      <c r="AF290" s="52">
        <f t="shared" si="82"/>
        <v>-1.7013719041068603E-2</v>
      </c>
      <c r="AG290" s="48">
        <f t="shared" si="77"/>
        <v>1.0227272727272727E-2</v>
      </c>
      <c r="AH290" s="48">
        <f t="shared" si="83"/>
        <v>-1.8957345971563982E-2</v>
      </c>
      <c r="AI290" s="48">
        <f t="shared" si="84"/>
        <v>-4.5698924731182797E-2</v>
      </c>
      <c r="AJ290" s="48" t="e">
        <f t="shared" si="85"/>
        <v>#DIV/0!</v>
      </c>
    </row>
    <row r="291" spans="1:36" x14ac:dyDescent="0.3">
      <c r="A291" s="48">
        <v>20190308</v>
      </c>
      <c r="B291" s="48" t="s">
        <v>88</v>
      </c>
      <c r="C291" s="49">
        <v>44450</v>
      </c>
      <c r="D291" s="49">
        <v>43800</v>
      </c>
      <c r="E291" s="49">
        <v>5969782550</v>
      </c>
      <c r="F291" s="49">
        <f t="shared" si="78"/>
        <v>0.180815846328331</v>
      </c>
      <c r="G291" s="49">
        <f t="shared" si="71"/>
        <v>0.180815846328331</v>
      </c>
      <c r="H291" s="48">
        <v>207000</v>
      </c>
      <c r="I291" s="48">
        <v>206000</v>
      </c>
      <c r="J291" s="51">
        <v>125461438</v>
      </c>
      <c r="K291" s="48">
        <f t="shared" si="79"/>
        <v>1.4964619869729701</v>
      </c>
      <c r="L291" s="48">
        <f t="shared" si="72"/>
        <v>1.4964619869729701</v>
      </c>
      <c r="M291" s="49">
        <v>284000</v>
      </c>
      <c r="N291" s="49">
        <v>281500</v>
      </c>
      <c r="O291" s="49">
        <v>15956260</v>
      </c>
      <c r="P291" s="49">
        <f t="shared" si="80"/>
        <v>20.6144209614665</v>
      </c>
      <c r="Q291" s="49">
        <f t="shared" si="73"/>
        <v>20.6144209614665</v>
      </c>
      <c r="R291" s="48">
        <v>10740</v>
      </c>
      <c r="S291" s="48">
        <v>10660</v>
      </c>
      <c r="T291" s="48">
        <v>62100000</v>
      </c>
      <c r="U291" s="48">
        <f t="shared" si="74"/>
        <v>178.66907334717999</v>
      </c>
      <c r="V291" s="48">
        <f t="shared" si="75"/>
        <v>178.66907334717999</v>
      </c>
      <c r="W291" s="49">
        <v>0</v>
      </c>
      <c r="X291" s="49">
        <v>0</v>
      </c>
      <c r="Y291" s="49">
        <v>0</v>
      </c>
      <c r="Z291" s="49">
        <f t="shared" si="81"/>
        <v>0</v>
      </c>
      <c r="AA291" s="49">
        <v>0</v>
      </c>
      <c r="AB291" s="82">
        <f t="shared" si="86"/>
        <v>0</v>
      </c>
      <c r="AC291" s="82">
        <f t="shared" si="87"/>
        <v>249358299288410.66</v>
      </c>
      <c r="AD291" s="81">
        <f t="shared" si="88"/>
        <v>296825190193910.5</v>
      </c>
      <c r="AE291" s="80">
        <f t="shared" si="76"/>
        <v>1190.3561703819573</v>
      </c>
      <c r="AF291" s="52">
        <f t="shared" si="82"/>
        <v>-8.6810833680361771E-3</v>
      </c>
      <c r="AG291" s="48">
        <f t="shared" si="77"/>
        <v>-1.4623172103487065E-2</v>
      </c>
      <c r="AH291" s="48">
        <f t="shared" si="83"/>
        <v>-4.830917874396135E-3</v>
      </c>
      <c r="AI291" s="48">
        <f t="shared" si="84"/>
        <v>-8.8028169014084511E-3</v>
      </c>
      <c r="AJ291" s="48" t="e">
        <f t="shared" si="85"/>
        <v>#DIV/0!</v>
      </c>
    </row>
    <row r="292" spans="1:36" x14ac:dyDescent="0.3">
      <c r="A292" s="48">
        <v>20190311</v>
      </c>
      <c r="B292" s="48" t="s">
        <v>88</v>
      </c>
      <c r="C292" s="49">
        <v>43800</v>
      </c>
      <c r="D292" s="49">
        <v>43650</v>
      </c>
      <c r="E292" s="49">
        <v>5969782550</v>
      </c>
      <c r="F292" s="49">
        <f t="shared" si="78"/>
        <v>0.180815846328331</v>
      </c>
      <c r="G292" s="49">
        <f t="shared" si="71"/>
        <v>0.180815846328331</v>
      </c>
      <c r="H292" s="48">
        <v>206000</v>
      </c>
      <c r="I292" s="48">
        <v>205000</v>
      </c>
      <c r="J292" s="51">
        <v>125461438</v>
      </c>
      <c r="K292" s="48">
        <f t="shared" si="79"/>
        <v>1.4964619869729701</v>
      </c>
      <c r="L292" s="48">
        <f t="shared" si="72"/>
        <v>1.4964619869729701</v>
      </c>
      <c r="M292" s="49">
        <v>281500</v>
      </c>
      <c r="N292" s="49">
        <v>288100</v>
      </c>
      <c r="O292" s="49">
        <v>15956260</v>
      </c>
      <c r="P292" s="49">
        <f t="shared" si="80"/>
        <v>20.6144209614665</v>
      </c>
      <c r="Q292" s="49">
        <f t="shared" si="73"/>
        <v>20.6144209614665</v>
      </c>
      <c r="R292" s="48">
        <v>10660</v>
      </c>
      <c r="S292" s="48">
        <v>10610</v>
      </c>
      <c r="T292" s="48">
        <v>62100000</v>
      </c>
      <c r="U292" s="48">
        <f t="shared" si="74"/>
        <v>178.66907334717999</v>
      </c>
      <c r="V292" s="48">
        <f t="shared" si="75"/>
        <v>178.66907334717999</v>
      </c>
      <c r="W292" s="49">
        <v>0</v>
      </c>
      <c r="X292" s="49">
        <v>0</v>
      </c>
      <c r="Y292" s="49">
        <v>0</v>
      </c>
      <c r="Z292" s="49">
        <f t="shared" si="81"/>
        <v>0</v>
      </c>
      <c r="AA292" s="49">
        <v>0</v>
      </c>
      <c r="AB292" s="82">
        <f t="shared" si="86"/>
        <v>0</v>
      </c>
      <c r="AC292" s="82">
        <f t="shared" si="87"/>
        <v>249358299288410.66</v>
      </c>
      <c r="AD292" s="81">
        <f t="shared" si="88"/>
        <v>298091691555773.37</v>
      </c>
      <c r="AE292" s="80">
        <f t="shared" si="76"/>
        <v>1195.4352127297641</v>
      </c>
      <c r="AF292" s="52">
        <f t="shared" si="82"/>
        <v>4.2668257402127107E-3</v>
      </c>
      <c r="AG292" s="48">
        <f t="shared" si="77"/>
        <v>-3.4246575342465752E-3</v>
      </c>
      <c r="AH292" s="48">
        <f t="shared" si="83"/>
        <v>-4.8543689320388345E-3</v>
      </c>
      <c r="AI292" s="48">
        <f t="shared" si="84"/>
        <v>2.3445825932504442E-2</v>
      </c>
      <c r="AJ292" s="48" t="e">
        <f t="shared" si="85"/>
        <v>#DIV/0!</v>
      </c>
    </row>
    <row r="293" spans="1:36" x14ac:dyDescent="0.3">
      <c r="A293" s="48">
        <v>20190312</v>
      </c>
      <c r="B293" s="48" t="s">
        <v>88</v>
      </c>
      <c r="C293" s="49">
        <v>43650</v>
      </c>
      <c r="D293" s="49">
        <v>44650</v>
      </c>
      <c r="E293" s="49">
        <v>5969782550</v>
      </c>
      <c r="F293" s="49">
        <f t="shared" si="78"/>
        <v>0.180815846328331</v>
      </c>
      <c r="G293" s="49">
        <f t="shared" si="71"/>
        <v>0.180815846328331</v>
      </c>
      <c r="H293" s="48">
        <v>205000</v>
      </c>
      <c r="I293" s="48">
        <v>209000</v>
      </c>
      <c r="J293" s="51">
        <v>125461438</v>
      </c>
      <c r="K293" s="48">
        <f t="shared" si="79"/>
        <v>1.4964619869729701</v>
      </c>
      <c r="L293" s="48">
        <f t="shared" si="72"/>
        <v>1.4964619869729701</v>
      </c>
      <c r="M293" s="49">
        <v>288100</v>
      </c>
      <c r="N293" s="49">
        <v>301500</v>
      </c>
      <c r="O293" s="49">
        <v>15956260</v>
      </c>
      <c r="P293" s="49">
        <f t="shared" si="80"/>
        <v>20.6144209614665</v>
      </c>
      <c r="Q293" s="49">
        <f t="shared" si="73"/>
        <v>20.6144209614665</v>
      </c>
      <c r="R293" s="48">
        <v>10610</v>
      </c>
      <c r="S293" s="48">
        <v>10725</v>
      </c>
      <c r="T293" s="48">
        <v>62100000</v>
      </c>
      <c r="U293" s="48">
        <f t="shared" si="74"/>
        <v>178.66907334717999</v>
      </c>
      <c r="V293" s="48">
        <f t="shared" si="75"/>
        <v>178.66907334717999</v>
      </c>
      <c r="W293" s="49">
        <v>0</v>
      </c>
      <c r="X293" s="49">
        <v>0</v>
      </c>
      <c r="Y293" s="49">
        <v>0</v>
      </c>
      <c r="Z293" s="49">
        <f t="shared" si="81"/>
        <v>0</v>
      </c>
      <c r="AA293" s="49">
        <v>0</v>
      </c>
      <c r="AB293" s="82">
        <f t="shared" si="86"/>
        <v>0</v>
      </c>
      <c r="AC293" s="82">
        <f t="shared" si="87"/>
        <v>249358299288410.66</v>
      </c>
      <c r="AD293" s="81">
        <f t="shared" si="88"/>
        <v>305605730530630.69</v>
      </c>
      <c r="AE293" s="80">
        <f t="shared" si="76"/>
        <v>1225.5687153895913</v>
      </c>
      <c r="AF293" s="52">
        <f t="shared" si="82"/>
        <v>2.5207139909336974E-2</v>
      </c>
      <c r="AG293" s="48">
        <f t="shared" si="77"/>
        <v>2.2909507445589918E-2</v>
      </c>
      <c r="AH293" s="48">
        <f t="shared" si="83"/>
        <v>1.9512195121951219E-2</v>
      </c>
      <c r="AI293" s="48">
        <f t="shared" si="84"/>
        <v>4.6511627906976744E-2</v>
      </c>
      <c r="AJ293" s="48" t="e">
        <f t="shared" si="85"/>
        <v>#DIV/0!</v>
      </c>
    </row>
    <row r="294" spans="1:36" x14ac:dyDescent="0.3">
      <c r="A294" s="48">
        <v>20190313</v>
      </c>
      <c r="B294" s="48" t="s">
        <v>88</v>
      </c>
      <c r="C294" s="49">
        <v>44650</v>
      </c>
      <c r="D294" s="49">
        <v>43850</v>
      </c>
      <c r="E294" s="49">
        <v>5969782550</v>
      </c>
      <c r="F294" s="49">
        <f t="shared" si="78"/>
        <v>0.180815846328331</v>
      </c>
      <c r="G294" s="49">
        <f t="shared" si="71"/>
        <v>0.180815846328331</v>
      </c>
      <c r="H294" s="48">
        <v>209000</v>
      </c>
      <c r="I294" s="48">
        <v>207500</v>
      </c>
      <c r="J294" s="51">
        <v>125461438</v>
      </c>
      <c r="K294" s="48">
        <f t="shared" si="79"/>
        <v>1.4964619869729701</v>
      </c>
      <c r="L294" s="48">
        <f t="shared" si="72"/>
        <v>1.4964619869729701</v>
      </c>
      <c r="M294" s="49">
        <v>301500</v>
      </c>
      <c r="N294" s="49">
        <v>312200</v>
      </c>
      <c r="O294" s="49">
        <v>15956260</v>
      </c>
      <c r="P294" s="49">
        <f t="shared" si="80"/>
        <v>20.6144209614665</v>
      </c>
      <c r="Q294" s="49">
        <f t="shared" si="73"/>
        <v>20.6144209614665</v>
      </c>
      <c r="R294" s="48">
        <v>10725</v>
      </c>
      <c r="S294" s="48">
        <v>10630</v>
      </c>
      <c r="T294" s="48">
        <v>62100000</v>
      </c>
      <c r="U294" s="48">
        <f t="shared" si="74"/>
        <v>178.66907334717999</v>
      </c>
      <c r="V294" s="48">
        <f t="shared" si="75"/>
        <v>178.66907334717999</v>
      </c>
      <c r="W294" s="49">
        <v>0</v>
      </c>
      <c r="X294" s="49">
        <v>0</v>
      </c>
      <c r="Y294" s="49">
        <v>0</v>
      </c>
      <c r="Z294" s="49">
        <f t="shared" si="81"/>
        <v>0</v>
      </c>
      <c r="AA294" s="49">
        <v>0</v>
      </c>
      <c r="AB294" s="82">
        <f t="shared" si="86"/>
        <v>0</v>
      </c>
      <c r="AC294" s="82">
        <f t="shared" si="87"/>
        <v>249358299288410.66</v>
      </c>
      <c r="AD294" s="81">
        <f t="shared" si="88"/>
        <v>306926045844416.06</v>
      </c>
      <c r="AE294" s="80">
        <f t="shared" si="76"/>
        <v>1230.8635674861655</v>
      </c>
      <c r="AF294" s="52">
        <f t="shared" si="82"/>
        <v>4.3203225001472662E-3</v>
      </c>
      <c r="AG294" s="48">
        <f t="shared" si="77"/>
        <v>-1.7917133258678612E-2</v>
      </c>
      <c r="AH294" s="48">
        <f t="shared" si="83"/>
        <v>-7.1770334928229667E-3</v>
      </c>
      <c r="AI294" s="48">
        <f t="shared" si="84"/>
        <v>3.5489220563847429E-2</v>
      </c>
      <c r="AJ294" s="48" t="e">
        <f t="shared" si="85"/>
        <v>#DIV/0!</v>
      </c>
    </row>
    <row r="295" spans="1:36" x14ac:dyDescent="0.3">
      <c r="A295" s="48">
        <v>20190314</v>
      </c>
      <c r="B295" s="48" t="s">
        <v>88</v>
      </c>
      <c r="C295" s="49">
        <v>43850</v>
      </c>
      <c r="D295" s="49">
        <v>43850</v>
      </c>
      <c r="E295" s="49">
        <v>5969782550</v>
      </c>
      <c r="F295" s="49">
        <f t="shared" si="78"/>
        <v>0.180815846328331</v>
      </c>
      <c r="G295" s="49">
        <f t="shared" si="71"/>
        <v>0.180815846328331</v>
      </c>
      <c r="H295" s="48">
        <v>207500</v>
      </c>
      <c r="I295" s="48">
        <v>206000</v>
      </c>
      <c r="J295" s="51">
        <v>125461438</v>
      </c>
      <c r="K295" s="48">
        <f t="shared" si="79"/>
        <v>1.4964619869729701</v>
      </c>
      <c r="L295" s="48">
        <f t="shared" si="72"/>
        <v>1.4964619869729701</v>
      </c>
      <c r="M295" s="49">
        <v>312200</v>
      </c>
      <c r="N295" s="49">
        <v>306800</v>
      </c>
      <c r="O295" s="49">
        <v>15956260</v>
      </c>
      <c r="P295" s="49">
        <f t="shared" si="80"/>
        <v>20.6144209614665</v>
      </c>
      <c r="Q295" s="49">
        <f t="shared" si="73"/>
        <v>20.6144209614665</v>
      </c>
      <c r="R295" s="48">
        <v>10630</v>
      </c>
      <c r="S295" s="48">
        <v>10620</v>
      </c>
      <c r="T295" s="48">
        <v>62100000</v>
      </c>
      <c r="U295" s="48">
        <f t="shared" si="74"/>
        <v>178.66907334717999</v>
      </c>
      <c r="V295" s="48">
        <f t="shared" si="75"/>
        <v>178.66907334717999</v>
      </c>
      <c r="W295" s="49">
        <v>0</v>
      </c>
      <c r="X295" s="49">
        <v>0</v>
      </c>
      <c r="Y295" s="49">
        <v>0</v>
      </c>
      <c r="Z295" s="49">
        <f t="shared" si="81"/>
        <v>0</v>
      </c>
      <c r="AA295" s="49">
        <v>0</v>
      </c>
      <c r="AB295" s="82">
        <f t="shared" si="86"/>
        <v>0</v>
      </c>
      <c r="AC295" s="82">
        <f t="shared" si="87"/>
        <v>249358299288410.66</v>
      </c>
      <c r="AD295" s="81">
        <f t="shared" si="88"/>
        <v>304757253013373.19</v>
      </c>
      <c r="AE295" s="80">
        <f t="shared" si="76"/>
        <v>1222.1660714042948</v>
      </c>
      <c r="AF295" s="52">
        <f t="shared" si="82"/>
        <v>-7.0661739543025548E-3</v>
      </c>
      <c r="AG295" s="48">
        <f t="shared" si="77"/>
        <v>0</v>
      </c>
      <c r="AH295" s="48">
        <f t="shared" si="83"/>
        <v>-7.2289156626506026E-3</v>
      </c>
      <c r="AI295" s="48">
        <f t="shared" si="84"/>
        <v>-1.729660474055093E-2</v>
      </c>
      <c r="AJ295" s="48" t="e">
        <f t="shared" si="85"/>
        <v>#DIV/0!</v>
      </c>
    </row>
    <row r="296" spans="1:36" x14ac:dyDescent="0.3">
      <c r="A296" s="48">
        <v>20190315</v>
      </c>
      <c r="B296" s="48" t="s">
        <v>88</v>
      </c>
      <c r="C296" s="49">
        <v>43850</v>
      </c>
      <c r="D296" s="49">
        <v>44200</v>
      </c>
      <c r="E296" s="49">
        <v>5969782550</v>
      </c>
      <c r="F296" s="49">
        <f t="shared" si="78"/>
        <v>0.180815846328331</v>
      </c>
      <c r="G296" s="49">
        <f t="shared" si="71"/>
        <v>0.180815846328331</v>
      </c>
      <c r="H296" s="48">
        <v>206000</v>
      </c>
      <c r="I296" s="48">
        <v>203000</v>
      </c>
      <c r="J296" s="51">
        <v>125461438</v>
      </c>
      <c r="K296" s="48">
        <f t="shared" si="79"/>
        <v>1.4964619869729701</v>
      </c>
      <c r="L296" s="48">
        <f t="shared" si="72"/>
        <v>1.4964619869729701</v>
      </c>
      <c r="M296" s="49">
        <v>306800</v>
      </c>
      <c r="N296" s="49">
        <v>305500</v>
      </c>
      <c r="O296" s="49">
        <v>15956260</v>
      </c>
      <c r="P296" s="49">
        <f t="shared" si="80"/>
        <v>20.6144209614665</v>
      </c>
      <c r="Q296" s="49">
        <f t="shared" si="73"/>
        <v>20.6144209614665</v>
      </c>
      <c r="R296" s="48">
        <v>10620</v>
      </c>
      <c r="S296" s="48">
        <v>10775</v>
      </c>
      <c r="T296" s="48">
        <v>62100000</v>
      </c>
      <c r="U296" s="48">
        <f t="shared" si="74"/>
        <v>178.66907334717999</v>
      </c>
      <c r="V296" s="48">
        <f t="shared" si="75"/>
        <v>178.66907334717999</v>
      </c>
      <c r="W296" s="49">
        <v>0</v>
      </c>
      <c r="X296" s="49">
        <v>0</v>
      </c>
      <c r="Y296" s="49">
        <v>0</v>
      </c>
      <c r="Z296" s="49">
        <f t="shared" si="81"/>
        <v>0</v>
      </c>
      <c r="AA296" s="49">
        <v>0</v>
      </c>
      <c r="AB296" s="82">
        <f t="shared" si="86"/>
        <v>0</v>
      </c>
      <c r="AC296" s="82">
        <f t="shared" si="87"/>
        <v>249358299288410.66</v>
      </c>
      <c r="AD296" s="81">
        <f t="shared" si="88"/>
        <v>305863980531149.81</v>
      </c>
      <c r="AE296" s="80">
        <f t="shared" si="76"/>
        <v>1226.6043737224243</v>
      </c>
      <c r="AF296" s="52">
        <f t="shared" si="82"/>
        <v>3.6315050973635202E-3</v>
      </c>
      <c r="AG296" s="48">
        <f t="shared" si="77"/>
        <v>7.98175598631699E-3</v>
      </c>
      <c r="AH296" s="48">
        <f t="shared" si="83"/>
        <v>-1.4563106796116505E-2</v>
      </c>
      <c r="AI296" s="48">
        <f t="shared" si="84"/>
        <v>-4.2372881355932203E-3</v>
      </c>
      <c r="AJ296" s="48" t="e">
        <f t="shared" si="85"/>
        <v>#DIV/0!</v>
      </c>
    </row>
    <row r="297" spans="1:36" x14ac:dyDescent="0.3">
      <c r="A297" s="48">
        <v>20190318</v>
      </c>
      <c r="B297" s="48" t="s">
        <v>88</v>
      </c>
      <c r="C297" s="49">
        <v>44200</v>
      </c>
      <c r="D297" s="49">
        <v>43700</v>
      </c>
      <c r="E297" s="49">
        <v>5969782550</v>
      </c>
      <c r="F297" s="49">
        <f t="shared" si="78"/>
        <v>0.180815846328331</v>
      </c>
      <c r="G297" s="49">
        <f t="shared" si="71"/>
        <v>0.180815846328331</v>
      </c>
      <c r="H297" s="48">
        <v>203000</v>
      </c>
      <c r="I297" s="48">
        <v>201000</v>
      </c>
      <c r="J297" s="51">
        <v>125461438</v>
      </c>
      <c r="K297" s="48">
        <f t="shared" si="79"/>
        <v>1.4964619869729701</v>
      </c>
      <c r="L297" s="48">
        <f t="shared" si="72"/>
        <v>1.4964619869729701</v>
      </c>
      <c r="M297" s="49">
        <v>305500</v>
      </c>
      <c r="N297" s="49">
        <v>299400</v>
      </c>
      <c r="O297" s="49">
        <v>15956260</v>
      </c>
      <c r="P297" s="49">
        <f t="shared" si="80"/>
        <v>20.6144209614665</v>
      </c>
      <c r="Q297" s="49">
        <f t="shared" si="73"/>
        <v>20.6144209614665</v>
      </c>
      <c r="R297" s="48">
        <v>10775</v>
      </c>
      <c r="S297" s="48">
        <v>10755</v>
      </c>
      <c r="T297" s="48">
        <v>62100000</v>
      </c>
      <c r="U297" s="48">
        <f t="shared" si="74"/>
        <v>178.66907334717999</v>
      </c>
      <c r="V297" s="48">
        <f t="shared" si="75"/>
        <v>178.66907334717999</v>
      </c>
      <c r="W297" s="49">
        <v>0</v>
      </c>
      <c r="X297" s="49">
        <v>0</v>
      </c>
      <c r="Y297" s="49">
        <v>0</v>
      </c>
      <c r="Z297" s="49">
        <f t="shared" si="81"/>
        <v>0</v>
      </c>
      <c r="AA297" s="49">
        <v>0</v>
      </c>
      <c r="AB297" s="82">
        <f t="shared" si="86"/>
        <v>0</v>
      </c>
      <c r="AC297" s="82">
        <f t="shared" si="87"/>
        <v>249358299288410.66</v>
      </c>
      <c r="AD297" s="81">
        <f t="shared" si="88"/>
        <v>302720394084644.81</v>
      </c>
      <c r="AE297" s="80">
        <f t="shared" si="76"/>
        <v>1213.9976690108676</v>
      </c>
      <c r="AF297" s="52">
        <f t="shared" si="82"/>
        <v>-1.0277726854420527E-2</v>
      </c>
      <c r="AG297" s="48">
        <f t="shared" si="77"/>
        <v>-1.1312217194570135E-2</v>
      </c>
      <c r="AH297" s="48">
        <f t="shared" si="83"/>
        <v>-9.852216748768473E-3</v>
      </c>
      <c r="AI297" s="48">
        <f t="shared" si="84"/>
        <v>-1.9967266775777415E-2</v>
      </c>
      <c r="AJ297" s="48" t="e">
        <f t="shared" si="85"/>
        <v>#DIV/0!</v>
      </c>
    </row>
    <row r="298" spans="1:36" x14ac:dyDescent="0.3">
      <c r="A298" s="48">
        <v>20190319</v>
      </c>
      <c r="B298" s="48" t="s">
        <v>88</v>
      </c>
      <c r="C298" s="49">
        <v>43700</v>
      </c>
      <c r="D298" s="49">
        <v>43900</v>
      </c>
      <c r="E298" s="49">
        <v>5969782550</v>
      </c>
      <c r="F298" s="49">
        <f t="shared" si="78"/>
        <v>0.180815846328331</v>
      </c>
      <c r="G298" s="49">
        <f t="shared" si="71"/>
        <v>0.180815846328331</v>
      </c>
      <c r="H298" s="48">
        <v>201000</v>
      </c>
      <c r="I298" s="48">
        <v>203000</v>
      </c>
      <c r="J298" s="51">
        <v>125461438</v>
      </c>
      <c r="K298" s="48">
        <f t="shared" si="79"/>
        <v>1.4964619869729701</v>
      </c>
      <c r="L298" s="48">
        <f t="shared" si="72"/>
        <v>1.4964619869729701</v>
      </c>
      <c r="M298" s="49">
        <v>299400</v>
      </c>
      <c r="N298" s="49">
        <v>289800</v>
      </c>
      <c r="O298" s="49">
        <v>15956260</v>
      </c>
      <c r="P298" s="49">
        <f t="shared" si="80"/>
        <v>20.6144209614665</v>
      </c>
      <c r="Q298" s="49">
        <f t="shared" si="73"/>
        <v>20.6144209614665</v>
      </c>
      <c r="R298" s="48">
        <v>10755</v>
      </c>
      <c r="S298" s="48">
        <v>10775</v>
      </c>
      <c r="T298" s="48">
        <v>62100000</v>
      </c>
      <c r="U298" s="48">
        <f t="shared" si="74"/>
        <v>178.66907334717999</v>
      </c>
      <c r="V298" s="48">
        <f t="shared" si="75"/>
        <v>178.66907334717999</v>
      </c>
      <c r="W298" s="49">
        <v>0</v>
      </c>
      <c r="X298" s="49">
        <v>0</v>
      </c>
      <c r="Y298" s="49">
        <v>0</v>
      </c>
      <c r="Z298" s="49">
        <f t="shared" si="81"/>
        <v>0</v>
      </c>
      <c r="AA298" s="49">
        <v>0</v>
      </c>
      <c r="AB298" s="82">
        <f t="shared" si="86"/>
        <v>0</v>
      </c>
      <c r="AC298" s="82">
        <f t="shared" si="87"/>
        <v>249358299288410.66</v>
      </c>
      <c r="AD298" s="81">
        <f t="shared" si="88"/>
        <v>300375964894311</v>
      </c>
      <c r="AE298" s="80">
        <f t="shared" si="76"/>
        <v>1204.5958195555895</v>
      </c>
      <c r="AF298" s="52">
        <f t="shared" si="82"/>
        <v>-7.7445366620337063E-3</v>
      </c>
      <c r="AG298" s="48">
        <f t="shared" si="77"/>
        <v>4.5766590389016018E-3</v>
      </c>
      <c r="AH298" s="48">
        <f t="shared" si="83"/>
        <v>9.9502487562189053E-3</v>
      </c>
      <c r="AI298" s="48">
        <f t="shared" si="84"/>
        <v>-3.2064128256513023E-2</v>
      </c>
      <c r="AJ298" s="48" t="e">
        <f t="shared" si="85"/>
        <v>#DIV/0!</v>
      </c>
    </row>
    <row r="299" spans="1:36" x14ac:dyDescent="0.3">
      <c r="A299" s="48">
        <v>20190320</v>
      </c>
      <c r="B299" s="48" t="s">
        <v>88</v>
      </c>
      <c r="C299" s="49">
        <v>43900</v>
      </c>
      <c r="D299" s="49">
        <v>44050</v>
      </c>
      <c r="E299" s="49">
        <v>5969782550</v>
      </c>
      <c r="F299" s="49">
        <f t="shared" si="78"/>
        <v>0.180815846328331</v>
      </c>
      <c r="G299" s="49">
        <f t="shared" si="71"/>
        <v>0.180815846328331</v>
      </c>
      <c r="H299" s="48">
        <v>203000</v>
      </c>
      <c r="I299" s="48">
        <v>201000</v>
      </c>
      <c r="J299" s="51">
        <v>125461438</v>
      </c>
      <c r="K299" s="48">
        <f t="shared" si="79"/>
        <v>1.4964619869729701</v>
      </c>
      <c r="L299" s="48">
        <f t="shared" si="72"/>
        <v>1.4964619869729701</v>
      </c>
      <c r="M299" s="49">
        <v>289800</v>
      </c>
      <c r="N299" s="49">
        <v>294700</v>
      </c>
      <c r="O299" s="49">
        <v>15956260</v>
      </c>
      <c r="P299" s="49">
        <f t="shared" si="80"/>
        <v>20.6144209614665</v>
      </c>
      <c r="Q299" s="49">
        <f t="shared" si="73"/>
        <v>20.6144209614665</v>
      </c>
      <c r="R299" s="48">
        <v>10775</v>
      </c>
      <c r="S299" s="48">
        <v>10790</v>
      </c>
      <c r="T299" s="48">
        <v>62100000</v>
      </c>
      <c r="U299" s="48">
        <f t="shared" si="74"/>
        <v>178.66907334717999</v>
      </c>
      <c r="V299" s="48">
        <f t="shared" si="75"/>
        <v>178.66907334717999</v>
      </c>
      <c r="W299" s="49">
        <v>0</v>
      </c>
      <c r="X299" s="49">
        <v>0</v>
      </c>
      <c r="Y299" s="49">
        <v>0</v>
      </c>
      <c r="Z299" s="49">
        <f t="shared" si="81"/>
        <v>0</v>
      </c>
      <c r="AA299" s="49">
        <v>0</v>
      </c>
      <c r="AB299" s="82">
        <f t="shared" si="86"/>
        <v>0</v>
      </c>
      <c r="AC299" s="82">
        <f t="shared" si="87"/>
        <v>249358299288410.66</v>
      </c>
      <c r="AD299" s="81">
        <f t="shared" si="88"/>
        <v>301940565680156.06</v>
      </c>
      <c r="AE299" s="80">
        <f t="shared" si="76"/>
        <v>1210.8703281254263</v>
      </c>
      <c r="AF299" s="52">
        <f t="shared" si="82"/>
        <v>5.208808189415496E-3</v>
      </c>
      <c r="AG299" s="48">
        <f t="shared" si="77"/>
        <v>3.4168564920273349E-3</v>
      </c>
      <c r="AH299" s="48">
        <f t="shared" si="83"/>
        <v>-9.852216748768473E-3</v>
      </c>
      <c r="AI299" s="48">
        <f t="shared" si="84"/>
        <v>1.6908212560386472E-2</v>
      </c>
      <c r="AJ299" s="48" t="e">
        <f t="shared" si="85"/>
        <v>#DIV/0!</v>
      </c>
    </row>
    <row r="300" spans="1:36" x14ac:dyDescent="0.3">
      <c r="A300" s="48">
        <v>20190321</v>
      </c>
      <c r="B300" s="48" t="s">
        <v>88</v>
      </c>
      <c r="C300" s="49">
        <v>44050</v>
      </c>
      <c r="D300" s="49">
        <v>45850</v>
      </c>
      <c r="E300" s="49">
        <v>5969782550</v>
      </c>
      <c r="F300" s="49">
        <f t="shared" si="78"/>
        <v>0.180815846328331</v>
      </c>
      <c r="G300" s="49">
        <f t="shared" si="71"/>
        <v>0.180815846328331</v>
      </c>
      <c r="H300" s="48">
        <v>201000</v>
      </c>
      <c r="I300" s="48">
        <v>200500</v>
      </c>
      <c r="J300" s="51">
        <v>125461438</v>
      </c>
      <c r="K300" s="48">
        <f t="shared" si="79"/>
        <v>1.4964619869729701</v>
      </c>
      <c r="L300" s="48">
        <f t="shared" si="72"/>
        <v>1.4964619869729701</v>
      </c>
      <c r="M300" s="49">
        <v>294700</v>
      </c>
      <c r="N300" s="49">
        <v>282800</v>
      </c>
      <c r="O300" s="49">
        <v>15956260</v>
      </c>
      <c r="P300" s="49">
        <f t="shared" si="80"/>
        <v>20.6144209614665</v>
      </c>
      <c r="Q300" s="49">
        <f t="shared" si="73"/>
        <v>20.6144209614665</v>
      </c>
      <c r="R300" s="48">
        <v>10790</v>
      </c>
      <c r="S300" s="48">
        <v>10900</v>
      </c>
      <c r="T300" s="48">
        <v>62100000</v>
      </c>
      <c r="U300" s="48">
        <f t="shared" si="74"/>
        <v>178.66907334717999</v>
      </c>
      <c r="V300" s="48">
        <f t="shared" si="75"/>
        <v>178.66907334717999</v>
      </c>
      <c r="W300" s="49">
        <v>0</v>
      </c>
      <c r="X300" s="49">
        <v>0</v>
      </c>
      <c r="Y300" s="49">
        <v>0</v>
      </c>
      <c r="Z300" s="49">
        <f t="shared" si="81"/>
        <v>0</v>
      </c>
      <c r="AA300" s="49">
        <v>0</v>
      </c>
      <c r="AB300" s="82">
        <f t="shared" si="86"/>
        <v>0</v>
      </c>
      <c r="AC300" s="82">
        <f t="shared" si="87"/>
        <v>249358299288410.66</v>
      </c>
      <c r="AD300" s="81">
        <f t="shared" si="88"/>
        <v>301095900474039.25</v>
      </c>
      <c r="AE300" s="80">
        <f t="shared" si="76"/>
        <v>1207.4829726272246</v>
      </c>
      <c r="AF300" s="52">
        <f t="shared" si="82"/>
        <v>-2.797455201867693E-3</v>
      </c>
      <c r="AG300" s="48">
        <f t="shared" si="77"/>
        <v>4.0862656072644721E-2</v>
      </c>
      <c r="AH300" s="48">
        <f t="shared" si="83"/>
        <v>-2.4875621890547263E-3</v>
      </c>
      <c r="AI300" s="48">
        <f t="shared" si="84"/>
        <v>-4.0380047505938245E-2</v>
      </c>
      <c r="AJ300" s="48" t="e">
        <f t="shared" si="85"/>
        <v>#DIV/0!</v>
      </c>
    </row>
    <row r="301" spans="1:36" x14ac:dyDescent="0.3">
      <c r="A301" s="48">
        <v>20190322</v>
      </c>
      <c r="B301" s="48" t="s">
        <v>88</v>
      </c>
      <c r="C301" s="49">
        <v>45850</v>
      </c>
      <c r="D301" s="49">
        <v>46550</v>
      </c>
      <c r="E301" s="49">
        <v>5969782550</v>
      </c>
      <c r="F301" s="49">
        <f t="shared" si="78"/>
        <v>0.180815846328331</v>
      </c>
      <c r="G301" s="49">
        <f t="shared" si="71"/>
        <v>0.180815846328331</v>
      </c>
      <c r="H301" s="48">
        <v>200500</v>
      </c>
      <c r="I301" s="48">
        <v>199500</v>
      </c>
      <c r="J301" s="51">
        <v>125461438</v>
      </c>
      <c r="K301" s="48">
        <f t="shared" si="79"/>
        <v>1.4964619869729701</v>
      </c>
      <c r="L301" s="48">
        <f t="shared" si="72"/>
        <v>1.4964619869729701</v>
      </c>
      <c r="M301" s="49">
        <v>282800</v>
      </c>
      <c r="N301" s="49">
        <v>281300</v>
      </c>
      <c r="O301" s="49">
        <v>15956260</v>
      </c>
      <c r="P301" s="49">
        <f t="shared" si="80"/>
        <v>20.6144209614665</v>
      </c>
      <c r="Q301" s="49">
        <f t="shared" si="73"/>
        <v>20.6144209614665</v>
      </c>
      <c r="R301" s="48">
        <v>10900</v>
      </c>
      <c r="S301" s="48">
        <v>10925</v>
      </c>
      <c r="T301" s="48">
        <v>62100000</v>
      </c>
      <c r="U301" s="48">
        <f t="shared" si="74"/>
        <v>178.66907334717999</v>
      </c>
      <c r="V301" s="48">
        <f t="shared" si="75"/>
        <v>178.66907334717999</v>
      </c>
      <c r="W301" s="49">
        <v>0</v>
      </c>
      <c r="X301" s="49">
        <v>0</v>
      </c>
      <c r="Y301" s="49">
        <v>0</v>
      </c>
      <c r="Z301" s="49">
        <f t="shared" si="81"/>
        <v>0</v>
      </c>
      <c r="AA301" s="49">
        <v>0</v>
      </c>
      <c r="AB301" s="82">
        <f t="shared" si="86"/>
        <v>0</v>
      </c>
      <c r="AC301" s="82">
        <f t="shared" si="87"/>
        <v>249358299288410.66</v>
      </c>
      <c r="AD301" s="81">
        <f t="shared" si="88"/>
        <v>301447744245618.87</v>
      </c>
      <c r="AE301" s="80">
        <f t="shared" si="76"/>
        <v>1208.8939694642406</v>
      </c>
      <c r="AF301" s="52">
        <f t="shared" si="82"/>
        <v>1.1685438792946067E-3</v>
      </c>
      <c r="AG301" s="48">
        <f t="shared" si="77"/>
        <v>1.5267175572519083E-2</v>
      </c>
      <c r="AH301" s="48">
        <f t="shared" si="83"/>
        <v>-4.9875311720698253E-3</v>
      </c>
      <c r="AI301" s="48">
        <f t="shared" si="84"/>
        <v>-5.3041018387553042E-3</v>
      </c>
      <c r="AJ301" s="48" t="e">
        <f t="shared" si="85"/>
        <v>#DIV/0!</v>
      </c>
    </row>
    <row r="302" spans="1:36" x14ac:dyDescent="0.3">
      <c r="A302" s="48">
        <v>20190325</v>
      </c>
      <c r="B302" s="48" t="s">
        <v>88</v>
      </c>
      <c r="C302" s="49">
        <v>46550</v>
      </c>
      <c r="D302" s="49">
        <v>45500</v>
      </c>
      <c r="E302" s="49">
        <v>5969782550</v>
      </c>
      <c r="F302" s="49">
        <f t="shared" si="78"/>
        <v>0.180815846328331</v>
      </c>
      <c r="G302" s="49">
        <f t="shared" si="71"/>
        <v>0.180815846328331</v>
      </c>
      <c r="H302" s="48">
        <v>199500</v>
      </c>
      <c r="I302" s="48">
        <v>198000</v>
      </c>
      <c r="J302" s="51">
        <v>125461438</v>
      </c>
      <c r="K302" s="48">
        <f t="shared" si="79"/>
        <v>1.4964619869729701</v>
      </c>
      <c r="L302" s="48">
        <f t="shared" si="72"/>
        <v>1.4964619869729701</v>
      </c>
      <c r="M302" s="49">
        <v>281300</v>
      </c>
      <c r="N302" s="49">
        <v>271500</v>
      </c>
      <c r="O302" s="49">
        <v>15956260</v>
      </c>
      <c r="P302" s="49">
        <f t="shared" si="80"/>
        <v>20.6144209614665</v>
      </c>
      <c r="Q302" s="49">
        <f t="shared" si="73"/>
        <v>20.6144209614665</v>
      </c>
      <c r="R302" s="48">
        <v>10925</v>
      </c>
      <c r="S302" s="48">
        <v>10720</v>
      </c>
      <c r="T302" s="48">
        <v>62100000</v>
      </c>
      <c r="U302" s="48">
        <f t="shared" si="74"/>
        <v>178.66907334717999</v>
      </c>
      <c r="V302" s="48">
        <f t="shared" si="75"/>
        <v>178.66907334717999</v>
      </c>
      <c r="W302" s="49">
        <v>0</v>
      </c>
      <c r="X302" s="49">
        <v>0</v>
      </c>
      <c r="Y302" s="49">
        <v>0</v>
      </c>
      <c r="Z302" s="49">
        <f t="shared" si="81"/>
        <v>0</v>
      </c>
      <c r="AA302" s="49">
        <v>0</v>
      </c>
      <c r="AB302" s="82">
        <f t="shared" si="86"/>
        <v>0</v>
      </c>
      <c r="AC302" s="82">
        <f t="shared" si="87"/>
        <v>249358299288410.66</v>
      </c>
      <c r="AD302" s="81">
        <f t="shared" si="88"/>
        <v>294534667555808.69</v>
      </c>
      <c r="AE302" s="80">
        <f t="shared" si="76"/>
        <v>1181.1705020298784</v>
      </c>
      <c r="AF302" s="52">
        <f t="shared" si="82"/>
        <v>-2.2932918961163087E-2</v>
      </c>
      <c r="AG302" s="48">
        <f t="shared" si="77"/>
        <v>-2.2556390977443608E-2</v>
      </c>
      <c r="AH302" s="48">
        <f t="shared" si="83"/>
        <v>-7.5187969924812026E-3</v>
      </c>
      <c r="AI302" s="48">
        <f t="shared" si="84"/>
        <v>-3.4838250977603978E-2</v>
      </c>
      <c r="AJ302" s="48" t="e">
        <f t="shared" si="85"/>
        <v>#DIV/0!</v>
      </c>
    </row>
    <row r="303" spans="1:36" x14ac:dyDescent="0.3">
      <c r="A303" s="48">
        <v>20190326</v>
      </c>
      <c r="B303" s="48" t="s">
        <v>88</v>
      </c>
      <c r="C303" s="49">
        <v>45500</v>
      </c>
      <c r="D303" s="49">
        <v>45250</v>
      </c>
      <c r="E303" s="49">
        <v>5969782550</v>
      </c>
      <c r="F303" s="49">
        <f t="shared" si="78"/>
        <v>0.180815846328331</v>
      </c>
      <c r="G303" s="49">
        <f t="shared" si="71"/>
        <v>0.180815846328331</v>
      </c>
      <c r="H303" s="48">
        <v>198000</v>
      </c>
      <c r="I303" s="48">
        <v>192500</v>
      </c>
      <c r="J303" s="51">
        <v>125461438</v>
      </c>
      <c r="K303" s="48">
        <f t="shared" si="79"/>
        <v>1.4964619869729701</v>
      </c>
      <c r="L303" s="48">
        <f t="shared" si="72"/>
        <v>1.4964619869729701</v>
      </c>
      <c r="M303" s="49">
        <v>271500</v>
      </c>
      <c r="N303" s="49">
        <v>286300</v>
      </c>
      <c r="O303" s="49">
        <v>15956260</v>
      </c>
      <c r="P303" s="49">
        <f t="shared" si="80"/>
        <v>20.6144209614665</v>
      </c>
      <c r="Q303" s="49">
        <f t="shared" si="73"/>
        <v>20.6144209614665</v>
      </c>
      <c r="R303" s="48">
        <v>10720</v>
      </c>
      <c r="S303" s="48">
        <v>10740</v>
      </c>
      <c r="T303" s="48">
        <v>62100000</v>
      </c>
      <c r="U303" s="48">
        <f t="shared" si="74"/>
        <v>178.66907334717999</v>
      </c>
      <c r="V303" s="48">
        <f t="shared" si="75"/>
        <v>178.66907334717999</v>
      </c>
      <c r="W303" s="49">
        <v>0</v>
      </c>
      <c r="X303" s="49">
        <v>0</v>
      </c>
      <c r="Y303" s="49">
        <v>0</v>
      </c>
      <c r="Z303" s="49">
        <f t="shared" si="81"/>
        <v>0</v>
      </c>
      <c r="AA303" s="49">
        <v>0</v>
      </c>
      <c r="AB303" s="82">
        <f t="shared" si="86"/>
        <v>0</v>
      </c>
      <c r="AC303" s="82">
        <f t="shared" si="87"/>
        <v>249358299288410.66</v>
      </c>
      <c r="AD303" s="81">
        <f t="shared" si="88"/>
        <v>298322251320510.44</v>
      </c>
      <c r="AE303" s="80">
        <f t="shared" si="76"/>
        <v>1196.3598250863411</v>
      </c>
      <c r="AF303" s="52">
        <f t="shared" si="82"/>
        <v>1.2859551631503919E-2</v>
      </c>
      <c r="AG303" s="48">
        <f t="shared" si="77"/>
        <v>-5.4945054945054949E-3</v>
      </c>
      <c r="AH303" s="48">
        <f t="shared" si="83"/>
        <v>-2.7777777777777776E-2</v>
      </c>
      <c r="AI303" s="48">
        <f t="shared" si="84"/>
        <v>5.4511970534069983E-2</v>
      </c>
      <c r="AJ303" s="48" t="e">
        <f t="shared" si="85"/>
        <v>#DIV/0!</v>
      </c>
    </row>
    <row r="304" spans="1:36" x14ac:dyDescent="0.3">
      <c r="A304" s="48">
        <v>20190327</v>
      </c>
      <c r="B304" s="48" t="s">
        <v>88</v>
      </c>
      <c r="C304" s="49">
        <v>45250</v>
      </c>
      <c r="D304" s="49">
        <v>45350</v>
      </c>
      <c r="E304" s="49">
        <v>5969782550</v>
      </c>
      <c r="F304" s="49">
        <f t="shared" si="78"/>
        <v>0.180815846328331</v>
      </c>
      <c r="G304" s="49">
        <f t="shared" si="71"/>
        <v>0.180815846328331</v>
      </c>
      <c r="H304" s="48">
        <v>192500</v>
      </c>
      <c r="I304" s="48">
        <v>183000</v>
      </c>
      <c r="J304" s="51">
        <v>125461438</v>
      </c>
      <c r="K304" s="48">
        <f t="shared" si="79"/>
        <v>1.4964619869729701</v>
      </c>
      <c r="L304" s="48">
        <f t="shared" si="72"/>
        <v>1.4964619869729701</v>
      </c>
      <c r="M304" s="49">
        <v>286300</v>
      </c>
      <c r="N304" s="49">
        <v>269600</v>
      </c>
      <c r="O304" s="49">
        <v>15956260</v>
      </c>
      <c r="P304" s="49">
        <f t="shared" si="80"/>
        <v>20.6144209614665</v>
      </c>
      <c r="Q304" s="49">
        <f t="shared" si="73"/>
        <v>20.6144209614665</v>
      </c>
      <c r="R304" s="48">
        <v>10740</v>
      </c>
      <c r="S304" s="48">
        <v>10670</v>
      </c>
      <c r="T304" s="48">
        <v>62100000</v>
      </c>
      <c r="U304" s="48">
        <f t="shared" si="74"/>
        <v>178.66907334717999</v>
      </c>
      <c r="V304" s="48">
        <f t="shared" si="75"/>
        <v>178.66907334717999</v>
      </c>
      <c r="W304" s="49">
        <v>0</v>
      </c>
      <c r="X304" s="49">
        <v>0</v>
      </c>
      <c r="Y304" s="49">
        <v>0</v>
      </c>
      <c r="Z304" s="49">
        <f t="shared" si="81"/>
        <v>0</v>
      </c>
      <c r="AA304" s="49">
        <v>0</v>
      </c>
      <c r="AB304" s="82">
        <f t="shared" si="86"/>
        <v>0</v>
      </c>
      <c r="AC304" s="82">
        <f t="shared" si="87"/>
        <v>249358299288410.66</v>
      </c>
      <c r="AD304" s="81">
        <f t="shared" si="88"/>
        <v>290376796083309.87</v>
      </c>
      <c r="AE304" s="80">
        <f t="shared" si="76"/>
        <v>1164.4962165364177</v>
      </c>
      <c r="AF304" s="52">
        <f t="shared" si="82"/>
        <v>-2.663380020105888E-2</v>
      </c>
      <c r="AG304" s="48">
        <f t="shared" si="77"/>
        <v>2.2099447513812156E-3</v>
      </c>
      <c r="AH304" s="48">
        <f t="shared" si="83"/>
        <v>-4.9350649350649353E-2</v>
      </c>
      <c r="AI304" s="48">
        <f t="shared" si="84"/>
        <v>-5.8330422633601116E-2</v>
      </c>
      <c r="AJ304" s="48" t="e">
        <f t="shared" si="85"/>
        <v>#DIV/0!</v>
      </c>
    </row>
    <row r="305" spans="1:36" x14ac:dyDescent="0.3">
      <c r="A305" s="48">
        <v>20190328</v>
      </c>
      <c r="B305" s="48" t="s">
        <v>88</v>
      </c>
      <c r="C305" s="49">
        <v>45350</v>
      </c>
      <c r="D305" s="49">
        <v>44850</v>
      </c>
      <c r="E305" s="49">
        <v>5969782550</v>
      </c>
      <c r="F305" s="49">
        <f t="shared" si="78"/>
        <v>0.180815846328331</v>
      </c>
      <c r="G305" s="49">
        <f t="shared" si="71"/>
        <v>0.180815846328331</v>
      </c>
      <c r="H305" s="48">
        <v>183000</v>
      </c>
      <c r="I305" s="48">
        <v>180500</v>
      </c>
      <c r="J305" s="51">
        <v>125461438</v>
      </c>
      <c r="K305" s="48">
        <f t="shared" si="79"/>
        <v>1.4964619869729701</v>
      </c>
      <c r="L305" s="48">
        <f t="shared" si="72"/>
        <v>1.4964619869729701</v>
      </c>
      <c r="M305" s="49">
        <v>269600</v>
      </c>
      <c r="N305" s="49">
        <v>270300</v>
      </c>
      <c r="O305" s="49">
        <v>15956260</v>
      </c>
      <c r="P305" s="49">
        <f t="shared" si="80"/>
        <v>20.6144209614665</v>
      </c>
      <c r="Q305" s="49">
        <f t="shared" si="73"/>
        <v>20.6144209614665</v>
      </c>
      <c r="R305" s="48">
        <v>10670</v>
      </c>
      <c r="S305" s="48">
        <v>10630</v>
      </c>
      <c r="T305" s="48">
        <v>62100000</v>
      </c>
      <c r="U305" s="48">
        <f t="shared" si="74"/>
        <v>178.66907334717999</v>
      </c>
      <c r="V305" s="48">
        <f t="shared" si="75"/>
        <v>178.66907334717999</v>
      </c>
      <c r="W305" s="49">
        <v>0</v>
      </c>
      <c r="X305" s="49">
        <v>0</v>
      </c>
      <c r="Y305" s="49">
        <v>0</v>
      </c>
      <c r="Z305" s="49">
        <f t="shared" si="81"/>
        <v>0</v>
      </c>
      <c r="AA305" s="49">
        <v>0</v>
      </c>
      <c r="AB305" s="82">
        <f t="shared" si="86"/>
        <v>0</v>
      </c>
      <c r="AC305" s="82">
        <f t="shared" si="87"/>
        <v>249358299288410.66</v>
      </c>
      <c r="AD305" s="81">
        <f t="shared" si="88"/>
        <v>289154146123460.81</v>
      </c>
      <c r="AE305" s="80">
        <f t="shared" si="76"/>
        <v>1159.5930311869101</v>
      </c>
      <c r="AF305" s="52">
        <f t="shared" si="82"/>
        <v>-4.2105635723671134E-3</v>
      </c>
      <c r="AG305" s="48">
        <f t="shared" si="77"/>
        <v>-1.1025358324145534E-2</v>
      </c>
      <c r="AH305" s="48">
        <f t="shared" si="83"/>
        <v>-1.3661202185792349E-2</v>
      </c>
      <c r="AI305" s="48">
        <f t="shared" si="84"/>
        <v>2.5964391691394658E-3</v>
      </c>
      <c r="AJ305" s="48" t="e">
        <f t="shared" si="85"/>
        <v>#DIV/0!</v>
      </c>
    </row>
    <row r="306" spans="1:36" x14ac:dyDescent="0.3">
      <c r="A306" s="48">
        <v>20190329</v>
      </c>
      <c r="B306" s="48" t="s">
        <v>88</v>
      </c>
      <c r="C306" s="49">
        <v>44850</v>
      </c>
      <c r="D306" s="49">
        <v>44650</v>
      </c>
      <c r="E306" s="49">
        <v>5969782550</v>
      </c>
      <c r="F306" s="49">
        <f t="shared" si="78"/>
        <v>0.180815846328331</v>
      </c>
      <c r="G306" s="49">
        <f t="shared" si="71"/>
        <v>0.180815846328331</v>
      </c>
      <c r="H306" s="48">
        <v>180500</v>
      </c>
      <c r="I306" s="48">
        <v>181000</v>
      </c>
      <c r="J306" s="51">
        <v>125461438</v>
      </c>
      <c r="K306" s="48">
        <f t="shared" si="79"/>
        <v>1.4964619869729701</v>
      </c>
      <c r="L306" s="48">
        <f t="shared" si="72"/>
        <v>1.4964619869729701</v>
      </c>
      <c r="M306" s="49">
        <v>270300</v>
      </c>
      <c r="N306" s="49">
        <v>279800</v>
      </c>
      <c r="O306" s="49">
        <v>15956260</v>
      </c>
      <c r="P306" s="49">
        <f t="shared" si="80"/>
        <v>20.6144209614665</v>
      </c>
      <c r="Q306" s="49">
        <f t="shared" si="73"/>
        <v>20.6144209614665</v>
      </c>
      <c r="R306" s="48">
        <v>10630</v>
      </c>
      <c r="S306" s="48">
        <v>10715</v>
      </c>
      <c r="T306" s="48">
        <v>62100000</v>
      </c>
      <c r="U306" s="48">
        <f t="shared" si="74"/>
        <v>178.66907334717999</v>
      </c>
      <c r="V306" s="48">
        <f t="shared" si="75"/>
        <v>178.66907334717999</v>
      </c>
      <c r="W306" s="49">
        <v>0</v>
      </c>
      <c r="X306" s="49">
        <v>0</v>
      </c>
      <c r="Y306" s="49">
        <v>0</v>
      </c>
      <c r="Z306" s="49">
        <f t="shared" si="81"/>
        <v>0</v>
      </c>
      <c r="AA306" s="49">
        <v>0</v>
      </c>
      <c r="AB306" s="82">
        <f t="shared" si="86"/>
        <v>0</v>
      </c>
      <c r="AC306" s="82">
        <f t="shared" si="87"/>
        <v>249358299288410.66</v>
      </c>
      <c r="AD306" s="81">
        <f t="shared" si="88"/>
        <v>293100064782488.81</v>
      </c>
      <c r="AE306" s="80">
        <f t="shared" si="76"/>
        <v>1175.4173236619888</v>
      </c>
      <c r="AF306" s="52">
        <f t="shared" si="82"/>
        <v>1.3646419087980885E-2</v>
      </c>
      <c r="AG306" s="48">
        <f t="shared" si="77"/>
        <v>-4.459308807134894E-3</v>
      </c>
      <c r="AH306" s="48">
        <f t="shared" si="83"/>
        <v>2.7700831024930748E-3</v>
      </c>
      <c r="AI306" s="48">
        <f t="shared" si="84"/>
        <v>3.5146133925268219E-2</v>
      </c>
      <c r="AJ306" s="48" t="e">
        <f t="shared" si="85"/>
        <v>#DIV/0!</v>
      </c>
    </row>
    <row r="307" spans="1:36" x14ac:dyDescent="0.3">
      <c r="A307" s="48">
        <v>20190401</v>
      </c>
      <c r="B307" s="48" t="s">
        <v>88</v>
      </c>
      <c r="C307" s="49">
        <v>44650</v>
      </c>
      <c r="D307" s="49">
        <v>45050</v>
      </c>
      <c r="E307" s="49">
        <v>5969782550</v>
      </c>
      <c r="F307" s="49">
        <f t="shared" si="78"/>
        <v>0.180815846328331</v>
      </c>
      <c r="G307" s="49">
        <f t="shared" si="71"/>
        <v>0.180815846328331</v>
      </c>
      <c r="H307" s="48">
        <v>181000</v>
      </c>
      <c r="I307" s="48">
        <v>182000</v>
      </c>
      <c r="J307" s="51">
        <v>125461438</v>
      </c>
      <c r="K307" s="48">
        <f t="shared" si="79"/>
        <v>1.4964619869729701</v>
      </c>
      <c r="L307" s="48">
        <f t="shared" si="72"/>
        <v>1.4964619869729701</v>
      </c>
      <c r="M307" s="49">
        <v>279800</v>
      </c>
      <c r="N307" s="49">
        <v>274900</v>
      </c>
      <c r="O307" s="49">
        <v>15956260</v>
      </c>
      <c r="P307" s="49">
        <f t="shared" si="80"/>
        <v>20.6144209614665</v>
      </c>
      <c r="Q307" s="49">
        <f t="shared" si="73"/>
        <v>20.6144209614665</v>
      </c>
      <c r="R307" s="48">
        <v>10715</v>
      </c>
      <c r="S307" s="48">
        <v>10850</v>
      </c>
      <c r="T307" s="48">
        <v>62100000</v>
      </c>
      <c r="U307" s="48">
        <f t="shared" si="74"/>
        <v>178.66907334717999</v>
      </c>
      <c r="V307" s="48">
        <f t="shared" si="75"/>
        <v>178.66907334717999</v>
      </c>
      <c r="W307" s="49">
        <v>0</v>
      </c>
      <c r="X307" s="49">
        <v>0</v>
      </c>
      <c r="Y307" s="49">
        <v>0</v>
      </c>
      <c r="Z307" s="49">
        <f t="shared" si="81"/>
        <v>0</v>
      </c>
      <c r="AA307" s="49">
        <v>0</v>
      </c>
      <c r="AB307" s="82">
        <f t="shared" si="86"/>
        <v>0</v>
      </c>
      <c r="AC307" s="82">
        <f t="shared" si="87"/>
        <v>249358299288410.66</v>
      </c>
      <c r="AD307" s="81">
        <f t="shared" si="88"/>
        <v>293605705348370.62</v>
      </c>
      <c r="AE307" s="80">
        <f t="shared" si="76"/>
        <v>1177.4450908039878</v>
      </c>
      <c r="AF307" s="52">
        <f t="shared" si="82"/>
        <v>1.7251465510832575E-3</v>
      </c>
      <c r="AG307" s="48">
        <f t="shared" si="77"/>
        <v>8.9585666293393058E-3</v>
      </c>
      <c r="AH307" s="48">
        <f t="shared" si="83"/>
        <v>5.5248618784530384E-3</v>
      </c>
      <c r="AI307" s="48">
        <f t="shared" si="84"/>
        <v>-1.7512508934953538E-2</v>
      </c>
      <c r="AJ307" s="48" t="e">
        <f t="shared" si="85"/>
        <v>#DIV/0!</v>
      </c>
    </row>
    <row r="308" spans="1:36" x14ac:dyDescent="0.3">
      <c r="A308" s="48">
        <v>20190402</v>
      </c>
      <c r="B308" s="48" t="s">
        <v>88</v>
      </c>
      <c r="C308" s="49">
        <v>45050</v>
      </c>
      <c r="D308" s="49">
        <v>45750</v>
      </c>
      <c r="E308" s="49">
        <v>5969782550</v>
      </c>
      <c r="F308" s="49">
        <f t="shared" si="78"/>
        <v>0.180815846328331</v>
      </c>
      <c r="G308" s="49">
        <f t="shared" si="71"/>
        <v>0.180815846328331</v>
      </c>
      <c r="H308" s="48">
        <v>182000</v>
      </c>
      <c r="I308" s="48">
        <v>190000</v>
      </c>
      <c r="J308" s="51">
        <v>125461438</v>
      </c>
      <c r="K308" s="48">
        <f t="shared" si="79"/>
        <v>1.4964619869729701</v>
      </c>
      <c r="L308" s="48">
        <f t="shared" si="72"/>
        <v>1.4964619869729701</v>
      </c>
      <c r="M308" s="49">
        <v>274900</v>
      </c>
      <c r="N308" s="49">
        <v>277000</v>
      </c>
      <c r="O308" s="49">
        <v>15956260</v>
      </c>
      <c r="P308" s="49">
        <f t="shared" si="80"/>
        <v>20.6144209614665</v>
      </c>
      <c r="Q308" s="49">
        <f t="shared" si="73"/>
        <v>20.6144209614665</v>
      </c>
      <c r="R308" s="48">
        <v>10850</v>
      </c>
      <c r="S308" s="48">
        <v>10915</v>
      </c>
      <c r="T308" s="48">
        <v>62100000</v>
      </c>
      <c r="U308" s="48">
        <f t="shared" si="74"/>
        <v>178.66907334717999</v>
      </c>
      <c r="V308" s="48">
        <f t="shared" si="75"/>
        <v>178.66907334717999</v>
      </c>
      <c r="W308" s="49">
        <v>0</v>
      </c>
      <c r="X308" s="49">
        <v>0</v>
      </c>
      <c r="Y308" s="49">
        <v>0</v>
      </c>
      <c r="Z308" s="49">
        <f t="shared" si="81"/>
        <v>0</v>
      </c>
      <c r="AA308" s="49">
        <v>0</v>
      </c>
      <c r="AB308" s="82">
        <f t="shared" si="86"/>
        <v>0</v>
      </c>
      <c r="AC308" s="82">
        <f t="shared" si="87"/>
        <v>249358299288410.66</v>
      </c>
      <c r="AD308" s="81">
        <f t="shared" si="88"/>
        <v>297275242171524.5</v>
      </c>
      <c r="AE308" s="80">
        <f t="shared" si="76"/>
        <v>1192.1610109623523</v>
      </c>
      <c r="AF308" s="52">
        <f t="shared" si="82"/>
        <v>1.2498179552743401E-2</v>
      </c>
      <c r="AG308" s="48">
        <f t="shared" si="77"/>
        <v>1.5538290788013319E-2</v>
      </c>
      <c r="AH308" s="48">
        <f t="shared" si="83"/>
        <v>4.3956043956043959E-2</v>
      </c>
      <c r="AI308" s="48">
        <f t="shared" si="84"/>
        <v>7.6391415060021823E-3</v>
      </c>
      <c r="AJ308" s="48" t="e">
        <f t="shared" si="85"/>
        <v>#DIV/0!</v>
      </c>
    </row>
    <row r="309" spans="1:36" x14ac:dyDescent="0.3">
      <c r="A309" s="48">
        <v>20190403</v>
      </c>
      <c r="B309" s="48" t="s">
        <v>88</v>
      </c>
      <c r="C309" s="49">
        <v>45750</v>
      </c>
      <c r="D309" s="49">
        <v>46600</v>
      </c>
      <c r="E309" s="49">
        <v>5969782550</v>
      </c>
      <c r="F309" s="49">
        <f t="shared" si="78"/>
        <v>0.180815846328331</v>
      </c>
      <c r="G309" s="49">
        <f t="shared" si="71"/>
        <v>0.180815846328331</v>
      </c>
      <c r="H309" s="48">
        <v>190000</v>
      </c>
      <c r="I309" s="48">
        <v>193500</v>
      </c>
      <c r="J309" s="51">
        <v>125461438</v>
      </c>
      <c r="K309" s="48">
        <f t="shared" si="79"/>
        <v>1.4964619869729701</v>
      </c>
      <c r="L309" s="48">
        <f t="shared" si="72"/>
        <v>1.4964619869729701</v>
      </c>
      <c r="M309" s="49">
        <v>277000</v>
      </c>
      <c r="N309" s="49">
        <v>279500</v>
      </c>
      <c r="O309" s="49">
        <v>15956260</v>
      </c>
      <c r="P309" s="49">
        <f t="shared" si="80"/>
        <v>20.6144209614665</v>
      </c>
      <c r="Q309" s="49">
        <f t="shared" si="73"/>
        <v>20.6144209614665</v>
      </c>
      <c r="R309" s="48">
        <v>10915</v>
      </c>
      <c r="S309" s="48">
        <v>11080</v>
      </c>
      <c r="T309" s="48">
        <v>62100000</v>
      </c>
      <c r="U309" s="48">
        <f t="shared" si="74"/>
        <v>178.66907334717999</v>
      </c>
      <c r="V309" s="48">
        <f t="shared" si="75"/>
        <v>178.66907334717999</v>
      </c>
      <c r="W309" s="49">
        <v>0</v>
      </c>
      <c r="X309" s="49">
        <v>0</v>
      </c>
      <c r="Y309" s="49">
        <v>0</v>
      </c>
      <c r="Z309" s="49">
        <f t="shared" si="81"/>
        <v>0</v>
      </c>
      <c r="AA309" s="49">
        <v>0</v>
      </c>
      <c r="AB309" s="82">
        <f t="shared" si="86"/>
        <v>0</v>
      </c>
      <c r="AC309" s="82">
        <f t="shared" si="87"/>
        <v>249358299288410.66</v>
      </c>
      <c r="AD309" s="81">
        <f t="shared" si="88"/>
        <v>301502933029444</v>
      </c>
      <c r="AE309" s="80">
        <f t="shared" si="76"/>
        <v>1209.1152926926336</v>
      </c>
      <c r="AF309" s="52">
        <f t="shared" si="82"/>
        <v>1.4221469729659457E-2</v>
      </c>
      <c r="AG309" s="48">
        <f t="shared" si="77"/>
        <v>1.8579234972677595E-2</v>
      </c>
      <c r="AH309" s="48">
        <f t="shared" si="83"/>
        <v>1.8421052631578946E-2</v>
      </c>
      <c r="AI309" s="48">
        <f t="shared" si="84"/>
        <v>9.0252707581227436E-3</v>
      </c>
      <c r="AJ309" s="48" t="e">
        <f t="shared" si="85"/>
        <v>#DIV/0!</v>
      </c>
    </row>
    <row r="310" spans="1:36" x14ac:dyDescent="0.3">
      <c r="A310" s="48">
        <v>20190404</v>
      </c>
      <c r="B310" s="48" t="s">
        <v>88</v>
      </c>
      <c r="C310" s="49">
        <v>46600</v>
      </c>
      <c r="D310" s="49">
        <v>46950</v>
      </c>
      <c r="E310" s="49">
        <v>5969782550</v>
      </c>
      <c r="F310" s="49">
        <f t="shared" si="78"/>
        <v>0.180815846328331</v>
      </c>
      <c r="G310" s="49">
        <f t="shared" si="71"/>
        <v>0.180815846328331</v>
      </c>
      <c r="H310" s="48">
        <v>193500</v>
      </c>
      <c r="I310" s="48">
        <v>192500</v>
      </c>
      <c r="J310" s="51">
        <v>125461438</v>
      </c>
      <c r="K310" s="48">
        <f t="shared" si="79"/>
        <v>1.4964619869729701</v>
      </c>
      <c r="L310" s="48">
        <f t="shared" si="72"/>
        <v>1.4964619869729701</v>
      </c>
      <c r="M310" s="49">
        <v>279500</v>
      </c>
      <c r="N310" s="49">
        <v>272900</v>
      </c>
      <c r="O310" s="49">
        <v>15956260</v>
      </c>
      <c r="P310" s="49">
        <f t="shared" si="80"/>
        <v>20.6144209614665</v>
      </c>
      <c r="Q310" s="49">
        <f t="shared" si="73"/>
        <v>20.6144209614665</v>
      </c>
      <c r="R310" s="48">
        <v>11080</v>
      </c>
      <c r="S310" s="48">
        <v>11120</v>
      </c>
      <c r="T310" s="48">
        <v>62100000</v>
      </c>
      <c r="U310" s="48">
        <f t="shared" si="74"/>
        <v>178.66907334717999</v>
      </c>
      <c r="V310" s="48">
        <f t="shared" si="75"/>
        <v>178.66907334717999</v>
      </c>
      <c r="W310" s="49">
        <v>0</v>
      </c>
      <c r="X310" s="49">
        <v>0</v>
      </c>
      <c r="Y310" s="49">
        <v>0</v>
      </c>
      <c r="Z310" s="49">
        <f t="shared" si="81"/>
        <v>0</v>
      </c>
      <c r="AA310" s="49">
        <v>0</v>
      </c>
      <c r="AB310" s="82">
        <f t="shared" si="86"/>
        <v>0</v>
      </c>
      <c r="AC310" s="82">
        <f t="shared" si="87"/>
        <v>249358299288410.66</v>
      </c>
      <c r="AD310" s="81">
        <f t="shared" si="88"/>
        <v>299965867884271.44</v>
      </c>
      <c r="AE310" s="80">
        <f t="shared" si="76"/>
        <v>1202.9512101272694</v>
      </c>
      <c r="AF310" s="52">
        <f t="shared" si="82"/>
        <v>-5.0980105889134215E-3</v>
      </c>
      <c r="AG310" s="48">
        <f t="shared" si="77"/>
        <v>7.5107296137339056E-3</v>
      </c>
      <c r="AH310" s="48">
        <f t="shared" si="83"/>
        <v>-5.1679586563307496E-3</v>
      </c>
      <c r="AI310" s="48">
        <f t="shared" si="84"/>
        <v>-2.3613595706618962E-2</v>
      </c>
      <c r="AJ310" s="48" t="e">
        <f t="shared" si="85"/>
        <v>#DIV/0!</v>
      </c>
    </row>
    <row r="311" spans="1:36" x14ac:dyDescent="0.3">
      <c r="A311" s="48">
        <v>20190405</v>
      </c>
      <c r="B311" s="48" t="s">
        <v>88</v>
      </c>
      <c r="C311" s="49">
        <v>46950</v>
      </c>
      <c r="D311" s="49">
        <v>46850</v>
      </c>
      <c r="E311" s="49">
        <v>5969782550</v>
      </c>
      <c r="F311" s="49">
        <f t="shared" si="78"/>
        <v>0.180815846328331</v>
      </c>
      <c r="G311" s="49">
        <f t="shared" si="71"/>
        <v>0.180815846328331</v>
      </c>
      <c r="H311" s="48">
        <v>192500</v>
      </c>
      <c r="I311" s="48">
        <v>192000</v>
      </c>
      <c r="J311" s="51">
        <v>125461438</v>
      </c>
      <c r="K311" s="48">
        <f t="shared" si="79"/>
        <v>1.4964619869729701</v>
      </c>
      <c r="L311" s="48">
        <f t="shared" si="72"/>
        <v>1.4964619869729701</v>
      </c>
      <c r="M311" s="49">
        <v>272900</v>
      </c>
      <c r="N311" s="49">
        <v>265100</v>
      </c>
      <c r="O311" s="49">
        <v>15956260</v>
      </c>
      <c r="P311" s="49">
        <f t="shared" si="80"/>
        <v>20.6144209614665</v>
      </c>
      <c r="Q311" s="49">
        <f t="shared" si="73"/>
        <v>20.6144209614665</v>
      </c>
      <c r="R311" s="48">
        <v>11120</v>
      </c>
      <c r="S311" s="48">
        <v>11120</v>
      </c>
      <c r="T311" s="48">
        <v>62100000</v>
      </c>
      <c r="U311" s="48">
        <f t="shared" si="74"/>
        <v>178.66907334717999</v>
      </c>
      <c r="V311" s="48">
        <f t="shared" si="75"/>
        <v>178.66907334717999</v>
      </c>
      <c r="W311" s="49">
        <v>0</v>
      </c>
      <c r="X311" s="49">
        <v>0</v>
      </c>
      <c r="Y311" s="49">
        <v>0</v>
      </c>
      <c r="Z311" s="49">
        <f t="shared" si="81"/>
        <v>0</v>
      </c>
      <c r="AA311" s="49">
        <v>0</v>
      </c>
      <c r="AB311" s="82">
        <f t="shared" si="86"/>
        <v>0</v>
      </c>
      <c r="AC311" s="82">
        <f t="shared" si="87"/>
        <v>249358299288410.66</v>
      </c>
      <c r="AD311" s="81">
        <f t="shared" si="88"/>
        <v>297198403946692.25</v>
      </c>
      <c r="AE311" s="80">
        <f t="shared" si="76"/>
        <v>1191.8528671185279</v>
      </c>
      <c r="AF311" s="52">
        <f t="shared" si="82"/>
        <v>-9.2259294602374739E-3</v>
      </c>
      <c r="AG311" s="48">
        <f t="shared" si="77"/>
        <v>-2.1299254526091589E-3</v>
      </c>
      <c r="AH311" s="48">
        <f t="shared" si="83"/>
        <v>-2.5974025974025974E-3</v>
      </c>
      <c r="AI311" s="48">
        <f t="shared" si="84"/>
        <v>-2.8581898131183583E-2</v>
      </c>
      <c r="AJ311" s="48" t="e">
        <f t="shared" si="85"/>
        <v>#DIV/0!</v>
      </c>
    </row>
    <row r="312" spans="1:36" x14ac:dyDescent="0.3">
      <c r="A312" s="48">
        <v>20190408</v>
      </c>
      <c r="B312" s="48" t="s">
        <v>88</v>
      </c>
      <c r="C312" s="49">
        <v>46850</v>
      </c>
      <c r="D312" s="49">
        <v>46650</v>
      </c>
      <c r="E312" s="49">
        <v>5969782550</v>
      </c>
      <c r="F312" s="49">
        <f t="shared" si="78"/>
        <v>0.180815846328331</v>
      </c>
      <c r="G312" s="49">
        <f t="shared" si="71"/>
        <v>0.180815846328331</v>
      </c>
      <c r="H312" s="48">
        <v>192000</v>
      </c>
      <c r="I312" s="48">
        <v>195500</v>
      </c>
      <c r="J312" s="51">
        <v>125461438</v>
      </c>
      <c r="K312" s="48">
        <f t="shared" si="79"/>
        <v>1.4964619869729701</v>
      </c>
      <c r="L312" s="48">
        <f t="shared" si="72"/>
        <v>1.4964619869729701</v>
      </c>
      <c r="M312" s="49">
        <v>265100</v>
      </c>
      <c r="N312" s="49">
        <v>271200</v>
      </c>
      <c r="O312" s="49">
        <v>15956260</v>
      </c>
      <c r="P312" s="49">
        <f t="shared" si="80"/>
        <v>20.6144209614665</v>
      </c>
      <c r="Q312" s="49">
        <f t="shared" si="73"/>
        <v>20.6144209614665</v>
      </c>
      <c r="R312" s="48">
        <v>11120</v>
      </c>
      <c r="S312" s="48">
        <v>11105</v>
      </c>
      <c r="T312" s="48">
        <v>62100000</v>
      </c>
      <c r="U312" s="48">
        <f t="shared" si="74"/>
        <v>178.66907334717999</v>
      </c>
      <c r="V312" s="48">
        <f t="shared" si="75"/>
        <v>178.66907334717999</v>
      </c>
      <c r="W312" s="49">
        <v>0</v>
      </c>
      <c r="X312" s="49">
        <v>0</v>
      </c>
      <c r="Y312" s="49">
        <v>0</v>
      </c>
      <c r="Z312" s="49">
        <f t="shared" si="81"/>
        <v>0</v>
      </c>
      <c r="AA312" s="49">
        <v>0</v>
      </c>
      <c r="AB312" s="82">
        <f t="shared" ref="AB312:AB343" si="89">IF(AD311&lt;&gt;(C312*E312*F312+H312*J312*K312+M312*O312*P312+R312*T312*U312),1,0)</f>
        <v>0</v>
      </c>
      <c r="AC312" s="82">
        <f t="shared" ref="AC312:AC343" si="90">IF(AND(AB312=0,B312="N"),AC311,AC311*(C312*E312*G312+H312*J312*L312+M312*O312*Q312+R312*T312*V312)/AD311)</f>
        <v>249358299288410.66</v>
      </c>
      <c r="AD312" s="81">
        <f t="shared" ref="AD312:AD343" si="91">D312*E312*G312+I312*J312*L312+N312*O312*Q312+S312*T312*V312</f>
        <v>299479673672552.13</v>
      </c>
      <c r="AE312" s="80">
        <f t="shared" si="76"/>
        <v>1201.0014285755556</v>
      </c>
      <c r="AF312" s="52">
        <f t="shared" si="82"/>
        <v>7.6759151313245478E-3</v>
      </c>
      <c r="AG312" s="48">
        <f t="shared" si="77"/>
        <v>-4.2689434364994666E-3</v>
      </c>
      <c r="AH312" s="48">
        <f t="shared" si="83"/>
        <v>1.8229166666666668E-2</v>
      </c>
      <c r="AI312" s="48">
        <f t="shared" si="84"/>
        <v>2.3010184835910975E-2</v>
      </c>
      <c r="AJ312" s="48" t="e">
        <f t="shared" si="85"/>
        <v>#DIV/0!</v>
      </c>
    </row>
    <row r="313" spans="1:36" x14ac:dyDescent="0.3">
      <c r="A313" s="48">
        <v>20190409</v>
      </c>
      <c r="B313" s="48" t="s">
        <v>88</v>
      </c>
      <c r="C313" s="49">
        <v>46650</v>
      </c>
      <c r="D313" s="49">
        <v>46650</v>
      </c>
      <c r="E313" s="49">
        <v>5969782550</v>
      </c>
      <c r="F313" s="49">
        <f t="shared" si="78"/>
        <v>0.180815846328331</v>
      </c>
      <c r="G313" s="49">
        <f t="shared" ref="G313:G376" si="92">IF(B313="Y",ROUND(0.15*(C313*E313+H313*J313+M313*O313+R313*T313)/(C313*E313),17),IF(AB313=0,F313,ROUND(D312*E312*G312/AD312*(C313*E313+H313*J313+M313*O313+R313*T313)/(C313*E313),17)))</f>
        <v>0.180815846328331</v>
      </c>
      <c r="H313" s="48">
        <v>195500</v>
      </c>
      <c r="I313" s="48">
        <v>204500</v>
      </c>
      <c r="J313" s="51">
        <v>125461438</v>
      </c>
      <c r="K313" s="48">
        <f t="shared" si="79"/>
        <v>1.4964619869729701</v>
      </c>
      <c r="L313" s="48">
        <f t="shared" ref="L313:L376" si="93">IF(B313="Y",ROUND(0.15*(C313*E313+H313*J313+M313*O313+R313*T313)/(H313*J313),17),IF(AB313=0,K313,ROUND(I312*J312*L312/AD312*(C313*E313+H313*J313+M313*O313+R313*T313)/(H313*J313),17)))</f>
        <v>1.4964619869729701</v>
      </c>
      <c r="M313" s="49">
        <v>271200</v>
      </c>
      <c r="N313" s="49">
        <v>270900</v>
      </c>
      <c r="O313" s="49">
        <v>15956260</v>
      </c>
      <c r="P313" s="49">
        <f t="shared" si="80"/>
        <v>20.6144209614665</v>
      </c>
      <c r="Q313" s="49">
        <f t="shared" ref="Q313:Q376" si="94">IF(B313="Y",ROUND(0.3*(C313*E313+H313*J313+M313*O313+R313*T313)/(M313*O313),17),IF(AB313=0,P313,ROUND(N312*O312*Q312/AD312*(C313*E313+H313*J313+M313*O313+R313*T313)/(M313*O313),17)))</f>
        <v>20.6144209614665</v>
      </c>
      <c r="R313" s="48">
        <v>11105</v>
      </c>
      <c r="S313" s="48">
        <v>11175</v>
      </c>
      <c r="T313" s="48">
        <v>62100000</v>
      </c>
      <c r="U313" s="48">
        <f t="shared" si="74"/>
        <v>178.66907334717999</v>
      </c>
      <c r="V313" s="48">
        <f t="shared" si="75"/>
        <v>178.66907334717999</v>
      </c>
      <c r="W313" s="49">
        <v>0</v>
      </c>
      <c r="X313" s="49">
        <v>0</v>
      </c>
      <c r="Y313" s="49">
        <v>0</v>
      </c>
      <c r="Z313" s="49">
        <f t="shared" si="81"/>
        <v>0</v>
      </c>
      <c r="AA313" s="49">
        <v>0</v>
      </c>
      <c r="AB313" s="82">
        <f t="shared" si="89"/>
        <v>0</v>
      </c>
      <c r="AC313" s="82">
        <f t="shared" si="90"/>
        <v>249358299288410.66</v>
      </c>
      <c r="AD313" s="81">
        <f t="shared" si="91"/>
        <v>301847403871390.81</v>
      </c>
      <c r="AE313" s="80">
        <f t="shared" si="76"/>
        <v>1210.4967219168859</v>
      </c>
      <c r="AF313" s="52">
        <f t="shared" si="82"/>
        <v>7.9061465835159068E-3</v>
      </c>
      <c r="AG313" s="48">
        <f t="shared" si="77"/>
        <v>0</v>
      </c>
      <c r="AH313" s="48">
        <f t="shared" si="83"/>
        <v>4.6035805626598467E-2</v>
      </c>
      <c r="AI313" s="48">
        <f t="shared" si="84"/>
        <v>-1.1061946902654867E-3</v>
      </c>
      <c r="AJ313" s="48" t="e">
        <f t="shared" si="85"/>
        <v>#DIV/0!</v>
      </c>
    </row>
    <row r="314" spans="1:36" x14ac:dyDescent="0.3">
      <c r="A314" s="48">
        <v>20190410</v>
      </c>
      <c r="B314" s="48" t="s">
        <v>88</v>
      </c>
      <c r="C314" s="49">
        <v>46650</v>
      </c>
      <c r="D314" s="49">
        <v>46700</v>
      </c>
      <c r="E314" s="49">
        <v>5969782550</v>
      </c>
      <c r="F314" s="49">
        <f t="shared" si="78"/>
        <v>0.180815846328331</v>
      </c>
      <c r="G314" s="49">
        <f t="shared" si="92"/>
        <v>0.180815846328331</v>
      </c>
      <c r="H314" s="48">
        <v>204500</v>
      </c>
      <c r="I314" s="48">
        <v>205500</v>
      </c>
      <c r="J314" s="51">
        <v>125461438</v>
      </c>
      <c r="K314" s="48">
        <f t="shared" si="79"/>
        <v>1.4964619869729701</v>
      </c>
      <c r="L314" s="48">
        <f t="shared" si="93"/>
        <v>1.4964619869729701</v>
      </c>
      <c r="M314" s="49">
        <v>270900</v>
      </c>
      <c r="N314" s="49">
        <v>278000</v>
      </c>
      <c r="O314" s="49">
        <v>15956260</v>
      </c>
      <c r="P314" s="49">
        <f t="shared" si="80"/>
        <v>20.6144209614665</v>
      </c>
      <c r="Q314" s="49">
        <f t="shared" si="94"/>
        <v>20.6144209614665</v>
      </c>
      <c r="R314" s="48">
        <v>11175</v>
      </c>
      <c r="S314" s="48">
        <v>11090</v>
      </c>
      <c r="T314" s="48">
        <v>62100000</v>
      </c>
      <c r="U314" s="48">
        <f t="shared" ref="U314:U377" si="95">V313</f>
        <v>178.66907334717999</v>
      </c>
      <c r="V314" s="48">
        <f t="shared" ref="V314:V377" si="96">IF(B314="Y",ROUND(0.4*(C314*E314+H314*J314+M314*O314+R314*T314)/(R314*T314),17),IF(AB314=0,U314,ROUND(S313*T313*V313/AD313*(C314*E314+H314*J314+M314*O314+R314*T314)/(R314*T314),17)))</f>
        <v>178.66907334717999</v>
      </c>
      <c r="W314" s="49">
        <v>0</v>
      </c>
      <c r="X314" s="49">
        <v>0</v>
      </c>
      <c r="Y314" s="49">
        <v>0</v>
      </c>
      <c r="Z314" s="49">
        <f t="shared" si="81"/>
        <v>0</v>
      </c>
      <c r="AA314" s="49">
        <v>0</v>
      </c>
      <c r="AB314" s="82">
        <f t="shared" si="89"/>
        <v>0</v>
      </c>
      <c r="AC314" s="82">
        <f t="shared" si="90"/>
        <v>249358299288410.66</v>
      </c>
      <c r="AD314" s="81">
        <f t="shared" si="91"/>
        <v>303481415335069.75</v>
      </c>
      <c r="AE314" s="80">
        <f t="shared" si="76"/>
        <v>1217.0495876861098</v>
      </c>
      <c r="AF314" s="52">
        <f t="shared" si="82"/>
        <v>5.4133692810395123E-3</v>
      </c>
      <c r="AG314" s="48">
        <f t="shared" si="77"/>
        <v>1.0718113612004287E-3</v>
      </c>
      <c r="AH314" s="48">
        <f t="shared" si="83"/>
        <v>4.8899755501222494E-3</v>
      </c>
      <c r="AI314" s="48">
        <f t="shared" si="84"/>
        <v>2.6208933185677373E-2</v>
      </c>
      <c r="AJ314" s="48" t="e">
        <f t="shared" si="85"/>
        <v>#DIV/0!</v>
      </c>
    </row>
    <row r="315" spans="1:36" x14ac:dyDescent="0.3">
      <c r="A315" s="48">
        <v>20190411</v>
      </c>
      <c r="B315" s="48" t="s">
        <v>88</v>
      </c>
      <c r="C315" s="49">
        <v>46700</v>
      </c>
      <c r="D315" s="49">
        <v>46250</v>
      </c>
      <c r="E315" s="49">
        <v>5969782550</v>
      </c>
      <c r="F315" s="49">
        <f t="shared" si="78"/>
        <v>0.180815846328331</v>
      </c>
      <c r="G315" s="49">
        <f t="shared" si="92"/>
        <v>0.180815846328331</v>
      </c>
      <c r="H315" s="48">
        <v>205500</v>
      </c>
      <c r="I315" s="48">
        <v>210500</v>
      </c>
      <c r="J315" s="51">
        <v>125461438</v>
      </c>
      <c r="K315" s="48">
        <f t="shared" si="79"/>
        <v>1.4964619869729701</v>
      </c>
      <c r="L315" s="48">
        <f t="shared" si="93"/>
        <v>1.4964619869729701</v>
      </c>
      <c r="M315" s="49">
        <v>278000</v>
      </c>
      <c r="N315" s="49">
        <v>278500</v>
      </c>
      <c r="O315" s="49">
        <v>15956260</v>
      </c>
      <c r="P315" s="49">
        <f t="shared" si="80"/>
        <v>20.6144209614665</v>
      </c>
      <c r="Q315" s="49">
        <f t="shared" si="94"/>
        <v>20.6144209614665</v>
      </c>
      <c r="R315" s="48">
        <v>11090</v>
      </c>
      <c r="S315" s="48">
        <v>11140</v>
      </c>
      <c r="T315" s="48">
        <v>62100000</v>
      </c>
      <c r="U315" s="48">
        <f t="shared" si="95"/>
        <v>178.66907334717999</v>
      </c>
      <c r="V315" s="48">
        <f t="shared" si="96"/>
        <v>178.66907334717999</v>
      </c>
      <c r="W315" s="49">
        <v>0</v>
      </c>
      <c r="X315" s="49">
        <v>0</v>
      </c>
      <c r="Y315" s="49">
        <v>0</v>
      </c>
      <c r="Z315" s="49">
        <f t="shared" si="81"/>
        <v>0</v>
      </c>
      <c r="AA315" s="49">
        <v>0</v>
      </c>
      <c r="AB315" s="82">
        <f t="shared" si="89"/>
        <v>0</v>
      </c>
      <c r="AC315" s="82">
        <f t="shared" si="90"/>
        <v>249358299288410.66</v>
      </c>
      <c r="AD315" s="81">
        <f t="shared" si="91"/>
        <v>304653644624229.37</v>
      </c>
      <c r="AE315" s="80">
        <f t="shared" si="76"/>
        <v>1221.7505713409741</v>
      </c>
      <c r="AF315" s="52">
        <f t="shared" si="82"/>
        <v>3.8626065054604536E-3</v>
      </c>
      <c r="AG315" s="48">
        <f t="shared" si="77"/>
        <v>-9.6359743040685224E-3</v>
      </c>
      <c r="AH315" s="48">
        <f t="shared" si="83"/>
        <v>2.4330900243309004E-2</v>
      </c>
      <c r="AI315" s="48">
        <f t="shared" si="84"/>
        <v>1.7985611510791368E-3</v>
      </c>
      <c r="AJ315" s="48" t="e">
        <f t="shared" si="85"/>
        <v>#DIV/0!</v>
      </c>
    </row>
    <row r="316" spans="1:36" x14ac:dyDescent="0.3">
      <c r="A316" s="48">
        <v>20190412</v>
      </c>
      <c r="B316" s="48" t="s">
        <v>88</v>
      </c>
      <c r="C316" s="49">
        <v>46250</v>
      </c>
      <c r="D316" s="49">
        <v>46850</v>
      </c>
      <c r="E316" s="49">
        <v>5969782550</v>
      </c>
      <c r="F316" s="49">
        <f t="shared" si="78"/>
        <v>0.180815846328331</v>
      </c>
      <c r="G316" s="49">
        <f t="shared" si="92"/>
        <v>0.180815846328331</v>
      </c>
      <c r="H316" s="48">
        <v>210500</v>
      </c>
      <c r="I316" s="48">
        <v>209000</v>
      </c>
      <c r="J316" s="51">
        <v>125461438</v>
      </c>
      <c r="K316" s="48">
        <f t="shared" si="79"/>
        <v>1.4964619869729701</v>
      </c>
      <c r="L316" s="48">
        <f t="shared" si="93"/>
        <v>1.4964619869729701</v>
      </c>
      <c r="M316" s="49">
        <v>278500</v>
      </c>
      <c r="N316" s="49">
        <v>274100</v>
      </c>
      <c r="O316" s="49">
        <v>15956260</v>
      </c>
      <c r="P316" s="49">
        <f t="shared" si="80"/>
        <v>20.6144209614665</v>
      </c>
      <c r="Q316" s="49">
        <f t="shared" si="94"/>
        <v>20.6144209614665</v>
      </c>
      <c r="R316" s="48">
        <v>11140</v>
      </c>
      <c r="S316" s="48">
        <v>11150</v>
      </c>
      <c r="T316" s="48">
        <v>62100000</v>
      </c>
      <c r="U316" s="48">
        <f t="shared" si="95"/>
        <v>178.66907334717999</v>
      </c>
      <c r="V316" s="48">
        <f t="shared" si="96"/>
        <v>178.66907334717999</v>
      </c>
      <c r="W316" s="49">
        <v>0</v>
      </c>
      <c r="X316" s="49">
        <v>0</v>
      </c>
      <c r="Y316" s="49">
        <v>0</v>
      </c>
      <c r="Z316" s="49">
        <f t="shared" si="81"/>
        <v>0</v>
      </c>
      <c r="AA316" s="49">
        <v>0</v>
      </c>
      <c r="AB316" s="82">
        <f t="shared" si="89"/>
        <v>0</v>
      </c>
      <c r="AC316" s="82">
        <f t="shared" si="90"/>
        <v>249358299288410.66</v>
      </c>
      <c r="AD316" s="81">
        <f t="shared" si="91"/>
        <v>303683346613399</v>
      </c>
      <c r="AE316" s="80">
        <f t="shared" si="76"/>
        <v>1217.8593914059197</v>
      </c>
      <c r="AF316" s="52">
        <f t="shared" si="82"/>
        <v>-3.1849217232479184E-3</v>
      </c>
      <c r="AG316" s="48">
        <f t="shared" si="77"/>
        <v>1.2972972972972972E-2</v>
      </c>
      <c r="AH316" s="48">
        <f t="shared" si="83"/>
        <v>-7.1258907363420431E-3</v>
      </c>
      <c r="AI316" s="48">
        <f t="shared" si="84"/>
        <v>-1.5798922800718134E-2</v>
      </c>
      <c r="AJ316" s="48" t="e">
        <f t="shared" si="85"/>
        <v>#DIV/0!</v>
      </c>
    </row>
    <row r="317" spans="1:36" x14ac:dyDescent="0.3">
      <c r="A317" s="48">
        <v>20190415</v>
      </c>
      <c r="B317" s="48" t="s">
        <v>88</v>
      </c>
      <c r="C317" s="49">
        <v>46850</v>
      </c>
      <c r="D317" s="49">
        <v>47050</v>
      </c>
      <c r="E317" s="49">
        <v>5969782550</v>
      </c>
      <c r="F317" s="49">
        <f t="shared" si="78"/>
        <v>0.180815846328331</v>
      </c>
      <c r="G317" s="49">
        <f t="shared" si="92"/>
        <v>0.180815846328331</v>
      </c>
      <c r="H317" s="48">
        <v>209000</v>
      </c>
      <c r="I317" s="48">
        <v>203500</v>
      </c>
      <c r="J317" s="51">
        <v>125461438</v>
      </c>
      <c r="K317" s="48">
        <f t="shared" si="79"/>
        <v>1.4964619869729701</v>
      </c>
      <c r="L317" s="48">
        <f t="shared" si="93"/>
        <v>1.4964619869729701</v>
      </c>
      <c r="M317" s="49">
        <v>274100</v>
      </c>
      <c r="N317" s="49">
        <v>268400</v>
      </c>
      <c r="O317" s="49">
        <v>15956260</v>
      </c>
      <c r="P317" s="49">
        <f t="shared" si="80"/>
        <v>20.6144209614665</v>
      </c>
      <c r="Q317" s="49">
        <f t="shared" si="94"/>
        <v>20.6144209614665</v>
      </c>
      <c r="R317" s="48">
        <v>11150</v>
      </c>
      <c r="S317" s="48">
        <v>11190</v>
      </c>
      <c r="T317" s="48">
        <v>62100000</v>
      </c>
      <c r="U317" s="48">
        <f t="shared" si="95"/>
        <v>178.66907334717999</v>
      </c>
      <c r="V317" s="48">
        <f t="shared" si="96"/>
        <v>178.66907334717999</v>
      </c>
      <c r="W317" s="49">
        <v>0</v>
      </c>
      <c r="X317" s="49">
        <v>0</v>
      </c>
      <c r="Y317" s="49">
        <v>0</v>
      </c>
      <c r="Z317" s="49">
        <f t="shared" si="81"/>
        <v>0</v>
      </c>
      <c r="AA317" s="49">
        <v>0</v>
      </c>
      <c r="AB317" s="82">
        <f t="shared" si="89"/>
        <v>0</v>
      </c>
      <c r="AC317" s="82">
        <f t="shared" si="90"/>
        <v>249358299288410.66</v>
      </c>
      <c r="AD317" s="81">
        <f t="shared" si="91"/>
        <v>301435535702559</v>
      </c>
      <c r="AE317" s="80">
        <f t="shared" si="76"/>
        <v>1208.845009621738</v>
      </c>
      <c r="AF317" s="52">
        <f t="shared" si="82"/>
        <v>-7.4018247490585751E-3</v>
      </c>
      <c r="AG317" s="48">
        <f t="shared" si="77"/>
        <v>4.2689434364994666E-3</v>
      </c>
      <c r="AH317" s="48">
        <f t="shared" si="83"/>
        <v>-2.6315789473684209E-2</v>
      </c>
      <c r="AI317" s="48">
        <f t="shared" si="84"/>
        <v>-2.0795330171470266E-2</v>
      </c>
      <c r="AJ317" s="48" t="e">
        <f t="shared" si="85"/>
        <v>#DIV/0!</v>
      </c>
    </row>
    <row r="318" spans="1:36" x14ac:dyDescent="0.3">
      <c r="A318" s="48">
        <v>20190416</v>
      </c>
      <c r="B318" s="48" t="s">
        <v>88</v>
      </c>
      <c r="C318" s="49">
        <v>47050</v>
      </c>
      <c r="D318" s="49">
        <v>47250</v>
      </c>
      <c r="E318" s="49">
        <v>5969782550</v>
      </c>
      <c r="F318" s="49">
        <f t="shared" si="78"/>
        <v>0.180815846328331</v>
      </c>
      <c r="G318" s="49">
        <f t="shared" si="92"/>
        <v>0.180815846328331</v>
      </c>
      <c r="H318" s="48">
        <v>203500</v>
      </c>
      <c r="I318" s="48">
        <v>208000</v>
      </c>
      <c r="J318" s="51">
        <v>125461438</v>
      </c>
      <c r="K318" s="48">
        <f t="shared" si="79"/>
        <v>1.4964619869729701</v>
      </c>
      <c r="L318" s="48">
        <f t="shared" si="93"/>
        <v>1.4964619869729701</v>
      </c>
      <c r="M318" s="49">
        <v>268400</v>
      </c>
      <c r="N318" s="49">
        <v>270200</v>
      </c>
      <c r="O318" s="49">
        <v>15956260</v>
      </c>
      <c r="P318" s="49">
        <f t="shared" si="80"/>
        <v>20.6144209614665</v>
      </c>
      <c r="Q318" s="49">
        <f t="shared" si="94"/>
        <v>20.6144209614665</v>
      </c>
      <c r="R318" s="48">
        <v>11190</v>
      </c>
      <c r="S318" s="48">
        <v>11260</v>
      </c>
      <c r="T318" s="48">
        <v>62100000</v>
      </c>
      <c r="U318" s="48">
        <f t="shared" si="95"/>
        <v>178.66907334717999</v>
      </c>
      <c r="V318" s="48">
        <f t="shared" si="96"/>
        <v>178.66907334717999</v>
      </c>
      <c r="W318" s="49">
        <v>0</v>
      </c>
      <c r="X318" s="49">
        <v>0</v>
      </c>
      <c r="Y318" s="49">
        <v>0</v>
      </c>
      <c r="Z318" s="49">
        <f t="shared" si="81"/>
        <v>0</v>
      </c>
      <c r="AA318" s="49">
        <v>0</v>
      </c>
      <c r="AB318" s="82">
        <f t="shared" si="89"/>
        <v>0</v>
      </c>
      <c r="AC318" s="82">
        <f t="shared" si="90"/>
        <v>249358299288410.66</v>
      </c>
      <c r="AD318" s="81">
        <f t="shared" si="91"/>
        <v>303865035957924</v>
      </c>
      <c r="AE318" s="80">
        <f t="shared" si="76"/>
        <v>1218.5880190274727</v>
      </c>
      <c r="AF318" s="52">
        <f t="shared" si="82"/>
        <v>8.0597672391296993E-3</v>
      </c>
      <c r="AG318" s="48">
        <f t="shared" si="77"/>
        <v>4.2507970244420826E-3</v>
      </c>
      <c r="AH318" s="48">
        <f t="shared" si="83"/>
        <v>2.2113022113022112E-2</v>
      </c>
      <c r="AI318" s="48">
        <f t="shared" si="84"/>
        <v>6.7064083457526085E-3</v>
      </c>
      <c r="AJ318" s="48" t="e">
        <f t="shared" si="85"/>
        <v>#DIV/0!</v>
      </c>
    </row>
    <row r="319" spans="1:36" x14ac:dyDescent="0.3">
      <c r="A319" s="48">
        <v>20190417</v>
      </c>
      <c r="B319" s="48" t="s">
        <v>88</v>
      </c>
      <c r="C319" s="49">
        <v>47250</v>
      </c>
      <c r="D319" s="49">
        <v>47050</v>
      </c>
      <c r="E319" s="49">
        <v>5969782550</v>
      </c>
      <c r="F319" s="49">
        <f t="shared" si="78"/>
        <v>0.180815846328331</v>
      </c>
      <c r="G319" s="49">
        <f t="shared" si="92"/>
        <v>0.180815846328331</v>
      </c>
      <c r="H319" s="48">
        <v>208000</v>
      </c>
      <c r="I319" s="48">
        <v>208500</v>
      </c>
      <c r="J319" s="51">
        <v>125461438</v>
      </c>
      <c r="K319" s="48">
        <f t="shared" si="79"/>
        <v>1.4964619869729701</v>
      </c>
      <c r="L319" s="48">
        <f t="shared" si="93"/>
        <v>1.4964619869729701</v>
      </c>
      <c r="M319" s="49">
        <v>270200</v>
      </c>
      <c r="N319" s="49">
        <v>266500</v>
      </c>
      <c r="O319" s="49">
        <v>15956260</v>
      </c>
      <c r="P319" s="49">
        <f t="shared" si="80"/>
        <v>20.6144209614665</v>
      </c>
      <c r="Q319" s="49">
        <f t="shared" si="94"/>
        <v>20.6144209614665</v>
      </c>
      <c r="R319" s="48">
        <v>11260</v>
      </c>
      <c r="S319" s="48">
        <v>11260</v>
      </c>
      <c r="T319" s="48">
        <v>62100000</v>
      </c>
      <c r="U319" s="48">
        <f t="shared" si="95"/>
        <v>178.66907334717999</v>
      </c>
      <c r="V319" s="48">
        <f t="shared" si="96"/>
        <v>178.66907334717999</v>
      </c>
      <c r="W319" s="49">
        <v>0</v>
      </c>
      <c r="X319" s="49">
        <v>0</v>
      </c>
      <c r="Y319" s="49">
        <v>0</v>
      </c>
      <c r="Z319" s="49">
        <f t="shared" si="81"/>
        <v>0</v>
      </c>
      <c r="AA319" s="49">
        <v>0</v>
      </c>
      <c r="AB319" s="82">
        <f t="shared" si="89"/>
        <v>0</v>
      </c>
      <c r="AC319" s="82">
        <f t="shared" si="90"/>
        <v>249358299288410.66</v>
      </c>
      <c r="AD319" s="81">
        <f t="shared" si="91"/>
        <v>302525986313228.87</v>
      </c>
      <c r="AE319" s="80">
        <f t="shared" si="76"/>
        <v>1213.2180367629305</v>
      </c>
      <c r="AF319" s="52">
        <f t="shared" si="82"/>
        <v>-4.406724980627841E-3</v>
      </c>
      <c r="AG319" s="48">
        <f t="shared" si="77"/>
        <v>-4.2328042328042331E-3</v>
      </c>
      <c r="AH319" s="48">
        <f t="shared" si="83"/>
        <v>2.403846153846154E-3</v>
      </c>
      <c r="AI319" s="48">
        <f t="shared" si="84"/>
        <v>-1.3693560325684678E-2</v>
      </c>
      <c r="AJ319" s="48" t="e">
        <f t="shared" si="85"/>
        <v>#DIV/0!</v>
      </c>
    </row>
    <row r="320" spans="1:36" x14ac:dyDescent="0.3">
      <c r="A320" s="48">
        <v>20190418</v>
      </c>
      <c r="B320" s="48" t="s">
        <v>88</v>
      </c>
      <c r="C320" s="49">
        <v>47050</v>
      </c>
      <c r="D320" s="49">
        <v>45600</v>
      </c>
      <c r="E320" s="49">
        <v>5969782550</v>
      </c>
      <c r="F320" s="49">
        <f t="shared" si="78"/>
        <v>0.180815846328331</v>
      </c>
      <c r="G320" s="49">
        <f t="shared" si="92"/>
        <v>0.180815846328331</v>
      </c>
      <c r="H320" s="48">
        <v>208500</v>
      </c>
      <c r="I320" s="48">
        <v>203500</v>
      </c>
      <c r="J320" s="51">
        <v>125461438</v>
      </c>
      <c r="K320" s="48">
        <f t="shared" si="79"/>
        <v>1.4964619869729701</v>
      </c>
      <c r="L320" s="48">
        <f t="shared" si="93"/>
        <v>1.4964619869729701</v>
      </c>
      <c r="M320" s="49">
        <v>266500</v>
      </c>
      <c r="N320" s="49">
        <v>257500</v>
      </c>
      <c r="O320" s="49">
        <v>15956260</v>
      </c>
      <c r="P320" s="49">
        <f t="shared" si="80"/>
        <v>20.6144209614665</v>
      </c>
      <c r="Q320" s="49">
        <f t="shared" si="94"/>
        <v>20.6144209614665</v>
      </c>
      <c r="R320" s="48">
        <v>11260</v>
      </c>
      <c r="S320" s="48">
        <v>11085</v>
      </c>
      <c r="T320" s="48">
        <v>62100000</v>
      </c>
      <c r="U320" s="48">
        <f t="shared" si="95"/>
        <v>178.66907334717999</v>
      </c>
      <c r="V320" s="48">
        <f t="shared" si="96"/>
        <v>178.66907334717999</v>
      </c>
      <c r="W320" s="49">
        <v>0</v>
      </c>
      <c r="X320" s="49">
        <v>0</v>
      </c>
      <c r="Y320" s="49">
        <v>0</v>
      </c>
      <c r="Z320" s="49">
        <f t="shared" si="81"/>
        <v>0</v>
      </c>
      <c r="AA320" s="49">
        <v>0</v>
      </c>
      <c r="AB320" s="82">
        <f t="shared" si="89"/>
        <v>0</v>
      </c>
      <c r="AC320" s="82">
        <f t="shared" si="90"/>
        <v>249358299288410.66</v>
      </c>
      <c r="AD320" s="81">
        <f t="shared" si="91"/>
        <v>295120021887090.25</v>
      </c>
      <c r="AE320" s="80">
        <f t="shared" si="76"/>
        <v>1183.5179447777316</v>
      </c>
      <c r="AF320" s="52">
        <f t="shared" si="82"/>
        <v>-2.448042403362528E-2</v>
      </c>
      <c r="AG320" s="48">
        <f t="shared" si="77"/>
        <v>-3.0818278427205102E-2</v>
      </c>
      <c r="AH320" s="48">
        <f t="shared" si="83"/>
        <v>-2.3980815347721823E-2</v>
      </c>
      <c r="AI320" s="48">
        <f t="shared" si="84"/>
        <v>-3.3771106941838651E-2</v>
      </c>
      <c r="AJ320" s="48" t="e">
        <f t="shared" si="85"/>
        <v>#DIV/0!</v>
      </c>
    </row>
    <row r="321" spans="1:36" x14ac:dyDescent="0.3">
      <c r="A321" s="48">
        <v>20190419</v>
      </c>
      <c r="B321" s="48" t="s">
        <v>88</v>
      </c>
      <c r="C321" s="49">
        <v>45600</v>
      </c>
      <c r="D321" s="49">
        <v>45300</v>
      </c>
      <c r="E321" s="49">
        <v>5969782550</v>
      </c>
      <c r="F321" s="49">
        <f t="shared" si="78"/>
        <v>0.180815846328331</v>
      </c>
      <c r="G321" s="49">
        <f t="shared" si="92"/>
        <v>0.180815846328331</v>
      </c>
      <c r="H321" s="48">
        <v>203500</v>
      </c>
      <c r="I321" s="48">
        <v>218000</v>
      </c>
      <c r="J321" s="51">
        <v>125461438</v>
      </c>
      <c r="K321" s="48">
        <f t="shared" si="79"/>
        <v>1.4964619869729701</v>
      </c>
      <c r="L321" s="48">
        <f t="shared" si="93"/>
        <v>1.4964619869729701</v>
      </c>
      <c r="M321" s="49">
        <v>257500</v>
      </c>
      <c r="N321" s="49">
        <v>261500</v>
      </c>
      <c r="O321" s="49">
        <v>15956260</v>
      </c>
      <c r="P321" s="49">
        <f t="shared" si="80"/>
        <v>20.6144209614665</v>
      </c>
      <c r="Q321" s="49">
        <f t="shared" si="94"/>
        <v>20.6144209614665</v>
      </c>
      <c r="R321" s="48">
        <v>11085</v>
      </c>
      <c r="S321" s="48">
        <v>11085</v>
      </c>
      <c r="T321" s="48">
        <v>62100000</v>
      </c>
      <c r="U321" s="48">
        <f t="shared" si="95"/>
        <v>178.66907334717999</v>
      </c>
      <c r="V321" s="48">
        <f t="shared" si="96"/>
        <v>178.66907334717999</v>
      </c>
      <c r="W321" s="49">
        <v>0</v>
      </c>
      <c r="X321" s="49">
        <v>0</v>
      </c>
      <c r="Y321" s="49">
        <v>0</v>
      </c>
      <c r="Z321" s="49">
        <f t="shared" si="81"/>
        <v>0</v>
      </c>
      <c r="AA321" s="49">
        <v>0</v>
      </c>
      <c r="AB321" s="82">
        <f t="shared" si="89"/>
        <v>0</v>
      </c>
      <c r="AC321" s="82">
        <f t="shared" si="90"/>
        <v>249358299288410.66</v>
      </c>
      <c r="AD321" s="81">
        <f t="shared" si="91"/>
        <v>298834258699850.87</v>
      </c>
      <c r="AE321" s="80">
        <f t="shared" si="76"/>
        <v>1198.4131250198166</v>
      </c>
      <c r="AF321" s="52">
        <f t="shared" si="82"/>
        <v>1.2585512799201641E-2</v>
      </c>
      <c r="AG321" s="48">
        <f t="shared" si="77"/>
        <v>-6.5789473684210523E-3</v>
      </c>
      <c r="AH321" s="48">
        <f t="shared" si="83"/>
        <v>7.125307125307126E-2</v>
      </c>
      <c r="AI321" s="48">
        <f t="shared" si="84"/>
        <v>1.5533980582524271E-2</v>
      </c>
      <c r="AJ321" s="48" t="e">
        <f t="shared" si="85"/>
        <v>#DIV/0!</v>
      </c>
    </row>
    <row r="322" spans="1:36" x14ac:dyDescent="0.3">
      <c r="A322" s="48">
        <v>20190422</v>
      </c>
      <c r="B322" s="48" t="s">
        <v>88</v>
      </c>
      <c r="C322" s="49">
        <v>45300</v>
      </c>
      <c r="D322" s="49">
        <v>45350</v>
      </c>
      <c r="E322" s="49">
        <v>5969782550</v>
      </c>
      <c r="F322" s="49">
        <f t="shared" si="78"/>
        <v>0.180815846328331</v>
      </c>
      <c r="G322" s="49">
        <f t="shared" si="92"/>
        <v>0.180815846328331</v>
      </c>
      <c r="H322" s="48">
        <v>218000</v>
      </c>
      <c r="I322" s="48">
        <v>220500</v>
      </c>
      <c r="J322" s="51">
        <v>125461438</v>
      </c>
      <c r="K322" s="48">
        <f t="shared" si="79"/>
        <v>1.4964619869729701</v>
      </c>
      <c r="L322" s="48">
        <f t="shared" si="93"/>
        <v>1.4964619869729701</v>
      </c>
      <c r="M322" s="49">
        <v>261500</v>
      </c>
      <c r="N322" s="49">
        <v>259300</v>
      </c>
      <c r="O322" s="49">
        <v>15956260</v>
      </c>
      <c r="P322" s="49">
        <f t="shared" si="80"/>
        <v>20.6144209614665</v>
      </c>
      <c r="Q322" s="49">
        <f t="shared" si="94"/>
        <v>20.6144209614665</v>
      </c>
      <c r="R322" s="48">
        <v>11085</v>
      </c>
      <c r="S322" s="48">
        <v>11085</v>
      </c>
      <c r="T322" s="48">
        <v>62100000</v>
      </c>
      <c r="U322" s="48">
        <f t="shared" si="95"/>
        <v>178.66907334717999</v>
      </c>
      <c r="V322" s="48">
        <f t="shared" si="96"/>
        <v>178.66907334717999</v>
      </c>
      <c r="W322" s="49">
        <v>0</v>
      </c>
      <c r="X322" s="49">
        <v>0</v>
      </c>
      <c r="Y322" s="49">
        <v>0</v>
      </c>
      <c r="Z322" s="49">
        <f t="shared" si="81"/>
        <v>0</v>
      </c>
      <c r="AA322" s="49">
        <v>0</v>
      </c>
      <c r="AB322" s="82">
        <f t="shared" si="89"/>
        <v>0</v>
      </c>
      <c r="AC322" s="82">
        <f t="shared" si="90"/>
        <v>249358299288410.66</v>
      </c>
      <c r="AD322" s="81">
        <f t="shared" si="91"/>
        <v>298633957012711.12</v>
      </c>
      <c r="AE322" s="80">
        <f t="shared" si="76"/>
        <v>1197.6098564391782</v>
      </c>
      <c r="AF322" s="52">
        <f t="shared" si="82"/>
        <v>-6.7027685517469368E-4</v>
      </c>
      <c r="AG322" s="48">
        <f t="shared" si="77"/>
        <v>1.1037527593818985E-3</v>
      </c>
      <c r="AH322" s="48">
        <f t="shared" si="83"/>
        <v>1.1467889908256881E-2</v>
      </c>
      <c r="AI322" s="48">
        <f t="shared" si="84"/>
        <v>-8.4130019120458883E-3</v>
      </c>
      <c r="AJ322" s="48" t="e">
        <f t="shared" si="85"/>
        <v>#DIV/0!</v>
      </c>
    </row>
    <row r="323" spans="1:36" x14ac:dyDescent="0.3">
      <c r="A323" s="48">
        <v>20190423</v>
      </c>
      <c r="B323" s="48" t="s">
        <v>88</v>
      </c>
      <c r="C323" s="49">
        <v>45350</v>
      </c>
      <c r="D323" s="49">
        <v>45200</v>
      </c>
      <c r="E323" s="49">
        <v>5969782550</v>
      </c>
      <c r="F323" s="49">
        <f t="shared" si="78"/>
        <v>0.180815846328331</v>
      </c>
      <c r="G323" s="49">
        <f t="shared" si="92"/>
        <v>0.180815846328331</v>
      </c>
      <c r="H323" s="48">
        <v>220500</v>
      </c>
      <c r="I323" s="48">
        <v>221500</v>
      </c>
      <c r="J323" s="51">
        <v>125461438</v>
      </c>
      <c r="K323" s="48">
        <f t="shared" si="79"/>
        <v>1.4964619869729701</v>
      </c>
      <c r="L323" s="48">
        <f t="shared" si="93"/>
        <v>1.4964619869729701</v>
      </c>
      <c r="M323" s="49">
        <v>259300</v>
      </c>
      <c r="N323" s="49">
        <v>259300</v>
      </c>
      <c r="O323" s="49">
        <v>15956260</v>
      </c>
      <c r="P323" s="49">
        <f t="shared" si="80"/>
        <v>20.6144209614665</v>
      </c>
      <c r="Q323" s="49">
        <f t="shared" si="94"/>
        <v>20.6144209614665</v>
      </c>
      <c r="R323" s="48">
        <v>11085</v>
      </c>
      <c r="S323" s="48">
        <v>11085</v>
      </c>
      <c r="T323" s="48">
        <v>62100000</v>
      </c>
      <c r="U323" s="48">
        <f t="shared" si="95"/>
        <v>178.66907334717999</v>
      </c>
      <c r="V323" s="48">
        <f t="shared" si="96"/>
        <v>178.66907334717999</v>
      </c>
      <c r="W323" s="49">
        <v>0</v>
      </c>
      <c r="X323" s="49">
        <v>0</v>
      </c>
      <c r="Y323" s="49">
        <v>0</v>
      </c>
      <c r="Z323" s="49">
        <f t="shared" si="81"/>
        <v>0</v>
      </c>
      <c r="AA323" s="49">
        <v>0</v>
      </c>
      <c r="AB323" s="82">
        <f t="shared" si="89"/>
        <v>0</v>
      </c>
      <c r="AC323" s="82">
        <f t="shared" si="90"/>
        <v>249358299288410.66</v>
      </c>
      <c r="AD323" s="81">
        <f t="shared" si="91"/>
        <v>298659790592883</v>
      </c>
      <c r="AE323" s="80">
        <f t="shared" si="76"/>
        <v>1197.713456681262</v>
      </c>
      <c r="AF323" s="52">
        <f t="shared" si="82"/>
        <v>8.6505836209288959E-5</v>
      </c>
      <c r="AG323" s="48">
        <f t="shared" si="77"/>
        <v>-3.3076074972436605E-3</v>
      </c>
      <c r="AH323" s="48">
        <f t="shared" si="83"/>
        <v>4.5351473922902496E-3</v>
      </c>
      <c r="AI323" s="48">
        <f t="shared" si="84"/>
        <v>0</v>
      </c>
      <c r="AJ323" s="48" t="e">
        <f t="shared" si="85"/>
        <v>#DIV/0!</v>
      </c>
    </row>
    <row r="324" spans="1:36" s="73" customFormat="1" x14ac:dyDescent="0.3">
      <c r="A324" s="48">
        <v>20190424</v>
      </c>
      <c r="B324" s="48" t="s">
        <v>88</v>
      </c>
      <c r="C324" s="49">
        <v>45200</v>
      </c>
      <c r="D324" s="49">
        <v>44750</v>
      </c>
      <c r="E324" s="49">
        <v>5969782550</v>
      </c>
      <c r="F324" s="49">
        <f t="shared" si="78"/>
        <v>0.180815846328331</v>
      </c>
      <c r="G324" s="49">
        <f t="shared" si="92"/>
        <v>0.183444546595499</v>
      </c>
      <c r="H324" s="48">
        <v>221500</v>
      </c>
      <c r="I324" s="48">
        <v>218000</v>
      </c>
      <c r="J324" s="51">
        <v>127953489</v>
      </c>
      <c r="K324" s="48">
        <f t="shared" si="79"/>
        <v>1.4964619869729701</v>
      </c>
      <c r="L324" s="48">
        <f t="shared" si="93"/>
        <v>1.48864839990194</v>
      </c>
      <c r="M324" s="49">
        <v>259300</v>
      </c>
      <c r="N324" s="49">
        <v>258900</v>
      </c>
      <c r="O324" s="49">
        <v>15956260</v>
      </c>
      <c r="P324" s="49">
        <f t="shared" si="80"/>
        <v>20.6144209614665</v>
      </c>
      <c r="Q324" s="49">
        <f t="shared" si="94"/>
        <v>20.914113355630398</v>
      </c>
      <c r="R324" s="48">
        <v>11085</v>
      </c>
      <c r="S324" s="48">
        <v>10965</v>
      </c>
      <c r="T324" s="48">
        <v>62100000</v>
      </c>
      <c r="U324" s="48">
        <f t="shared" si="95"/>
        <v>178.66907334717999</v>
      </c>
      <c r="V324" s="48">
        <f t="shared" si="96"/>
        <v>181.26656383476401</v>
      </c>
      <c r="W324" s="49">
        <v>0</v>
      </c>
      <c r="X324" s="49">
        <v>0</v>
      </c>
      <c r="Y324" s="49">
        <v>0</v>
      </c>
      <c r="Z324" s="49">
        <f t="shared" si="81"/>
        <v>0</v>
      </c>
      <c r="AA324" s="49">
        <v>0</v>
      </c>
      <c r="AB324" s="82">
        <f t="shared" si="89"/>
        <v>1</v>
      </c>
      <c r="AC324" s="82">
        <f t="shared" si="90"/>
        <v>252983469544615.03</v>
      </c>
      <c r="AD324" s="81">
        <f t="shared" si="91"/>
        <v>300357944973416.87</v>
      </c>
      <c r="AE324" s="80">
        <f t="shared" ref="AE324:AE381" si="97">AD324/AC324*1000</f>
        <v>1187.2631263776982</v>
      </c>
      <c r="AF324" s="52">
        <f t="shared" si="82"/>
        <v>-8.7252341077644121E-3</v>
      </c>
      <c r="AG324" s="48">
        <f t="shared" ref="AG324:AG381" si="98">(D324-C324)/C324</f>
        <v>-9.9557522123893804E-3</v>
      </c>
      <c r="AH324" s="48">
        <f t="shared" si="83"/>
        <v>-1.580135440180587E-2</v>
      </c>
      <c r="AI324" s="48">
        <f t="shared" si="84"/>
        <v>-1.5426147319706903E-3</v>
      </c>
      <c r="AJ324" s="48" t="e">
        <f t="shared" si="85"/>
        <v>#DIV/0!</v>
      </c>
    </row>
    <row r="325" spans="1:36" x14ac:dyDescent="0.3">
      <c r="A325" s="48">
        <v>20190425</v>
      </c>
      <c r="B325" s="48" t="s">
        <v>88</v>
      </c>
      <c r="C325" s="49">
        <v>44750</v>
      </c>
      <c r="D325" s="49">
        <v>44650</v>
      </c>
      <c r="E325" s="49">
        <v>5969782550</v>
      </c>
      <c r="F325" s="49">
        <f t="shared" ref="F325:F381" si="99">G324</f>
        <v>0.183444546595499</v>
      </c>
      <c r="G325" s="49">
        <f t="shared" si="92"/>
        <v>0.183444546595499</v>
      </c>
      <c r="H325" s="48">
        <v>218000</v>
      </c>
      <c r="I325" s="48">
        <v>211500</v>
      </c>
      <c r="J325" s="51">
        <v>127953489</v>
      </c>
      <c r="K325" s="48">
        <f t="shared" ref="K325:K381" si="100">L324</f>
        <v>1.48864839990194</v>
      </c>
      <c r="L325" s="48">
        <f t="shared" si="93"/>
        <v>1.48864839990194</v>
      </c>
      <c r="M325" s="49">
        <v>258900</v>
      </c>
      <c r="N325" s="49">
        <v>254200</v>
      </c>
      <c r="O325" s="49">
        <v>15956260</v>
      </c>
      <c r="P325" s="49">
        <f t="shared" ref="P325:P381" si="101">Q324</f>
        <v>20.914113355630398</v>
      </c>
      <c r="Q325" s="49">
        <f t="shared" si="94"/>
        <v>20.914113355630398</v>
      </c>
      <c r="R325" s="48">
        <v>10965</v>
      </c>
      <c r="S325" s="48">
        <v>10965</v>
      </c>
      <c r="T325" s="48">
        <v>62100000</v>
      </c>
      <c r="U325" s="48">
        <f t="shared" si="95"/>
        <v>181.26656383476401</v>
      </c>
      <c r="V325" s="48">
        <f t="shared" si="96"/>
        <v>181.26656383476401</v>
      </c>
      <c r="W325" s="49">
        <v>0</v>
      </c>
      <c r="X325" s="49">
        <v>0</v>
      </c>
      <c r="Y325" s="49">
        <v>0</v>
      </c>
      <c r="Z325" s="49">
        <f t="shared" ref="Z325:Z381" si="102">AA324</f>
        <v>0</v>
      </c>
      <c r="AA325" s="49">
        <v>0</v>
      </c>
      <c r="AB325" s="82">
        <f t="shared" si="89"/>
        <v>0</v>
      </c>
      <c r="AC325" s="82">
        <f t="shared" si="90"/>
        <v>252983469544615.03</v>
      </c>
      <c r="AD325" s="81">
        <f t="shared" si="91"/>
        <v>297441885307051.87</v>
      </c>
      <c r="AE325" s="80">
        <f t="shared" si="97"/>
        <v>1175.7364457150682</v>
      </c>
      <c r="AF325" s="52">
        <f t="shared" ref="AF325:AF381" si="103">(AE325-AE324)/AE324</f>
        <v>-9.7086150546910159E-3</v>
      </c>
      <c r="AG325" s="48">
        <f t="shared" si="98"/>
        <v>-2.2346368715083797E-3</v>
      </c>
      <c r="AH325" s="48">
        <f t="shared" ref="AH325:AH381" si="104">(I325-H325)/H325</f>
        <v>-2.9816513761467892E-2</v>
      </c>
      <c r="AI325" s="48">
        <f t="shared" ref="AI325:AI381" si="105">(N325-M325)/M325</f>
        <v>-1.8153727307840865E-2</v>
      </c>
      <c r="AJ325" s="48" t="e">
        <f t="shared" ref="AJ325:AJ381" si="106">(X325-W325)/X325</f>
        <v>#DIV/0!</v>
      </c>
    </row>
    <row r="326" spans="1:36" x14ac:dyDescent="0.3">
      <c r="A326" s="48">
        <v>20190426</v>
      </c>
      <c r="B326" s="48" t="s">
        <v>88</v>
      </c>
      <c r="C326" s="49">
        <v>44650</v>
      </c>
      <c r="D326" s="49">
        <v>44850</v>
      </c>
      <c r="E326" s="49">
        <v>5969782550</v>
      </c>
      <c r="F326" s="49">
        <f t="shared" si="99"/>
        <v>0.183444546595499</v>
      </c>
      <c r="G326" s="49">
        <f t="shared" si="92"/>
        <v>0.183444546595499</v>
      </c>
      <c r="H326" s="48">
        <v>211500</v>
      </c>
      <c r="I326" s="48">
        <v>212000</v>
      </c>
      <c r="J326" s="51">
        <v>127953489</v>
      </c>
      <c r="K326" s="48">
        <f t="shared" si="100"/>
        <v>1.48864839990194</v>
      </c>
      <c r="L326" s="48">
        <f t="shared" si="93"/>
        <v>1.48864839990194</v>
      </c>
      <c r="M326" s="49">
        <v>254200</v>
      </c>
      <c r="N326" s="49">
        <v>254200</v>
      </c>
      <c r="O326" s="49">
        <v>15956260</v>
      </c>
      <c r="P326" s="49">
        <f t="shared" si="101"/>
        <v>20.914113355630398</v>
      </c>
      <c r="Q326" s="49">
        <f t="shared" si="94"/>
        <v>20.914113355630398</v>
      </c>
      <c r="R326" s="48">
        <v>10965</v>
      </c>
      <c r="S326" s="48">
        <v>10910</v>
      </c>
      <c r="T326" s="48">
        <v>62100000</v>
      </c>
      <c r="U326" s="48">
        <f t="shared" si="95"/>
        <v>181.26656383476401</v>
      </c>
      <c r="V326" s="48">
        <f t="shared" si="96"/>
        <v>181.26656383476401</v>
      </c>
      <c r="W326" s="49">
        <v>0</v>
      </c>
      <c r="X326" s="49">
        <v>0</v>
      </c>
      <c r="Y326" s="49">
        <v>0</v>
      </c>
      <c r="Z326" s="49">
        <f t="shared" si="102"/>
        <v>0</v>
      </c>
      <c r="AA326" s="49">
        <v>0</v>
      </c>
      <c r="AB326" s="82">
        <f t="shared" si="89"/>
        <v>0</v>
      </c>
      <c r="AC326" s="82">
        <f t="shared" si="90"/>
        <v>252983469544615.03</v>
      </c>
      <c r="AD326" s="81">
        <f t="shared" si="91"/>
        <v>297137033047236.81</v>
      </c>
      <c r="AE326" s="80">
        <f t="shared" si="97"/>
        <v>1174.5314173376655</v>
      </c>
      <c r="AF326" s="52">
        <f t="shared" si="103"/>
        <v>-1.0249136886028552E-3</v>
      </c>
      <c r="AG326" s="48">
        <f t="shared" si="98"/>
        <v>4.4792833146696529E-3</v>
      </c>
      <c r="AH326" s="48">
        <f t="shared" si="104"/>
        <v>2.3640661938534278E-3</v>
      </c>
      <c r="AI326" s="48">
        <f t="shared" si="105"/>
        <v>0</v>
      </c>
      <c r="AJ326" s="48" t="e">
        <f t="shared" si="106"/>
        <v>#DIV/0!</v>
      </c>
    </row>
    <row r="327" spans="1:36" x14ac:dyDescent="0.3">
      <c r="A327" s="48">
        <v>20190429</v>
      </c>
      <c r="B327" s="48" t="s">
        <v>88</v>
      </c>
      <c r="C327" s="49">
        <v>44850</v>
      </c>
      <c r="D327" s="49">
        <v>46150</v>
      </c>
      <c r="E327" s="49">
        <v>5969782550</v>
      </c>
      <c r="F327" s="49">
        <f t="shared" si="99"/>
        <v>0.183444546595499</v>
      </c>
      <c r="G327" s="49">
        <f t="shared" si="92"/>
        <v>0.183444546595499</v>
      </c>
      <c r="H327" s="48">
        <v>212000</v>
      </c>
      <c r="I327" s="48">
        <v>216000</v>
      </c>
      <c r="J327" s="51">
        <v>127953489</v>
      </c>
      <c r="K327" s="48">
        <f t="shared" si="100"/>
        <v>1.48864839990194</v>
      </c>
      <c r="L327" s="48">
        <f t="shared" si="93"/>
        <v>1.48864839990194</v>
      </c>
      <c r="M327" s="49">
        <v>254200</v>
      </c>
      <c r="N327" s="49">
        <v>258400</v>
      </c>
      <c r="O327" s="49">
        <v>15956260</v>
      </c>
      <c r="P327" s="49">
        <f t="shared" si="101"/>
        <v>20.914113355630398</v>
      </c>
      <c r="Q327" s="49">
        <f t="shared" si="94"/>
        <v>20.914113355630398</v>
      </c>
      <c r="R327" s="48">
        <v>10910</v>
      </c>
      <c r="S327" s="48">
        <v>11075</v>
      </c>
      <c r="T327" s="48">
        <v>62100000</v>
      </c>
      <c r="U327" s="48">
        <f t="shared" si="95"/>
        <v>181.26656383476401</v>
      </c>
      <c r="V327" s="48">
        <f t="shared" si="96"/>
        <v>181.26656383476401</v>
      </c>
      <c r="W327" s="49">
        <v>0</v>
      </c>
      <c r="X327" s="49">
        <v>0</v>
      </c>
      <c r="Y327" s="49">
        <v>0</v>
      </c>
      <c r="Z327" s="49">
        <f t="shared" si="102"/>
        <v>0</v>
      </c>
      <c r="AA327" s="49">
        <v>0</v>
      </c>
      <c r="AB327" s="82">
        <f t="shared" si="89"/>
        <v>0</v>
      </c>
      <c r="AC327" s="82">
        <f t="shared" si="90"/>
        <v>252983469544615.03</v>
      </c>
      <c r="AD327" s="81">
        <f t="shared" si="91"/>
        <v>302581539516884.62</v>
      </c>
      <c r="AE327" s="80">
        <f t="shared" si="97"/>
        <v>1196.0526119020703</v>
      </c>
      <c r="AF327" s="52">
        <f t="shared" si="103"/>
        <v>1.8323217452273312E-2</v>
      </c>
      <c r="AG327" s="48">
        <f t="shared" si="98"/>
        <v>2.8985507246376812E-2</v>
      </c>
      <c r="AH327" s="48">
        <f t="shared" si="104"/>
        <v>1.8867924528301886E-2</v>
      </c>
      <c r="AI327" s="48">
        <f t="shared" si="105"/>
        <v>1.6522423288749016E-2</v>
      </c>
      <c r="AJ327" s="48" t="e">
        <f t="shared" si="106"/>
        <v>#DIV/0!</v>
      </c>
    </row>
    <row r="328" spans="1:36" x14ac:dyDescent="0.3">
      <c r="A328" s="48">
        <v>20190430</v>
      </c>
      <c r="B328" s="48" t="s">
        <v>88</v>
      </c>
      <c r="C328" s="49">
        <v>46150</v>
      </c>
      <c r="D328" s="49">
        <v>45850</v>
      </c>
      <c r="E328" s="49">
        <v>5969782550</v>
      </c>
      <c r="F328" s="49">
        <f t="shared" si="99"/>
        <v>0.183444546595499</v>
      </c>
      <c r="G328" s="49">
        <f t="shared" si="92"/>
        <v>0.183444546595499</v>
      </c>
      <c r="H328" s="48">
        <v>216000</v>
      </c>
      <c r="I328" s="48">
        <v>212000</v>
      </c>
      <c r="J328" s="51">
        <v>127953489</v>
      </c>
      <c r="K328" s="48">
        <f t="shared" si="100"/>
        <v>1.48864839990194</v>
      </c>
      <c r="L328" s="48">
        <f t="shared" si="93"/>
        <v>1.48864839990194</v>
      </c>
      <c r="M328" s="49">
        <v>258400</v>
      </c>
      <c r="N328" s="49">
        <v>260300</v>
      </c>
      <c r="O328" s="49">
        <v>15956260</v>
      </c>
      <c r="P328" s="49">
        <f t="shared" si="101"/>
        <v>20.914113355630398</v>
      </c>
      <c r="Q328" s="49">
        <f t="shared" si="94"/>
        <v>20.914113355630398</v>
      </c>
      <c r="R328" s="48">
        <v>11075</v>
      </c>
      <c r="S328" s="48">
        <v>11070</v>
      </c>
      <c r="T328" s="48">
        <v>62100000</v>
      </c>
      <c r="U328" s="48">
        <f t="shared" si="95"/>
        <v>181.26656383476401</v>
      </c>
      <c r="V328" s="48">
        <f t="shared" si="96"/>
        <v>181.26656383476401</v>
      </c>
      <c r="W328" s="49">
        <v>0</v>
      </c>
      <c r="X328" s="49">
        <v>0</v>
      </c>
      <c r="Y328" s="49">
        <v>0</v>
      </c>
      <c r="Z328" s="49">
        <f t="shared" si="102"/>
        <v>0</v>
      </c>
      <c r="AA328" s="49">
        <v>0</v>
      </c>
      <c r="AB328" s="82">
        <f t="shared" si="89"/>
        <v>0</v>
      </c>
      <c r="AC328" s="82">
        <f t="shared" si="90"/>
        <v>252983469544615.03</v>
      </c>
      <c r="AD328" s="81">
        <f t="shared" si="91"/>
        <v>302068858963926.12</v>
      </c>
      <c r="AE328" s="80">
        <f t="shared" si="97"/>
        <v>1194.0260741449536</v>
      </c>
      <c r="AF328" s="52">
        <f t="shared" si="103"/>
        <v>-1.694355028324383E-3</v>
      </c>
      <c r="AG328" s="48">
        <f t="shared" si="98"/>
        <v>-6.5005417118093175E-3</v>
      </c>
      <c r="AH328" s="48">
        <f t="shared" si="104"/>
        <v>-1.8518518518518517E-2</v>
      </c>
      <c r="AI328" s="48">
        <f t="shared" si="105"/>
        <v>7.3529411764705881E-3</v>
      </c>
      <c r="AJ328" s="48" t="e">
        <f t="shared" si="106"/>
        <v>#DIV/0!</v>
      </c>
    </row>
    <row r="329" spans="1:36" x14ac:dyDescent="0.3">
      <c r="A329" s="48">
        <v>20190502</v>
      </c>
      <c r="B329" s="48" t="s">
        <v>88</v>
      </c>
      <c r="C329" s="49">
        <v>45850</v>
      </c>
      <c r="D329" s="49">
        <v>45900</v>
      </c>
      <c r="E329" s="49">
        <v>5969782550</v>
      </c>
      <c r="F329" s="49">
        <f t="shared" si="99"/>
        <v>0.183444546595499</v>
      </c>
      <c r="G329" s="49">
        <f t="shared" si="92"/>
        <v>0.183444546595499</v>
      </c>
      <c r="H329" s="48">
        <v>212000</v>
      </c>
      <c r="I329" s="48">
        <v>207000</v>
      </c>
      <c r="J329" s="51">
        <v>127953489</v>
      </c>
      <c r="K329" s="48">
        <f t="shared" si="100"/>
        <v>1.48864839990194</v>
      </c>
      <c r="L329" s="48">
        <f t="shared" si="93"/>
        <v>1.48864839990194</v>
      </c>
      <c r="M329" s="49">
        <v>260300</v>
      </c>
      <c r="N329" s="49">
        <v>249800</v>
      </c>
      <c r="O329" s="49">
        <v>15956260</v>
      </c>
      <c r="P329" s="49">
        <f t="shared" si="101"/>
        <v>20.914113355630398</v>
      </c>
      <c r="Q329" s="49">
        <f t="shared" si="94"/>
        <v>20.914113355630398</v>
      </c>
      <c r="R329" s="48">
        <v>11070</v>
      </c>
      <c r="S329" s="48">
        <v>11055</v>
      </c>
      <c r="T329" s="48">
        <v>62100000</v>
      </c>
      <c r="U329" s="48">
        <f t="shared" si="95"/>
        <v>181.26656383476401</v>
      </c>
      <c r="V329" s="48">
        <f t="shared" si="96"/>
        <v>181.26656383476401</v>
      </c>
      <c r="W329" s="49">
        <v>0</v>
      </c>
      <c r="X329" s="49">
        <v>0</v>
      </c>
      <c r="Y329" s="49">
        <v>0</v>
      </c>
      <c r="Z329" s="49">
        <f t="shared" si="102"/>
        <v>0</v>
      </c>
      <c r="AA329" s="49">
        <v>0</v>
      </c>
      <c r="AB329" s="82">
        <f t="shared" si="89"/>
        <v>0</v>
      </c>
      <c r="AC329" s="82">
        <f t="shared" si="90"/>
        <v>252983469544615.03</v>
      </c>
      <c r="AD329" s="81">
        <f t="shared" si="91"/>
        <v>297498410760158.31</v>
      </c>
      <c r="AE329" s="80">
        <f t="shared" si="97"/>
        <v>1175.9598810771026</v>
      </c>
      <c r="AF329" s="52">
        <f t="shared" si="103"/>
        <v>-1.513048455058922E-2</v>
      </c>
      <c r="AG329" s="48">
        <f t="shared" si="98"/>
        <v>1.0905125408942203E-3</v>
      </c>
      <c r="AH329" s="48">
        <f t="shared" si="104"/>
        <v>-2.358490566037736E-2</v>
      </c>
      <c r="AI329" s="48">
        <f t="shared" si="105"/>
        <v>-4.0338071456012294E-2</v>
      </c>
      <c r="AJ329" s="48" t="e">
        <f t="shared" si="106"/>
        <v>#DIV/0!</v>
      </c>
    </row>
    <row r="330" spans="1:36" x14ac:dyDescent="0.3">
      <c r="A330" s="48">
        <v>20190503</v>
      </c>
      <c r="B330" s="48" t="s">
        <v>88</v>
      </c>
      <c r="C330" s="49">
        <v>45900</v>
      </c>
      <c r="D330" s="49">
        <v>45300</v>
      </c>
      <c r="E330" s="49">
        <v>5969782550</v>
      </c>
      <c r="F330" s="49">
        <f t="shared" si="99"/>
        <v>0.183444546595499</v>
      </c>
      <c r="G330" s="49">
        <f t="shared" si="92"/>
        <v>0.183444546595499</v>
      </c>
      <c r="H330" s="48">
        <v>207000</v>
      </c>
      <c r="I330" s="48">
        <v>204500</v>
      </c>
      <c r="J330" s="51">
        <v>127953489</v>
      </c>
      <c r="K330" s="48">
        <f t="shared" si="100"/>
        <v>1.48864839990194</v>
      </c>
      <c r="L330" s="48">
        <f t="shared" si="93"/>
        <v>1.48864839990194</v>
      </c>
      <c r="M330" s="49">
        <v>249800</v>
      </c>
      <c r="N330" s="49">
        <v>248000</v>
      </c>
      <c r="O330" s="49">
        <v>15956260</v>
      </c>
      <c r="P330" s="49">
        <f t="shared" si="101"/>
        <v>20.914113355630398</v>
      </c>
      <c r="Q330" s="49">
        <f t="shared" si="94"/>
        <v>20.914113355630398</v>
      </c>
      <c r="R330" s="48">
        <v>11055</v>
      </c>
      <c r="S330" s="48">
        <v>11065</v>
      </c>
      <c r="T330" s="48">
        <v>62100000</v>
      </c>
      <c r="U330" s="48">
        <f t="shared" si="95"/>
        <v>181.26656383476401</v>
      </c>
      <c r="V330" s="48">
        <f t="shared" si="96"/>
        <v>181.26656383476401</v>
      </c>
      <c r="W330" s="49">
        <v>0</v>
      </c>
      <c r="X330" s="49">
        <v>0</v>
      </c>
      <c r="Y330" s="49">
        <v>0</v>
      </c>
      <c r="Z330" s="49">
        <f t="shared" si="102"/>
        <v>0</v>
      </c>
      <c r="AA330" s="49">
        <v>0</v>
      </c>
      <c r="AB330" s="82">
        <f t="shared" si="89"/>
        <v>0</v>
      </c>
      <c r="AC330" s="82">
        <f t="shared" si="90"/>
        <v>252983469544615.03</v>
      </c>
      <c r="AD330" s="81">
        <f t="shared" si="91"/>
        <v>295877028618080.87</v>
      </c>
      <c r="AE330" s="80">
        <f t="shared" si="97"/>
        <v>1169.5508372569827</v>
      </c>
      <c r="AF330" s="52">
        <f t="shared" si="103"/>
        <v>-5.4500531210721565E-3</v>
      </c>
      <c r="AG330" s="48">
        <f t="shared" si="98"/>
        <v>-1.3071895424836602E-2</v>
      </c>
      <c r="AH330" s="48">
        <f t="shared" si="104"/>
        <v>-1.2077294685990338E-2</v>
      </c>
      <c r="AI330" s="48">
        <f t="shared" si="105"/>
        <v>-7.2057646116893519E-3</v>
      </c>
      <c r="AJ330" s="48" t="e">
        <f t="shared" si="106"/>
        <v>#DIV/0!</v>
      </c>
    </row>
    <row r="331" spans="1:36" x14ac:dyDescent="0.3">
      <c r="A331" s="48">
        <v>20190507</v>
      </c>
      <c r="B331" s="48" t="s">
        <v>88</v>
      </c>
      <c r="C331" s="49">
        <v>45300</v>
      </c>
      <c r="D331" s="49">
        <v>44850</v>
      </c>
      <c r="E331" s="49">
        <v>5969782550</v>
      </c>
      <c r="F331" s="49">
        <f t="shared" si="99"/>
        <v>0.183444546595499</v>
      </c>
      <c r="G331" s="49">
        <f t="shared" si="92"/>
        <v>0.183444546595499</v>
      </c>
      <c r="H331" s="48">
        <v>204500</v>
      </c>
      <c r="I331" s="48">
        <v>205500</v>
      </c>
      <c r="J331" s="51">
        <v>127953489</v>
      </c>
      <c r="K331" s="48">
        <f t="shared" si="100"/>
        <v>1.48864839990194</v>
      </c>
      <c r="L331" s="48">
        <f t="shared" si="93"/>
        <v>1.48864839990194</v>
      </c>
      <c r="M331" s="49">
        <v>248000</v>
      </c>
      <c r="N331" s="49">
        <v>239500</v>
      </c>
      <c r="O331" s="49">
        <v>15956260</v>
      </c>
      <c r="P331" s="49">
        <f t="shared" si="101"/>
        <v>20.914113355630398</v>
      </c>
      <c r="Q331" s="49">
        <f t="shared" si="94"/>
        <v>20.914113355630398</v>
      </c>
      <c r="R331" s="48">
        <v>11065</v>
      </c>
      <c r="S331" s="48">
        <v>10885</v>
      </c>
      <c r="T331" s="48">
        <v>62100000</v>
      </c>
      <c r="U331" s="48">
        <f t="shared" si="95"/>
        <v>181.26656383476401</v>
      </c>
      <c r="V331" s="48">
        <f t="shared" si="96"/>
        <v>181.26656383476401</v>
      </c>
      <c r="W331" s="49">
        <v>0</v>
      </c>
      <c r="X331" s="49">
        <v>0</v>
      </c>
      <c r="Y331" s="49">
        <v>0</v>
      </c>
      <c r="Z331" s="49">
        <f t="shared" si="102"/>
        <v>0</v>
      </c>
      <c r="AA331" s="49">
        <v>0</v>
      </c>
      <c r="AB331" s="82">
        <f t="shared" si="89"/>
        <v>0</v>
      </c>
      <c r="AC331" s="82">
        <f t="shared" si="90"/>
        <v>252983469544615.03</v>
      </c>
      <c r="AD331" s="81">
        <f t="shared" si="91"/>
        <v>290711959142115.06</v>
      </c>
      <c r="AE331" s="80">
        <f t="shared" si="97"/>
        <v>1149.1342089086434</v>
      </c>
      <c r="AF331" s="52">
        <f t="shared" si="103"/>
        <v>-1.7456811365484298E-2</v>
      </c>
      <c r="AG331" s="48">
        <f t="shared" si="98"/>
        <v>-9.9337748344370865E-3</v>
      </c>
      <c r="AH331" s="48">
        <f t="shared" si="104"/>
        <v>4.8899755501222494E-3</v>
      </c>
      <c r="AI331" s="48">
        <f t="shared" si="105"/>
        <v>-3.4274193548387094E-2</v>
      </c>
      <c r="AJ331" s="48" t="e">
        <f t="shared" si="106"/>
        <v>#DIV/0!</v>
      </c>
    </row>
    <row r="332" spans="1:36" x14ac:dyDescent="0.3">
      <c r="A332" s="48">
        <v>20190508</v>
      </c>
      <c r="B332" s="48" t="s">
        <v>88</v>
      </c>
      <c r="C332" s="49">
        <v>44850</v>
      </c>
      <c r="D332" s="49">
        <v>44250</v>
      </c>
      <c r="E332" s="49">
        <v>5969782550</v>
      </c>
      <c r="F332" s="49">
        <f t="shared" si="99"/>
        <v>0.183444546595499</v>
      </c>
      <c r="G332" s="49">
        <f t="shared" si="92"/>
        <v>0.183444546595499</v>
      </c>
      <c r="H332" s="48">
        <v>205500</v>
      </c>
      <c r="I332" s="48">
        <v>205500</v>
      </c>
      <c r="J332" s="51">
        <v>127953489</v>
      </c>
      <c r="K332" s="48">
        <f t="shared" si="100"/>
        <v>1.48864839990194</v>
      </c>
      <c r="L332" s="48">
        <f t="shared" si="93"/>
        <v>1.48864839990194</v>
      </c>
      <c r="M332" s="49">
        <v>239500</v>
      </c>
      <c r="N332" s="49">
        <v>231300</v>
      </c>
      <c r="O332" s="49">
        <v>15956260</v>
      </c>
      <c r="P332" s="49">
        <f t="shared" si="101"/>
        <v>20.914113355630398</v>
      </c>
      <c r="Q332" s="49">
        <f t="shared" si="94"/>
        <v>20.914113355630398</v>
      </c>
      <c r="R332" s="48">
        <v>10885</v>
      </c>
      <c r="S332" s="48">
        <v>10855</v>
      </c>
      <c r="T332" s="48">
        <v>62100000</v>
      </c>
      <c r="U332" s="48">
        <f t="shared" si="95"/>
        <v>181.26656383476401</v>
      </c>
      <c r="V332" s="48">
        <f t="shared" si="96"/>
        <v>181.26656383476401</v>
      </c>
      <c r="W332" s="49">
        <v>0</v>
      </c>
      <c r="X332" s="49">
        <v>0</v>
      </c>
      <c r="Y332" s="49">
        <v>0</v>
      </c>
      <c r="Z332" s="49">
        <f t="shared" si="102"/>
        <v>0</v>
      </c>
      <c r="AA332" s="49">
        <v>0</v>
      </c>
      <c r="AB332" s="82">
        <f t="shared" si="89"/>
        <v>0</v>
      </c>
      <c r="AC332" s="82">
        <f t="shared" si="90"/>
        <v>252983469544615.03</v>
      </c>
      <c r="AD332" s="81">
        <f t="shared" si="91"/>
        <v>286980754652746.12</v>
      </c>
      <c r="AE332" s="80">
        <f t="shared" si="97"/>
        <v>1134.3854014229792</v>
      </c>
      <c r="AF332" s="52">
        <f t="shared" si="103"/>
        <v>-1.2834712752717936E-2</v>
      </c>
      <c r="AG332" s="48">
        <f t="shared" si="98"/>
        <v>-1.3377926421404682E-2</v>
      </c>
      <c r="AH332" s="48">
        <f t="shared" si="104"/>
        <v>0</v>
      </c>
      <c r="AI332" s="48">
        <f t="shared" si="105"/>
        <v>-3.4237995824634652E-2</v>
      </c>
      <c r="AJ332" s="48" t="e">
        <f t="shared" si="106"/>
        <v>#DIV/0!</v>
      </c>
    </row>
    <row r="333" spans="1:36" x14ac:dyDescent="0.3">
      <c r="A333" s="48">
        <v>20190509</v>
      </c>
      <c r="B333" s="48" t="s">
        <v>88</v>
      </c>
      <c r="C333" s="49">
        <v>44250</v>
      </c>
      <c r="D333" s="49">
        <v>42450</v>
      </c>
      <c r="E333" s="49">
        <v>5969782550</v>
      </c>
      <c r="F333" s="49">
        <f t="shared" si="99"/>
        <v>0.183444546595499</v>
      </c>
      <c r="G333" s="49">
        <f t="shared" si="92"/>
        <v>0.183444546595499</v>
      </c>
      <c r="H333" s="48">
        <v>205500</v>
      </c>
      <c r="I333" s="48">
        <v>210000</v>
      </c>
      <c r="J333" s="51">
        <v>127953489</v>
      </c>
      <c r="K333" s="48">
        <f t="shared" si="100"/>
        <v>1.48864839990194</v>
      </c>
      <c r="L333" s="48">
        <f t="shared" si="93"/>
        <v>1.48864839990194</v>
      </c>
      <c r="M333" s="49">
        <v>231300</v>
      </c>
      <c r="N333" s="49">
        <v>228100</v>
      </c>
      <c r="O333" s="49">
        <v>15956260</v>
      </c>
      <c r="P333" s="49">
        <f t="shared" si="101"/>
        <v>20.914113355630398</v>
      </c>
      <c r="Q333" s="49">
        <f t="shared" si="94"/>
        <v>20.914113355630398</v>
      </c>
      <c r="R333" s="48">
        <v>10855</v>
      </c>
      <c r="S333" s="48">
        <v>10490</v>
      </c>
      <c r="T333" s="48">
        <v>62100000</v>
      </c>
      <c r="U333" s="48">
        <f t="shared" si="95"/>
        <v>181.26656383476401</v>
      </c>
      <c r="V333" s="48">
        <f t="shared" si="96"/>
        <v>181.26656383476401</v>
      </c>
      <c r="W333" s="49">
        <v>0</v>
      </c>
      <c r="X333" s="49">
        <v>0</v>
      </c>
      <c r="Y333" s="49">
        <v>0</v>
      </c>
      <c r="Z333" s="49">
        <f t="shared" si="102"/>
        <v>0</v>
      </c>
      <c r="AA333" s="49">
        <v>0</v>
      </c>
      <c r="AB333" s="82">
        <f t="shared" si="89"/>
        <v>0</v>
      </c>
      <c r="AC333" s="82">
        <f t="shared" si="90"/>
        <v>252983469544615.03</v>
      </c>
      <c r="AD333" s="81">
        <f t="shared" si="91"/>
        <v>280690127395687.81</v>
      </c>
      <c r="AE333" s="80">
        <f t="shared" si="97"/>
        <v>1109.5196373934882</v>
      </c>
      <c r="AF333" s="52">
        <f t="shared" si="103"/>
        <v>-2.1920031761956033E-2</v>
      </c>
      <c r="AG333" s="48">
        <f t="shared" si="98"/>
        <v>-4.0677966101694912E-2</v>
      </c>
      <c r="AH333" s="48">
        <f t="shared" si="104"/>
        <v>2.1897810218978103E-2</v>
      </c>
      <c r="AI333" s="48">
        <f t="shared" si="105"/>
        <v>-1.3834846519671422E-2</v>
      </c>
      <c r="AJ333" s="48" t="e">
        <f t="shared" si="106"/>
        <v>#DIV/0!</v>
      </c>
    </row>
    <row r="334" spans="1:36" x14ac:dyDescent="0.3">
      <c r="A334" s="48">
        <v>20190510</v>
      </c>
      <c r="B334" s="48" t="s">
        <v>88</v>
      </c>
      <c r="C334" s="49">
        <v>42450</v>
      </c>
      <c r="D334" s="49">
        <v>42900</v>
      </c>
      <c r="E334" s="49">
        <v>5969782550</v>
      </c>
      <c r="F334" s="49">
        <f t="shared" si="99"/>
        <v>0.183444546595499</v>
      </c>
      <c r="G334" s="49">
        <f t="shared" si="92"/>
        <v>0.183444546595499</v>
      </c>
      <c r="H334" s="48">
        <v>210000</v>
      </c>
      <c r="I334" s="48">
        <v>201500</v>
      </c>
      <c r="J334" s="51">
        <v>127953489</v>
      </c>
      <c r="K334" s="48">
        <f t="shared" si="100"/>
        <v>1.48864839990194</v>
      </c>
      <c r="L334" s="48">
        <f t="shared" si="93"/>
        <v>1.48864839990194</v>
      </c>
      <c r="M334" s="49">
        <v>228100</v>
      </c>
      <c r="N334" s="49">
        <v>225500</v>
      </c>
      <c r="O334" s="49">
        <v>15956260</v>
      </c>
      <c r="P334" s="49">
        <f t="shared" si="101"/>
        <v>20.914113355630398</v>
      </c>
      <c r="Q334" s="49">
        <f t="shared" si="94"/>
        <v>20.914113355630398</v>
      </c>
      <c r="R334" s="48">
        <v>10490</v>
      </c>
      <c r="S334" s="48">
        <v>10530</v>
      </c>
      <c r="T334" s="48">
        <v>62100000</v>
      </c>
      <c r="U334" s="48">
        <f t="shared" si="95"/>
        <v>181.26656383476401</v>
      </c>
      <c r="V334" s="48">
        <f t="shared" si="96"/>
        <v>181.26656383476401</v>
      </c>
      <c r="W334" s="49">
        <v>0</v>
      </c>
      <c r="X334" s="49">
        <v>0</v>
      </c>
      <c r="Y334" s="49">
        <v>0</v>
      </c>
      <c r="Z334" s="49">
        <f t="shared" si="102"/>
        <v>0</v>
      </c>
      <c r="AA334" s="49">
        <v>0</v>
      </c>
      <c r="AB334" s="82">
        <f t="shared" si="89"/>
        <v>0</v>
      </c>
      <c r="AC334" s="82">
        <f t="shared" si="90"/>
        <v>252983469544615.03</v>
      </c>
      <c r="AD334" s="81">
        <f t="shared" si="91"/>
        <v>279146489753583.12</v>
      </c>
      <c r="AE334" s="80">
        <f t="shared" si="97"/>
        <v>1103.4179041660827</v>
      </c>
      <c r="AF334" s="52">
        <f t="shared" si="103"/>
        <v>-5.4994368930141894E-3</v>
      </c>
      <c r="AG334" s="48">
        <f t="shared" si="98"/>
        <v>1.0600706713780919E-2</v>
      </c>
      <c r="AH334" s="48">
        <f t="shared" si="104"/>
        <v>-4.0476190476190478E-2</v>
      </c>
      <c r="AI334" s="48">
        <f t="shared" si="105"/>
        <v>-1.1398509425690487E-2</v>
      </c>
      <c r="AJ334" s="48" t="e">
        <f t="shared" si="106"/>
        <v>#DIV/0!</v>
      </c>
    </row>
    <row r="335" spans="1:36" x14ac:dyDescent="0.3">
      <c r="A335" s="48">
        <v>20190513</v>
      </c>
      <c r="B335" s="48" t="s">
        <v>88</v>
      </c>
      <c r="C335" s="49">
        <v>42900</v>
      </c>
      <c r="D335" s="49">
        <v>42650</v>
      </c>
      <c r="E335" s="49">
        <v>5969782550</v>
      </c>
      <c r="F335" s="49">
        <f t="shared" si="99"/>
        <v>0.183444546595499</v>
      </c>
      <c r="G335" s="49">
        <f t="shared" si="92"/>
        <v>0.183444546595499</v>
      </c>
      <c r="H335" s="48">
        <v>201500</v>
      </c>
      <c r="I335" s="48">
        <v>194500</v>
      </c>
      <c r="J335" s="51">
        <v>127953489</v>
      </c>
      <c r="K335" s="48">
        <f t="shared" si="100"/>
        <v>1.48864839990194</v>
      </c>
      <c r="L335" s="48">
        <f t="shared" si="93"/>
        <v>1.48864839990194</v>
      </c>
      <c r="M335" s="49">
        <v>225500</v>
      </c>
      <c r="N335" s="49">
        <v>223700</v>
      </c>
      <c r="O335" s="49">
        <v>15956260</v>
      </c>
      <c r="P335" s="49">
        <f t="shared" si="101"/>
        <v>20.914113355630398</v>
      </c>
      <c r="Q335" s="49">
        <f t="shared" si="94"/>
        <v>20.914113355630398</v>
      </c>
      <c r="R335" s="48">
        <v>10530</v>
      </c>
      <c r="S335" s="48">
        <v>10425</v>
      </c>
      <c r="T335" s="48">
        <v>62100000</v>
      </c>
      <c r="U335" s="48">
        <f t="shared" si="95"/>
        <v>181.26656383476401</v>
      </c>
      <c r="V335" s="48">
        <f t="shared" si="96"/>
        <v>181.26656383476401</v>
      </c>
      <c r="W335" s="49">
        <v>0</v>
      </c>
      <c r="X335" s="49">
        <v>0</v>
      </c>
      <c r="Y335" s="49">
        <v>0</v>
      </c>
      <c r="Z335" s="49">
        <f t="shared" si="102"/>
        <v>0</v>
      </c>
      <c r="AA335" s="49">
        <v>0</v>
      </c>
      <c r="AB335" s="82">
        <f t="shared" si="89"/>
        <v>0</v>
      </c>
      <c r="AC335" s="82">
        <f t="shared" si="90"/>
        <v>252983469544615.03</v>
      </c>
      <c r="AD335" s="81">
        <f t="shared" si="91"/>
        <v>275756735959507.44</v>
      </c>
      <c r="AE335" s="80">
        <f t="shared" si="97"/>
        <v>1090.0187923577996</v>
      </c>
      <c r="AF335" s="52">
        <f t="shared" si="103"/>
        <v>-1.2143279312120291E-2</v>
      </c>
      <c r="AG335" s="48">
        <f t="shared" si="98"/>
        <v>-5.8275058275058279E-3</v>
      </c>
      <c r="AH335" s="48">
        <f t="shared" si="104"/>
        <v>-3.4739454094292806E-2</v>
      </c>
      <c r="AI335" s="48">
        <f t="shared" si="105"/>
        <v>-7.9822616407982262E-3</v>
      </c>
      <c r="AJ335" s="48" t="e">
        <f t="shared" si="106"/>
        <v>#DIV/0!</v>
      </c>
    </row>
    <row r="336" spans="1:36" x14ac:dyDescent="0.3">
      <c r="A336" s="48">
        <v>20190514</v>
      </c>
      <c r="B336" s="48" t="s">
        <v>88</v>
      </c>
      <c r="C336" s="49">
        <v>42650</v>
      </c>
      <c r="D336" s="49">
        <v>42650</v>
      </c>
      <c r="E336" s="49">
        <v>5969782550</v>
      </c>
      <c r="F336" s="49">
        <f t="shared" si="99"/>
        <v>0.183444546595499</v>
      </c>
      <c r="G336" s="49">
        <f t="shared" si="92"/>
        <v>0.183444546595499</v>
      </c>
      <c r="H336" s="48">
        <v>194500</v>
      </c>
      <c r="I336" s="48">
        <v>195500</v>
      </c>
      <c r="J336" s="51">
        <v>127953489</v>
      </c>
      <c r="K336" s="48">
        <f t="shared" si="100"/>
        <v>1.48864839990194</v>
      </c>
      <c r="L336" s="48">
        <f t="shared" si="93"/>
        <v>1.48864839990194</v>
      </c>
      <c r="M336" s="49">
        <v>223700</v>
      </c>
      <c r="N336" s="49">
        <v>225500</v>
      </c>
      <c r="O336" s="49">
        <v>15956260</v>
      </c>
      <c r="P336" s="49">
        <f t="shared" si="101"/>
        <v>20.914113355630398</v>
      </c>
      <c r="Q336" s="49">
        <f t="shared" si="94"/>
        <v>20.914113355630398</v>
      </c>
      <c r="R336" s="48">
        <v>10425</v>
      </c>
      <c r="S336" s="48">
        <v>10415</v>
      </c>
      <c r="T336" s="48">
        <v>62100000</v>
      </c>
      <c r="U336" s="48">
        <f t="shared" si="95"/>
        <v>181.26656383476401</v>
      </c>
      <c r="V336" s="48">
        <f t="shared" si="96"/>
        <v>181.26656383476401</v>
      </c>
      <c r="W336" s="49">
        <v>0</v>
      </c>
      <c r="X336" s="49">
        <v>0</v>
      </c>
      <c r="Y336" s="49">
        <v>0</v>
      </c>
      <c r="Z336" s="49">
        <f t="shared" si="102"/>
        <v>0</v>
      </c>
      <c r="AA336" s="49">
        <v>0</v>
      </c>
      <c r="AB336" s="82">
        <f t="shared" si="89"/>
        <v>0</v>
      </c>
      <c r="AC336" s="82">
        <f t="shared" si="90"/>
        <v>252983469544615.03</v>
      </c>
      <c r="AD336" s="81">
        <f t="shared" si="91"/>
        <v>276435327034697.19</v>
      </c>
      <c r="AE336" s="80">
        <f t="shared" si="97"/>
        <v>1092.7011457795911</v>
      </c>
      <c r="AF336" s="52">
        <f t="shared" si="103"/>
        <v>2.4608322724320691E-3</v>
      </c>
      <c r="AG336" s="48">
        <f t="shared" si="98"/>
        <v>0</v>
      </c>
      <c r="AH336" s="48">
        <f t="shared" si="104"/>
        <v>5.1413881748071976E-3</v>
      </c>
      <c r="AI336" s="48">
        <f t="shared" si="105"/>
        <v>8.0464908359409917E-3</v>
      </c>
      <c r="AJ336" s="48" t="e">
        <f t="shared" si="106"/>
        <v>#DIV/0!</v>
      </c>
    </row>
    <row r="337" spans="1:36" x14ac:dyDescent="0.3">
      <c r="A337" s="48">
        <v>20190515</v>
      </c>
      <c r="B337" s="48" t="s">
        <v>88</v>
      </c>
      <c r="C337" s="49">
        <v>42650</v>
      </c>
      <c r="D337" s="49">
        <v>42550</v>
      </c>
      <c r="E337" s="49">
        <v>5969782550</v>
      </c>
      <c r="F337" s="49">
        <f t="shared" si="99"/>
        <v>0.183444546595499</v>
      </c>
      <c r="G337" s="49">
        <f t="shared" si="92"/>
        <v>0.183444546595499</v>
      </c>
      <c r="H337" s="48">
        <v>195500</v>
      </c>
      <c r="I337" s="48">
        <v>196000</v>
      </c>
      <c r="J337" s="51">
        <v>127953489</v>
      </c>
      <c r="K337" s="48">
        <f t="shared" si="100"/>
        <v>1.48864839990194</v>
      </c>
      <c r="L337" s="48">
        <f t="shared" si="93"/>
        <v>1.48864839990194</v>
      </c>
      <c r="M337" s="49">
        <v>225500</v>
      </c>
      <c r="N337" s="49">
        <v>239400</v>
      </c>
      <c r="O337" s="49">
        <v>15956260</v>
      </c>
      <c r="P337" s="49">
        <f t="shared" si="101"/>
        <v>20.914113355630398</v>
      </c>
      <c r="Q337" s="49">
        <f t="shared" si="94"/>
        <v>20.914113355630398</v>
      </c>
      <c r="R337" s="48">
        <v>10415</v>
      </c>
      <c r="S337" s="48">
        <v>10440</v>
      </c>
      <c r="T337" s="48">
        <v>62100000</v>
      </c>
      <c r="U337" s="48">
        <f t="shared" si="95"/>
        <v>181.26656383476401</v>
      </c>
      <c r="V337" s="48">
        <f t="shared" si="96"/>
        <v>181.26656383476401</v>
      </c>
      <c r="W337" s="49">
        <v>0</v>
      </c>
      <c r="X337" s="49">
        <v>0</v>
      </c>
      <c r="Y337" s="49">
        <v>0</v>
      </c>
      <c r="Z337" s="49">
        <f t="shared" si="102"/>
        <v>0</v>
      </c>
      <c r="AA337" s="49">
        <v>0</v>
      </c>
      <c r="AB337" s="82">
        <f t="shared" si="89"/>
        <v>0</v>
      </c>
      <c r="AC337" s="82">
        <f t="shared" si="90"/>
        <v>252983469544615.03</v>
      </c>
      <c r="AD337" s="81">
        <f t="shared" si="91"/>
        <v>281341053170235.25</v>
      </c>
      <c r="AE337" s="80">
        <f t="shared" si="97"/>
        <v>1112.092634655796</v>
      </c>
      <c r="AF337" s="52">
        <f t="shared" si="103"/>
        <v>1.7746379191695624E-2</v>
      </c>
      <c r="AG337" s="48">
        <f t="shared" si="98"/>
        <v>-2.3446658851113715E-3</v>
      </c>
      <c r="AH337" s="48">
        <f t="shared" si="104"/>
        <v>2.5575447570332483E-3</v>
      </c>
      <c r="AI337" s="48">
        <f t="shared" si="105"/>
        <v>6.1640798226164077E-2</v>
      </c>
      <c r="AJ337" s="48" t="e">
        <f t="shared" si="106"/>
        <v>#DIV/0!</v>
      </c>
    </row>
    <row r="338" spans="1:36" x14ac:dyDescent="0.3">
      <c r="A338" s="48">
        <v>20190516</v>
      </c>
      <c r="B338" s="48" t="s">
        <v>88</v>
      </c>
      <c r="C338" s="49">
        <v>42550</v>
      </c>
      <c r="D338" s="49">
        <v>41550</v>
      </c>
      <c r="E338" s="49">
        <v>5969782550</v>
      </c>
      <c r="F338" s="49">
        <f t="shared" si="99"/>
        <v>0.183444546595499</v>
      </c>
      <c r="G338" s="49">
        <f t="shared" si="92"/>
        <v>0.183444546595499</v>
      </c>
      <c r="H338" s="48">
        <v>196000</v>
      </c>
      <c r="I338" s="48">
        <v>196500</v>
      </c>
      <c r="J338" s="51">
        <v>127953489</v>
      </c>
      <c r="K338" s="48">
        <f t="shared" si="100"/>
        <v>1.48864839990194</v>
      </c>
      <c r="L338" s="48">
        <f t="shared" si="93"/>
        <v>1.48864839990194</v>
      </c>
      <c r="M338" s="49">
        <v>239400</v>
      </c>
      <c r="N338" s="49">
        <v>224300</v>
      </c>
      <c r="O338" s="49">
        <v>15956260</v>
      </c>
      <c r="P338" s="49">
        <f t="shared" si="101"/>
        <v>20.914113355630398</v>
      </c>
      <c r="Q338" s="49">
        <f t="shared" si="94"/>
        <v>20.914113355630398</v>
      </c>
      <c r="R338" s="48">
        <v>10440</v>
      </c>
      <c r="S338" s="48">
        <v>10280</v>
      </c>
      <c r="T338" s="48">
        <v>62100000</v>
      </c>
      <c r="U338" s="48">
        <f t="shared" si="95"/>
        <v>181.26656383476401</v>
      </c>
      <c r="V338" s="48">
        <f t="shared" si="96"/>
        <v>181.26656383476401</v>
      </c>
      <c r="W338" s="49">
        <v>0</v>
      </c>
      <c r="X338" s="49">
        <v>0</v>
      </c>
      <c r="Y338" s="49">
        <v>0</v>
      </c>
      <c r="Z338" s="49">
        <f t="shared" si="102"/>
        <v>0</v>
      </c>
      <c r="AA338" s="49">
        <v>0</v>
      </c>
      <c r="AB338" s="82">
        <f t="shared" si="89"/>
        <v>0</v>
      </c>
      <c r="AC338" s="82">
        <f t="shared" si="90"/>
        <v>252983469544615.03</v>
      </c>
      <c r="AD338" s="81">
        <f t="shared" si="91"/>
        <v>273501066858529.56</v>
      </c>
      <c r="AE338" s="80">
        <f t="shared" si="97"/>
        <v>1081.1025216424118</v>
      </c>
      <c r="AF338" s="52">
        <f t="shared" si="103"/>
        <v>-2.786648526179291E-2</v>
      </c>
      <c r="AG338" s="48">
        <f t="shared" si="98"/>
        <v>-2.3501762632197415E-2</v>
      </c>
      <c r="AH338" s="48">
        <f t="shared" si="104"/>
        <v>2.5510204081632651E-3</v>
      </c>
      <c r="AI338" s="48">
        <f t="shared" si="105"/>
        <v>-6.3074352548036755E-2</v>
      </c>
      <c r="AJ338" s="48" t="e">
        <f t="shared" si="106"/>
        <v>#DIV/0!</v>
      </c>
    </row>
    <row r="339" spans="1:36" s="73" customFormat="1" x14ac:dyDescent="0.3">
      <c r="A339" s="48">
        <v>20190517</v>
      </c>
      <c r="B339" s="48" t="s">
        <v>88</v>
      </c>
      <c r="C339" s="49">
        <v>41550</v>
      </c>
      <c r="D339" s="49">
        <v>41200</v>
      </c>
      <c r="E339" s="49">
        <v>5969782550</v>
      </c>
      <c r="F339" s="49">
        <f t="shared" si="99"/>
        <v>0.183444546595499</v>
      </c>
      <c r="G339" s="49">
        <f t="shared" si="92"/>
        <v>0.18611232124486701</v>
      </c>
      <c r="H339" s="48">
        <v>196500</v>
      </c>
      <c r="I339" s="48">
        <v>195500</v>
      </c>
      <c r="J339" s="51">
        <v>128329070</v>
      </c>
      <c r="K339" s="48">
        <f t="shared" si="100"/>
        <v>1.48864839990194</v>
      </c>
      <c r="L339" s="48">
        <f t="shared" si="93"/>
        <v>1.5058771407602201</v>
      </c>
      <c r="M339" s="49">
        <v>224300</v>
      </c>
      <c r="N339" s="49">
        <v>222500</v>
      </c>
      <c r="O339" s="49">
        <v>15956260</v>
      </c>
      <c r="P339" s="49">
        <f t="shared" si="101"/>
        <v>20.914113355630398</v>
      </c>
      <c r="Q339" s="49">
        <f t="shared" si="94"/>
        <v>21.218260535034901</v>
      </c>
      <c r="R339" s="48">
        <v>10280</v>
      </c>
      <c r="S339" s="48">
        <v>10225</v>
      </c>
      <c r="T339" s="48">
        <v>62100000</v>
      </c>
      <c r="U339" s="48">
        <f t="shared" si="95"/>
        <v>181.26656383476401</v>
      </c>
      <c r="V339" s="48">
        <f t="shared" si="96"/>
        <v>183.902664785984</v>
      </c>
      <c r="W339" s="49">
        <v>0</v>
      </c>
      <c r="X339" s="49">
        <v>0</v>
      </c>
      <c r="Y339" s="49">
        <v>0</v>
      </c>
      <c r="Z339" s="49">
        <f t="shared" si="102"/>
        <v>0</v>
      </c>
      <c r="AA339" s="49">
        <v>0</v>
      </c>
      <c r="AB339" s="82">
        <f t="shared" si="89"/>
        <v>1</v>
      </c>
      <c r="AC339" s="82">
        <f t="shared" si="90"/>
        <v>256662526236600.03</v>
      </c>
      <c r="AD339" s="81">
        <f t="shared" si="91"/>
        <v>275658854082897.16</v>
      </c>
      <c r="AE339" s="80">
        <f t="shared" si="97"/>
        <v>1074.0128608754737</v>
      </c>
      <c r="AF339" s="52">
        <f t="shared" si="103"/>
        <v>-6.5578061516011242E-3</v>
      </c>
      <c r="AG339" s="48">
        <f t="shared" si="98"/>
        <v>-8.4235860409145602E-3</v>
      </c>
      <c r="AH339" s="48">
        <f t="shared" si="104"/>
        <v>-5.0890585241730284E-3</v>
      </c>
      <c r="AI339" s="48">
        <f t="shared" si="105"/>
        <v>-8.024966562639322E-3</v>
      </c>
      <c r="AJ339" s="48" t="e">
        <f t="shared" si="106"/>
        <v>#DIV/0!</v>
      </c>
    </row>
    <row r="340" spans="1:36" x14ac:dyDescent="0.3">
      <c r="A340" s="48">
        <v>20190520</v>
      </c>
      <c r="B340" s="48" t="s">
        <v>88</v>
      </c>
      <c r="C340" s="49">
        <v>41200</v>
      </c>
      <c r="D340" s="49">
        <v>42000</v>
      </c>
      <c r="E340" s="49">
        <v>5969782550</v>
      </c>
      <c r="F340" s="49">
        <f t="shared" si="99"/>
        <v>0.18611232124486701</v>
      </c>
      <c r="G340" s="49">
        <f t="shared" si="92"/>
        <v>0.18611232124486701</v>
      </c>
      <c r="H340" s="48">
        <v>195500</v>
      </c>
      <c r="I340" s="48">
        <v>188000</v>
      </c>
      <c r="J340" s="51">
        <v>128329070</v>
      </c>
      <c r="K340" s="48">
        <f t="shared" si="100"/>
        <v>1.5058771407602201</v>
      </c>
      <c r="L340" s="48">
        <f t="shared" si="93"/>
        <v>1.5058771407602201</v>
      </c>
      <c r="M340" s="49">
        <v>222500</v>
      </c>
      <c r="N340" s="49">
        <v>211900</v>
      </c>
      <c r="O340" s="49">
        <v>15956260</v>
      </c>
      <c r="P340" s="49">
        <f t="shared" si="101"/>
        <v>21.218260535034901</v>
      </c>
      <c r="Q340" s="49">
        <f t="shared" si="94"/>
        <v>21.218260535034901</v>
      </c>
      <c r="R340" s="48">
        <v>10225</v>
      </c>
      <c r="S340" s="48">
        <v>10315</v>
      </c>
      <c r="T340" s="48">
        <v>62100000</v>
      </c>
      <c r="U340" s="48">
        <f t="shared" si="95"/>
        <v>183.902664785984</v>
      </c>
      <c r="V340" s="48">
        <f t="shared" si="96"/>
        <v>183.902664785984</v>
      </c>
      <c r="W340" s="49">
        <v>0</v>
      </c>
      <c r="X340" s="49">
        <v>0</v>
      </c>
      <c r="Y340" s="49">
        <v>0</v>
      </c>
      <c r="Z340" s="49">
        <f t="shared" si="102"/>
        <v>0</v>
      </c>
      <c r="AA340" s="49">
        <v>0</v>
      </c>
      <c r="AB340" s="82">
        <f t="shared" si="89"/>
        <v>0</v>
      </c>
      <c r="AC340" s="82">
        <f t="shared" si="90"/>
        <v>256662526236600.03</v>
      </c>
      <c r="AD340" s="81">
        <f t="shared" si="91"/>
        <v>272537388281437.53</v>
      </c>
      <c r="AE340" s="80">
        <f t="shared" si="97"/>
        <v>1061.8511096170055</v>
      </c>
      <c r="AF340" s="52">
        <f t="shared" si="103"/>
        <v>-1.1323655145576837E-2</v>
      </c>
      <c r="AG340" s="48">
        <f t="shared" si="98"/>
        <v>1.9417475728155338E-2</v>
      </c>
      <c r="AH340" s="48">
        <f t="shared" si="104"/>
        <v>-3.8363171355498722E-2</v>
      </c>
      <c r="AI340" s="48">
        <f t="shared" si="105"/>
        <v>-4.7640449438202247E-2</v>
      </c>
      <c r="AJ340" s="48" t="e">
        <f t="shared" si="106"/>
        <v>#DIV/0!</v>
      </c>
    </row>
    <row r="341" spans="1:36" x14ac:dyDescent="0.3">
      <c r="A341" s="48">
        <v>20190521</v>
      </c>
      <c r="B341" s="48" t="s">
        <v>88</v>
      </c>
      <c r="C341" s="49">
        <v>42000</v>
      </c>
      <c r="D341" s="49">
        <v>43150</v>
      </c>
      <c r="E341" s="49">
        <v>5969782550</v>
      </c>
      <c r="F341" s="49">
        <f t="shared" si="99"/>
        <v>0.18611232124486701</v>
      </c>
      <c r="G341" s="49">
        <f t="shared" si="92"/>
        <v>0.18611232124486701</v>
      </c>
      <c r="H341" s="48">
        <v>188000</v>
      </c>
      <c r="I341" s="48">
        <v>181000</v>
      </c>
      <c r="J341" s="51">
        <v>128329070</v>
      </c>
      <c r="K341" s="48">
        <f t="shared" si="100"/>
        <v>1.5058771407602201</v>
      </c>
      <c r="L341" s="48">
        <f t="shared" si="93"/>
        <v>1.5058771407602201</v>
      </c>
      <c r="M341" s="49">
        <v>211900</v>
      </c>
      <c r="N341" s="49">
        <v>214200</v>
      </c>
      <c r="O341" s="49">
        <v>15956260</v>
      </c>
      <c r="P341" s="49">
        <f t="shared" si="101"/>
        <v>21.218260535034901</v>
      </c>
      <c r="Q341" s="49">
        <f t="shared" si="94"/>
        <v>21.218260535034901</v>
      </c>
      <c r="R341" s="48">
        <v>10315</v>
      </c>
      <c r="S341" s="48">
        <v>10370</v>
      </c>
      <c r="T341" s="48">
        <v>62100000</v>
      </c>
      <c r="U341" s="48">
        <f t="shared" si="95"/>
        <v>183.902664785984</v>
      </c>
      <c r="V341" s="48">
        <f t="shared" si="96"/>
        <v>183.902664785984</v>
      </c>
      <c r="W341" s="49">
        <v>0</v>
      </c>
      <c r="X341" s="49">
        <v>0</v>
      </c>
      <c r="Y341" s="49">
        <v>0</v>
      </c>
      <c r="Z341" s="49">
        <f t="shared" si="102"/>
        <v>0</v>
      </c>
      <c r="AA341" s="49">
        <v>0</v>
      </c>
      <c r="AB341" s="82">
        <f t="shared" si="89"/>
        <v>0</v>
      </c>
      <c r="AC341" s="82">
        <f t="shared" si="90"/>
        <v>256662526236600.03</v>
      </c>
      <c r="AD341" s="81">
        <f t="shared" si="91"/>
        <v>273869178131064.62</v>
      </c>
      <c r="AE341" s="80">
        <f t="shared" si="97"/>
        <v>1067.0399849435089</v>
      </c>
      <c r="AF341" s="52">
        <f t="shared" si="103"/>
        <v>4.8866317316134597E-3</v>
      </c>
      <c r="AG341" s="48">
        <f t="shared" si="98"/>
        <v>2.7380952380952381E-2</v>
      </c>
      <c r="AH341" s="48">
        <f t="shared" si="104"/>
        <v>-3.7234042553191488E-2</v>
      </c>
      <c r="AI341" s="48">
        <f t="shared" si="105"/>
        <v>1.0854176498348278E-2</v>
      </c>
      <c r="AJ341" s="48" t="e">
        <f t="shared" si="106"/>
        <v>#DIV/0!</v>
      </c>
    </row>
    <row r="342" spans="1:36" x14ac:dyDescent="0.3">
      <c r="A342" s="48">
        <v>20190522</v>
      </c>
      <c r="B342" s="48" t="s">
        <v>88</v>
      </c>
      <c r="C342" s="49">
        <v>43150</v>
      </c>
      <c r="D342" s="49">
        <v>43500</v>
      </c>
      <c r="E342" s="49">
        <v>5969782550</v>
      </c>
      <c r="F342" s="49">
        <f t="shared" si="99"/>
        <v>0.18611232124486701</v>
      </c>
      <c r="G342" s="49">
        <f t="shared" si="92"/>
        <v>0.18611232124486701</v>
      </c>
      <c r="H342" s="48">
        <v>181000</v>
      </c>
      <c r="I342" s="48">
        <v>184500</v>
      </c>
      <c r="J342" s="51">
        <v>128329070</v>
      </c>
      <c r="K342" s="48">
        <f t="shared" si="100"/>
        <v>1.5058771407602201</v>
      </c>
      <c r="L342" s="48">
        <f t="shared" si="93"/>
        <v>1.5058771407602201</v>
      </c>
      <c r="M342" s="49">
        <v>214200</v>
      </c>
      <c r="N342" s="49">
        <v>214500</v>
      </c>
      <c r="O342" s="49">
        <v>15956260</v>
      </c>
      <c r="P342" s="49">
        <f t="shared" si="101"/>
        <v>21.218260535034901</v>
      </c>
      <c r="Q342" s="49">
        <f t="shared" si="94"/>
        <v>21.218260535034901</v>
      </c>
      <c r="R342" s="48">
        <v>10370</v>
      </c>
      <c r="S342" s="48">
        <v>10315</v>
      </c>
      <c r="T342" s="48">
        <v>62100000</v>
      </c>
      <c r="U342" s="48">
        <f t="shared" si="95"/>
        <v>183.902664785984</v>
      </c>
      <c r="V342" s="48">
        <f t="shared" si="96"/>
        <v>183.902664785984</v>
      </c>
      <c r="W342" s="49">
        <v>0</v>
      </c>
      <c r="X342" s="49">
        <v>0</v>
      </c>
      <c r="Y342" s="49">
        <v>0</v>
      </c>
      <c r="Z342" s="49">
        <f t="shared" si="102"/>
        <v>0</v>
      </c>
      <c r="AA342" s="49">
        <v>0</v>
      </c>
      <c r="AB342" s="82">
        <f t="shared" si="89"/>
        <v>0</v>
      </c>
      <c r="AC342" s="82">
        <f t="shared" si="90"/>
        <v>256662526236600.03</v>
      </c>
      <c r="AD342" s="81">
        <f t="shared" si="91"/>
        <v>274407862680267.25</v>
      </c>
      <c r="AE342" s="80">
        <f t="shared" si="97"/>
        <v>1069.1387897713942</v>
      </c>
      <c r="AF342" s="52">
        <f t="shared" si="103"/>
        <v>1.9669411245131314E-3</v>
      </c>
      <c r="AG342" s="48">
        <f t="shared" si="98"/>
        <v>8.1112398609501733E-3</v>
      </c>
      <c r="AH342" s="48">
        <f t="shared" si="104"/>
        <v>1.9337016574585635E-2</v>
      </c>
      <c r="AI342" s="48">
        <f t="shared" si="105"/>
        <v>1.4005602240896359E-3</v>
      </c>
      <c r="AJ342" s="48" t="e">
        <f t="shared" si="106"/>
        <v>#DIV/0!</v>
      </c>
    </row>
    <row r="343" spans="1:36" x14ac:dyDescent="0.3">
      <c r="A343" s="48">
        <v>20190523</v>
      </c>
      <c r="B343" s="48" t="s">
        <v>88</v>
      </c>
      <c r="C343" s="49">
        <v>43500</v>
      </c>
      <c r="D343" s="49">
        <v>43850</v>
      </c>
      <c r="E343" s="49">
        <v>5969782550</v>
      </c>
      <c r="F343" s="49">
        <f t="shared" si="99"/>
        <v>0.18611232124486701</v>
      </c>
      <c r="G343" s="49">
        <f t="shared" si="92"/>
        <v>0.18611232124486701</v>
      </c>
      <c r="H343" s="48">
        <v>184500</v>
      </c>
      <c r="I343" s="48">
        <v>180500</v>
      </c>
      <c r="J343" s="51">
        <v>128329070</v>
      </c>
      <c r="K343" s="48">
        <f t="shared" si="100"/>
        <v>1.5058771407602201</v>
      </c>
      <c r="L343" s="48">
        <f t="shared" si="93"/>
        <v>1.5058771407602201</v>
      </c>
      <c r="M343" s="49">
        <v>214500</v>
      </c>
      <c r="N343" s="49">
        <v>203500</v>
      </c>
      <c r="O343" s="49">
        <v>15956260</v>
      </c>
      <c r="P343" s="49">
        <f t="shared" si="101"/>
        <v>21.218260535034901</v>
      </c>
      <c r="Q343" s="49">
        <f t="shared" si="94"/>
        <v>21.218260535034901</v>
      </c>
      <c r="R343" s="48">
        <v>10315</v>
      </c>
      <c r="S343" s="48">
        <v>10315</v>
      </c>
      <c r="T343" s="48">
        <v>62100000</v>
      </c>
      <c r="U343" s="48">
        <f t="shared" si="95"/>
        <v>183.902664785984</v>
      </c>
      <c r="V343" s="48">
        <f t="shared" si="96"/>
        <v>183.902664785984</v>
      </c>
      <c r="W343" s="49">
        <v>0</v>
      </c>
      <c r="X343" s="49">
        <v>0</v>
      </c>
      <c r="Y343" s="49">
        <v>0</v>
      </c>
      <c r="Z343" s="49">
        <f t="shared" si="102"/>
        <v>0</v>
      </c>
      <c r="AA343" s="49">
        <v>0</v>
      </c>
      <c r="AB343" s="82">
        <f t="shared" si="89"/>
        <v>0</v>
      </c>
      <c r="AC343" s="82">
        <f t="shared" si="90"/>
        <v>256662526236600.03</v>
      </c>
      <c r="AD343" s="81">
        <f t="shared" si="91"/>
        <v>270299534058640.53</v>
      </c>
      <c r="AE343" s="80">
        <f t="shared" si="97"/>
        <v>1053.1320564088483</v>
      </c>
      <c r="AF343" s="52">
        <f t="shared" si="103"/>
        <v>-1.4971614083863237E-2</v>
      </c>
      <c r="AG343" s="48">
        <f t="shared" si="98"/>
        <v>8.0459770114942528E-3</v>
      </c>
      <c r="AH343" s="48">
        <f t="shared" si="104"/>
        <v>-2.1680216802168022E-2</v>
      </c>
      <c r="AI343" s="48">
        <f t="shared" si="105"/>
        <v>-5.128205128205128E-2</v>
      </c>
      <c r="AJ343" s="48" t="e">
        <f t="shared" si="106"/>
        <v>#DIV/0!</v>
      </c>
    </row>
    <row r="344" spans="1:36" x14ac:dyDescent="0.3">
      <c r="A344" s="48">
        <v>20190524</v>
      </c>
      <c r="B344" s="48" t="s">
        <v>88</v>
      </c>
      <c r="C344" s="49">
        <v>43850</v>
      </c>
      <c r="D344" s="49">
        <v>42700</v>
      </c>
      <c r="E344" s="49">
        <v>5969782550</v>
      </c>
      <c r="F344" s="49">
        <f t="shared" si="99"/>
        <v>0.18611232124486701</v>
      </c>
      <c r="G344" s="49">
        <f t="shared" si="92"/>
        <v>0.18611232124486701</v>
      </c>
      <c r="H344" s="48">
        <v>180500</v>
      </c>
      <c r="I344" s="48">
        <v>181000</v>
      </c>
      <c r="J344" s="51">
        <v>128329070</v>
      </c>
      <c r="K344" s="48">
        <f t="shared" si="100"/>
        <v>1.5058771407602201</v>
      </c>
      <c r="L344" s="48">
        <f t="shared" si="93"/>
        <v>1.5058771407602201</v>
      </c>
      <c r="M344" s="49">
        <v>203500</v>
      </c>
      <c r="N344" s="49">
        <v>211500</v>
      </c>
      <c r="O344" s="49">
        <v>15956260</v>
      </c>
      <c r="P344" s="49">
        <f t="shared" si="101"/>
        <v>21.218260535034901</v>
      </c>
      <c r="Q344" s="49">
        <f t="shared" si="94"/>
        <v>21.218260535034901</v>
      </c>
      <c r="R344" s="48">
        <v>10315</v>
      </c>
      <c r="S344" s="48">
        <v>10260</v>
      </c>
      <c r="T344" s="48">
        <v>62100000</v>
      </c>
      <c r="U344" s="48">
        <f t="shared" si="95"/>
        <v>183.902664785984</v>
      </c>
      <c r="V344" s="48">
        <f t="shared" si="96"/>
        <v>183.902664785984</v>
      </c>
      <c r="W344" s="49">
        <v>0</v>
      </c>
      <c r="X344" s="49">
        <v>0</v>
      </c>
      <c r="Y344" s="49">
        <v>0</v>
      </c>
      <c r="Z344" s="49">
        <f t="shared" si="102"/>
        <v>0</v>
      </c>
      <c r="AA344" s="49">
        <v>0</v>
      </c>
      <c r="AB344" s="82">
        <f t="shared" ref="AB344:AB375" si="107">IF(AD343&lt;&gt;(C344*E344*F344+H344*J344*K344+M344*O344*P344+R344*T344*U344),1,0)</f>
        <v>0</v>
      </c>
      <c r="AC344" s="82">
        <f t="shared" ref="AC344:AC375" si="108">IF(AND(AB344=0,B344="N"),AC343,AC343*(C344*E344*G344+H344*J344*L344+M344*O344*Q344+R344*T344*V344)/AD343)</f>
        <v>256662526236600.03</v>
      </c>
      <c r="AD344" s="81">
        <f t="shared" ref="AD344:AD375" si="109">D344*E344*G344+I344*J344*L344+N344*O344*Q344+S344*T344*V344</f>
        <v>271198843467462.31</v>
      </c>
      <c r="AE344" s="80">
        <f t="shared" si="97"/>
        <v>1056.6359158230298</v>
      </c>
      <c r="AF344" s="52">
        <f t="shared" si="103"/>
        <v>3.327084569175113E-3</v>
      </c>
      <c r="AG344" s="48">
        <f t="shared" si="98"/>
        <v>-2.6225769669327253E-2</v>
      </c>
      <c r="AH344" s="48">
        <f t="shared" si="104"/>
        <v>2.7700831024930748E-3</v>
      </c>
      <c r="AI344" s="48">
        <f t="shared" si="105"/>
        <v>3.9312039312039311E-2</v>
      </c>
      <c r="AJ344" s="48" t="e">
        <f t="shared" si="106"/>
        <v>#DIV/0!</v>
      </c>
    </row>
    <row r="345" spans="1:36" x14ac:dyDescent="0.3">
      <c r="A345" s="48">
        <v>20190527</v>
      </c>
      <c r="B345" s="48" t="s">
        <v>88</v>
      </c>
      <c r="C345" s="49">
        <v>42700</v>
      </c>
      <c r="D345" s="49">
        <v>42650</v>
      </c>
      <c r="E345" s="49">
        <v>5969782550</v>
      </c>
      <c r="F345" s="49">
        <f t="shared" si="99"/>
        <v>0.18611232124486701</v>
      </c>
      <c r="G345" s="49">
        <f t="shared" si="92"/>
        <v>0.18611232124486701</v>
      </c>
      <c r="H345" s="48">
        <v>181000</v>
      </c>
      <c r="I345" s="48">
        <v>174000</v>
      </c>
      <c r="J345" s="51">
        <v>128329070</v>
      </c>
      <c r="K345" s="48">
        <f t="shared" si="100"/>
        <v>1.5058771407602201</v>
      </c>
      <c r="L345" s="48">
        <f t="shared" si="93"/>
        <v>1.5058771407602201</v>
      </c>
      <c r="M345" s="49">
        <v>211500</v>
      </c>
      <c r="N345" s="49">
        <v>211500</v>
      </c>
      <c r="O345" s="49">
        <v>15956260</v>
      </c>
      <c r="P345" s="49">
        <f t="shared" si="101"/>
        <v>21.218260535034901</v>
      </c>
      <c r="Q345" s="49">
        <f t="shared" si="94"/>
        <v>21.218260535034901</v>
      </c>
      <c r="R345" s="48">
        <v>10260</v>
      </c>
      <c r="S345" s="48">
        <v>10220</v>
      </c>
      <c r="T345" s="48">
        <v>62100000</v>
      </c>
      <c r="U345" s="48">
        <f t="shared" si="95"/>
        <v>183.902664785984</v>
      </c>
      <c r="V345" s="48">
        <f t="shared" si="96"/>
        <v>183.902664785984</v>
      </c>
      <c r="W345" s="49">
        <v>0</v>
      </c>
      <c r="X345" s="49">
        <v>0</v>
      </c>
      <c r="Y345" s="49">
        <v>0</v>
      </c>
      <c r="Z345" s="49">
        <f t="shared" si="102"/>
        <v>0</v>
      </c>
      <c r="AA345" s="49">
        <v>0</v>
      </c>
      <c r="AB345" s="82">
        <f t="shared" si="107"/>
        <v>0</v>
      </c>
      <c r="AC345" s="82">
        <f t="shared" si="108"/>
        <v>256662526236600.03</v>
      </c>
      <c r="AD345" s="81">
        <f t="shared" si="109"/>
        <v>269333742052692.44</v>
      </c>
      <c r="AE345" s="80">
        <f t="shared" si="97"/>
        <v>1049.3691697104689</v>
      </c>
      <c r="AF345" s="52">
        <f t="shared" si="103"/>
        <v>-6.8772469341066419E-3</v>
      </c>
      <c r="AG345" s="48">
        <f t="shared" si="98"/>
        <v>-1.17096018735363E-3</v>
      </c>
      <c r="AH345" s="48">
        <f t="shared" si="104"/>
        <v>-3.8674033149171269E-2</v>
      </c>
      <c r="AI345" s="48">
        <f t="shared" si="105"/>
        <v>0</v>
      </c>
      <c r="AJ345" s="48" t="e">
        <f t="shared" si="106"/>
        <v>#DIV/0!</v>
      </c>
    </row>
    <row r="346" spans="1:36" x14ac:dyDescent="0.3">
      <c r="A346" s="48">
        <v>20190528</v>
      </c>
      <c r="B346" s="48" t="s">
        <v>88</v>
      </c>
      <c r="C346" s="49">
        <v>42650</v>
      </c>
      <c r="D346" s="49">
        <v>42550</v>
      </c>
      <c r="E346" s="49">
        <v>5969782550</v>
      </c>
      <c r="F346" s="49">
        <f t="shared" si="99"/>
        <v>0.18611232124486701</v>
      </c>
      <c r="G346" s="49">
        <f t="shared" si="92"/>
        <v>0.18611232124486701</v>
      </c>
      <c r="H346" s="48">
        <v>174000</v>
      </c>
      <c r="I346" s="48">
        <v>186000</v>
      </c>
      <c r="J346" s="51">
        <v>128329070</v>
      </c>
      <c r="K346" s="48">
        <f t="shared" si="100"/>
        <v>1.5058771407602201</v>
      </c>
      <c r="L346" s="48">
        <f t="shared" si="93"/>
        <v>1.5058771407602201</v>
      </c>
      <c r="M346" s="49">
        <v>211500</v>
      </c>
      <c r="N346" s="49">
        <v>218200</v>
      </c>
      <c r="O346" s="49">
        <v>15956260</v>
      </c>
      <c r="P346" s="49">
        <f t="shared" si="101"/>
        <v>21.218260535034901</v>
      </c>
      <c r="Q346" s="49">
        <f t="shared" si="94"/>
        <v>21.218260535034901</v>
      </c>
      <c r="R346" s="48">
        <v>10220</v>
      </c>
      <c r="S346" s="48">
        <v>10260</v>
      </c>
      <c r="T346" s="48">
        <v>62100000</v>
      </c>
      <c r="U346" s="48">
        <f t="shared" si="95"/>
        <v>183.902664785984</v>
      </c>
      <c r="V346" s="48">
        <f t="shared" si="96"/>
        <v>183.902664785984</v>
      </c>
      <c r="W346" s="49">
        <v>0</v>
      </c>
      <c r="X346" s="49">
        <v>0</v>
      </c>
      <c r="Y346" s="49">
        <v>0</v>
      </c>
      <c r="Z346" s="49">
        <f t="shared" si="102"/>
        <v>0</v>
      </c>
      <c r="AA346" s="49">
        <v>0</v>
      </c>
      <c r="AB346" s="82">
        <f t="shared" si="107"/>
        <v>0</v>
      </c>
      <c r="AC346" s="82">
        <f t="shared" si="108"/>
        <v>256662526236600.03</v>
      </c>
      <c r="AD346" s="81">
        <f t="shared" si="109"/>
        <v>274266804367706.12</v>
      </c>
      <c r="AE346" s="80">
        <f t="shared" si="97"/>
        <v>1068.5892030645639</v>
      </c>
      <c r="AF346" s="52">
        <f t="shared" si="103"/>
        <v>1.8315797632398507E-2</v>
      </c>
      <c r="AG346" s="48">
        <f t="shared" si="98"/>
        <v>-2.3446658851113715E-3</v>
      </c>
      <c r="AH346" s="48">
        <f t="shared" si="104"/>
        <v>6.8965517241379309E-2</v>
      </c>
      <c r="AI346" s="48">
        <f t="shared" si="105"/>
        <v>3.1678486997635931E-2</v>
      </c>
      <c r="AJ346" s="48" t="e">
        <f t="shared" si="106"/>
        <v>#DIV/0!</v>
      </c>
    </row>
    <row r="347" spans="1:36" x14ac:dyDescent="0.3">
      <c r="A347" s="48">
        <v>20190529</v>
      </c>
      <c r="B347" s="48" t="s">
        <v>88</v>
      </c>
      <c r="C347" s="49">
        <v>42550</v>
      </c>
      <c r="D347" s="49">
        <v>41800</v>
      </c>
      <c r="E347" s="49">
        <v>5969782550</v>
      </c>
      <c r="F347" s="49">
        <f t="shared" si="99"/>
        <v>0.18611232124486701</v>
      </c>
      <c r="G347" s="49">
        <f t="shared" si="92"/>
        <v>0.18611232124486701</v>
      </c>
      <c r="H347" s="48">
        <v>186000</v>
      </c>
      <c r="I347" s="48">
        <v>185500</v>
      </c>
      <c r="J347" s="51">
        <v>128329070</v>
      </c>
      <c r="K347" s="48">
        <f t="shared" si="100"/>
        <v>1.5058771407602201</v>
      </c>
      <c r="L347" s="48">
        <f t="shared" si="93"/>
        <v>1.5058771407602201</v>
      </c>
      <c r="M347" s="49">
        <v>218200</v>
      </c>
      <c r="N347" s="49">
        <v>187900</v>
      </c>
      <c r="O347" s="49">
        <v>15956260</v>
      </c>
      <c r="P347" s="49">
        <f t="shared" si="101"/>
        <v>21.218260535034901</v>
      </c>
      <c r="Q347" s="49">
        <f t="shared" si="94"/>
        <v>21.218260535034901</v>
      </c>
      <c r="R347" s="48">
        <v>10260</v>
      </c>
      <c r="S347" s="48">
        <v>10075</v>
      </c>
      <c r="T347" s="48">
        <v>62100000</v>
      </c>
      <c r="U347" s="48">
        <f t="shared" si="95"/>
        <v>183.902664785984</v>
      </c>
      <c r="V347" s="48">
        <f t="shared" si="96"/>
        <v>183.902664785984</v>
      </c>
      <c r="W347" s="49">
        <v>0</v>
      </c>
      <c r="X347" s="49">
        <v>0</v>
      </c>
      <c r="Y347" s="49">
        <v>0</v>
      </c>
      <c r="Z347" s="49">
        <f t="shared" si="102"/>
        <v>0</v>
      </c>
      <c r="AA347" s="49">
        <v>0</v>
      </c>
      <c r="AB347" s="82">
        <f t="shared" si="107"/>
        <v>0</v>
      </c>
      <c r="AC347" s="82">
        <f t="shared" si="108"/>
        <v>256662526236600.03</v>
      </c>
      <c r="AD347" s="81">
        <f t="shared" si="109"/>
        <v>260965635451131.53</v>
      </c>
      <c r="AE347" s="80">
        <f t="shared" si="97"/>
        <v>1016.7656310316402</v>
      </c>
      <c r="AF347" s="52">
        <f t="shared" si="103"/>
        <v>-4.8497188521370971E-2</v>
      </c>
      <c r="AG347" s="48">
        <f t="shared" si="98"/>
        <v>-1.7626321974148061E-2</v>
      </c>
      <c r="AH347" s="48">
        <f t="shared" si="104"/>
        <v>-2.6881720430107529E-3</v>
      </c>
      <c r="AI347" s="48">
        <f t="shared" si="105"/>
        <v>-0.13886342804766269</v>
      </c>
      <c r="AJ347" s="48" t="e">
        <f t="shared" si="106"/>
        <v>#DIV/0!</v>
      </c>
    </row>
    <row r="348" spans="1:36" x14ac:dyDescent="0.3">
      <c r="A348" s="48">
        <v>20190530</v>
      </c>
      <c r="B348" s="48" t="s">
        <v>88</v>
      </c>
      <c r="C348" s="49">
        <v>41800</v>
      </c>
      <c r="D348" s="49">
        <v>42550</v>
      </c>
      <c r="E348" s="49">
        <v>5969782550</v>
      </c>
      <c r="F348" s="49">
        <f t="shared" si="99"/>
        <v>0.18611232124486701</v>
      </c>
      <c r="G348" s="49">
        <f t="shared" si="92"/>
        <v>0.18611232124486701</v>
      </c>
      <c r="H348" s="48">
        <v>185500</v>
      </c>
      <c r="I348" s="48">
        <v>186000</v>
      </c>
      <c r="J348" s="51">
        <v>128329070</v>
      </c>
      <c r="K348" s="48">
        <f t="shared" si="100"/>
        <v>1.5058771407602201</v>
      </c>
      <c r="L348" s="48">
        <f t="shared" si="93"/>
        <v>1.5058771407602201</v>
      </c>
      <c r="M348" s="49">
        <v>187900</v>
      </c>
      <c r="N348" s="49">
        <v>183700</v>
      </c>
      <c r="O348" s="49">
        <v>15956260</v>
      </c>
      <c r="P348" s="49">
        <f t="shared" si="101"/>
        <v>21.218260535034901</v>
      </c>
      <c r="Q348" s="49">
        <f t="shared" si="94"/>
        <v>21.218260535034901</v>
      </c>
      <c r="R348" s="48">
        <v>10075</v>
      </c>
      <c r="S348" s="48">
        <v>10185</v>
      </c>
      <c r="T348" s="48">
        <v>62100000</v>
      </c>
      <c r="U348" s="48">
        <f t="shared" si="95"/>
        <v>183.902664785984</v>
      </c>
      <c r="V348" s="48">
        <f t="shared" si="96"/>
        <v>183.902664785984</v>
      </c>
      <c r="W348" s="49">
        <v>0</v>
      </c>
      <c r="X348" s="49">
        <v>0</v>
      </c>
      <c r="Y348" s="49">
        <v>0</v>
      </c>
      <c r="Z348" s="49">
        <f t="shared" si="102"/>
        <v>0</v>
      </c>
      <c r="AA348" s="49">
        <v>0</v>
      </c>
      <c r="AB348" s="82">
        <f t="shared" si="107"/>
        <v>0</v>
      </c>
      <c r="AC348" s="82">
        <f t="shared" si="108"/>
        <v>256662526236600.03</v>
      </c>
      <c r="AD348" s="81">
        <f t="shared" si="109"/>
        <v>261729816882821.34</v>
      </c>
      <c r="AE348" s="80">
        <f t="shared" si="97"/>
        <v>1019.7430093146911</v>
      </c>
      <c r="AF348" s="52">
        <f t="shared" si="103"/>
        <v>2.9282837580082285E-3</v>
      </c>
      <c r="AG348" s="48">
        <f t="shared" si="98"/>
        <v>1.7942583732057416E-2</v>
      </c>
      <c r="AH348" s="48">
        <f t="shared" si="104"/>
        <v>2.6954177897574125E-3</v>
      </c>
      <c r="AI348" s="48">
        <f t="shared" si="105"/>
        <v>-2.2352315061202766E-2</v>
      </c>
      <c r="AJ348" s="48" t="e">
        <f t="shared" si="106"/>
        <v>#DIV/0!</v>
      </c>
    </row>
    <row r="349" spans="1:36" x14ac:dyDescent="0.3">
      <c r="A349" s="48">
        <v>20190531</v>
      </c>
      <c r="B349" s="48" t="s">
        <v>88</v>
      </c>
      <c r="C349" s="49">
        <v>42550</v>
      </c>
      <c r="D349" s="49">
        <v>42500</v>
      </c>
      <c r="E349" s="49">
        <v>5969782550</v>
      </c>
      <c r="F349" s="49">
        <f t="shared" si="99"/>
        <v>0.18611232124486701</v>
      </c>
      <c r="G349" s="49">
        <f t="shared" si="92"/>
        <v>0.18611232124486701</v>
      </c>
      <c r="H349" s="48">
        <v>186000</v>
      </c>
      <c r="I349" s="48">
        <v>190000</v>
      </c>
      <c r="J349" s="51">
        <v>128329070</v>
      </c>
      <c r="K349" s="48">
        <f t="shared" si="100"/>
        <v>1.5058771407602201</v>
      </c>
      <c r="L349" s="48">
        <f t="shared" si="93"/>
        <v>1.5058771407602201</v>
      </c>
      <c r="M349" s="49">
        <v>183700</v>
      </c>
      <c r="N349" s="49">
        <v>194800</v>
      </c>
      <c r="O349" s="49">
        <v>15956260</v>
      </c>
      <c r="P349" s="49">
        <f t="shared" si="101"/>
        <v>21.218260535034901</v>
      </c>
      <c r="Q349" s="49">
        <f t="shared" si="94"/>
        <v>21.218260535034901</v>
      </c>
      <c r="R349" s="48">
        <v>10185</v>
      </c>
      <c r="S349" s="48">
        <v>10245</v>
      </c>
      <c r="T349" s="48">
        <v>62100000</v>
      </c>
      <c r="U349" s="48">
        <f t="shared" si="95"/>
        <v>183.902664785984</v>
      </c>
      <c r="V349" s="48">
        <f t="shared" si="96"/>
        <v>183.902664785984</v>
      </c>
      <c r="W349" s="49">
        <v>0</v>
      </c>
      <c r="X349" s="49">
        <v>0</v>
      </c>
      <c r="Y349" s="49">
        <v>0</v>
      </c>
      <c r="Z349" s="49">
        <f t="shared" si="102"/>
        <v>0</v>
      </c>
      <c r="AA349" s="49">
        <v>0</v>
      </c>
      <c r="AB349" s="82">
        <f t="shared" si="107"/>
        <v>0</v>
      </c>
      <c r="AC349" s="82">
        <f t="shared" si="108"/>
        <v>256662526236600.03</v>
      </c>
      <c r="AD349" s="81">
        <f t="shared" si="109"/>
        <v>266890538267937.37</v>
      </c>
      <c r="AE349" s="80">
        <f t="shared" si="97"/>
        <v>1039.8500403674389</v>
      </c>
      <c r="AF349" s="52">
        <f t="shared" si="103"/>
        <v>1.9717743459953196E-2</v>
      </c>
      <c r="AG349" s="48">
        <f t="shared" si="98"/>
        <v>-1.1750881316098707E-3</v>
      </c>
      <c r="AH349" s="48">
        <f t="shared" si="104"/>
        <v>2.1505376344086023E-2</v>
      </c>
      <c r="AI349" s="48">
        <f t="shared" si="105"/>
        <v>6.0424605334784977E-2</v>
      </c>
      <c r="AJ349" s="48" t="e">
        <f t="shared" si="106"/>
        <v>#DIV/0!</v>
      </c>
    </row>
    <row r="350" spans="1:36" x14ac:dyDescent="0.3">
      <c r="A350" s="48">
        <v>20190603</v>
      </c>
      <c r="B350" s="48" t="s">
        <v>88</v>
      </c>
      <c r="C350" s="49">
        <v>42500</v>
      </c>
      <c r="D350" s="49">
        <v>43800</v>
      </c>
      <c r="E350" s="49">
        <v>5969782550</v>
      </c>
      <c r="F350" s="49">
        <f t="shared" si="99"/>
        <v>0.18611232124486701</v>
      </c>
      <c r="G350" s="49">
        <f t="shared" si="92"/>
        <v>0.18611232124486701</v>
      </c>
      <c r="H350" s="48">
        <v>190000</v>
      </c>
      <c r="I350" s="48">
        <v>193000</v>
      </c>
      <c r="J350" s="51">
        <v>128329070</v>
      </c>
      <c r="K350" s="48">
        <f t="shared" si="100"/>
        <v>1.5058771407602201</v>
      </c>
      <c r="L350" s="48">
        <f t="shared" si="93"/>
        <v>1.5058771407602201</v>
      </c>
      <c r="M350" s="49">
        <v>194800</v>
      </c>
      <c r="N350" s="49">
        <v>190200</v>
      </c>
      <c r="O350" s="49">
        <v>15956260</v>
      </c>
      <c r="P350" s="49">
        <f t="shared" si="101"/>
        <v>21.218260535034901</v>
      </c>
      <c r="Q350" s="49">
        <f t="shared" si="94"/>
        <v>21.218260535034901</v>
      </c>
      <c r="R350" s="48">
        <v>10245</v>
      </c>
      <c r="S350" s="48">
        <v>10410</v>
      </c>
      <c r="T350" s="48">
        <v>62100000</v>
      </c>
      <c r="U350" s="48">
        <f t="shared" si="95"/>
        <v>183.902664785984</v>
      </c>
      <c r="V350" s="48">
        <f t="shared" si="96"/>
        <v>183.902664785984</v>
      </c>
      <c r="W350" s="49">
        <v>0</v>
      </c>
      <c r="X350" s="49">
        <v>0</v>
      </c>
      <c r="Y350" s="49">
        <v>0</v>
      </c>
      <c r="Z350" s="49">
        <f t="shared" si="102"/>
        <v>0</v>
      </c>
      <c r="AA350" s="49">
        <v>0</v>
      </c>
      <c r="AB350" s="82">
        <f t="shared" si="107"/>
        <v>0</v>
      </c>
      <c r="AC350" s="82">
        <f t="shared" si="108"/>
        <v>256662526236600.03</v>
      </c>
      <c r="AD350" s="81">
        <f t="shared" si="109"/>
        <v>269241610699225.03</v>
      </c>
      <c r="AE350" s="80">
        <f t="shared" si="97"/>
        <v>1049.010210594706</v>
      </c>
      <c r="AF350" s="52">
        <f t="shared" si="103"/>
        <v>8.8091261928790517E-3</v>
      </c>
      <c r="AG350" s="48">
        <f t="shared" si="98"/>
        <v>3.0588235294117649E-2</v>
      </c>
      <c r="AH350" s="48">
        <f t="shared" si="104"/>
        <v>1.5789473684210527E-2</v>
      </c>
      <c r="AI350" s="48">
        <f t="shared" si="105"/>
        <v>-2.3613963039014373E-2</v>
      </c>
      <c r="AJ350" s="48" t="e">
        <f t="shared" si="106"/>
        <v>#DIV/0!</v>
      </c>
    </row>
    <row r="351" spans="1:36" x14ac:dyDescent="0.3">
      <c r="A351" s="48">
        <v>20190604</v>
      </c>
      <c r="B351" s="48" t="s">
        <v>88</v>
      </c>
      <c r="C351" s="49">
        <v>43800</v>
      </c>
      <c r="D351" s="49">
        <v>43450</v>
      </c>
      <c r="E351" s="49">
        <v>5969782550</v>
      </c>
      <c r="F351" s="49">
        <f t="shared" si="99"/>
        <v>0.18611232124486701</v>
      </c>
      <c r="G351" s="49">
        <f t="shared" si="92"/>
        <v>0.18611232124486701</v>
      </c>
      <c r="H351" s="48">
        <v>193000</v>
      </c>
      <c r="I351" s="48">
        <v>195500</v>
      </c>
      <c r="J351" s="51">
        <v>128329070</v>
      </c>
      <c r="K351" s="48">
        <f t="shared" si="100"/>
        <v>1.5058771407602201</v>
      </c>
      <c r="L351" s="48">
        <f t="shared" si="93"/>
        <v>1.5058771407602201</v>
      </c>
      <c r="M351" s="49">
        <v>190200</v>
      </c>
      <c r="N351" s="49">
        <v>187100</v>
      </c>
      <c r="O351" s="49">
        <v>15956260</v>
      </c>
      <c r="P351" s="49">
        <f t="shared" si="101"/>
        <v>21.218260535034901</v>
      </c>
      <c r="Q351" s="49">
        <f t="shared" si="94"/>
        <v>21.218260535034901</v>
      </c>
      <c r="R351" s="48">
        <v>10410</v>
      </c>
      <c r="S351" s="48">
        <v>10380</v>
      </c>
      <c r="T351" s="48">
        <v>62100000</v>
      </c>
      <c r="U351" s="48">
        <f t="shared" si="95"/>
        <v>183.902664785984</v>
      </c>
      <c r="V351" s="48">
        <f t="shared" si="96"/>
        <v>183.902664785984</v>
      </c>
      <c r="W351" s="49">
        <v>0</v>
      </c>
      <c r="X351" s="49">
        <v>0</v>
      </c>
      <c r="Y351" s="49">
        <v>0</v>
      </c>
      <c r="Z351" s="49">
        <f t="shared" si="102"/>
        <v>0</v>
      </c>
      <c r="AA351" s="49">
        <v>0</v>
      </c>
      <c r="AB351" s="82">
        <f t="shared" si="107"/>
        <v>0</v>
      </c>
      <c r="AC351" s="82">
        <f t="shared" si="108"/>
        <v>256662526236600.03</v>
      </c>
      <c r="AD351" s="81">
        <f t="shared" si="109"/>
        <v>267943703382832.41</v>
      </c>
      <c r="AE351" s="80">
        <f t="shared" si="97"/>
        <v>1043.9533472675048</v>
      </c>
      <c r="AF351" s="52">
        <f t="shared" si="103"/>
        <v>-4.820604486141614E-3</v>
      </c>
      <c r="AG351" s="48">
        <f t="shared" si="98"/>
        <v>-7.9908675799086754E-3</v>
      </c>
      <c r="AH351" s="48">
        <f t="shared" si="104"/>
        <v>1.2953367875647668E-2</v>
      </c>
      <c r="AI351" s="48">
        <f t="shared" si="105"/>
        <v>-1.6298633017875919E-2</v>
      </c>
      <c r="AJ351" s="48" t="e">
        <f t="shared" si="106"/>
        <v>#DIV/0!</v>
      </c>
    </row>
    <row r="352" spans="1:36" x14ac:dyDescent="0.3">
      <c r="A352" s="48">
        <v>20190605</v>
      </c>
      <c r="B352" s="48" t="s">
        <v>88</v>
      </c>
      <c r="C352" s="49">
        <v>43450</v>
      </c>
      <c r="D352" s="49">
        <v>43900</v>
      </c>
      <c r="E352" s="49">
        <v>5969782550</v>
      </c>
      <c r="F352" s="49">
        <f t="shared" si="99"/>
        <v>0.18611232124486701</v>
      </c>
      <c r="G352" s="49">
        <f t="shared" si="92"/>
        <v>0.18611232124486701</v>
      </c>
      <c r="H352" s="48">
        <v>195500</v>
      </c>
      <c r="I352" s="48">
        <v>196000</v>
      </c>
      <c r="J352" s="51">
        <v>128329070</v>
      </c>
      <c r="K352" s="48">
        <f t="shared" si="100"/>
        <v>1.5058771407602201</v>
      </c>
      <c r="L352" s="48">
        <f t="shared" si="93"/>
        <v>1.5058771407602201</v>
      </c>
      <c r="M352" s="49">
        <v>187100</v>
      </c>
      <c r="N352" s="49">
        <v>187900</v>
      </c>
      <c r="O352" s="49">
        <v>15956260</v>
      </c>
      <c r="P352" s="49">
        <f t="shared" si="101"/>
        <v>21.218260535034901</v>
      </c>
      <c r="Q352" s="49">
        <f t="shared" si="94"/>
        <v>21.218260535034901</v>
      </c>
      <c r="R352" s="48">
        <v>10380</v>
      </c>
      <c r="S352" s="48">
        <v>10380</v>
      </c>
      <c r="T352" s="48">
        <v>62100000</v>
      </c>
      <c r="U352" s="48">
        <f t="shared" si="95"/>
        <v>183.902664785984</v>
      </c>
      <c r="V352" s="48">
        <f t="shared" si="96"/>
        <v>183.902664785984</v>
      </c>
      <c r="W352" s="49">
        <v>0</v>
      </c>
      <c r="X352" s="49">
        <v>0</v>
      </c>
      <c r="Y352" s="49">
        <v>0</v>
      </c>
      <c r="Z352" s="49">
        <f t="shared" si="102"/>
        <v>0</v>
      </c>
      <c r="AA352" s="49">
        <v>0</v>
      </c>
      <c r="AB352" s="82">
        <f t="shared" si="107"/>
        <v>0</v>
      </c>
      <c r="AC352" s="82">
        <f t="shared" si="108"/>
        <v>256662526236600.03</v>
      </c>
      <c r="AD352" s="81">
        <f t="shared" si="109"/>
        <v>268811151094280.62</v>
      </c>
      <c r="AE352" s="80">
        <f t="shared" si="97"/>
        <v>1047.3330681958676</v>
      </c>
      <c r="AF352" s="52">
        <f t="shared" si="103"/>
        <v>3.2374252520086335E-3</v>
      </c>
      <c r="AG352" s="48">
        <f t="shared" si="98"/>
        <v>1.0356731875719217E-2</v>
      </c>
      <c r="AH352" s="48">
        <f t="shared" si="104"/>
        <v>2.5575447570332483E-3</v>
      </c>
      <c r="AI352" s="48">
        <f t="shared" si="105"/>
        <v>4.27578834847675E-3</v>
      </c>
      <c r="AJ352" s="48" t="e">
        <f t="shared" si="106"/>
        <v>#DIV/0!</v>
      </c>
    </row>
    <row r="353" spans="1:36" x14ac:dyDescent="0.3">
      <c r="A353" s="48">
        <v>20190607</v>
      </c>
      <c r="B353" s="48" t="s">
        <v>88</v>
      </c>
      <c r="C353" s="49">
        <v>43900</v>
      </c>
      <c r="D353" s="49">
        <v>44200</v>
      </c>
      <c r="E353" s="49">
        <v>5969782550</v>
      </c>
      <c r="F353" s="49">
        <f t="shared" si="99"/>
        <v>0.18611232124486701</v>
      </c>
      <c r="G353" s="49">
        <f t="shared" si="92"/>
        <v>0.18611232124486701</v>
      </c>
      <c r="H353" s="48">
        <v>196000</v>
      </c>
      <c r="I353" s="48">
        <v>196500</v>
      </c>
      <c r="J353" s="51">
        <v>128329070</v>
      </c>
      <c r="K353" s="48">
        <f t="shared" si="100"/>
        <v>1.5058771407602201</v>
      </c>
      <c r="L353" s="48">
        <f t="shared" si="93"/>
        <v>1.5058771407602201</v>
      </c>
      <c r="M353" s="49">
        <v>187900</v>
      </c>
      <c r="N353" s="49">
        <v>190700</v>
      </c>
      <c r="O353" s="49">
        <v>15956260</v>
      </c>
      <c r="P353" s="49">
        <f t="shared" si="101"/>
        <v>21.218260535034901</v>
      </c>
      <c r="Q353" s="49">
        <f t="shared" si="94"/>
        <v>21.218260535034901</v>
      </c>
      <c r="R353" s="48">
        <v>10380</v>
      </c>
      <c r="S353" s="48">
        <v>10405</v>
      </c>
      <c r="T353" s="48">
        <v>62100000</v>
      </c>
      <c r="U353" s="48">
        <f t="shared" si="95"/>
        <v>183.902664785984</v>
      </c>
      <c r="V353" s="48">
        <f t="shared" si="96"/>
        <v>183.902664785984</v>
      </c>
      <c r="W353" s="49">
        <v>0</v>
      </c>
      <c r="X353" s="49">
        <v>0</v>
      </c>
      <c r="Y353" s="49">
        <v>0</v>
      </c>
      <c r="Z353" s="49">
        <f t="shared" si="102"/>
        <v>0</v>
      </c>
      <c r="AA353" s="49">
        <v>0</v>
      </c>
      <c r="AB353" s="82">
        <f t="shared" si="107"/>
        <v>0</v>
      </c>
      <c r="AC353" s="82">
        <f t="shared" si="108"/>
        <v>256662526236600.03</v>
      </c>
      <c r="AD353" s="81">
        <f t="shared" si="109"/>
        <v>270474578343342.44</v>
      </c>
      <c r="AE353" s="80">
        <f t="shared" si="97"/>
        <v>1053.814058130208</v>
      </c>
      <c r="AF353" s="52">
        <f t="shared" si="103"/>
        <v>6.1880887094537609E-3</v>
      </c>
      <c r="AG353" s="48">
        <f t="shared" si="98"/>
        <v>6.8337129840546698E-3</v>
      </c>
      <c r="AH353" s="48">
        <f t="shared" si="104"/>
        <v>2.5510204081632651E-3</v>
      </c>
      <c r="AI353" s="48">
        <f t="shared" si="105"/>
        <v>1.4901543374135177E-2</v>
      </c>
      <c r="AJ353" s="48" t="e">
        <f t="shared" si="106"/>
        <v>#DIV/0!</v>
      </c>
    </row>
    <row r="354" spans="1:36" s="47" customFormat="1" x14ac:dyDescent="0.3">
      <c r="A354" s="48">
        <v>20190610</v>
      </c>
      <c r="B354" s="48" t="s">
        <v>88</v>
      </c>
      <c r="C354" s="49">
        <v>44200</v>
      </c>
      <c r="D354" s="49">
        <v>44800</v>
      </c>
      <c r="E354" s="49">
        <v>5969782550</v>
      </c>
      <c r="F354" s="49">
        <f t="shared" si="99"/>
        <v>0.18611232124486701</v>
      </c>
      <c r="G354" s="49">
        <f t="shared" si="92"/>
        <v>0.18611232124486701</v>
      </c>
      <c r="H354" s="48">
        <v>196500</v>
      </c>
      <c r="I354" s="48">
        <v>198500</v>
      </c>
      <c r="J354" s="51">
        <v>128329070</v>
      </c>
      <c r="K354" s="48">
        <f t="shared" si="100"/>
        <v>1.5058771407602201</v>
      </c>
      <c r="L354" s="48">
        <f t="shared" si="93"/>
        <v>1.5058771407602201</v>
      </c>
      <c r="M354" s="49">
        <v>190700</v>
      </c>
      <c r="N354" s="49">
        <v>191000</v>
      </c>
      <c r="O354" s="49">
        <v>15956260</v>
      </c>
      <c r="P354" s="49">
        <f t="shared" si="101"/>
        <v>21.218260535034901</v>
      </c>
      <c r="Q354" s="49">
        <f t="shared" si="94"/>
        <v>21.218260535034901</v>
      </c>
      <c r="R354" s="48">
        <v>10405</v>
      </c>
      <c r="S354" s="48">
        <v>10525</v>
      </c>
      <c r="T354" s="48">
        <v>62100000</v>
      </c>
      <c r="U354" s="48">
        <f t="shared" si="95"/>
        <v>183.902664785984</v>
      </c>
      <c r="V354" s="48">
        <f t="shared" si="96"/>
        <v>183.902664785984</v>
      </c>
      <c r="W354" s="49">
        <v>0</v>
      </c>
      <c r="X354" s="49">
        <v>0</v>
      </c>
      <c r="Y354" s="49">
        <v>0</v>
      </c>
      <c r="Z354" s="49">
        <f t="shared" si="102"/>
        <v>0</v>
      </c>
      <c r="AA354" s="49">
        <v>0</v>
      </c>
      <c r="AB354" s="82">
        <f t="shared" si="107"/>
        <v>0</v>
      </c>
      <c r="AC354" s="82">
        <f t="shared" si="108"/>
        <v>256662526236600.03</v>
      </c>
      <c r="AD354" s="81">
        <f t="shared" si="109"/>
        <v>272999715904521.62</v>
      </c>
      <c r="AE354" s="80">
        <f t="shared" si="97"/>
        <v>1063.652415128422</v>
      </c>
      <c r="AF354" s="52">
        <f t="shared" si="103"/>
        <v>9.335951558352101E-3</v>
      </c>
      <c r="AG354" s="48">
        <f t="shared" si="98"/>
        <v>1.3574660633484163E-2</v>
      </c>
      <c r="AH354" s="48">
        <f t="shared" si="104"/>
        <v>1.0178117048346057E-2</v>
      </c>
      <c r="AI354" s="48">
        <f t="shared" si="105"/>
        <v>1.5731515469323545E-3</v>
      </c>
      <c r="AJ354" s="48" t="e">
        <f t="shared" si="106"/>
        <v>#DIV/0!</v>
      </c>
    </row>
    <row r="355" spans="1:36" x14ac:dyDescent="0.3">
      <c r="A355" s="48">
        <v>20190611</v>
      </c>
      <c r="B355" s="48" t="s">
        <v>88</v>
      </c>
      <c r="C355" s="49">
        <v>44800</v>
      </c>
      <c r="D355" s="49">
        <v>44850</v>
      </c>
      <c r="E355" s="49">
        <v>5969782550</v>
      </c>
      <c r="F355" s="49">
        <f t="shared" si="99"/>
        <v>0.18611232124486701</v>
      </c>
      <c r="G355" s="49">
        <f t="shared" si="92"/>
        <v>0.18611232124486701</v>
      </c>
      <c r="H355" s="48">
        <v>198500</v>
      </c>
      <c r="I355" s="48">
        <v>202000</v>
      </c>
      <c r="J355" s="51">
        <v>128329070</v>
      </c>
      <c r="K355" s="48">
        <f t="shared" si="100"/>
        <v>1.5058771407602201</v>
      </c>
      <c r="L355" s="48">
        <f t="shared" si="93"/>
        <v>1.5058771407602201</v>
      </c>
      <c r="M355" s="49">
        <v>191000</v>
      </c>
      <c r="N355" s="49">
        <v>197400</v>
      </c>
      <c r="O355" s="49">
        <v>15956260</v>
      </c>
      <c r="P355" s="49">
        <f t="shared" si="101"/>
        <v>21.218260535034901</v>
      </c>
      <c r="Q355" s="49">
        <f t="shared" si="94"/>
        <v>21.218260535034901</v>
      </c>
      <c r="R355" s="48">
        <v>10525</v>
      </c>
      <c r="S355" s="48">
        <v>10570</v>
      </c>
      <c r="T355" s="48">
        <v>62100000</v>
      </c>
      <c r="U355" s="48">
        <f t="shared" si="95"/>
        <v>183.902664785984</v>
      </c>
      <c r="V355" s="48">
        <f t="shared" si="96"/>
        <v>183.902664785984</v>
      </c>
      <c r="W355" s="49">
        <v>0</v>
      </c>
      <c r="X355" s="49">
        <v>0</v>
      </c>
      <c r="Y355" s="49">
        <v>0</v>
      </c>
      <c r="Z355" s="49">
        <f t="shared" si="102"/>
        <v>0</v>
      </c>
      <c r="AA355" s="49">
        <v>0</v>
      </c>
      <c r="AB355" s="82">
        <f t="shared" si="107"/>
        <v>0</v>
      </c>
      <c r="AC355" s="82">
        <f t="shared" si="108"/>
        <v>256662526236600.03</v>
      </c>
      <c r="AD355" s="81">
        <f t="shared" si="109"/>
        <v>276412361874986</v>
      </c>
      <c r="AE355" s="80">
        <f t="shared" si="97"/>
        <v>1076.9486528788389</v>
      </c>
      <c r="AF355" s="52">
        <f t="shared" si="103"/>
        <v>1.2500547698950579E-2</v>
      </c>
      <c r="AG355" s="48">
        <f t="shared" si="98"/>
        <v>1.1160714285714285E-3</v>
      </c>
      <c r="AH355" s="48">
        <f t="shared" si="104"/>
        <v>1.7632241813602016E-2</v>
      </c>
      <c r="AI355" s="48">
        <f t="shared" si="105"/>
        <v>3.3507853403141365E-2</v>
      </c>
      <c r="AJ355" s="48" t="e">
        <f t="shared" si="106"/>
        <v>#DIV/0!</v>
      </c>
    </row>
    <row r="356" spans="1:36" x14ac:dyDescent="0.3">
      <c r="A356" s="48">
        <v>20190612</v>
      </c>
      <c r="B356" s="48" t="s">
        <v>88</v>
      </c>
      <c r="C356" s="49">
        <v>44850</v>
      </c>
      <c r="D356" s="49">
        <v>44600</v>
      </c>
      <c r="E356" s="49">
        <v>5969782550</v>
      </c>
      <c r="F356" s="49">
        <f t="shared" si="99"/>
        <v>0.18611232124486701</v>
      </c>
      <c r="G356" s="49">
        <f t="shared" si="92"/>
        <v>0.18611232124486701</v>
      </c>
      <c r="H356" s="48">
        <v>202000</v>
      </c>
      <c r="I356" s="48">
        <v>204000</v>
      </c>
      <c r="J356" s="51">
        <v>128329070</v>
      </c>
      <c r="K356" s="48">
        <f t="shared" si="100"/>
        <v>1.5058771407602201</v>
      </c>
      <c r="L356" s="48">
        <f t="shared" si="93"/>
        <v>1.5058771407602201</v>
      </c>
      <c r="M356" s="49">
        <v>197400</v>
      </c>
      <c r="N356" s="49">
        <v>192000</v>
      </c>
      <c r="O356" s="49">
        <v>15956260</v>
      </c>
      <c r="P356" s="49">
        <f t="shared" si="101"/>
        <v>21.218260535034901</v>
      </c>
      <c r="Q356" s="49">
        <f t="shared" si="94"/>
        <v>21.218260535034901</v>
      </c>
      <c r="R356" s="48">
        <v>10570</v>
      </c>
      <c r="S356" s="48">
        <v>10530</v>
      </c>
      <c r="T356" s="48">
        <v>62100000</v>
      </c>
      <c r="U356" s="48">
        <f t="shared" si="95"/>
        <v>183.902664785984</v>
      </c>
      <c r="V356" s="48">
        <f t="shared" si="96"/>
        <v>183.902664785984</v>
      </c>
      <c r="W356" s="49">
        <v>0</v>
      </c>
      <c r="X356" s="49">
        <v>0</v>
      </c>
      <c r="Y356" s="49">
        <v>0</v>
      </c>
      <c r="Z356" s="49">
        <f t="shared" si="102"/>
        <v>0</v>
      </c>
      <c r="AA356" s="49">
        <v>0</v>
      </c>
      <c r="AB356" s="82">
        <f t="shared" si="107"/>
        <v>0</v>
      </c>
      <c r="AC356" s="82">
        <f t="shared" si="108"/>
        <v>256662526236600.03</v>
      </c>
      <c r="AD356" s="81">
        <f t="shared" si="109"/>
        <v>274236034717785.03</v>
      </c>
      <c r="AE356" s="80">
        <f t="shared" si="97"/>
        <v>1068.4693193777152</v>
      </c>
      <c r="AF356" s="52">
        <f t="shared" si="103"/>
        <v>-7.8734798343979909E-3</v>
      </c>
      <c r="AG356" s="48">
        <f t="shared" si="98"/>
        <v>-5.5741360089186179E-3</v>
      </c>
      <c r="AH356" s="48">
        <f t="shared" si="104"/>
        <v>9.9009900990099011E-3</v>
      </c>
      <c r="AI356" s="48">
        <f t="shared" si="105"/>
        <v>-2.7355623100303952E-2</v>
      </c>
      <c r="AJ356" s="48" t="e">
        <f t="shared" si="106"/>
        <v>#DIV/0!</v>
      </c>
    </row>
    <row r="357" spans="1:36" x14ac:dyDescent="0.3">
      <c r="A357" s="48">
        <v>20190613</v>
      </c>
      <c r="B357" s="48" t="s">
        <v>88</v>
      </c>
      <c r="C357" s="49">
        <v>44600</v>
      </c>
      <c r="D357" s="49">
        <v>43750</v>
      </c>
      <c r="E357" s="49">
        <v>5969782550</v>
      </c>
      <c r="F357" s="49">
        <f t="shared" si="99"/>
        <v>0.18611232124486701</v>
      </c>
      <c r="G357" s="49">
        <f t="shared" si="92"/>
        <v>0.18611232124486701</v>
      </c>
      <c r="H357" s="48">
        <v>204000</v>
      </c>
      <c r="I357" s="48">
        <v>207000</v>
      </c>
      <c r="J357" s="51">
        <v>128329070</v>
      </c>
      <c r="K357" s="48">
        <f t="shared" si="100"/>
        <v>1.5058771407602201</v>
      </c>
      <c r="L357" s="48">
        <f t="shared" si="93"/>
        <v>1.5058771407602201</v>
      </c>
      <c r="M357" s="49">
        <v>192000</v>
      </c>
      <c r="N357" s="49">
        <v>190800</v>
      </c>
      <c r="O357" s="49">
        <v>15956260</v>
      </c>
      <c r="P357" s="49">
        <f t="shared" si="101"/>
        <v>21.218260535034901</v>
      </c>
      <c r="Q357" s="49">
        <f t="shared" si="94"/>
        <v>21.218260535034901</v>
      </c>
      <c r="R357" s="48">
        <v>10530</v>
      </c>
      <c r="S357" s="48">
        <v>10495</v>
      </c>
      <c r="T357" s="48">
        <v>62100000</v>
      </c>
      <c r="U357" s="48">
        <f t="shared" si="95"/>
        <v>183.902664785984</v>
      </c>
      <c r="V357" s="48">
        <f t="shared" si="96"/>
        <v>183.902664785984</v>
      </c>
      <c r="W357" s="49">
        <v>0</v>
      </c>
      <c r="X357" s="49">
        <v>0</v>
      </c>
      <c r="Y357" s="49">
        <v>0</v>
      </c>
      <c r="Z357" s="49">
        <f t="shared" si="102"/>
        <v>0</v>
      </c>
      <c r="AA357" s="49">
        <v>0</v>
      </c>
      <c r="AB357" s="82">
        <f t="shared" si="107"/>
        <v>0</v>
      </c>
      <c r="AC357" s="82">
        <f t="shared" si="108"/>
        <v>256662526236600.03</v>
      </c>
      <c r="AD357" s="81">
        <f t="shared" si="109"/>
        <v>273065396242131.56</v>
      </c>
      <c r="AE357" s="80">
        <f t="shared" si="97"/>
        <v>1063.9083166757691</v>
      </c>
      <c r="AF357" s="52">
        <f t="shared" si="103"/>
        <v>-4.268725942081773E-3</v>
      </c>
      <c r="AG357" s="48">
        <f t="shared" si="98"/>
        <v>-1.905829596412556E-2</v>
      </c>
      <c r="AH357" s="48">
        <f t="shared" si="104"/>
        <v>1.4705882352941176E-2</v>
      </c>
      <c r="AI357" s="48">
        <f t="shared" si="105"/>
        <v>-6.2500000000000003E-3</v>
      </c>
      <c r="AJ357" s="48" t="e">
        <f t="shared" si="106"/>
        <v>#DIV/0!</v>
      </c>
    </row>
    <row r="358" spans="1:36" x14ac:dyDescent="0.3">
      <c r="A358" s="48">
        <v>20190614</v>
      </c>
      <c r="B358" s="48" t="s">
        <v>88</v>
      </c>
      <c r="C358" s="49">
        <v>43750</v>
      </c>
      <c r="D358" s="49">
        <v>44000</v>
      </c>
      <c r="E358" s="49">
        <v>5969782550</v>
      </c>
      <c r="F358" s="49">
        <f t="shared" si="99"/>
        <v>0.18611232124486701</v>
      </c>
      <c r="G358" s="49">
        <f t="shared" si="92"/>
        <v>0.18611232124486701</v>
      </c>
      <c r="H358" s="48">
        <v>207000</v>
      </c>
      <c r="I358" s="48">
        <v>201000</v>
      </c>
      <c r="J358" s="51">
        <v>128329070</v>
      </c>
      <c r="K358" s="48">
        <f t="shared" si="100"/>
        <v>1.5058771407602201</v>
      </c>
      <c r="L358" s="48">
        <f t="shared" si="93"/>
        <v>1.5058771407602201</v>
      </c>
      <c r="M358" s="49">
        <v>190800</v>
      </c>
      <c r="N358" s="49">
        <v>190700</v>
      </c>
      <c r="O358" s="49">
        <v>15956260</v>
      </c>
      <c r="P358" s="49">
        <f t="shared" si="101"/>
        <v>21.218260535034901</v>
      </c>
      <c r="Q358" s="49">
        <f t="shared" si="94"/>
        <v>21.218260535034901</v>
      </c>
      <c r="R358" s="48">
        <v>10495</v>
      </c>
      <c r="S358" s="48">
        <v>10435</v>
      </c>
      <c r="T358" s="48">
        <v>62100000</v>
      </c>
      <c r="U358" s="48">
        <f t="shared" si="95"/>
        <v>183.902664785984</v>
      </c>
      <c r="V358" s="48">
        <f t="shared" si="96"/>
        <v>183.902664785984</v>
      </c>
      <c r="W358" s="49">
        <v>0</v>
      </c>
      <c r="X358" s="49">
        <v>0</v>
      </c>
      <c r="Y358" s="49">
        <v>0</v>
      </c>
      <c r="Z358" s="49">
        <f t="shared" si="102"/>
        <v>0</v>
      </c>
      <c r="AA358" s="49">
        <v>0</v>
      </c>
      <c r="AB358" s="82">
        <f t="shared" si="107"/>
        <v>0</v>
      </c>
      <c r="AC358" s="82">
        <f t="shared" si="108"/>
        <v>256662526236600.03</v>
      </c>
      <c r="AD358" s="81">
        <f t="shared" si="109"/>
        <v>271464594148833.31</v>
      </c>
      <c r="AE358" s="80">
        <f t="shared" si="97"/>
        <v>1057.671324790859</v>
      </c>
      <c r="AF358" s="52">
        <f t="shared" si="103"/>
        <v>-5.8623396275328593E-3</v>
      </c>
      <c r="AG358" s="48">
        <f t="shared" si="98"/>
        <v>5.7142857142857143E-3</v>
      </c>
      <c r="AH358" s="48">
        <f t="shared" si="104"/>
        <v>-2.8985507246376812E-2</v>
      </c>
      <c r="AI358" s="48">
        <f t="shared" si="105"/>
        <v>-5.2410901467505244E-4</v>
      </c>
      <c r="AJ358" s="48" t="e">
        <f t="shared" si="106"/>
        <v>#DIV/0!</v>
      </c>
    </row>
    <row r="359" spans="1:36" x14ac:dyDescent="0.3">
      <c r="A359" s="48">
        <v>20190617</v>
      </c>
      <c r="B359" s="48" t="s">
        <v>88</v>
      </c>
      <c r="C359" s="49">
        <v>44000</v>
      </c>
      <c r="D359" s="49">
        <v>43900</v>
      </c>
      <c r="E359" s="49">
        <v>5969782550</v>
      </c>
      <c r="F359" s="49">
        <f t="shared" si="99"/>
        <v>0.18611232124486701</v>
      </c>
      <c r="G359" s="49">
        <f t="shared" si="92"/>
        <v>0.18611232124486701</v>
      </c>
      <c r="H359" s="48">
        <v>201000</v>
      </c>
      <c r="I359" s="48">
        <v>205000</v>
      </c>
      <c r="J359" s="51">
        <v>128329070</v>
      </c>
      <c r="K359" s="48">
        <f t="shared" si="100"/>
        <v>1.5058771407602201</v>
      </c>
      <c r="L359" s="48">
        <f t="shared" si="93"/>
        <v>1.5058771407602201</v>
      </c>
      <c r="M359" s="49">
        <v>190700</v>
      </c>
      <c r="N359" s="49">
        <v>190300</v>
      </c>
      <c r="O359" s="49">
        <v>15956260</v>
      </c>
      <c r="P359" s="49">
        <f t="shared" si="101"/>
        <v>21.218260535034901</v>
      </c>
      <c r="Q359" s="49">
        <f t="shared" si="94"/>
        <v>21.218260535034901</v>
      </c>
      <c r="R359" s="48">
        <v>10435</v>
      </c>
      <c r="S359" s="48">
        <v>10415</v>
      </c>
      <c r="T359" s="48">
        <v>62100000</v>
      </c>
      <c r="U359" s="48">
        <f t="shared" si="95"/>
        <v>183.902664785984</v>
      </c>
      <c r="V359" s="48">
        <f t="shared" si="96"/>
        <v>183.902664785984</v>
      </c>
      <c r="W359" s="49">
        <v>0</v>
      </c>
      <c r="X359" s="49">
        <v>0</v>
      </c>
      <c r="Y359" s="49">
        <v>0</v>
      </c>
      <c r="Z359" s="49">
        <f t="shared" si="102"/>
        <v>0</v>
      </c>
      <c r="AA359" s="49">
        <v>0</v>
      </c>
      <c r="AB359" s="82">
        <f t="shared" si="107"/>
        <v>0</v>
      </c>
      <c r="AC359" s="82">
        <f t="shared" si="108"/>
        <v>256662526236600.03</v>
      </c>
      <c r="AD359" s="81">
        <f t="shared" si="109"/>
        <v>271762647649692.56</v>
      </c>
      <c r="AE359" s="80">
        <f t="shared" si="97"/>
        <v>1058.8325909298217</v>
      </c>
      <c r="AF359" s="52">
        <f t="shared" si="103"/>
        <v>1.0979461310367843E-3</v>
      </c>
      <c r="AG359" s="48">
        <f t="shared" si="98"/>
        <v>-2.2727272727272726E-3</v>
      </c>
      <c r="AH359" s="48">
        <f t="shared" si="104"/>
        <v>1.9900497512437811E-2</v>
      </c>
      <c r="AI359" s="48">
        <f t="shared" si="105"/>
        <v>-2.097535395909806E-3</v>
      </c>
      <c r="AJ359" s="48" t="e">
        <f t="shared" si="106"/>
        <v>#DIV/0!</v>
      </c>
    </row>
    <row r="360" spans="1:36" x14ac:dyDescent="0.3">
      <c r="A360" s="48">
        <v>20190618</v>
      </c>
      <c r="B360" s="48" t="s">
        <v>88</v>
      </c>
      <c r="C360" s="49">
        <v>43900</v>
      </c>
      <c r="D360" s="49">
        <v>44350</v>
      </c>
      <c r="E360" s="49">
        <v>5969782550</v>
      </c>
      <c r="F360" s="49">
        <f t="shared" si="99"/>
        <v>0.18611232124486701</v>
      </c>
      <c r="G360" s="49">
        <f t="shared" si="92"/>
        <v>0.18611232124486701</v>
      </c>
      <c r="H360" s="48">
        <v>205000</v>
      </c>
      <c r="I360" s="48">
        <v>208000</v>
      </c>
      <c r="J360" s="51">
        <v>128329070</v>
      </c>
      <c r="K360" s="48">
        <f t="shared" si="100"/>
        <v>1.5058771407602201</v>
      </c>
      <c r="L360" s="48">
        <f t="shared" si="93"/>
        <v>1.5058771407602201</v>
      </c>
      <c r="M360" s="49">
        <v>190300</v>
      </c>
      <c r="N360" s="49">
        <v>185300</v>
      </c>
      <c r="O360" s="49">
        <v>15956260</v>
      </c>
      <c r="P360" s="49">
        <f t="shared" si="101"/>
        <v>21.218260535034901</v>
      </c>
      <c r="Q360" s="49">
        <f t="shared" si="94"/>
        <v>21.218260535034901</v>
      </c>
      <c r="R360" s="48">
        <v>10415</v>
      </c>
      <c r="S360" s="48">
        <v>10455</v>
      </c>
      <c r="T360" s="48">
        <v>62100000</v>
      </c>
      <c r="U360" s="48">
        <f t="shared" si="95"/>
        <v>183.902664785984</v>
      </c>
      <c r="V360" s="48">
        <f t="shared" si="96"/>
        <v>183.902664785984</v>
      </c>
      <c r="W360" s="49">
        <v>0</v>
      </c>
      <c r="X360" s="49">
        <v>0</v>
      </c>
      <c r="Y360" s="49">
        <v>0</v>
      </c>
      <c r="Z360" s="49">
        <f t="shared" si="102"/>
        <v>0</v>
      </c>
      <c r="AA360" s="49">
        <v>0</v>
      </c>
      <c r="AB360" s="82">
        <f t="shared" si="107"/>
        <v>0</v>
      </c>
      <c r="AC360" s="82">
        <f t="shared" si="108"/>
        <v>256662526236600.03</v>
      </c>
      <c r="AD360" s="81">
        <f t="shared" si="109"/>
        <v>271606357438289.62</v>
      </c>
      <c r="AE360" s="80">
        <f t="shared" si="97"/>
        <v>1058.2236582052258</v>
      </c>
      <c r="AF360" s="52">
        <f t="shared" si="103"/>
        <v>-5.750982070368175E-4</v>
      </c>
      <c r="AG360" s="48">
        <f t="shared" si="98"/>
        <v>1.0250569476082005E-2</v>
      </c>
      <c r="AH360" s="48">
        <f t="shared" si="104"/>
        <v>1.4634146341463415E-2</v>
      </c>
      <c r="AI360" s="48">
        <f t="shared" si="105"/>
        <v>-2.6274303730951128E-2</v>
      </c>
      <c r="AJ360" s="48" t="e">
        <f t="shared" si="106"/>
        <v>#DIV/0!</v>
      </c>
    </row>
    <row r="361" spans="1:36" x14ac:dyDescent="0.3">
      <c r="A361" s="48">
        <v>20190619</v>
      </c>
      <c r="B361" s="48" t="s">
        <v>88</v>
      </c>
      <c r="C361" s="49">
        <v>44350</v>
      </c>
      <c r="D361" s="49">
        <v>45350</v>
      </c>
      <c r="E361" s="49">
        <v>5969782550</v>
      </c>
      <c r="F361" s="49">
        <f t="shared" si="99"/>
        <v>0.18611232124486701</v>
      </c>
      <c r="G361" s="49">
        <f t="shared" si="92"/>
        <v>0.18611232124486701</v>
      </c>
      <c r="H361" s="48">
        <v>208000</v>
      </c>
      <c r="I361" s="48">
        <v>211500</v>
      </c>
      <c r="J361" s="51">
        <v>128329070</v>
      </c>
      <c r="K361" s="48">
        <f t="shared" si="100"/>
        <v>1.5058771407602201</v>
      </c>
      <c r="L361" s="48">
        <f t="shared" si="93"/>
        <v>1.5058771407602201</v>
      </c>
      <c r="M361" s="49">
        <v>185300</v>
      </c>
      <c r="N361" s="49">
        <v>191500</v>
      </c>
      <c r="O361" s="49">
        <v>15956260</v>
      </c>
      <c r="P361" s="49">
        <f t="shared" si="101"/>
        <v>21.218260535034901</v>
      </c>
      <c r="Q361" s="49">
        <f t="shared" si="94"/>
        <v>21.218260535034901</v>
      </c>
      <c r="R361" s="48">
        <v>10455</v>
      </c>
      <c r="S361" s="48">
        <v>10620</v>
      </c>
      <c r="T361" s="48">
        <v>62100000</v>
      </c>
      <c r="U361" s="48">
        <f t="shared" si="95"/>
        <v>183.902664785984</v>
      </c>
      <c r="V361" s="48">
        <f t="shared" si="96"/>
        <v>183.902664785984</v>
      </c>
      <c r="W361" s="49">
        <v>0</v>
      </c>
      <c r="X361" s="49">
        <v>0</v>
      </c>
      <c r="Y361" s="49">
        <v>0</v>
      </c>
      <c r="Z361" s="49">
        <f t="shared" si="102"/>
        <v>0</v>
      </c>
      <c r="AA361" s="49">
        <v>0</v>
      </c>
      <c r="AB361" s="82">
        <f t="shared" si="107"/>
        <v>0</v>
      </c>
      <c r="AC361" s="82">
        <f t="shared" si="108"/>
        <v>256662526236600.03</v>
      </c>
      <c r="AD361" s="81">
        <f t="shared" si="109"/>
        <v>277377230833692.37</v>
      </c>
      <c r="AE361" s="80">
        <f t="shared" si="97"/>
        <v>1080.7079432312485</v>
      </c>
      <c r="AF361" s="52">
        <f t="shared" si="103"/>
        <v>2.1247195573151908E-2</v>
      </c>
      <c r="AG361" s="48">
        <f t="shared" si="98"/>
        <v>2.2547914317925591E-2</v>
      </c>
      <c r="AH361" s="48">
        <f t="shared" si="104"/>
        <v>1.6826923076923076E-2</v>
      </c>
      <c r="AI361" s="48">
        <f t="shared" si="105"/>
        <v>3.3459255261737722E-2</v>
      </c>
      <c r="AJ361" s="48" t="e">
        <f t="shared" si="106"/>
        <v>#DIV/0!</v>
      </c>
    </row>
    <row r="362" spans="1:36" x14ac:dyDescent="0.3">
      <c r="A362" s="48">
        <v>20190620</v>
      </c>
      <c r="B362" s="48" t="s">
        <v>88</v>
      </c>
      <c r="C362" s="49">
        <v>45350</v>
      </c>
      <c r="D362" s="49">
        <v>45500</v>
      </c>
      <c r="E362" s="49">
        <v>5969782550</v>
      </c>
      <c r="F362" s="49">
        <f t="shared" si="99"/>
        <v>0.18611232124486701</v>
      </c>
      <c r="G362" s="49">
        <f t="shared" si="92"/>
        <v>0.18611232124486701</v>
      </c>
      <c r="H362" s="48">
        <v>211500</v>
      </c>
      <c r="I362" s="48">
        <v>214000</v>
      </c>
      <c r="J362" s="51">
        <v>128329070</v>
      </c>
      <c r="K362" s="48">
        <f t="shared" si="100"/>
        <v>1.5058771407602201</v>
      </c>
      <c r="L362" s="48">
        <f t="shared" si="93"/>
        <v>1.5058771407602201</v>
      </c>
      <c r="M362" s="49">
        <v>191500</v>
      </c>
      <c r="N362" s="49">
        <v>195300</v>
      </c>
      <c r="O362" s="49">
        <v>15956260</v>
      </c>
      <c r="P362" s="49">
        <f t="shared" si="101"/>
        <v>21.218260535034901</v>
      </c>
      <c r="Q362" s="49">
        <f t="shared" si="94"/>
        <v>21.218260535034901</v>
      </c>
      <c r="R362" s="48">
        <v>10620</v>
      </c>
      <c r="S362" s="48">
        <v>10640</v>
      </c>
      <c r="T362" s="48">
        <v>62100000</v>
      </c>
      <c r="U362" s="48">
        <f t="shared" si="95"/>
        <v>183.902664785984</v>
      </c>
      <c r="V362" s="48">
        <f t="shared" si="96"/>
        <v>183.902664785984</v>
      </c>
      <c r="W362" s="49">
        <v>0</v>
      </c>
      <c r="X362" s="49">
        <v>0</v>
      </c>
      <c r="Y362" s="49">
        <v>0</v>
      </c>
      <c r="Z362" s="49">
        <f t="shared" si="102"/>
        <v>0</v>
      </c>
      <c r="AA362" s="49">
        <v>0</v>
      </c>
      <c r="AB362" s="82">
        <f t="shared" si="107"/>
        <v>0</v>
      </c>
      <c r="AC362" s="82">
        <f t="shared" si="108"/>
        <v>256662526236600.03</v>
      </c>
      <c r="AD362" s="81">
        <f t="shared" si="109"/>
        <v>279541958500042.81</v>
      </c>
      <c r="AE362" s="80">
        <f t="shared" si="97"/>
        <v>1089.1420831818346</v>
      </c>
      <c r="AF362" s="52">
        <f t="shared" si="103"/>
        <v>7.8042731187563412E-3</v>
      </c>
      <c r="AG362" s="48">
        <f t="shared" si="98"/>
        <v>3.3076074972436605E-3</v>
      </c>
      <c r="AH362" s="48">
        <f t="shared" si="104"/>
        <v>1.1820330969267139E-2</v>
      </c>
      <c r="AI362" s="48">
        <f t="shared" si="105"/>
        <v>1.9843342036553524E-2</v>
      </c>
      <c r="AJ362" s="48" t="e">
        <f t="shared" si="106"/>
        <v>#DIV/0!</v>
      </c>
    </row>
    <row r="363" spans="1:36" x14ac:dyDescent="0.3">
      <c r="A363" s="48">
        <v>20190621</v>
      </c>
      <c r="B363" s="48" t="s">
        <v>88</v>
      </c>
      <c r="C363" s="49">
        <v>45500</v>
      </c>
      <c r="D363" s="49">
        <v>45700</v>
      </c>
      <c r="E363" s="49">
        <v>5969782550</v>
      </c>
      <c r="F363" s="49">
        <f t="shared" si="99"/>
        <v>0.18611232124486701</v>
      </c>
      <c r="G363" s="49">
        <f t="shared" si="92"/>
        <v>0.18611232124486701</v>
      </c>
      <c r="H363" s="48">
        <v>214000</v>
      </c>
      <c r="I363" s="48">
        <v>212500</v>
      </c>
      <c r="J363" s="51">
        <v>128329070</v>
      </c>
      <c r="K363" s="48">
        <f t="shared" si="100"/>
        <v>1.5058771407602201</v>
      </c>
      <c r="L363" s="48">
        <f t="shared" si="93"/>
        <v>1.5058771407602201</v>
      </c>
      <c r="M363" s="49">
        <v>195300</v>
      </c>
      <c r="N363" s="49">
        <v>191800</v>
      </c>
      <c r="O363" s="49">
        <v>15956260</v>
      </c>
      <c r="P363" s="49">
        <f t="shared" si="101"/>
        <v>21.218260535034901</v>
      </c>
      <c r="Q363" s="49">
        <f t="shared" si="94"/>
        <v>21.218260535034901</v>
      </c>
      <c r="R363" s="48">
        <v>10640</v>
      </c>
      <c r="S363" s="48">
        <v>10650</v>
      </c>
      <c r="T363" s="48">
        <v>62100000</v>
      </c>
      <c r="U363" s="48">
        <f t="shared" si="95"/>
        <v>183.902664785984</v>
      </c>
      <c r="V363" s="48">
        <f t="shared" si="96"/>
        <v>183.902664785984</v>
      </c>
      <c r="W363" s="49">
        <v>0</v>
      </c>
      <c r="X363" s="49">
        <v>0</v>
      </c>
      <c r="Y363" s="49">
        <v>0</v>
      </c>
      <c r="Z363" s="49">
        <f t="shared" si="102"/>
        <v>0</v>
      </c>
      <c r="AA363" s="49">
        <v>0</v>
      </c>
      <c r="AB363" s="82">
        <f t="shared" si="107"/>
        <v>0</v>
      </c>
      <c r="AC363" s="82">
        <f t="shared" si="108"/>
        <v>256662526236600.03</v>
      </c>
      <c r="AD363" s="81">
        <f t="shared" si="109"/>
        <v>278403526066447.75</v>
      </c>
      <c r="AE363" s="80">
        <f t="shared" si="97"/>
        <v>1084.7065605900184</v>
      </c>
      <c r="AF363" s="52">
        <f t="shared" si="103"/>
        <v>-4.0724921571831619E-3</v>
      </c>
      <c r="AG363" s="48">
        <f t="shared" si="98"/>
        <v>4.3956043956043956E-3</v>
      </c>
      <c r="AH363" s="48">
        <f t="shared" si="104"/>
        <v>-7.0093457943925233E-3</v>
      </c>
      <c r="AI363" s="48">
        <f t="shared" si="105"/>
        <v>-1.7921146953405017E-2</v>
      </c>
      <c r="AJ363" s="48" t="e">
        <f t="shared" si="106"/>
        <v>#DIV/0!</v>
      </c>
    </row>
    <row r="364" spans="1:36" x14ac:dyDescent="0.3">
      <c r="A364" s="48">
        <v>20190624</v>
      </c>
      <c r="B364" s="48" t="s">
        <v>88</v>
      </c>
      <c r="C364" s="49">
        <v>45700</v>
      </c>
      <c r="D364" s="49">
        <v>45500</v>
      </c>
      <c r="E364" s="49">
        <v>5969782550</v>
      </c>
      <c r="F364" s="49">
        <f t="shared" si="99"/>
        <v>0.18611232124486701</v>
      </c>
      <c r="G364" s="49">
        <f t="shared" si="92"/>
        <v>0.18611232124486701</v>
      </c>
      <c r="H364" s="48">
        <v>212500</v>
      </c>
      <c r="I364" s="48">
        <v>208500</v>
      </c>
      <c r="J364" s="51">
        <v>128329070</v>
      </c>
      <c r="K364" s="48">
        <f t="shared" si="100"/>
        <v>1.5058771407602201</v>
      </c>
      <c r="L364" s="48">
        <f t="shared" si="93"/>
        <v>1.5058771407602201</v>
      </c>
      <c r="M364" s="49">
        <v>191800</v>
      </c>
      <c r="N364" s="49">
        <v>193900</v>
      </c>
      <c r="O364" s="49">
        <v>15956260</v>
      </c>
      <c r="P364" s="49">
        <f t="shared" si="101"/>
        <v>21.218260535034901</v>
      </c>
      <c r="Q364" s="49">
        <f t="shared" si="94"/>
        <v>21.218260535034901</v>
      </c>
      <c r="R364" s="48">
        <v>10650</v>
      </c>
      <c r="S364" s="48">
        <v>10650</v>
      </c>
      <c r="T364" s="48">
        <v>62100000</v>
      </c>
      <c r="U364" s="48">
        <f t="shared" si="95"/>
        <v>183.902664785984</v>
      </c>
      <c r="V364" s="48">
        <f t="shared" si="96"/>
        <v>183.902664785984</v>
      </c>
      <c r="W364" s="49">
        <v>0</v>
      </c>
      <c r="X364" s="49">
        <v>0</v>
      </c>
      <c r="Y364" s="49">
        <v>0</v>
      </c>
      <c r="Z364" s="49">
        <f t="shared" si="102"/>
        <v>0</v>
      </c>
      <c r="AA364" s="49">
        <v>0</v>
      </c>
      <c r="AB364" s="82">
        <f t="shared" si="107"/>
        <v>0</v>
      </c>
      <c r="AC364" s="82">
        <f t="shared" si="108"/>
        <v>256662526236600.03</v>
      </c>
      <c r="AD364" s="81">
        <f t="shared" si="109"/>
        <v>278119309368748.12</v>
      </c>
      <c r="AE364" s="80">
        <f t="shared" si="97"/>
        <v>1083.5992049434146</v>
      </c>
      <c r="AF364" s="52">
        <f t="shared" si="103"/>
        <v>-1.0208803807745259E-3</v>
      </c>
      <c r="AG364" s="48">
        <f t="shared" si="98"/>
        <v>-4.3763676148796497E-3</v>
      </c>
      <c r="AH364" s="48">
        <f t="shared" si="104"/>
        <v>-1.8823529411764704E-2</v>
      </c>
      <c r="AI364" s="48">
        <f t="shared" si="105"/>
        <v>1.0948905109489052E-2</v>
      </c>
      <c r="AJ364" s="48" t="e">
        <f t="shared" si="106"/>
        <v>#DIV/0!</v>
      </c>
    </row>
    <row r="365" spans="1:36" x14ac:dyDescent="0.3">
      <c r="A365" s="48">
        <v>20190625</v>
      </c>
      <c r="B365" s="48" t="s">
        <v>88</v>
      </c>
      <c r="C365" s="49">
        <v>45500</v>
      </c>
      <c r="D365" s="49">
        <v>45600</v>
      </c>
      <c r="E365" s="49">
        <v>5969782550</v>
      </c>
      <c r="F365" s="49">
        <f t="shared" si="99"/>
        <v>0.18611232124486701</v>
      </c>
      <c r="G365" s="49">
        <f t="shared" si="92"/>
        <v>0.18611232124486701</v>
      </c>
      <c r="H365" s="48">
        <v>208500</v>
      </c>
      <c r="I365" s="48">
        <v>208000</v>
      </c>
      <c r="J365" s="51">
        <v>128329070</v>
      </c>
      <c r="K365" s="48">
        <f t="shared" si="100"/>
        <v>1.5058771407602201</v>
      </c>
      <c r="L365" s="48">
        <f t="shared" si="93"/>
        <v>1.5058771407602201</v>
      </c>
      <c r="M365" s="49">
        <v>193900</v>
      </c>
      <c r="N365" s="49">
        <v>195000</v>
      </c>
      <c r="O365" s="49">
        <v>15956260</v>
      </c>
      <c r="P365" s="49">
        <f t="shared" si="101"/>
        <v>21.218260535034901</v>
      </c>
      <c r="Q365" s="49">
        <f t="shared" si="94"/>
        <v>21.218260535034901</v>
      </c>
      <c r="R365" s="48">
        <v>10650</v>
      </c>
      <c r="S365" s="48">
        <v>10650</v>
      </c>
      <c r="T365" s="48">
        <v>62100000</v>
      </c>
      <c r="U365" s="48">
        <f t="shared" si="95"/>
        <v>183.902664785984</v>
      </c>
      <c r="V365" s="48">
        <f t="shared" si="96"/>
        <v>183.902664785984</v>
      </c>
      <c r="W365" s="49">
        <v>0</v>
      </c>
      <c r="X365" s="49">
        <v>0</v>
      </c>
      <c r="Y365" s="49">
        <v>0</v>
      </c>
      <c r="Z365" s="49">
        <f t="shared" si="102"/>
        <v>0</v>
      </c>
      <c r="AA365" s="49">
        <v>0</v>
      </c>
      <c r="AB365" s="82">
        <f t="shared" si="107"/>
        <v>0</v>
      </c>
      <c r="AC365" s="82">
        <f t="shared" si="108"/>
        <v>256662526236600.03</v>
      </c>
      <c r="AD365" s="81">
        <f t="shared" si="109"/>
        <v>278506210961044.12</v>
      </c>
      <c r="AE365" s="80">
        <f t="shared" si="97"/>
        <v>1085.1066380617942</v>
      </c>
      <c r="AF365" s="52">
        <f t="shared" si="103"/>
        <v>1.391135312302405E-3</v>
      </c>
      <c r="AG365" s="48">
        <f t="shared" si="98"/>
        <v>2.1978021978021978E-3</v>
      </c>
      <c r="AH365" s="48">
        <f t="shared" si="104"/>
        <v>-2.3980815347721821E-3</v>
      </c>
      <c r="AI365" s="48">
        <f t="shared" si="105"/>
        <v>5.6730273336771534E-3</v>
      </c>
      <c r="AJ365" s="48" t="e">
        <f t="shared" si="106"/>
        <v>#DIV/0!</v>
      </c>
    </row>
    <row r="366" spans="1:36" x14ac:dyDescent="0.3">
      <c r="A366" s="48">
        <v>20190626</v>
      </c>
      <c r="B366" s="48" t="s">
        <v>88</v>
      </c>
      <c r="C366" s="49">
        <v>45600</v>
      </c>
      <c r="D366" s="49">
        <v>45700</v>
      </c>
      <c r="E366" s="49">
        <v>5969782550</v>
      </c>
      <c r="F366" s="49">
        <f t="shared" si="99"/>
        <v>0.18611232124486701</v>
      </c>
      <c r="G366" s="49">
        <f t="shared" si="92"/>
        <v>0.18611232124486701</v>
      </c>
      <c r="H366" s="48">
        <v>208000</v>
      </c>
      <c r="I366" s="48">
        <v>210500</v>
      </c>
      <c r="J366" s="51">
        <v>128329070</v>
      </c>
      <c r="K366" s="48">
        <f t="shared" si="100"/>
        <v>1.5058771407602201</v>
      </c>
      <c r="L366" s="48">
        <f t="shared" si="93"/>
        <v>1.5058771407602201</v>
      </c>
      <c r="M366" s="49">
        <v>195000</v>
      </c>
      <c r="N366" s="49">
        <v>203400</v>
      </c>
      <c r="O366" s="49">
        <v>15956260</v>
      </c>
      <c r="P366" s="49">
        <f t="shared" si="101"/>
        <v>21.218260535034901</v>
      </c>
      <c r="Q366" s="49">
        <f t="shared" si="94"/>
        <v>21.218260535034901</v>
      </c>
      <c r="R366" s="48">
        <v>10650</v>
      </c>
      <c r="S366" s="48">
        <v>10655</v>
      </c>
      <c r="T366" s="48">
        <v>62100000</v>
      </c>
      <c r="U366" s="48">
        <f t="shared" si="95"/>
        <v>183.902664785984</v>
      </c>
      <c r="V366" s="48">
        <f t="shared" si="96"/>
        <v>183.902664785984</v>
      </c>
      <c r="W366" s="49">
        <v>0</v>
      </c>
      <c r="X366" s="49">
        <v>0</v>
      </c>
      <c r="Y366" s="49">
        <v>0</v>
      </c>
      <c r="Z366" s="49">
        <f t="shared" si="102"/>
        <v>0</v>
      </c>
      <c r="AA366" s="49">
        <v>0</v>
      </c>
      <c r="AB366" s="82">
        <f t="shared" si="107"/>
        <v>0</v>
      </c>
      <c r="AC366" s="82">
        <f t="shared" si="108"/>
        <v>256662526236600.03</v>
      </c>
      <c r="AD366" s="81">
        <f t="shared" si="109"/>
        <v>282001475567246.94</v>
      </c>
      <c r="AE366" s="80">
        <f t="shared" si="97"/>
        <v>1098.7247717934818</v>
      </c>
      <c r="AF366" s="52">
        <f t="shared" si="103"/>
        <v>1.2550041861334555E-2</v>
      </c>
      <c r="AG366" s="48">
        <f t="shared" si="98"/>
        <v>2.1929824561403508E-3</v>
      </c>
      <c r="AH366" s="48">
        <f t="shared" si="104"/>
        <v>1.201923076923077E-2</v>
      </c>
      <c r="AI366" s="48">
        <f t="shared" si="105"/>
        <v>4.3076923076923075E-2</v>
      </c>
      <c r="AJ366" s="48" t="e">
        <f t="shared" si="106"/>
        <v>#DIV/0!</v>
      </c>
    </row>
    <row r="367" spans="1:36" x14ac:dyDescent="0.3">
      <c r="A367" s="48">
        <v>20190627</v>
      </c>
      <c r="B367" s="48" t="s">
        <v>88</v>
      </c>
      <c r="C367" s="49">
        <v>45700</v>
      </c>
      <c r="D367" s="49">
        <v>46500</v>
      </c>
      <c r="E367" s="49">
        <v>5969782550</v>
      </c>
      <c r="F367" s="49">
        <f t="shared" si="99"/>
        <v>0.18611232124486701</v>
      </c>
      <c r="G367" s="49">
        <f t="shared" si="92"/>
        <v>0.18611232124486701</v>
      </c>
      <c r="H367" s="48">
        <v>210500</v>
      </c>
      <c r="I367" s="48">
        <v>204000</v>
      </c>
      <c r="J367" s="51">
        <v>128329070</v>
      </c>
      <c r="K367" s="48">
        <f t="shared" si="100"/>
        <v>1.5058771407602201</v>
      </c>
      <c r="L367" s="48">
        <f t="shared" si="93"/>
        <v>1.5058771407602201</v>
      </c>
      <c r="M367" s="49">
        <v>203400</v>
      </c>
      <c r="N367" s="49">
        <v>193200</v>
      </c>
      <c r="O367" s="49">
        <v>15956260</v>
      </c>
      <c r="P367" s="49">
        <f t="shared" si="101"/>
        <v>21.218260535034901</v>
      </c>
      <c r="Q367" s="49">
        <f t="shared" si="94"/>
        <v>21.218260535034901</v>
      </c>
      <c r="R367" s="48">
        <v>10655</v>
      </c>
      <c r="S367" s="48">
        <v>10775</v>
      </c>
      <c r="T367" s="48">
        <v>62100000</v>
      </c>
      <c r="U367" s="48">
        <f t="shared" si="95"/>
        <v>183.902664785984</v>
      </c>
      <c r="V367" s="48">
        <f t="shared" si="96"/>
        <v>183.902664785984</v>
      </c>
      <c r="W367" s="49">
        <v>0</v>
      </c>
      <c r="X367" s="49">
        <v>0</v>
      </c>
      <c r="Y367" s="49">
        <v>0</v>
      </c>
      <c r="Z367" s="49">
        <f t="shared" si="102"/>
        <v>0</v>
      </c>
      <c r="AA367" s="49">
        <v>0</v>
      </c>
      <c r="AB367" s="82">
        <f t="shared" si="107"/>
        <v>0</v>
      </c>
      <c r="AC367" s="82">
        <f t="shared" si="108"/>
        <v>256662526236600.03</v>
      </c>
      <c r="AD367" s="81">
        <f t="shared" si="109"/>
        <v>279551293876029.5</v>
      </c>
      <c r="AE367" s="80">
        <f t="shared" si="97"/>
        <v>1089.1784553633272</v>
      </c>
      <c r="AF367" s="52">
        <f t="shared" si="103"/>
        <v>-8.6885420946428704E-3</v>
      </c>
      <c r="AG367" s="48">
        <f t="shared" si="98"/>
        <v>1.7505470459518599E-2</v>
      </c>
      <c r="AH367" s="48">
        <f t="shared" si="104"/>
        <v>-3.0878859857482184E-2</v>
      </c>
      <c r="AI367" s="48">
        <f t="shared" si="105"/>
        <v>-5.0147492625368731E-2</v>
      </c>
      <c r="AJ367" s="48" t="e">
        <f t="shared" si="106"/>
        <v>#DIV/0!</v>
      </c>
    </row>
    <row r="368" spans="1:36" s="73" customFormat="1" x14ac:dyDescent="0.3">
      <c r="A368" s="48">
        <v>20190628</v>
      </c>
      <c r="B368" s="48" t="s">
        <v>88</v>
      </c>
      <c r="C368" s="49">
        <v>46500</v>
      </c>
      <c r="D368" s="49">
        <v>47000</v>
      </c>
      <c r="E368" s="49">
        <v>5969782550</v>
      </c>
      <c r="F368" s="49">
        <f t="shared" si="99"/>
        <v>0.18611232124486701</v>
      </c>
      <c r="G368" s="49">
        <f t="shared" si="92"/>
        <v>0.20469827469118801</v>
      </c>
      <c r="H368" s="48">
        <v>204000</v>
      </c>
      <c r="I368" s="48">
        <v>205500</v>
      </c>
      <c r="J368" s="51">
        <v>128329070</v>
      </c>
      <c r="K368" s="48">
        <f t="shared" si="100"/>
        <v>1.5058771407602201</v>
      </c>
      <c r="L368" s="48">
        <f t="shared" si="93"/>
        <v>1.6562603192990799</v>
      </c>
      <c r="M368" s="49">
        <v>189600</v>
      </c>
      <c r="N368" s="49">
        <v>168600</v>
      </c>
      <c r="O368" s="49">
        <v>15956260</v>
      </c>
      <c r="P368" s="49">
        <f t="shared" si="101"/>
        <v>21.218260535034901</v>
      </c>
      <c r="Q368" s="49">
        <f t="shared" si="94"/>
        <v>23.780316101633002</v>
      </c>
      <c r="R368" s="48">
        <v>10775</v>
      </c>
      <c r="S368" s="48">
        <v>10805</v>
      </c>
      <c r="T368" s="48">
        <v>62100000</v>
      </c>
      <c r="U368" s="48">
        <f t="shared" si="95"/>
        <v>183.902664785984</v>
      </c>
      <c r="V368" s="48">
        <f t="shared" si="96"/>
        <v>202.267952712674</v>
      </c>
      <c r="W368" s="49">
        <v>0</v>
      </c>
      <c r="X368" s="49">
        <v>0</v>
      </c>
      <c r="Y368" s="49">
        <v>0</v>
      </c>
      <c r="Z368" s="49">
        <f t="shared" si="102"/>
        <v>0</v>
      </c>
      <c r="AA368" s="49">
        <v>0</v>
      </c>
      <c r="AB368" s="82">
        <f t="shared" si="107"/>
        <v>1</v>
      </c>
      <c r="AC368" s="82">
        <f t="shared" si="108"/>
        <v>282293917711065</v>
      </c>
      <c r="AD368" s="81">
        <f t="shared" si="109"/>
        <v>300806757022120.62</v>
      </c>
      <c r="AE368" s="80">
        <f t="shared" si="97"/>
        <v>1065.5800148340566</v>
      </c>
      <c r="AF368" s="52">
        <f t="shared" si="103"/>
        <v>-2.1666275542880344E-2</v>
      </c>
      <c r="AG368" s="48">
        <f t="shared" si="98"/>
        <v>1.0752688172043012E-2</v>
      </c>
      <c r="AH368" s="48">
        <f t="shared" si="104"/>
        <v>7.3529411764705881E-3</v>
      </c>
      <c r="AI368" s="48">
        <f t="shared" si="105"/>
        <v>-0.11075949367088607</v>
      </c>
      <c r="AJ368" s="48" t="e">
        <f t="shared" si="106"/>
        <v>#DIV/0!</v>
      </c>
    </row>
    <row r="369" spans="1:36" s="70" customFormat="1" x14ac:dyDescent="0.3">
      <c r="A369" s="71">
        <v>20190701</v>
      </c>
      <c r="B369" s="71" t="s">
        <v>89</v>
      </c>
      <c r="C369" s="53">
        <v>47000</v>
      </c>
      <c r="D369" s="53">
        <v>46600</v>
      </c>
      <c r="E369" s="53">
        <v>5969782550</v>
      </c>
      <c r="F369" s="53">
        <f t="shared" si="99"/>
        <v>0.20469827469118801</v>
      </c>
      <c r="G369" s="49">
        <f t="shared" si="92"/>
        <v>0.165928896677941</v>
      </c>
      <c r="H369" s="71">
        <v>205500</v>
      </c>
      <c r="I369" s="71">
        <v>208000</v>
      </c>
      <c r="J369" s="75">
        <v>128329070</v>
      </c>
      <c r="K369" s="71">
        <f t="shared" si="100"/>
        <v>1.6562603192990799</v>
      </c>
      <c r="L369" s="48">
        <f t="shared" si="93"/>
        <v>1.76539349657307</v>
      </c>
      <c r="M369" s="53">
        <v>168600</v>
      </c>
      <c r="N369" s="53">
        <v>181000</v>
      </c>
      <c r="O369" s="53">
        <v>15956260</v>
      </c>
      <c r="P369" s="53">
        <f t="shared" si="101"/>
        <v>23.780316101633002</v>
      </c>
      <c r="Q369" s="49">
        <f t="shared" si="94"/>
        <v>34.611443842321897</v>
      </c>
      <c r="R369" s="71">
        <v>10805</v>
      </c>
      <c r="S369" s="71">
        <v>10805</v>
      </c>
      <c r="T369" s="71">
        <v>67900000</v>
      </c>
      <c r="U369" s="71">
        <f t="shared" si="95"/>
        <v>202.267952712674</v>
      </c>
      <c r="V369" s="48">
        <f t="shared" si="96"/>
        <v>169.22034740693701</v>
      </c>
      <c r="W369" s="53">
        <v>0</v>
      </c>
      <c r="X369" s="53">
        <v>0</v>
      </c>
      <c r="Y369" s="53">
        <v>0</v>
      </c>
      <c r="Z369" s="53">
        <f t="shared" si="102"/>
        <v>0</v>
      </c>
      <c r="AA369" s="53">
        <v>0</v>
      </c>
      <c r="AB369" s="83">
        <f t="shared" si="107"/>
        <v>1</v>
      </c>
      <c r="AC369" s="83">
        <f t="shared" si="108"/>
        <v>291273564021688.81</v>
      </c>
      <c r="AD369" s="83">
        <f t="shared" si="109"/>
        <v>317393581204077.69</v>
      </c>
      <c r="AE369" s="84">
        <f t="shared" si="97"/>
        <v>1089.6752071205608</v>
      </c>
      <c r="AF369" s="85">
        <f t="shared" si="103"/>
        <v>2.2612278713069336E-2</v>
      </c>
      <c r="AG369" s="71">
        <f t="shared" si="98"/>
        <v>-8.5106382978723406E-3</v>
      </c>
      <c r="AH369" s="71">
        <f t="shared" si="104"/>
        <v>1.2165450121654502E-2</v>
      </c>
      <c r="AI369" s="71">
        <f t="shared" si="105"/>
        <v>7.354685646500593E-2</v>
      </c>
      <c r="AJ369" s="71" t="e">
        <f t="shared" si="106"/>
        <v>#DIV/0!</v>
      </c>
    </row>
    <row r="370" spans="1:36" x14ac:dyDescent="0.3">
      <c r="A370" s="48">
        <v>20190702</v>
      </c>
      <c r="B370" s="48" t="s">
        <v>88</v>
      </c>
      <c r="C370" s="49">
        <v>46600</v>
      </c>
      <c r="D370" s="49">
        <v>46250</v>
      </c>
      <c r="E370" s="49">
        <v>5969782550</v>
      </c>
      <c r="F370" s="49">
        <f t="shared" si="99"/>
        <v>0.165928896677941</v>
      </c>
      <c r="G370" s="49">
        <f t="shared" si="92"/>
        <v>0.165928896677941</v>
      </c>
      <c r="H370" s="48">
        <v>208000</v>
      </c>
      <c r="I370" s="48">
        <v>205000</v>
      </c>
      <c r="J370" s="51">
        <v>128329070</v>
      </c>
      <c r="K370" s="48">
        <f t="shared" si="100"/>
        <v>1.76539349657307</v>
      </c>
      <c r="L370" s="48">
        <f t="shared" si="93"/>
        <v>1.76539349657307</v>
      </c>
      <c r="M370" s="49">
        <v>181000</v>
      </c>
      <c r="N370" s="49">
        <v>178300</v>
      </c>
      <c r="O370" s="49">
        <v>15956260</v>
      </c>
      <c r="P370" s="49">
        <f t="shared" si="101"/>
        <v>34.611443842321897</v>
      </c>
      <c r="Q370" s="49">
        <f t="shared" si="94"/>
        <v>34.611443842321897</v>
      </c>
      <c r="R370" s="48">
        <v>10805</v>
      </c>
      <c r="S370" s="48">
        <v>10740</v>
      </c>
      <c r="T370" s="48">
        <v>67900000</v>
      </c>
      <c r="U370" s="48">
        <f t="shared" si="95"/>
        <v>169.22034740693701</v>
      </c>
      <c r="V370" s="48">
        <f t="shared" si="96"/>
        <v>169.22034740693701</v>
      </c>
      <c r="W370" s="49">
        <v>0</v>
      </c>
      <c r="X370" s="49">
        <v>0</v>
      </c>
      <c r="Y370" s="49">
        <v>0</v>
      </c>
      <c r="Z370" s="49">
        <f t="shared" si="102"/>
        <v>0</v>
      </c>
      <c r="AA370" s="49">
        <v>0</v>
      </c>
      <c r="AB370" s="82">
        <f t="shared" si="107"/>
        <v>0</v>
      </c>
      <c r="AC370" s="82">
        <f t="shared" si="108"/>
        <v>291273564021688.81</v>
      </c>
      <c r="AD370" s="81">
        <f t="shared" si="109"/>
        <v>314129250651130.87</v>
      </c>
      <c r="AE370" s="80">
        <f t="shared" si="97"/>
        <v>1078.4681119490135</v>
      </c>
      <c r="AF370" s="52">
        <f t="shared" si="103"/>
        <v>-1.0284803304979055E-2</v>
      </c>
      <c r="AG370" s="48">
        <f t="shared" si="98"/>
        <v>-7.5107296137339056E-3</v>
      </c>
      <c r="AH370" s="48">
        <f t="shared" si="104"/>
        <v>-1.4423076923076924E-2</v>
      </c>
      <c r="AI370" s="48">
        <f t="shared" si="105"/>
        <v>-1.4917127071823204E-2</v>
      </c>
      <c r="AJ370" s="48" t="e">
        <f t="shared" si="106"/>
        <v>#DIV/0!</v>
      </c>
    </row>
    <row r="371" spans="1:36" x14ac:dyDescent="0.3">
      <c r="A371" s="48">
        <v>20190703</v>
      </c>
      <c r="B371" s="48" t="s">
        <v>88</v>
      </c>
      <c r="C371" s="49">
        <v>46250</v>
      </c>
      <c r="D371" s="49">
        <v>45400</v>
      </c>
      <c r="E371" s="49">
        <v>5969782550</v>
      </c>
      <c r="F371" s="49">
        <f t="shared" si="99"/>
        <v>0.165928896677941</v>
      </c>
      <c r="G371" s="49">
        <f t="shared" si="92"/>
        <v>0.165928896677941</v>
      </c>
      <c r="H371" s="48">
        <v>205000</v>
      </c>
      <c r="I371" s="48">
        <v>206000</v>
      </c>
      <c r="J371" s="51">
        <v>128329070</v>
      </c>
      <c r="K371" s="48">
        <f t="shared" si="100"/>
        <v>1.76539349657307</v>
      </c>
      <c r="L371" s="48">
        <f t="shared" si="93"/>
        <v>1.76539349657307</v>
      </c>
      <c r="M371" s="49">
        <v>178300</v>
      </c>
      <c r="N371" s="49">
        <v>184900</v>
      </c>
      <c r="O371" s="49">
        <v>15956260</v>
      </c>
      <c r="P371" s="49">
        <f t="shared" si="101"/>
        <v>34.611443842321897</v>
      </c>
      <c r="Q371" s="49">
        <f t="shared" si="94"/>
        <v>34.611443842321897</v>
      </c>
      <c r="R371" s="48">
        <v>10740</v>
      </c>
      <c r="S371" s="48">
        <v>10625</v>
      </c>
      <c r="T371" s="48">
        <v>67900000</v>
      </c>
      <c r="U371" s="48">
        <f t="shared" si="95"/>
        <v>169.22034740693701</v>
      </c>
      <c r="V371" s="48">
        <f t="shared" si="96"/>
        <v>169.22034740693701</v>
      </c>
      <c r="W371" s="49">
        <v>0</v>
      </c>
      <c r="X371" s="49">
        <v>0</v>
      </c>
      <c r="Y371" s="49">
        <v>0</v>
      </c>
      <c r="Z371" s="49">
        <f t="shared" si="102"/>
        <v>0</v>
      </c>
      <c r="AA371" s="49">
        <v>0</v>
      </c>
      <c r="AB371" s="82">
        <f t="shared" si="107"/>
        <v>0</v>
      </c>
      <c r="AC371" s="82">
        <f t="shared" si="108"/>
        <v>291273564021688.81</v>
      </c>
      <c r="AD371" s="81">
        <f t="shared" si="109"/>
        <v>315837446056558.69</v>
      </c>
      <c r="AE371" s="80">
        <f t="shared" si="97"/>
        <v>1084.3326860691031</v>
      </c>
      <c r="AF371" s="52">
        <f t="shared" si="103"/>
        <v>5.4378743841495113E-3</v>
      </c>
      <c r="AG371" s="48">
        <f t="shared" si="98"/>
        <v>-1.8378378378378378E-2</v>
      </c>
      <c r="AH371" s="48">
        <f t="shared" si="104"/>
        <v>4.8780487804878049E-3</v>
      </c>
      <c r="AI371" s="48">
        <f t="shared" si="105"/>
        <v>3.7016264722378012E-2</v>
      </c>
      <c r="AJ371" s="48" t="e">
        <f t="shared" si="106"/>
        <v>#DIV/0!</v>
      </c>
    </row>
    <row r="372" spans="1:36" x14ac:dyDescent="0.3">
      <c r="A372" s="48">
        <v>20190704</v>
      </c>
      <c r="B372" s="48" t="s">
        <v>88</v>
      </c>
      <c r="C372" s="49">
        <v>45400</v>
      </c>
      <c r="D372" s="49">
        <v>46000</v>
      </c>
      <c r="E372" s="49">
        <v>5969782550</v>
      </c>
      <c r="F372" s="49">
        <f t="shared" si="99"/>
        <v>0.165928896677941</v>
      </c>
      <c r="G372" s="49">
        <f t="shared" si="92"/>
        <v>0.165928896677941</v>
      </c>
      <c r="H372" s="48">
        <v>206000</v>
      </c>
      <c r="I372" s="48">
        <v>203500</v>
      </c>
      <c r="J372" s="51">
        <v>128329070</v>
      </c>
      <c r="K372" s="48">
        <f t="shared" si="100"/>
        <v>1.76539349657307</v>
      </c>
      <c r="L372" s="48">
        <f t="shared" si="93"/>
        <v>1.76539349657307</v>
      </c>
      <c r="M372" s="49">
        <v>184900</v>
      </c>
      <c r="N372" s="49">
        <v>182600</v>
      </c>
      <c r="O372" s="49">
        <v>15956260</v>
      </c>
      <c r="P372" s="49">
        <f t="shared" si="101"/>
        <v>34.611443842321897</v>
      </c>
      <c r="Q372" s="49">
        <f t="shared" si="94"/>
        <v>34.611443842321897</v>
      </c>
      <c r="R372" s="48">
        <v>10625</v>
      </c>
      <c r="S372" s="48">
        <v>10625</v>
      </c>
      <c r="T372" s="48">
        <v>67900000</v>
      </c>
      <c r="U372" s="48">
        <f t="shared" si="95"/>
        <v>169.22034740693701</v>
      </c>
      <c r="V372" s="48">
        <f t="shared" si="96"/>
        <v>169.22034740693701</v>
      </c>
      <c r="W372" s="49">
        <v>0</v>
      </c>
      <c r="X372" s="49">
        <v>0</v>
      </c>
      <c r="Y372" s="49">
        <v>0</v>
      </c>
      <c r="Z372" s="49">
        <f t="shared" si="102"/>
        <v>0</v>
      </c>
      <c r="AA372" s="49">
        <v>0</v>
      </c>
      <c r="AB372" s="82">
        <f t="shared" si="107"/>
        <v>0</v>
      </c>
      <c r="AC372" s="82">
        <f t="shared" si="108"/>
        <v>291273564021688.81</v>
      </c>
      <c r="AD372" s="81">
        <f t="shared" si="109"/>
        <v>314595184298793.75</v>
      </c>
      <c r="AE372" s="80">
        <f t="shared" si="97"/>
        <v>1080.0677547083139</v>
      </c>
      <c r="AF372" s="52">
        <f t="shared" si="103"/>
        <v>-3.9332313925261554E-3</v>
      </c>
      <c r="AG372" s="48">
        <f t="shared" si="98"/>
        <v>1.3215859030837005E-2</v>
      </c>
      <c r="AH372" s="48">
        <f t="shared" si="104"/>
        <v>-1.2135922330097087E-2</v>
      </c>
      <c r="AI372" s="48">
        <f t="shared" si="105"/>
        <v>-1.2439156300703082E-2</v>
      </c>
      <c r="AJ372" s="48" t="e">
        <f t="shared" si="106"/>
        <v>#DIV/0!</v>
      </c>
    </row>
    <row r="373" spans="1:36" x14ac:dyDescent="0.3">
      <c r="A373" s="48">
        <v>20190705</v>
      </c>
      <c r="B373" s="48" t="s">
        <v>88</v>
      </c>
      <c r="C373" s="49">
        <v>46000</v>
      </c>
      <c r="D373" s="49">
        <v>45650</v>
      </c>
      <c r="E373" s="49">
        <v>5969782550</v>
      </c>
      <c r="F373" s="49">
        <f t="shared" si="99"/>
        <v>0.165928896677941</v>
      </c>
      <c r="G373" s="49">
        <f t="shared" si="92"/>
        <v>0.165928896677941</v>
      </c>
      <c r="H373" s="48">
        <v>203500</v>
      </c>
      <c r="I373" s="48">
        <v>208000</v>
      </c>
      <c r="J373" s="51">
        <v>128329070</v>
      </c>
      <c r="K373" s="48">
        <f t="shared" si="100"/>
        <v>1.76539349657307</v>
      </c>
      <c r="L373" s="48">
        <f t="shared" si="93"/>
        <v>1.76539349657307</v>
      </c>
      <c r="M373" s="49">
        <v>182600</v>
      </c>
      <c r="N373" s="49">
        <v>186500</v>
      </c>
      <c r="O373" s="49">
        <v>15956260</v>
      </c>
      <c r="P373" s="49">
        <f t="shared" si="101"/>
        <v>34.611443842321897</v>
      </c>
      <c r="Q373" s="49">
        <f t="shared" si="94"/>
        <v>34.611443842321897</v>
      </c>
      <c r="R373" s="48">
        <v>10625</v>
      </c>
      <c r="S373" s="48">
        <v>10615</v>
      </c>
      <c r="T373" s="48">
        <v>67900000</v>
      </c>
      <c r="U373" s="48">
        <f t="shared" si="95"/>
        <v>169.22034740693701</v>
      </c>
      <c r="V373" s="48">
        <f t="shared" si="96"/>
        <v>169.22034740693701</v>
      </c>
      <c r="W373" s="49">
        <v>0</v>
      </c>
      <c r="X373" s="49">
        <v>0</v>
      </c>
      <c r="Y373" s="49">
        <v>0</v>
      </c>
      <c r="Z373" s="49">
        <f t="shared" si="102"/>
        <v>0</v>
      </c>
      <c r="AA373" s="49">
        <v>0</v>
      </c>
      <c r="AB373" s="82">
        <f t="shared" si="107"/>
        <v>0</v>
      </c>
      <c r="AC373" s="82">
        <f t="shared" si="108"/>
        <v>291273564021688.81</v>
      </c>
      <c r="AD373" s="81">
        <f t="shared" si="109"/>
        <v>317306918624927.69</v>
      </c>
      <c r="AE373" s="80">
        <f t="shared" si="97"/>
        <v>1089.3776772728347</v>
      </c>
      <c r="AF373" s="52">
        <f t="shared" si="103"/>
        <v>8.6197579030910312E-3</v>
      </c>
      <c r="AG373" s="48">
        <f t="shared" si="98"/>
        <v>-7.6086956521739134E-3</v>
      </c>
      <c r="AH373" s="48">
        <f t="shared" si="104"/>
        <v>2.2113022113022112E-2</v>
      </c>
      <c r="AI373" s="48">
        <f t="shared" si="105"/>
        <v>2.135815991237678E-2</v>
      </c>
      <c r="AJ373" s="48" t="e">
        <f t="shared" si="106"/>
        <v>#DIV/0!</v>
      </c>
    </row>
    <row r="374" spans="1:36" x14ac:dyDescent="0.3">
      <c r="A374" s="48">
        <v>20190708</v>
      </c>
      <c r="B374" s="48" t="s">
        <v>88</v>
      </c>
      <c r="C374" s="49">
        <v>45650</v>
      </c>
      <c r="D374" s="49">
        <v>44400</v>
      </c>
      <c r="E374" s="49">
        <v>5969782550</v>
      </c>
      <c r="F374" s="49">
        <f t="shared" si="99"/>
        <v>0.165928896677941</v>
      </c>
      <c r="G374" s="49">
        <f t="shared" si="92"/>
        <v>0.165928896677941</v>
      </c>
      <c r="H374" s="48">
        <v>208000</v>
      </c>
      <c r="I374" s="48">
        <v>206000</v>
      </c>
      <c r="J374" s="51">
        <v>128329070</v>
      </c>
      <c r="K374" s="48">
        <f t="shared" si="100"/>
        <v>1.76539349657307</v>
      </c>
      <c r="L374" s="48">
        <f t="shared" si="93"/>
        <v>1.76539349657307</v>
      </c>
      <c r="M374" s="49">
        <v>186500</v>
      </c>
      <c r="N374" s="49">
        <v>178300</v>
      </c>
      <c r="O374" s="49">
        <v>15956260</v>
      </c>
      <c r="P374" s="49">
        <f t="shared" si="101"/>
        <v>34.611443842321897</v>
      </c>
      <c r="Q374" s="49">
        <f t="shared" si="94"/>
        <v>34.611443842321897</v>
      </c>
      <c r="R374" s="48">
        <v>10615</v>
      </c>
      <c r="S374" s="48">
        <v>10445</v>
      </c>
      <c r="T374" s="48">
        <v>67900000</v>
      </c>
      <c r="U374" s="48">
        <f t="shared" si="95"/>
        <v>169.22034740693701</v>
      </c>
      <c r="V374" s="48">
        <f t="shared" si="96"/>
        <v>169.22034740693701</v>
      </c>
      <c r="W374" s="49">
        <v>0</v>
      </c>
      <c r="X374" s="49">
        <v>0</v>
      </c>
      <c r="Y374" s="49">
        <v>0</v>
      </c>
      <c r="Z374" s="49">
        <f t="shared" si="102"/>
        <v>0</v>
      </c>
      <c r="AA374" s="49">
        <v>0</v>
      </c>
      <c r="AB374" s="82">
        <f t="shared" si="107"/>
        <v>0</v>
      </c>
      <c r="AC374" s="82">
        <f t="shared" si="108"/>
        <v>291273564021688.81</v>
      </c>
      <c r="AD374" s="81">
        <f t="shared" si="109"/>
        <v>309133698838927.37</v>
      </c>
      <c r="AE374" s="80">
        <f t="shared" si="97"/>
        <v>1061.3173903276324</v>
      </c>
      <c r="AF374" s="52">
        <f t="shared" si="103"/>
        <v>-2.575808879749477E-2</v>
      </c>
      <c r="AG374" s="48">
        <f t="shared" si="98"/>
        <v>-2.7382256297918947E-2</v>
      </c>
      <c r="AH374" s="48">
        <f t="shared" si="104"/>
        <v>-9.6153846153846159E-3</v>
      </c>
      <c r="AI374" s="48">
        <f t="shared" si="105"/>
        <v>-4.3967828418230562E-2</v>
      </c>
      <c r="AJ374" s="48" t="e">
        <f t="shared" si="106"/>
        <v>#DIV/0!</v>
      </c>
    </row>
    <row r="375" spans="1:36" x14ac:dyDescent="0.3">
      <c r="A375" s="48">
        <v>20190709</v>
      </c>
      <c r="B375" s="48" t="s">
        <v>88</v>
      </c>
      <c r="C375" s="49">
        <v>44400</v>
      </c>
      <c r="D375" s="49">
        <v>45100</v>
      </c>
      <c r="E375" s="49">
        <v>5969782550</v>
      </c>
      <c r="F375" s="49">
        <f t="shared" si="99"/>
        <v>0.165928896677941</v>
      </c>
      <c r="G375" s="49">
        <f t="shared" si="92"/>
        <v>0.165928896677941</v>
      </c>
      <c r="H375" s="48">
        <v>206000</v>
      </c>
      <c r="I375" s="48">
        <v>192500</v>
      </c>
      <c r="J375" s="51">
        <v>128329070</v>
      </c>
      <c r="K375" s="48">
        <f t="shared" si="100"/>
        <v>1.76539349657307</v>
      </c>
      <c r="L375" s="48">
        <f t="shared" si="93"/>
        <v>1.76539349657307</v>
      </c>
      <c r="M375" s="49">
        <v>178300</v>
      </c>
      <c r="N375" s="49">
        <v>172000</v>
      </c>
      <c r="O375" s="49">
        <v>15956260</v>
      </c>
      <c r="P375" s="49">
        <f t="shared" si="101"/>
        <v>34.611443842321897</v>
      </c>
      <c r="Q375" s="49">
        <f t="shared" si="94"/>
        <v>34.611443842321897</v>
      </c>
      <c r="R375" s="48">
        <v>10445</v>
      </c>
      <c r="S375" s="48">
        <v>10420</v>
      </c>
      <c r="T375" s="48">
        <v>67900000</v>
      </c>
      <c r="U375" s="48">
        <f t="shared" si="95"/>
        <v>169.22034740693701</v>
      </c>
      <c r="V375" s="48">
        <f t="shared" si="96"/>
        <v>169.22034740693701</v>
      </c>
      <c r="W375" s="49">
        <v>0</v>
      </c>
      <c r="X375" s="49">
        <v>0</v>
      </c>
      <c r="Y375" s="49">
        <v>0</v>
      </c>
      <c r="Z375" s="49">
        <f t="shared" si="102"/>
        <v>0</v>
      </c>
      <c r="AA375" s="49">
        <v>0</v>
      </c>
      <c r="AB375" s="82">
        <f t="shared" si="107"/>
        <v>0</v>
      </c>
      <c r="AC375" s="82">
        <f t="shared" si="108"/>
        <v>291273564021688.81</v>
      </c>
      <c r="AD375" s="81">
        <f t="shared" si="109"/>
        <v>303002100335346.06</v>
      </c>
      <c r="AE375" s="80">
        <f t="shared" si="97"/>
        <v>1040.2663947655199</v>
      </c>
      <c r="AF375" s="52">
        <f t="shared" si="103"/>
        <v>-1.9834778694820084E-2</v>
      </c>
      <c r="AG375" s="48">
        <f t="shared" si="98"/>
        <v>1.5765765765765764E-2</v>
      </c>
      <c r="AH375" s="48">
        <f t="shared" si="104"/>
        <v>-6.553398058252427E-2</v>
      </c>
      <c r="AI375" s="48">
        <f t="shared" si="105"/>
        <v>-3.5333707234997194E-2</v>
      </c>
      <c r="AJ375" s="48" t="e">
        <f t="shared" si="106"/>
        <v>#DIV/0!</v>
      </c>
    </row>
    <row r="376" spans="1:36" x14ac:dyDescent="0.3">
      <c r="A376" s="48">
        <v>20190710</v>
      </c>
      <c r="B376" s="48" t="s">
        <v>88</v>
      </c>
      <c r="C376" s="49">
        <v>45100</v>
      </c>
      <c r="D376" s="49">
        <v>45550</v>
      </c>
      <c r="E376" s="49">
        <v>5969782550</v>
      </c>
      <c r="F376" s="49">
        <f t="shared" si="99"/>
        <v>0.165928896677941</v>
      </c>
      <c r="G376" s="49">
        <f t="shared" si="92"/>
        <v>0.165928896677941</v>
      </c>
      <c r="H376" s="48">
        <v>192500</v>
      </c>
      <c r="I376" s="48">
        <v>189000</v>
      </c>
      <c r="J376" s="51">
        <v>128329070</v>
      </c>
      <c r="K376" s="48">
        <f t="shared" si="100"/>
        <v>1.76539349657307</v>
      </c>
      <c r="L376" s="48">
        <f t="shared" si="93"/>
        <v>1.76539349657307</v>
      </c>
      <c r="M376" s="49">
        <v>172000</v>
      </c>
      <c r="N376" s="49">
        <v>173700</v>
      </c>
      <c r="O376" s="49">
        <v>15956260</v>
      </c>
      <c r="P376" s="49">
        <f t="shared" si="101"/>
        <v>34.611443842321897</v>
      </c>
      <c r="Q376" s="49">
        <f t="shared" si="94"/>
        <v>34.611443842321897</v>
      </c>
      <c r="R376" s="48">
        <v>10420</v>
      </c>
      <c r="S376" s="48">
        <v>10460</v>
      </c>
      <c r="T376" s="48">
        <v>67900000</v>
      </c>
      <c r="U376" s="48">
        <f t="shared" si="95"/>
        <v>169.22034740693701</v>
      </c>
      <c r="V376" s="48">
        <f t="shared" si="96"/>
        <v>169.22034740693701</v>
      </c>
      <c r="W376" s="49">
        <v>0</v>
      </c>
      <c r="X376" s="49">
        <v>0</v>
      </c>
      <c r="Y376" s="49">
        <v>0</v>
      </c>
      <c r="Z376" s="49">
        <f t="shared" si="102"/>
        <v>0</v>
      </c>
      <c r="AA376" s="49">
        <v>0</v>
      </c>
      <c r="AB376" s="82">
        <f t="shared" ref="AB376:AB381" si="110">IF(AD375&lt;&gt;(C376*E376*F376+H376*J376*K376+M376*O376*P376+R376*T376*U376),1,0)</f>
        <v>0</v>
      </c>
      <c r="AC376" s="82">
        <f t="shared" ref="AC376:AC381" si="111">IF(AND(AB376=0,B376="N"),AC375,AC375*(C376*E376*G376+H376*J376*L376+M376*O376*Q376+R376*T376*V376)/AD375)</f>
        <v>291273564021688.81</v>
      </c>
      <c r="AD376" s="81">
        <f t="shared" ref="AD376:AD381" si="112">D376*E376*G376+I376*J376*L376+N376*O376*Q376+S376*T376*V376</f>
        <v>304053382608443.75</v>
      </c>
      <c r="AE376" s="80">
        <f t="shared" si="97"/>
        <v>1043.8756556218173</v>
      </c>
      <c r="AF376" s="52">
        <f t="shared" si="103"/>
        <v>3.4695544088117333E-3</v>
      </c>
      <c r="AG376" s="48">
        <f t="shared" si="98"/>
        <v>9.9778270509977823E-3</v>
      </c>
      <c r="AH376" s="48">
        <f t="shared" si="104"/>
        <v>-1.8181818181818181E-2</v>
      </c>
      <c r="AI376" s="48">
        <f t="shared" si="105"/>
        <v>9.883720930232558E-3</v>
      </c>
      <c r="AJ376" s="48" t="e">
        <f t="shared" si="106"/>
        <v>#DIV/0!</v>
      </c>
    </row>
    <row r="377" spans="1:36" x14ac:dyDescent="0.3">
      <c r="A377" s="48">
        <v>20190711</v>
      </c>
      <c r="B377" s="48" t="s">
        <v>88</v>
      </c>
      <c r="C377" s="49">
        <v>45550</v>
      </c>
      <c r="D377" s="49">
        <v>46200</v>
      </c>
      <c r="E377" s="49">
        <v>5969782550</v>
      </c>
      <c r="F377" s="49">
        <f t="shared" si="99"/>
        <v>0.165928896677941</v>
      </c>
      <c r="G377" s="49">
        <f t="shared" ref="G377:G381" si="113">IF(B377="Y",ROUND(0.15*(C377*E377+H377*J377+M377*O377+R377*T377)/(C377*E377),17),IF(AB377=0,F377,ROUND(D376*E376*G376/AD376*(C377*E377+H377*J377+M377*O377+R377*T377)/(C377*E377),17)))</f>
        <v>0.165928896677941</v>
      </c>
      <c r="H377" s="48">
        <v>189000</v>
      </c>
      <c r="I377" s="48">
        <v>191500</v>
      </c>
      <c r="J377" s="51">
        <v>128329070</v>
      </c>
      <c r="K377" s="48">
        <f t="shared" si="100"/>
        <v>1.76539349657307</v>
      </c>
      <c r="L377" s="48">
        <f t="shared" ref="L377:L381" si="114">IF(B377="Y",ROUND(0.15*(C377*E377+H377*J377+M377*O377+R377*T377)/(H377*J377),17),IF(AB377=0,K377,ROUND(I376*J376*L376/AD376*(C377*E377+H377*J377+M377*O377+R377*T377)/(H377*J377),17)))</f>
        <v>1.76539349657307</v>
      </c>
      <c r="M377" s="49">
        <v>173700</v>
      </c>
      <c r="N377" s="49">
        <v>172700</v>
      </c>
      <c r="O377" s="49">
        <v>15956260</v>
      </c>
      <c r="P377" s="49">
        <f t="shared" si="101"/>
        <v>34.611443842321897</v>
      </c>
      <c r="Q377" s="49">
        <f t="shared" ref="Q377:Q381" si="115">IF(B377="Y",ROUND(0.3*(C377*E377+H377*J377+M377*O377+R377*T377)/(M377*O377),17),IF(AB377=0,P377,ROUND(N376*O376*Q376/AD376*(C377*E377+H377*J377+M377*O377+R377*T377)/(M377*O377),17)))</f>
        <v>34.611443842321897</v>
      </c>
      <c r="R377" s="48">
        <v>10460</v>
      </c>
      <c r="S377" s="48">
        <v>10565</v>
      </c>
      <c r="T377" s="48">
        <v>67900000</v>
      </c>
      <c r="U377" s="48">
        <f t="shared" si="95"/>
        <v>169.22034740693701</v>
      </c>
      <c r="V377" s="48">
        <f t="shared" si="96"/>
        <v>169.22034740693701</v>
      </c>
      <c r="W377" s="49">
        <v>0</v>
      </c>
      <c r="X377" s="49">
        <v>0</v>
      </c>
      <c r="Y377" s="49">
        <v>0</v>
      </c>
      <c r="Z377" s="49">
        <f t="shared" si="102"/>
        <v>0</v>
      </c>
      <c r="AA377" s="49">
        <v>0</v>
      </c>
      <c r="AB377" s="82">
        <f t="shared" si="110"/>
        <v>0</v>
      </c>
      <c r="AC377" s="82">
        <f t="shared" si="111"/>
        <v>291273564021688.81</v>
      </c>
      <c r="AD377" s="81">
        <f t="shared" si="112"/>
        <v>305917811773109.87</v>
      </c>
      <c r="AE377" s="80">
        <f t="shared" si="97"/>
        <v>1050.2766112695715</v>
      </c>
      <c r="AF377" s="52">
        <f t="shared" si="103"/>
        <v>6.1319139049576888E-3</v>
      </c>
      <c r="AG377" s="48">
        <f t="shared" si="98"/>
        <v>1.4270032930845226E-2</v>
      </c>
      <c r="AH377" s="48">
        <f t="shared" si="104"/>
        <v>1.3227513227513227E-2</v>
      </c>
      <c r="AI377" s="48">
        <f t="shared" si="105"/>
        <v>-5.7570523891767415E-3</v>
      </c>
      <c r="AJ377" s="48" t="e">
        <f t="shared" si="106"/>
        <v>#DIV/0!</v>
      </c>
    </row>
    <row r="378" spans="1:36" x14ac:dyDescent="0.3">
      <c r="A378" s="48">
        <v>20190712</v>
      </c>
      <c r="B378" s="48" t="s">
        <v>88</v>
      </c>
      <c r="C378" s="49">
        <v>46200</v>
      </c>
      <c r="D378" s="49">
        <v>46300</v>
      </c>
      <c r="E378" s="49">
        <v>5969782550</v>
      </c>
      <c r="F378" s="49">
        <f t="shared" si="99"/>
        <v>0.165928896677941</v>
      </c>
      <c r="G378" s="49">
        <f t="shared" si="113"/>
        <v>0.165928896677941</v>
      </c>
      <c r="H378" s="48">
        <v>191500</v>
      </c>
      <c r="I378" s="48">
        <v>188500</v>
      </c>
      <c r="J378" s="51">
        <v>128329070</v>
      </c>
      <c r="K378" s="48">
        <f t="shared" si="100"/>
        <v>1.76539349657307</v>
      </c>
      <c r="L378" s="48">
        <f t="shared" si="114"/>
        <v>1.76539349657307</v>
      </c>
      <c r="M378" s="49">
        <v>172700</v>
      </c>
      <c r="N378" s="49">
        <v>169800</v>
      </c>
      <c r="O378" s="49">
        <v>15956260</v>
      </c>
      <c r="P378" s="49">
        <f t="shared" si="101"/>
        <v>34.611443842321897</v>
      </c>
      <c r="Q378" s="49">
        <f t="shared" si="115"/>
        <v>34.611443842321897</v>
      </c>
      <c r="R378" s="48">
        <v>10565</v>
      </c>
      <c r="S378" s="48">
        <v>10580</v>
      </c>
      <c r="T378" s="48">
        <v>67900000</v>
      </c>
      <c r="U378" s="48">
        <f t="shared" ref="U378:U381" si="116">V377</f>
        <v>169.22034740693701</v>
      </c>
      <c r="V378" s="48">
        <f t="shared" ref="V378:V381" si="117">IF(B378="Y",ROUND(0.4*(C378*E378+H378*J378+M378*O378+R378*T378)/(R378*T378),17),IF(AB378=0,U378,ROUND(S377*T377*V377/AD377*(C378*E378+H378*J378+M378*O378+R378*T378)/(R378*T378),17)))</f>
        <v>169.22034740693701</v>
      </c>
      <c r="W378" s="49">
        <v>0</v>
      </c>
      <c r="X378" s="49">
        <v>0</v>
      </c>
      <c r="Y378" s="49">
        <v>0</v>
      </c>
      <c r="Z378" s="49">
        <f t="shared" si="102"/>
        <v>0</v>
      </c>
      <c r="AA378" s="49">
        <v>0</v>
      </c>
      <c r="AB378" s="82">
        <f t="shared" si="110"/>
        <v>0</v>
      </c>
      <c r="AC378" s="82">
        <f t="shared" si="111"/>
        <v>291273564021688.81</v>
      </c>
      <c r="AD378" s="81">
        <f t="shared" si="112"/>
        <v>303907984052260.75</v>
      </c>
      <c r="AE378" s="80">
        <f t="shared" si="97"/>
        <v>1043.3764734984022</v>
      </c>
      <c r="AF378" s="52">
        <f t="shared" si="103"/>
        <v>-6.5698290308763676E-3</v>
      </c>
      <c r="AG378" s="48">
        <f t="shared" si="98"/>
        <v>2.1645021645021645E-3</v>
      </c>
      <c r="AH378" s="48">
        <f t="shared" si="104"/>
        <v>-1.5665796344647518E-2</v>
      </c>
      <c r="AI378" s="48">
        <f t="shared" si="105"/>
        <v>-1.679212507237985E-2</v>
      </c>
      <c r="AJ378" s="48" t="e">
        <f t="shared" si="106"/>
        <v>#DIV/0!</v>
      </c>
    </row>
    <row r="379" spans="1:36" x14ac:dyDescent="0.3">
      <c r="A379" s="48">
        <v>20190715</v>
      </c>
      <c r="B379" s="48" t="s">
        <v>88</v>
      </c>
      <c r="C379" s="49">
        <v>46300</v>
      </c>
      <c r="D379" s="49">
        <v>46450</v>
      </c>
      <c r="E379" s="49">
        <v>5969782550</v>
      </c>
      <c r="F379" s="49">
        <f t="shared" si="99"/>
        <v>0.165928896677941</v>
      </c>
      <c r="G379" s="49">
        <f t="shared" si="113"/>
        <v>0.165928896677941</v>
      </c>
      <c r="H379" s="48">
        <v>188500</v>
      </c>
      <c r="I379" s="48">
        <v>183500</v>
      </c>
      <c r="J379" s="51">
        <v>128329070</v>
      </c>
      <c r="K379" s="48">
        <f t="shared" si="100"/>
        <v>1.76539349657307</v>
      </c>
      <c r="L379" s="48">
        <f t="shared" si="114"/>
        <v>1.76539349657307</v>
      </c>
      <c r="M379" s="49">
        <v>169800</v>
      </c>
      <c r="N379" s="49">
        <v>171600</v>
      </c>
      <c r="O379" s="49">
        <v>15956260</v>
      </c>
      <c r="P379" s="49">
        <f t="shared" si="101"/>
        <v>34.611443842321897</v>
      </c>
      <c r="Q379" s="49">
        <f t="shared" si="115"/>
        <v>34.611443842321897</v>
      </c>
      <c r="R379" s="48">
        <v>10580</v>
      </c>
      <c r="S379" s="48">
        <v>10590</v>
      </c>
      <c r="T379" s="48">
        <v>67900000</v>
      </c>
      <c r="U379" s="48">
        <f t="shared" si="116"/>
        <v>169.22034740693701</v>
      </c>
      <c r="V379" s="48">
        <f t="shared" si="117"/>
        <v>169.22034740693701</v>
      </c>
      <c r="W379" s="49">
        <v>0</v>
      </c>
      <c r="X379" s="49">
        <v>0</v>
      </c>
      <c r="Y379" s="49">
        <v>0</v>
      </c>
      <c r="Z379" s="49">
        <f t="shared" si="102"/>
        <v>0</v>
      </c>
      <c r="AA379" s="49">
        <v>0</v>
      </c>
      <c r="AB379" s="82">
        <f t="shared" si="110"/>
        <v>0</v>
      </c>
      <c r="AC379" s="82">
        <f t="shared" si="111"/>
        <v>291273564021688.81</v>
      </c>
      <c r="AD379" s="81">
        <f t="shared" si="112"/>
        <v>304032796609405.31</v>
      </c>
      <c r="AE379" s="80">
        <f t="shared" si="97"/>
        <v>1043.8049797981887</v>
      </c>
      <c r="AF379" s="52">
        <f t="shared" si="103"/>
        <v>4.1069193207865946E-4</v>
      </c>
      <c r="AG379" s="48">
        <f t="shared" si="98"/>
        <v>3.2397408207343412E-3</v>
      </c>
      <c r="AH379" s="48">
        <f t="shared" si="104"/>
        <v>-2.6525198938992044E-2</v>
      </c>
      <c r="AI379" s="48">
        <f t="shared" si="105"/>
        <v>1.0600706713780919E-2</v>
      </c>
      <c r="AJ379" s="48" t="e">
        <f t="shared" si="106"/>
        <v>#DIV/0!</v>
      </c>
    </row>
    <row r="380" spans="1:36" x14ac:dyDescent="0.3">
      <c r="A380" s="48">
        <v>20190716</v>
      </c>
      <c r="B380" s="48" t="s">
        <v>88</v>
      </c>
      <c r="C380" s="49">
        <v>46450</v>
      </c>
      <c r="D380" s="49">
        <v>46850</v>
      </c>
      <c r="E380" s="49">
        <v>5969782550</v>
      </c>
      <c r="F380" s="49">
        <f t="shared" si="99"/>
        <v>0.165928896677941</v>
      </c>
      <c r="G380" s="49">
        <f t="shared" si="113"/>
        <v>0.165928896677941</v>
      </c>
      <c r="H380" s="48">
        <v>183500</v>
      </c>
      <c r="I380" s="48">
        <v>188500</v>
      </c>
      <c r="J380" s="51">
        <v>128329070</v>
      </c>
      <c r="K380" s="48">
        <f t="shared" si="100"/>
        <v>1.76539349657307</v>
      </c>
      <c r="L380" s="48">
        <f t="shared" si="114"/>
        <v>1.76539349657307</v>
      </c>
      <c r="M380" s="49">
        <v>171600</v>
      </c>
      <c r="N380" s="49">
        <v>176000</v>
      </c>
      <c r="O380" s="49">
        <v>15956260</v>
      </c>
      <c r="P380" s="49">
        <f t="shared" si="101"/>
        <v>34.611443842321897</v>
      </c>
      <c r="Q380" s="49">
        <f t="shared" si="115"/>
        <v>34.611443842321897</v>
      </c>
      <c r="R380" s="48">
        <v>10590</v>
      </c>
      <c r="S380" s="48">
        <v>10635</v>
      </c>
      <c r="T380" s="48">
        <v>67900000</v>
      </c>
      <c r="U380" s="48">
        <f t="shared" si="116"/>
        <v>169.22034740693701</v>
      </c>
      <c r="V380" s="48">
        <f t="shared" si="117"/>
        <v>169.22034740693701</v>
      </c>
      <c r="W380" s="49">
        <v>0</v>
      </c>
      <c r="X380" s="49">
        <v>0</v>
      </c>
      <c r="Y380" s="49">
        <v>0</v>
      </c>
      <c r="Z380" s="49">
        <f t="shared" si="102"/>
        <v>0</v>
      </c>
      <c r="AA380" s="49">
        <v>0</v>
      </c>
      <c r="AB380" s="82">
        <f t="shared" si="110"/>
        <v>0</v>
      </c>
      <c r="AC380" s="82">
        <f t="shared" si="111"/>
        <v>291273564021688.81</v>
      </c>
      <c r="AD380" s="81">
        <f t="shared" si="112"/>
        <v>308508814148138.37</v>
      </c>
      <c r="AE380" s="80">
        <f t="shared" si="97"/>
        <v>1059.1720370653554</v>
      </c>
      <c r="AF380" s="52">
        <f t="shared" si="103"/>
        <v>1.4722153625036188E-2</v>
      </c>
      <c r="AG380" s="48">
        <f t="shared" si="98"/>
        <v>8.6114101184068884E-3</v>
      </c>
      <c r="AH380" s="48">
        <f t="shared" si="104"/>
        <v>2.7247956403269755E-2</v>
      </c>
      <c r="AI380" s="48">
        <f t="shared" si="105"/>
        <v>2.564102564102564E-2</v>
      </c>
      <c r="AJ380" s="48" t="e">
        <f t="shared" si="106"/>
        <v>#DIV/0!</v>
      </c>
    </row>
    <row r="381" spans="1:36" x14ac:dyDescent="0.3">
      <c r="A381" s="48">
        <v>20190717</v>
      </c>
      <c r="B381" s="48" t="s">
        <v>88</v>
      </c>
      <c r="C381" s="49">
        <v>46850</v>
      </c>
      <c r="D381" s="49">
        <v>46050</v>
      </c>
      <c r="E381" s="49">
        <v>5969782550</v>
      </c>
      <c r="F381" s="49">
        <f t="shared" si="99"/>
        <v>0.165928896677941</v>
      </c>
      <c r="G381" s="49">
        <f t="shared" si="113"/>
        <v>0.165928896677941</v>
      </c>
      <c r="H381" s="48">
        <v>188500</v>
      </c>
      <c r="I381" s="48">
        <v>184500</v>
      </c>
      <c r="J381" s="51">
        <v>128329070</v>
      </c>
      <c r="K381" s="48">
        <f t="shared" si="100"/>
        <v>1.76539349657307</v>
      </c>
      <c r="L381" s="48">
        <f t="shared" si="114"/>
        <v>1.76539349657307</v>
      </c>
      <c r="M381" s="49">
        <v>176000</v>
      </c>
      <c r="N381" s="49">
        <v>178400</v>
      </c>
      <c r="O381" s="49">
        <v>15956260</v>
      </c>
      <c r="P381" s="49">
        <f t="shared" si="101"/>
        <v>34.611443842321897</v>
      </c>
      <c r="Q381" s="49">
        <f t="shared" si="115"/>
        <v>34.611443842321897</v>
      </c>
      <c r="R381" s="48">
        <v>10635</v>
      </c>
      <c r="S381" s="48">
        <v>10575</v>
      </c>
      <c r="T381" s="48">
        <v>67900000</v>
      </c>
      <c r="U381" s="48">
        <f t="shared" si="116"/>
        <v>169.22034740693701</v>
      </c>
      <c r="V381" s="48">
        <f t="shared" si="117"/>
        <v>169.22034740693701</v>
      </c>
      <c r="W381" s="49">
        <v>0</v>
      </c>
      <c r="X381" s="49">
        <v>0</v>
      </c>
      <c r="Y381" s="49">
        <v>0</v>
      </c>
      <c r="Z381" s="49">
        <f t="shared" si="102"/>
        <v>0</v>
      </c>
      <c r="AA381" s="49">
        <v>0</v>
      </c>
      <c r="AB381" s="82">
        <f t="shared" si="110"/>
        <v>0</v>
      </c>
      <c r="AC381" s="82">
        <f t="shared" si="111"/>
        <v>291273564021688.81</v>
      </c>
      <c r="AD381" s="81">
        <f t="shared" si="112"/>
        <v>307446203757478.81</v>
      </c>
      <c r="AE381" s="80">
        <f t="shared" si="97"/>
        <v>1055.5238845314013</v>
      </c>
      <c r="AF381" s="52">
        <f t="shared" si="103"/>
        <v>-3.4443437008231581E-3</v>
      </c>
      <c r="AG381" s="48">
        <f t="shared" si="98"/>
        <v>-1.7075773745997867E-2</v>
      </c>
      <c r="AH381" s="48">
        <f t="shared" si="104"/>
        <v>-2.1220159151193633E-2</v>
      </c>
      <c r="AI381" s="48">
        <f t="shared" si="105"/>
        <v>1.3636363636363636E-2</v>
      </c>
      <c r="AJ381" s="48" t="e">
        <f t="shared" si="106"/>
        <v>#DIV/0!</v>
      </c>
    </row>
    <row r="382" spans="1:36" ht="16.5" x14ac:dyDescent="0.3">
      <c r="R382" s="8"/>
      <c r="S382" s="8"/>
      <c r="T382" s="8"/>
      <c r="W382" s="8"/>
      <c r="X382" s="8"/>
      <c r="Y382" s="8"/>
    </row>
    <row r="383" spans="1:36" ht="16.5" x14ac:dyDescent="0.3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6"/>
  <sheetViews>
    <sheetView topLeftCell="A7" workbookViewId="0">
      <selection activeCell="H50" sqref="H50"/>
    </sheetView>
  </sheetViews>
  <sheetFormatPr defaultColWidth="8.875" defaultRowHeight="16.5" x14ac:dyDescent="0.3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4" s="34" customFormat="1" ht="20.25" x14ac:dyDescent="0.3">
      <c r="A1" s="33" t="s">
        <v>137</v>
      </c>
      <c r="B1" s="33" t="s">
        <v>146</v>
      </c>
    </row>
    <row r="2" spans="1:4" x14ac:dyDescent="0.3">
      <c r="A2" s="55"/>
    </row>
    <row r="3" spans="1:4" x14ac:dyDescent="0.3">
      <c r="A3" s="24" t="s">
        <v>97</v>
      </c>
    </row>
    <row r="4" spans="1:4" x14ac:dyDescent="0.3">
      <c r="A4" s="25" t="s">
        <v>49</v>
      </c>
      <c r="B4" s="20">
        <v>2018</v>
      </c>
      <c r="C4" s="20"/>
    </row>
    <row r="5" spans="1:4" x14ac:dyDescent="0.3">
      <c r="A5" s="25" t="s">
        <v>50</v>
      </c>
      <c r="B5" s="20" t="s">
        <v>51</v>
      </c>
      <c r="C5" s="20" t="s">
        <v>52</v>
      </c>
    </row>
    <row r="8" spans="1:4" s="36" customFormat="1" ht="19.5" x14ac:dyDescent="0.3">
      <c r="A8" s="35" t="s">
        <v>64</v>
      </c>
      <c r="B8" s="35" t="s">
        <v>65</v>
      </c>
    </row>
    <row r="9" spans="1:4" s="30" customFormat="1" x14ac:dyDescent="0.3">
      <c r="A9" s="29"/>
      <c r="B9" s="29"/>
    </row>
    <row r="10" spans="1:4" x14ac:dyDescent="0.3">
      <c r="B10" s="27" t="s">
        <v>1</v>
      </c>
      <c r="C10" s="27" t="s">
        <v>55</v>
      </c>
      <c r="D10" s="27" t="s">
        <v>56</v>
      </c>
    </row>
    <row r="11" spans="1:4" x14ac:dyDescent="0.3">
      <c r="A11" s="15"/>
      <c r="B11" s="21" t="s">
        <v>5</v>
      </c>
      <c r="C11" s="20" t="s">
        <v>54</v>
      </c>
      <c r="D11" s="26">
        <v>0.3</v>
      </c>
    </row>
    <row r="12" spans="1:4" x14ac:dyDescent="0.3">
      <c r="A12" s="15"/>
      <c r="B12" s="21" t="s">
        <v>57</v>
      </c>
      <c r="C12" s="20" t="s">
        <v>58</v>
      </c>
      <c r="D12" s="26">
        <v>0.3</v>
      </c>
    </row>
    <row r="13" spans="1:4" x14ac:dyDescent="0.3">
      <c r="A13" s="15"/>
      <c r="B13" s="21" t="s">
        <v>59</v>
      </c>
      <c r="C13" s="20" t="s">
        <v>60</v>
      </c>
      <c r="D13" s="26">
        <v>0.4</v>
      </c>
    </row>
    <row r="14" spans="1:4" x14ac:dyDescent="0.3">
      <c r="B14" s="20" t="s">
        <v>63</v>
      </c>
      <c r="C14" s="20"/>
      <c r="D14" s="26">
        <f>SUM(D11:D13)</f>
        <v>1</v>
      </c>
    </row>
    <row r="15" spans="1:4" x14ac:dyDescent="0.3">
      <c r="B15" s="31"/>
      <c r="C15" s="31"/>
      <c r="D15" s="32"/>
    </row>
    <row r="17" spans="1:9" s="36" customFormat="1" ht="19.5" x14ac:dyDescent="0.3">
      <c r="A17" s="35" t="s">
        <v>66</v>
      </c>
      <c r="B17" s="35" t="s">
        <v>67</v>
      </c>
    </row>
    <row r="18" spans="1:9" x14ac:dyDescent="0.3">
      <c r="A18" s="24"/>
      <c r="B18" s="24"/>
    </row>
    <row r="19" spans="1:9" ht="17.25" thickBot="1" x14ac:dyDescent="0.35">
      <c r="A19" s="24" t="s">
        <v>96</v>
      </c>
    </row>
    <row r="20" spans="1:9" ht="32.25" customHeight="1" x14ac:dyDescent="0.3">
      <c r="A20" s="106" t="s">
        <v>119</v>
      </c>
      <c r="B20" s="91"/>
      <c r="C20" s="92"/>
    </row>
    <row r="21" spans="1:9" ht="10.5" customHeight="1" thickBot="1" x14ac:dyDescent="0.35">
      <c r="A21" s="93"/>
      <c r="B21" s="94"/>
      <c r="C21" s="95"/>
    </row>
    <row r="23" spans="1:9" x14ac:dyDescent="0.3">
      <c r="A23" s="25" t="s">
        <v>68</v>
      </c>
      <c r="B23" s="25" t="s">
        <v>1</v>
      </c>
      <c r="C23" s="25" t="s">
        <v>70</v>
      </c>
      <c r="D23" s="25" t="s">
        <v>56</v>
      </c>
      <c r="E23" s="25" t="s">
        <v>138</v>
      </c>
      <c r="F23" s="110" t="s">
        <v>120</v>
      </c>
      <c r="G23" s="110" t="s">
        <v>71</v>
      </c>
      <c r="H23" s="110" t="s">
        <v>121</v>
      </c>
      <c r="I23" s="110" t="s">
        <v>72</v>
      </c>
    </row>
    <row r="24" spans="1:9" x14ac:dyDescent="0.3">
      <c r="A24" s="56" t="s">
        <v>77</v>
      </c>
      <c r="B24" s="57" t="s">
        <v>5</v>
      </c>
      <c r="C24" s="56" t="s">
        <v>54</v>
      </c>
      <c r="D24" s="56">
        <v>0.3</v>
      </c>
      <c r="E24" s="56"/>
      <c r="F24" s="111">
        <v>2548000</v>
      </c>
      <c r="G24" s="111">
        <v>129098494</v>
      </c>
      <c r="H24" s="112">
        <f>F24*G24</f>
        <v>328942962712000</v>
      </c>
      <c r="I24" s="111">
        <f>D24*SUM($H$24:$H$26)/H24</f>
        <v>0.32711157280214603</v>
      </c>
    </row>
    <row r="25" spans="1:9" x14ac:dyDescent="0.3">
      <c r="A25" s="56" t="s">
        <v>77</v>
      </c>
      <c r="B25" s="57" t="s">
        <v>57</v>
      </c>
      <c r="C25" s="56" t="s">
        <v>58</v>
      </c>
      <c r="D25" s="56">
        <v>0.3</v>
      </c>
      <c r="E25" s="56"/>
      <c r="F25" s="111">
        <v>221100</v>
      </c>
      <c r="G25" s="112">
        <v>122666424</v>
      </c>
      <c r="H25" s="112">
        <f t="shared" ref="H25:H38" si="0">F25*G25</f>
        <v>27121546346400</v>
      </c>
      <c r="I25" s="111">
        <f>D25*SUM($H$24:$H$26)/H25</f>
        <v>3.9673641215226105</v>
      </c>
    </row>
    <row r="26" spans="1:9" x14ac:dyDescent="0.3">
      <c r="A26" s="56" t="s">
        <v>77</v>
      </c>
      <c r="B26" s="57" t="s">
        <v>59</v>
      </c>
      <c r="C26" s="56" t="s">
        <v>60</v>
      </c>
      <c r="D26" s="56">
        <v>0.4</v>
      </c>
      <c r="E26" s="56"/>
      <c r="F26" s="111">
        <v>163300</v>
      </c>
      <c r="G26" s="111">
        <v>15956260</v>
      </c>
      <c r="H26" s="112">
        <f t="shared" si="0"/>
        <v>2605657258000</v>
      </c>
      <c r="I26" s="113">
        <f>D26*SUM($H$24:$H$26)/H26</f>
        <v>55.060221787066673</v>
      </c>
    </row>
    <row r="27" spans="1:9" ht="3" customHeight="1" x14ac:dyDescent="0.3">
      <c r="A27" s="62"/>
      <c r="B27" s="62"/>
      <c r="C27" s="62"/>
      <c r="D27" s="62"/>
      <c r="E27" s="62"/>
      <c r="F27" s="114"/>
      <c r="G27" s="114"/>
      <c r="H27" s="115"/>
      <c r="I27" s="114"/>
    </row>
    <row r="28" spans="1:9" x14ac:dyDescent="0.3">
      <c r="A28" s="56" t="s">
        <v>78</v>
      </c>
      <c r="B28" s="57" t="s">
        <v>5</v>
      </c>
      <c r="C28" s="56" t="s">
        <v>54</v>
      </c>
      <c r="D28" s="56">
        <v>0.2</v>
      </c>
      <c r="E28" s="56"/>
      <c r="F28" s="111">
        <v>46650</v>
      </c>
      <c r="G28" s="111">
        <v>6419324700</v>
      </c>
      <c r="H28" s="112">
        <f t="shared" si="0"/>
        <v>299461497255000</v>
      </c>
      <c r="I28" s="111">
        <f>D28*SUM($H$28:$H$30)/H28</f>
        <v>0.22792809880389509</v>
      </c>
    </row>
    <row r="29" spans="1:9" x14ac:dyDescent="0.3">
      <c r="A29" s="56" t="s">
        <v>78</v>
      </c>
      <c r="B29" s="57" t="s">
        <v>57</v>
      </c>
      <c r="C29" s="56" t="s">
        <v>58</v>
      </c>
      <c r="D29" s="56">
        <v>0.3</v>
      </c>
      <c r="E29" s="56"/>
      <c r="F29" s="111">
        <v>303500</v>
      </c>
      <c r="G29" s="112">
        <v>125395903</v>
      </c>
      <c r="H29" s="112">
        <f t="shared" si="0"/>
        <v>38057656560500</v>
      </c>
      <c r="I29" s="111">
        <f>D29*SUM($H$28:$H$30)/H29</f>
        <v>2.6902217281479639</v>
      </c>
    </row>
    <row r="30" spans="1:9" x14ac:dyDescent="0.3">
      <c r="A30" s="56" t="s">
        <v>78</v>
      </c>
      <c r="B30" s="57" t="s">
        <v>59</v>
      </c>
      <c r="C30" s="56" t="s">
        <v>60</v>
      </c>
      <c r="D30" s="56">
        <v>0.5</v>
      </c>
      <c r="E30" s="56"/>
      <c r="F30" s="111">
        <v>235600</v>
      </c>
      <c r="G30" s="111">
        <v>15956260</v>
      </c>
      <c r="H30" s="112">
        <f t="shared" si="0"/>
        <v>3759294856000</v>
      </c>
      <c r="I30" s="111">
        <f>D30*SUM($H$28:$H$30)/H30</f>
        <v>45.39128503405427</v>
      </c>
    </row>
    <row r="31" spans="1:9" ht="3" customHeight="1" x14ac:dyDescent="0.3">
      <c r="A31" s="62"/>
      <c r="B31" s="62"/>
      <c r="C31" s="62"/>
      <c r="D31" s="62"/>
      <c r="E31" s="62"/>
      <c r="F31" s="114"/>
      <c r="G31" s="114"/>
      <c r="H31" s="115"/>
      <c r="I31" s="114"/>
    </row>
    <row r="32" spans="1:9" x14ac:dyDescent="0.3">
      <c r="A32" s="56" t="s">
        <v>82</v>
      </c>
      <c r="B32" s="57" t="s">
        <v>5</v>
      </c>
      <c r="C32" s="56" t="s">
        <v>54</v>
      </c>
      <c r="D32" s="56">
        <v>0.25</v>
      </c>
      <c r="E32" s="56"/>
      <c r="F32" s="111">
        <v>38700</v>
      </c>
      <c r="G32" s="111">
        <v>5969782550</v>
      </c>
      <c r="H32" s="112">
        <f t="shared" si="0"/>
        <v>231030584685000</v>
      </c>
      <c r="I32" s="111">
        <f>D32*SUM($H$32:$H$34)/H32</f>
        <v>0.28459161010660711</v>
      </c>
    </row>
    <row r="33" spans="1:9" x14ac:dyDescent="0.3">
      <c r="A33" s="56" t="s">
        <v>82</v>
      </c>
      <c r="B33" s="57" t="s">
        <v>57</v>
      </c>
      <c r="C33" s="56" t="s">
        <v>58</v>
      </c>
      <c r="D33" s="56">
        <v>0.25</v>
      </c>
      <c r="E33" s="56"/>
      <c r="F33" s="111">
        <v>222500</v>
      </c>
      <c r="G33" s="112">
        <v>125456133</v>
      </c>
      <c r="H33" s="112">
        <f t="shared" si="0"/>
        <v>27913989592500</v>
      </c>
      <c r="I33" s="111">
        <f>D33*SUM($H$32:$H$34)/H33</f>
        <v>2.3554270471262448</v>
      </c>
    </row>
    <row r="34" spans="1:9" x14ac:dyDescent="0.3">
      <c r="A34" s="56" t="s">
        <v>82</v>
      </c>
      <c r="B34" s="57" t="s">
        <v>59</v>
      </c>
      <c r="C34" s="56" t="s">
        <v>60</v>
      </c>
      <c r="D34" s="56">
        <v>0.5</v>
      </c>
      <c r="E34" s="56"/>
      <c r="F34" s="111">
        <v>254000</v>
      </c>
      <c r="G34" s="111">
        <v>15956260</v>
      </c>
      <c r="H34" s="112">
        <f t="shared" si="0"/>
        <v>4052890040000</v>
      </c>
      <c r="I34" s="111">
        <f>D34*SUM($H$32:$H$34)/H34</f>
        <v>32.445669845696088</v>
      </c>
    </row>
    <row r="35" spans="1:9" ht="3" customHeight="1" x14ac:dyDescent="0.3">
      <c r="A35" s="62"/>
      <c r="B35" s="62"/>
      <c r="C35" s="62"/>
      <c r="D35" s="62"/>
      <c r="E35" s="62"/>
      <c r="F35" s="114"/>
      <c r="G35" s="114"/>
      <c r="H35" s="115"/>
      <c r="I35" s="114"/>
    </row>
    <row r="36" spans="1:9" x14ac:dyDescent="0.3">
      <c r="A36" s="56" t="s">
        <v>83</v>
      </c>
      <c r="B36" s="57" t="s">
        <v>5</v>
      </c>
      <c r="C36" s="56" t="s">
        <v>54</v>
      </c>
      <c r="D36" s="56">
        <v>0.4</v>
      </c>
      <c r="E36" s="56"/>
      <c r="F36" s="111">
        <v>47000</v>
      </c>
      <c r="G36" s="111">
        <v>5969782550</v>
      </c>
      <c r="H36" s="112">
        <f t="shared" si="0"/>
        <v>280579779850000</v>
      </c>
      <c r="I36" s="111">
        <f>D36*SUM($H$36:$H$38)/H36</f>
        <v>0.44143113853255811</v>
      </c>
    </row>
    <row r="37" spans="1:9" x14ac:dyDescent="0.3">
      <c r="A37" s="56" t="s">
        <v>83</v>
      </c>
      <c r="B37" s="57" t="s">
        <v>57</v>
      </c>
      <c r="C37" s="56" t="s">
        <v>58</v>
      </c>
      <c r="D37" s="56">
        <v>0.2</v>
      </c>
      <c r="E37" s="56"/>
      <c r="F37" s="111">
        <v>205500</v>
      </c>
      <c r="G37" s="112">
        <v>128329070</v>
      </c>
      <c r="H37" s="112">
        <f t="shared" si="0"/>
        <v>26371623885000</v>
      </c>
      <c r="I37" s="111">
        <f>D37*SUM($H$36:$H$38)/H37</f>
        <v>2.3482939884268714</v>
      </c>
    </row>
    <row r="38" spans="1:9" x14ac:dyDescent="0.3">
      <c r="A38" s="56" t="s">
        <v>83</v>
      </c>
      <c r="B38" s="57" t="s">
        <v>59</v>
      </c>
      <c r="C38" s="56" t="s">
        <v>60</v>
      </c>
      <c r="D38" s="56">
        <v>0.4</v>
      </c>
      <c r="E38" s="56"/>
      <c r="F38" s="111">
        <v>168600</v>
      </c>
      <c r="G38" s="111">
        <v>15956260</v>
      </c>
      <c r="H38" s="112">
        <f t="shared" si="0"/>
        <v>2690225436000</v>
      </c>
      <c r="I38" s="111">
        <f>D38*SUM($H$36:$H$38)/H38</f>
        <v>46.039506582228299</v>
      </c>
    </row>
    <row r="40" spans="1:9" s="37" customFormat="1" ht="19.5" x14ac:dyDescent="0.3">
      <c r="A40" s="37" t="s">
        <v>84</v>
      </c>
      <c r="B40" s="38" t="s">
        <v>98</v>
      </c>
    </row>
    <row r="41" spans="1:9" x14ac:dyDescent="0.3">
      <c r="B41" s="28"/>
    </row>
    <row r="42" spans="1:9" ht="16.5" customHeight="1" x14ac:dyDescent="0.3">
      <c r="A42" s="96" t="s">
        <v>188</v>
      </c>
      <c r="B42" s="97"/>
      <c r="C42" s="97"/>
      <c r="D42" s="97"/>
      <c r="E42" s="97"/>
      <c r="F42" s="97"/>
      <c r="G42" s="88"/>
    </row>
    <row r="43" spans="1:9" x14ac:dyDescent="0.3">
      <c r="A43" s="97"/>
      <c r="B43" s="97"/>
      <c r="C43" s="97"/>
      <c r="D43" s="97"/>
      <c r="E43" s="97"/>
      <c r="F43" s="97"/>
      <c r="G43" s="88"/>
    </row>
    <row r="44" spans="1:9" x14ac:dyDescent="0.3">
      <c r="A44" s="97"/>
      <c r="B44" s="97"/>
      <c r="C44" s="97"/>
      <c r="D44" s="97"/>
      <c r="E44" s="97"/>
      <c r="F44" s="97"/>
      <c r="G44" s="88"/>
    </row>
    <row r="45" spans="1:9" x14ac:dyDescent="0.3">
      <c r="A45" s="97"/>
      <c r="B45" s="97"/>
      <c r="C45" s="97"/>
      <c r="D45" s="97"/>
      <c r="E45" s="97"/>
      <c r="F45" s="97"/>
      <c r="G45" s="88"/>
    </row>
    <row r="46" spans="1:9" x14ac:dyDescent="0.3">
      <c r="A46" s="97"/>
      <c r="B46" s="97"/>
      <c r="C46" s="97"/>
      <c r="D46" s="97"/>
      <c r="E46" s="97"/>
      <c r="F46" s="97"/>
      <c r="G46" s="88"/>
    </row>
    <row r="47" spans="1:9" x14ac:dyDescent="0.3">
      <c r="A47" s="97"/>
      <c r="B47" s="97"/>
      <c r="C47" s="97"/>
      <c r="D47" s="97"/>
      <c r="E47" s="97"/>
      <c r="F47" s="97"/>
      <c r="G47" s="88"/>
    </row>
    <row r="48" spans="1:9" x14ac:dyDescent="0.3">
      <c r="A48" s="97"/>
      <c r="B48" s="97"/>
      <c r="C48" s="97"/>
      <c r="D48" s="97"/>
      <c r="E48" s="97"/>
      <c r="F48" s="97"/>
      <c r="G48" s="88"/>
    </row>
    <row r="49" spans="1:7" x14ac:dyDescent="0.3">
      <c r="A49" s="97"/>
      <c r="B49" s="97"/>
      <c r="C49" s="97"/>
      <c r="D49" s="97"/>
      <c r="E49" s="97"/>
      <c r="F49" s="97"/>
      <c r="G49" s="88"/>
    </row>
    <row r="50" spans="1:7" x14ac:dyDescent="0.3">
      <c r="A50" s="97"/>
      <c r="B50" s="97"/>
      <c r="C50" s="97"/>
      <c r="D50" s="97"/>
      <c r="E50" s="97"/>
      <c r="F50" s="97"/>
      <c r="G50" s="88"/>
    </row>
    <row r="51" spans="1:7" x14ac:dyDescent="0.3">
      <c r="A51" s="97"/>
      <c r="B51" s="97"/>
      <c r="C51" s="97"/>
      <c r="D51" s="97"/>
      <c r="E51" s="97"/>
      <c r="F51" s="97"/>
      <c r="G51" s="88"/>
    </row>
    <row r="52" spans="1:7" x14ac:dyDescent="0.3">
      <c r="A52" s="97"/>
      <c r="B52" s="97"/>
      <c r="C52" s="97"/>
      <c r="D52" s="97"/>
      <c r="E52" s="97"/>
      <c r="F52" s="97"/>
      <c r="G52" s="88"/>
    </row>
    <row r="53" spans="1:7" x14ac:dyDescent="0.3">
      <c r="A53" s="97"/>
      <c r="B53" s="97"/>
      <c r="C53" s="97"/>
      <c r="D53" s="97"/>
      <c r="E53" s="97"/>
      <c r="F53" s="97"/>
      <c r="G53" s="88"/>
    </row>
    <row r="54" spans="1:7" x14ac:dyDescent="0.3">
      <c r="A54" s="97"/>
      <c r="B54" s="97"/>
      <c r="C54" s="97"/>
      <c r="D54" s="97"/>
      <c r="E54" s="97"/>
      <c r="F54" s="97"/>
      <c r="G54" s="88"/>
    </row>
    <row r="55" spans="1:7" x14ac:dyDescent="0.3">
      <c r="A55" s="97"/>
      <c r="B55" s="97"/>
      <c r="C55" s="97"/>
      <c r="D55" s="97"/>
      <c r="E55" s="97"/>
      <c r="F55" s="97"/>
      <c r="G55" s="88"/>
    </row>
    <row r="56" spans="1:7" x14ac:dyDescent="0.3">
      <c r="A56" s="97"/>
      <c r="B56" s="97"/>
      <c r="C56" s="97"/>
      <c r="D56" s="97"/>
      <c r="E56" s="97"/>
      <c r="F56" s="97"/>
      <c r="G56" s="88"/>
    </row>
  </sheetData>
  <mergeCells count="2">
    <mergeCell ref="A20:C21"/>
    <mergeCell ref="A42:F5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380"/>
  <sheetViews>
    <sheetView zoomScale="85" zoomScaleNormal="85" workbookViewId="0">
      <selection sqref="A1:XFD1048576"/>
    </sheetView>
  </sheetViews>
  <sheetFormatPr defaultColWidth="8.875" defaultRowHeight="13.5" x14ac:dyDescent="0.3"/>
  <cols>
    <col min="1" max="1" width="9" style="16" bestFit="1" customWidth="1"/>
    <col min="2" max="4" width="8.875" style="16"/>
    <col min="5" max="6" width="9" style="16" bestFit="1" customWidth="1"/>
    <col min="7" max="7" width="11.125" style="16" bestFit="1" customWidth="1"/>
    <col min="8" max="8" width="13.125" style="16" bestFit="1" customWidth="1"/>
    <col min="9" max="9" width="13" style="16" customWidth="1"/>
    <col min="10" max="10" width="8.25" style="16" bestFit="1" customWidth="1"/>
    <col min="11" max="11" width="8.25" style="16" customWidth="1"/>
    <col min="12" max="13" width="9" style="16" bestFit="1" customWidth="1"/>
    <col min="14" max="14" width="11.125" style="16" bestFit="1" customWidth="1"/>
    <col min="15" max="15" width="13.125" style="16" bestFit="1" customWidth="1"/>
    <col min="16" max="16" width="13" style="16" customWidth="1"/>
    <col min="17" max="18" width="8.75" style="16" customWidth="1"/>
    <col min="19" max="20" width="9" style="16" bestFit="1" customWidth="1"/>
    <col min="21" max="21" width="11.125" style="16" bestFit="1" customWidth="1"/>
    <col min="22" max="23" width="13.75" style="16" bestFit="1" customWidth="1"/>
    <col min="24" max="24" width="14" style="45" customWidth="1"/>
    <col min="25" max="25" width="23.5" style="45" customWidth="1"/>
    <col min="26" max="26" width="16.125" style="45" bestFit="1" customWidth="1"/>
    <col min="27" max="27" width="15" style="45" customWidth="1"/>
    <col min="28" max="28" width="9.375" style="45" bestFit="1" customWidth="1"/>
    <col min="29" max="31" width="9" style="54" bestFit="1" customWidth="1"/>
    <col min="32" max="32" width="12.375" style="54" customWidth="1"/>
    <col min="33" max="16384" width="8.875" style="16"/>
  </cols>
  <sheetData>
    <row r="1" spans="1:32" ht="16.5" customHeight="1" x14ac:dyDescent="0.3">
      <c r="A1" s="48"/>
      <c r="B1" s="48"/>
      <c r="C1" s="99" t="s">
        <v>140</v>
      </c>
      <c r="D1" s="100"/>
      <c r="E1" s="100"/>
      <c r="F1" s="100"/>
      <c r="G1" s="100"/>
      <c r="H1" s="100"/>
      <c r="I1" s="101"/>
      <c r="J1" s="102" t="s">
        <v>141</v>
      </c>
      <c r="K1" s="103"/>
      <c r="L1" s="103"/>
      <c r="M1" s="103"/>
      <c r="N1" s="103"/>
      <c r="O1" s="103"/>
      <c r="P1" s="104"/>
      <c r="Q1" s="99" t="s">
        <v>142</v>
      </c>
      <c r="R1" s="100"/>
      <c r="S1" s="100"/>
      <c r="T1" s="100"/>
      <c r="U1" s="100"/>
      <c r="V1" s="100"/>
      <c r="W1" s="101"/>
      <c r="X1" s="105" t="s">
        <v>92</v>
      </c>
      <c r="Y1" s="105"/>
      <c r="Z1" s="105"/>
      <c r="AA1" s="105"/>
      <c r="AB1" s="105"/>
      <c r="AC1" s="98" t="s">
        <v>113</v>
      </c>
      <c r="AD1" s="98"/>
      <c r="AE1" s="98"/>
      <c r="AF1" s="98"/>
    </row>
    <row r="2" spans="1:32" x14ac:dyDescent="0.3">
      <c r="A2" s="48" t="s">
        <v>68</v>
      </c>
      <c r="B2" s="48" t="s">
        <v>87</v>
      </c>
      <c r="C2" s="49" t="s">
        <v>139</v>
      </c>
      <c r="D2" s="49" t="s">
        <v>144</v>
      </c>
      <c r="E2" s="49" t="s">
        <v>101</v>
      </c>
      <c r="F2" s="49" t="s">
        <v>2</v>
      </c>
      <c r="G2" s="49" t="s">
        <v>17</v>
      </c>
      <c r="H2" s="77" t="s">
        <v>125</v>
      </c>
      <c r="I2" s="78" t="s">
        <v>123</v>
      </c>
      <c r="J2" s="48" t="s">
        <v>139</v>
      </c>
      <c r="K2" s="48" t="s">
        <v>145</v>
      </c>
      <c r="L2" s="48" t="s">
        <v>14</v>
      </c>
      <c r="M2" s="48" t="s">
        <v>2</v>
      </c>
      <c r="N2" s="48" t="s">
        <v>17</v>
      </c>
      <c r="O2" s="68" t="s">
        <v>124</v>
      </c>
      <c r="P2" s="69" t="s">
        <v>123</v>
      </c>
      <c r="Q2" s="79" t="s">
        <v>143</v>
      </c>
      <c r="R2" s="79" t="s">
        <v>145</v>
      </c>
      <c r="S2" s="49" t="s">
        <v>101</v>
      </c>
      <c r="T2" s="49" t="s">
        <v>110</v>
      </c>
      <c r="U2" s="49" t="s">
        <v>17</v>
      </c>
      <c r="V2" s="77" t="s">
        <v>133</v>
      </c>
      <c r="W2" s="78" t="s">
        <v>123</v>
      </c>
      <c r="X2" s="50" t="s">
        <v>112</v>
      </c>
      <c r="Y2" s="50" t="s">
        <v>90</v>
      </c>
      <c r="Z2" s="50" t="s">
        <v>91</v>
      </c>
      <c r="AA2" s="80" t="s">
        <v>92</v>
      </c>
      <c r="AB2" s="50" t="s">
        <v>93</v>
      </c>
      <c r="AC2" s="48" t="s">
        <v>114</v>
      </c>
      <c r="AD2" s="48" t="s">
        <v>94</v>
      </c>
      <c r="AE2" s="48" t="s">
        <v>95</v>
      </c>
      <c r="AF2" s="48" t="s">
        <v>106</v>
      </c>
    </row>
    <row r="3" spans="1:32" s="17" customFormat="1" x14ac:dyDescent="0.3">
      <c r="A3" s="65">
        <v>20180102</v>
      </c>
      <c r="B3" s="65" t="s">
        <v>89</v>
      </c>
      <c r="C3" s="79">
        <v>0.3</v>
      </c>
      <c r="D3" s="79">
        <f>F3*G3*I3/Z3</f>
        <v>0.29999999999999988</v>
      </c>
      <c r="E3" s="49">
        <v>2548000</v>
      </c>
      <c r="F3" s="49">
        <v>2551000</v>
      </c>
      <c r="G3" s="49">
        <v>129098494</v>
      </c>
      <c r="H3" s="49">
        <f>ROUND(C3*(F3*G3+M3*N3+T3*U3)/(F3*G3),17)</f>
        <v>0.32765965513109302</v>
      </c>
      <c r="I3" s="49">
        <f>ROUND(C3*(F3*G3+M3*N3+T3*U3)/(F3*G3),17)</f>
        <v>0.32765965513109302</v>
      </c>
      <c r="J3" s="48">
        <v>0.3</v>
      </c>
      <c r="K3" s="48">
        <f>M3*N3*P3/Z3</f>
        <v>0.29999999999999993</v>
      </c>
      <c r="L3" s="48">
        <v>221100</v>
      </c>
      <c r="M3" s="48">
        <v>225900</v>
      </c>
      <c r="N3" s="51">
        <v>122666424</v>
      </c>
      <c r="O3" s="48">
        <f>ROUND(J3*(F3*G3+M3*N3+T3*U3)/(M3*N3),17)</f>
        <v>3.8941499327021099</v>
      </c>
      <c r="P3" s="48">
        <f>ROUND(J3*(F3*G3+M3*N3+T3*U3)/(M3*N3),17)</f>
        <v>3.8941499327021099</v>
      </c>
      <c r="Q3" s="49">
        <v>0.4</v>
      </c>
      <c r="R3" s="49">
        <f>T3*U3*W3/Z3</f>
        <v>0.40000000000000019</v>
      </c>
      <c r="S3" s="49">
        <v>163300</v>
      </c>
      <c r="T3" s="49">
        <v>166300</v>
      </c>
      <c r="U3" s="49">
        <v>15956260</v>
      </c>
      <c r="V3" s="49">
        <f>ROUND(Q3*(F3*G3+M3*N3+T3*U3)/(T3*U3),17)</f>
        <v>54.221307688347601</v>
      </c>
      <c r="W3" s="49">
        <f>ROUND(Q3*(F3*G3+M3*N3+T3*U3)/(T3*U3),17)</f>
        <v>54.221307688347601</v>
      </c>
      <c r="X3" s="82" t="e">
        <f>IF(#REF!&lt;&gt;(E3*G3*H3+L3*N3*O3+S3*U3*V3+#REF!*#REF!*#REF!),1,0)</f>
        <v>#REF!</v>
      </c>
      <c r="Y3" s="82">
        <f>F3*G3*I3+M3*N3*P3+T3*U3*W3</f>
        <v>359694129413599.69</v>
      </c>
      <c r="Z3" s="81">
        <f>F3*G3*I3+M3*N3*P3+T3*U3*W3</f>
        <v>359694129413599.69</v>
      </c>
      <c r="AA3" s="80">
        <f t="shared" ref="AA3:AA66" si="0">Z3/Y3*1000</f>
        <v>1000</v>
      </c>
      <c r="AB3" s="52" t="e">
        <f>(AA3-#REF!)/#REF!</f>
        <v>#REF!</v>
      </c>
      <c r="AC3" s="48">
        <f>(F3-E3)/E3</f>
        <v>1.1773940345368916E-3</v>
      </c>
      <c r="AD3" s="48">
        <f>(M3-L3)/L3</f>
        <v>2.1709633649932156E-2</v>
      </c>
      <c r="AE3" s="48">
        <f>(T3-S3)/S3</f>
        <v>1.8371096142069811E-2</v>
      </c>
      <c r="AF3" s="48" t="e">
        <f>(#REF!-#REF!)/#REF!</f>
        <v>#REF!</v>
      </c>
    </row>
    <row r="4" spans="1:32" x14ac:dyDescent="0.3">
      <c r="A4" s="48">
        <v>20180103</v>
      </c>
      <c r="B4" s="48" t="s">
        <v>88</v>
      </c>
      <c r="C4" s="79">
        <v>0.3</v>
      </c>
      <c r="D4" s="79">
        <f t="shared" ref="D4:D67" si="1">F4*G4*I4/Z4</f>
        <v>0.29580752352194922</v>
      </c>
      <c r="E4" s="49">
        <v>2551000</v>
      </c>
      <c r="F4" s="49">
        <v>2581000</v>
      </c>
      <c r="G4" s="49">
        <v>129098494</v>
      </c>
      <c r="H4" s="49">
        <f t="shared" ref="H4:H67" si="2">I3</f>
        <v>0.32765965513109302</v>
      </c>
      <c r="I4" s="49">
        <f>IF(B4="Y",ROUND(C4*(E4*G4+L4*N4+S4*U4)/(E4*G4),17),IF(X4=0,H4,ROUND(F3*G3*I3/Z3*(E4*G4+L4*N4+S4*U4)/(E4*G4),17)))</f>
        <v>0.32765965513109302</v>
      </c>
      <c r="J4" s="48">
        <v>0.3</v>
      </c>
      <c r="K4" s="48">
        <f t="shared" ref="K4:K67" si="3">M4*N4*P4/Z4</f>
        <v>0.31928946429763028</v>
      </c>
      <c r="L4" s="48">
        <v>225900</v>
      </c>
      <c r="M4" s="48">
        <v>246700</v>
      </c>
      <c r="N4" s="51">
        <v>122666424</v>
      </c>
      <c r="O4" s="48">
        <f t="shared" ref="O4:O67" si="4">P3</f>
        <v>3.8941499327021099</v>
      </c>
      <c r="P4" s="48">
        <f>IF(B4="Y",ROUND(J4*(E4*G4+L4*N4+S4*U4)/(L4*N4),17),IF(X4=0,O4,ROUND(M3*N3*P3/Z3*(E4*G4+L4*N4+S4*U4)/(L4*N4),17)))</f>
        <v>3.8941499327021099</v>
      </c>
      <c r="Q4" s="49">
        <v>0.4</v>
      </c>
      <c r="R4" s="49">
        <f t="shared" ref="R4:R67" si="5">T4*U4*W4/Z4</f>
        <v>0.38490301218042045</v>
      </c>
      <c r="S4" s="49">
        <v>166300</v>
      </c>
      <c r="T4" s="49">
        <v>164200</v>
      </c>
      <c r="U4" s="49">
        <v>15956260</v>
      </c>
      <c r="V4" s="49">
        <f t="shared" ref="V4:V67" si="6">W3</f>
        <v>54.221307688347601</v>
      </c>
      <c r="W4" s="49">
        <f>IF(B4="Y",ROUND(Q4*(E4*G4+L4*N4+S4*U4)/(S4*U4),17),IF(X4=0,V4,ROUND(T3*U3*W3/Z3*(E4*G4+L4*N4+S4*U4)/(S4*U4),17)))</f>
        <v>54.221307688347601</v>
      </c>
      <c r="X4" s="82">
        <f>IF(Z3&lt;&gt;(E4*G4*H4+L4*N4*O4+S4*U4*V4),1,0)</f>
        <v>0</v>
      </c>
      <c r="Y4" s="82">
        <f>IF(AND(X4=0,B4="N"),Y3,Y3*(E4*G4*I4+L4*N4*P4+S4*U4*W4)/Z3)</f>
        <v>359694129413599.69</v>
      </c>
      <c r="Z4" s="81">
        <f>F4*G4*I4+M4*N4*P4+T4*U4*W4</f>
        <v>369082059052626.81</v>
      </c>
      <c r="AA4" s="80">
        <f t="shared" si="0"/>
        <v>1026.0997577423129</v>
      </c>
      <c r="AB4" s="52">
        <f t="shared" ref="AB4:AB67" si="7">(AA4-AA3)/AA3</f>
        <v>2.6099757742312931E-2</v>
      </c>
      <c r="AC4" s="48">
        <f>(F4-E4)/E4</f>
        <v>1.1760094080752646E-2</v>
      </c>
      <c r="AD4" s="48">
        <f>(M4-L4)/L4</f>
        <v>9.2076139884904831E-2</v>
      </c>
      <c r="AE4" s="48">
        <f>(T4-S4)/S4</f>
        <v>-1.2627781118460614E-2</v>
      </c>
      <c r="AF4" s="48" t="e">
        <f>(#REF!-#REF!)/#REF!</f>
        <v>#REF!</v>
      </c>
    </row>
    <row r="5" spans="1:32" x14ac:dyDescent="0.3">
      <c r="A5" s="48">
        <v>20180104</v>
      </c>
      <c r="B5" s="48" t="s">
        <v>88</v>
      </c>
      <c r="C5" s="79">
        <v>0.3</v>
      </c>
      <c r="D5" s="79">
        <f t="shared" si="1"/>
        <v>0.2922322356926777</v>
      </c>
      <c r="E5" s="49">
        <v>2581000</v>
      </c>
      <c r="F5" s="49">
        <v>2554000</v>
      </c>
      <c r="G5" s="49">
        <v>129098494</v>
      </c>
      <c r="H5" s="49">
        <f t="shared" si="2"/>
        <v>0.32765965513109302</v>
      </c>
      <c r="I5" s="49">
        <f t="shared" ref="I5:I68" si="8">IF(B5="Y",ROUND(C5*(E5*G5+L5*N5+S5*U5)/(E5*G5),17),IF(X5=0,H5,ROUND(F4*G4*I4/Z4*(E5*G5+L5*N5+S5*U5)/(E5*G5),17)))</f>
        <v>0.32765965513109302</v>
      </c>
      <c r="J5" s="48">
        <v>0.3</v>
      </c>
      <c r="K5" s="48">
        <f t="shared" si="3"/>
        <v>0.3230289636078591</v>
      </c>
      <c r="L5" s="48">
        <v>246700</v>
      </c>
      <c r="M5" s="48">
        <v>250000</v>
      </c>
      <c r="N5" s="51">
        <v>122666424</v>
      </c>
      <c r="O5" s="48">
        <f t="shared" si="4"/>
        <v>3.8941499327021099</v>
      </c>
      <c r="P5" s="48">
        <f t="shared" ref="P5:P68" si="9">IF(B5="Y",ROUND(J5*(E5*G5+L5*N5+S5*U5)/(L5*N5),17),IF(X5=0,O5,ROUND(M4*N4*P4/Z4*(E5*G5+L5*N5+S5*U5)/(L5*N5),17)))</f>
        <v>3.8941499327021099</v>
      </c>
      <c r="Q5" s="49">
        <v>0.4</v>
      </c>
      <c r="R5" s="49">
        <f t="shared" si="5"/>
        <v>0.3847388006994632</v>
      </c>
      <c r="S5" s="49">
        <v>164200</v>
      </c>
      <c r="T5" s="49">
        <v>164400</v>
      </c>
      <c r="U5" s="49">
        <v>15956260</v>
      </c>
      <c r="V5" s="49">
        <f t="shared" si="6"/>
        <v>54.221307688347601</v>
      </c>
      <c r="W5" s="49">
        <f t="shared" ref="W5:W68" si="10">IF(B5="Y",ROUND(Q5*(E5*G5+L5*N5+S5*U5)/(S5*U5),17),IF(X5=0,V5,ROUND(T4*U4*W4/Z4*(E5*G5+L5*N5+S5*U5)/(S5*U5),17)))</f>
        <v>54.221307688347601</v>
      </c>
      <c r="X5" s="82">
        <f>IF(Z4&lt;&gt;(E5*G5*H5+L5*N5*O5+S5*U5*V5),1,0)</f>
        <v>0</v>
      </c>
      <c r="Y5" s="82">
        <f>IF(AND(X5=0,B5="N"),Y4,Y4*(E5*G5*I5+L5*N5*P5+S5*U5*W5)/Z4)</f>
        <v>359694129413599.69</v>
      </c>
      <c r="Z5" s="81">
        <f t="shared" ref="Z5:Z68" si="11">F5*G5*I5+M5*N5*P5+T5*U5*W5</f>
        <v>369689331746958.87</v>
      </c>
      <c r="AA5" s="80">
        <f t="shared" si="0"/>
        <v>1027.788060788354</v>
      </c>
      <c r="AB5" s="52">
        <f t="shared" si="7"/>
        <v>1.6453595601228239E-3</v>
      </c>
      <c r="AC5" s="48">
        <f>(F5-E5)/E5</f>
        <v>-1.0461061604029445E-2</v>
      </c>
      <c r="AD5" s="48">
        <f>(M5-L5)/L5</f>
        <v>1.3376570733684636E-2</v>
      </c>
      <c r="AE5" s="48">
        <f>(T5-S5)/S5</f>
        <v>1.2180267965895249E-3</v>
      </c>
      <c r="AF5" s="48" t="e">
        <f>(#REF!-#REF!)/#REF!</f>
        <v>#REF!</v>
      </c>
    </row>
    <row r="6" spans="1:32" x14ac:dyDescent="0.3">
      <c r="A6" s="48">
        <v>20180105</v>
      </c>
      <c r="B6" s="48" t="s">
        <v>88</v>
      </c>
      <c r="C6" s="79">
        <v>0.3</v>
      </c>
      <c r="D6" s="79">
        <f t="shared" si="1"/>
        <v>0.28614619296759697</v>
      </c>
      <c r="E6" s="49">
        <v>2554000</v>
      </c>
      <c r="F6" s="49">
        <v>2606000</v>
      </c>
      <c r="G6" s="49">
        <v>129098494</v>
      </c>
      <c r="H6" s="49">
        <f t="shared" si="2"/>
        <v>0.32765965513109302</v>
      </c>
      <c r="I6" s="49">
        <f t="shared" si="8"/>
        <v>0.32765965513109302</v>
      </c>
      <c r="J6" s="48">
        <v>0.3</v>
      </c>
      <c r="K6" s="48">
        <f t="shared" si="3"/>
        <v>0.33094541017593265</v>
      </c>
      <c r="L6" s="48">
        <v>250000</v>
      </c>
      <c r="M6" s="48">
        <v>266900</v>
      </c>
      <c r="N6" s="51">
        <v>122666424</v>
      </c>
      <c r="O6" s="48">
        <f t="shared" si="4"/>
        <v>3.8941499327021099</v>
      </c>
      <c r="P6" s="48">
        <f t="shared" si="9"/>
        <v>3.8941499327021099</v>
      </c>
      <c r="Q6" s="49">
        <v>0.4</v>
      </c>
      <c r="R6" s="49">
        <f t="shared" si="5"/>
        <v>0.38290839685647049</v>
      </c>
      <c r="S6" s="49">
        <v>164400</v>
      </c>
      <c r="T6" s="49">
        <v>170500</v>
      </c>
      <c r="U6" s="49">
        <v>15956260</v>
      </c>
      <c r="V6" s="49">
        <f t="shared" si="6"/>
        <v>54.221307688347601</v>
      </c>
      <c r="W6" s="49">
        <f t="shared" si="10"/>
        <v>54.221307688347601</v>
      </c>
      <c r="X6" s="82">
        <f>IF(Z5&lt;&gt;(E6*G6*H6+L6*N6*O6+S6*U6*V6),1,0)</f>
        <v>0</v>
      </c>
      <c r="Y6" s="82">
        <f>IF(AND(X6=0,B6="N"),Y5,Y5*(E6*G6*I6+L6*N6*P6+S6*U6*W6)/Z5)</f>
        <v>359694129413599.69</v>
      </c>
      <c r="Z6" s="81">
        <f t="shared" si="11"/>
        <v>385239299960813.62</v>
      </c>
      <c r="AA6" s="80">
        <f t="shared" si="0"/>
        <v>1071.0191478211214</v>
      </c>
      <c r="AB6" s="52">
        <f t="shared" si="7"/>
        <v>4.2062258438386062E-2</v>
      </c>
      <c r="AC6" s="48">
        <f>(F6-E6)/E6</f>
        <v>2.0360219263899765E-2</v>
      </c>
      <c r="AD6" s="48">
        <f>(M6-L6)/L6</f>
        <v>6.7599999999999993E-2</v>
      </c>
      <c r="AE6" s="48">
        <f>(T6-S6)/S6</f>
        <v>3.7104622871046232E-2</v>
      </c>
      <c r="AF6" s="48" t="e">
        <f>(#REF!-#REF!)/#REF!</f>
        <v>#REF!</v>
      </c>
    </row>
    <row r="7" spans="1:32" x14ac:dyDescent="0.3">
      <c r="A7" s="48">
        <v>20180108</v>
      </c>
      <c r="B7" s="48" t="s">
        <v>88</v>
      </c>
      <c r="C7" s="79">
        <v>0.3</v>
      </c>
      <c r="D7" s="79">
        <f t="shared" si="1"/>
        <v>0.27384384630432379</v>
      </c>
      <c r="E7" s="49">
        <v>2606000</v>
      </c>
      <c r="F7" s="49">
        <v>2601000</v>
      </c>
      <c r="G7" s="49">
        <v>129098494</v>
      </c>
      <c r="H7" s="49">
        <f t="shared" si="2"/>
        <v>0.32765965513109302</v>
      </c>
      <c r="I7" s="49">
        <f t="shared" si="8"/>
        <v>0.32765965513109302</v>
      </c>
      <c r="J7" s="48">
        <v>0.3</v>
      </c>
      <c r="K7" s="48">
        <f t="shared" si="3"/>
        <v>0.35965180196213709</v>
      </c>
      <c r="L7" s="48">
        <v>266900</v>
      </c>
      <c r="M7" s="48">
        <v>302500</v>
      </c>
      <c r="N7" s="51">
        <v>122666424</v>
      </c>
      <c r="O7" s="48">
        <f t="shared" si="4"/>
        <v>3.8941499327021099</v>
      </c>
      <c r="P7" s="48">
        <f t="shared" si="9"/>
        <v>3.8941499327021099</v>
      </c>
      <c r="Q7" s="49">
        <v>0.4</v>
      </c>
      <c r="R7" s="49">
        <f t="shared" si="5"/>
        <v>0.36650435173353901</v>
      </c>
      <c r="S7" s="49">
        <v>170500</v>
      </c>
      <c r="T7" s="49">
        <v>170200</v>
      </c>
      <c r="U7" s="49">
        <v>15956260</v>
      </c>
      <c r="V7" s="49">
        <f t="shared" si="6"/>
        <v>54.221307688347601</v>
      </c>
      <c r="W7" s="49">
        <f t="shared" si="10"/>
        <v>54.221307688347601</v>
      </c>
      <c r="X7" s="82">
        <f>IF(Z6&lt;&gt;(E7*G7*H7+L7*N7*O7+S7*U7*V7),1,0)</f>
        <v>0</v>
      </c>
      <c r="Y7" s="82">
        <f>IF(AND(X7=0,B7="N"),Y6,Y6*(E7*G7*I7+L7*N7*P7+S7*U7*W7)/Z6)</f>
        <v>359694129413599.69</v>
      </c>
      <c r="Z7" s="81">
        <f t="shared" si="11"/>
        <v>401773706840612.12</v>
      </c>
      <c r="AA7" s="80">
        <f t="shared" si="0"/>
        <v>1116.9871120655032</v>
      </c>
      <c r="AB7" s="52">
        <f t="shared" si="7"/>
        <v>4.2919834195213932E-2</v>
      </c>
      <c r="AC7" s="48">
        <f>(F7-E7)/E7</f>
        <v>-1.918649270913277E-3</v>
      </c>
      <c r="AD7" s="48">
        <f>(M7-L7)/L7</f>
        <v>0.13338328962158111</v>
      </c>
      <c r="AE7" s="48">
        <f>(T7-S7)/S7</f>
        <v>-1.7595307917888563E-3</v>
      </c>
      <c r="AF7" s="48" t="e">
        <f>(#REF!-#REF!)/#REF!</f>
        <v>#REF!</v>
      </c>
    </row>
    <row r="8" spans="1:32" x14ac:dyDescent="0.3">
      <c r="A8" s="48">
        <v>20180109</v>
      </c>
      <c r="B8" s="48" t="s">
        <v>88</v>
      </c>
      <c r="C8" s="79">
        <v>0.3</v>
      </c>
      <c r="D8" s="79">
        <f t="shared" si="1"/>
        <v>0.27458819943359986</v>
      </c>
      <c r="E8" s="49">
        <v>2601000</v>
      </c>
      <c r="F8" s="49">
        <v>2520000</v>
      </c>
      <c r="G8" s="49">
        <v>129098494</v>
      </c>
      <c r="H8" s="49">
        <f t="shared" si="2"/>
        <v>0.32765965513109302</v>
      </c>
      <c r="I8" s="49">
        <f t="shared" si="8"/>
        <v>0.32765965513109302</v>
      </c>
      <c r="J8" s="48">
        <v>0.3</v>
      </c>
      <c r="K8" s="48">
        <f t="shared" si="3"/>
        <v>0.35991622627808106</v>
      </c>
      <c r="L8" s="48">
        <v>302500</v>
      </c>
      <c r="M8" s="48">
        <v>292500</v>
      </c>
      <c r="N8" s="51">
        <v>122666424</v>
      </c>
      <c r="O8" s="48">
        <f t="shared" si="4"/>
        <v>3.8941499327021099</v>
      </c>
      <c r="P8" s="48">
        <f t="shared" si="9"/>
        <v>3.8941499327021099</v>
      </c>
      <c r="Q8" s="49">
        <v>0.4</v>
      </c>
      <c r="R8" s="49">
        <f t="shared" si="5"/>
        <v>0.36549557428831897</v>
      </c>
      <c r="S8" s="49">
        <v>170200</v>
      </c>
      <c r="T8" s="49">
        <v>164000</v>
      </c>
      <c r="U8" s="49">
        <v>15956260</v>
      </c>
      <c r="V8" s="49">
        <f t="shared" si="6"/>
        <v>54.221307688347601</v>
      </c>
      <c r="W8" s="49">
        <f t="shared" si="10"/>
        <v>54.221307688347601</v>
      </c>
      <c r="X8" s="82">
        <f>IF(Z7&lt;&gt;(E8*G8*H8+L8*N8*O8+S8*U8*V8),1,0)</f>
        <v>0</v>
      </c>
      <c r="Y8" s="82">
        <f>IF(AND(X8=0,B8="N"),Y7,Y7*(E8*G8*I8+L8*N8*P8+S8*U8*W8)/Z7)</f>
        <v>359694129413599.69</v>
      </c>
      <c r="Z8" s="81">
        <f t="shared" si="11"/>
        <v>388206513008492.69</v>
      </c>
      <c r="AA8" s="80">
        <f t="shared" si="0"/>
        <v>1079.2684151987023</v>
      </c>
      <c r="AB8" s="52">
        <f t="shared" si="7"/>
        <v>-3.3768247152872209E-2</v>
      </c>
      <c r="AC8" s="48">
        <f>(F8-E8)/E8</f>
        <v>-3.1141868512110725E-2</v>
      </c>
      <c r="AD8" s="48">
        <f>(M8-L8)/L8</f>
        <v>-3.3057851239669422E-2</v>
      </c>
      <c r="AE8" s="48">
        <f>(T8-S8)/S8</f>
        <v>-3.6427732079905996E-2</v>
      </c>
      <c r="AF8" s="48" t="e">
        <f>(#REF!-#REF!)/#REF!</f>
        <v>#REF!</v>
      </c>
    </row>
    <row r="9" spans="1:32" x14ac:dyDescent="0.3">
      <c r="A9" s="48">
        <v>20180110</v>
      </c>
      <c r="B9" s="48" t="s">
        <v>88</v>
      </c>
      <c r="C9" s="79">
        <v>0.3</v>
      </c>
      <c r="D9" s="79">
        <f t="shared" si="1"/>
        <v>0.2672093075289978</v>
      </c>
      <c r="E9" s="49">
        <v>2520000</v>
      </c>
      <c r="F9" s="49">
        <v>2442000</v>
      </c>
      <c r="G9" s="49">
        <v>129098494</v>
      </c>
      <c r="H9" s="49">
        <f t="shared" si="2"/>
        <v>0.32765965513109302</v>
      </c>
      <c r="I9" s="49">
        <f t="shared" si="8"/>
        <v>0.32765965513109302</v>
      </c>
      <c r="J9" s="48">
        <v>0.3</v>
      </c>
      <c r="K9" s="48">
        <f t="shared" si="3"/>
        <v>0.36575633815256064</v>
      </c>
      <c r="L9" s="48">
        <v>292500</v>
      </c>
      <c r="M9" s="48">
        <v>296000</v>
      </c>
      <c r="N9" s="51">
        <v>122666424</v>
      </c>
      <c r="O9" s="48">
        <f t="shared" si="4"/>
        <v>3.8941499327021099</v>
      </c>
      <c r="P9" s="48">
        <f t="shared" si="9"/>
        <v>3.8941499327021099</v>
      </c>
      <c r="Q9" s="49">
        <v>0.4</v>
      </c>
      <c r="R9" s="49">
        <f t="shared" si="5"/>
        <v>0.36703435431844156</v>
      </c>
      <c r="S9" s="49">
        <v>164000</v>
      </c>
      <c r="T9" s="49">
        <v>164000</v>
      </c>
      <c r="U9" s="49">
        <v>15956260</v>
      </c>
      <c r="V9" s="49">
        <f t="shared" si="6"/>
        <v>54.221307688347601</v>
      </c>
      <c r="W9" s="49">
        <f t="shared" si="10"/>
        <v>54.221307688347601</v>
      </c>
      <c r="X9" s="82">
        <f>IF(Z8&lt;&gt;(E9*G9*H9+L9*N9*O9+S9*U9*V9),1,0)</f>
        <v>0</v>
      </c>
      <c r="Y9" s="82">
        <f>IF(AND(X9=0,B9="N"),Y8,Y8*(E9*G9*I9+L9*N9*P9+S9*U9*W9)/Z8)</f>
        <v>359694129413599.69</v>
      </c>
      <c r="Z9" s="81">
        <f t="shared" si="11"/>
        <v>386578969366453.37</v>
      </c>
      <c r="AA9" s="80">
        <f t="shared" si="0"/>
        <v>1074.743616184905</v>
      </c>
      <c r="AB9" s="52">
        <f t="shared" si="7"/>
        <v>-4.192468666809117E-3</v>
      </c>
      <c r="AC9" s="48">
        <f>(F9-E9)/E9</f>
        <v>-3.0952380952380953E-2</v>
      </c>
      <c r="AD9" s="48">
        <f>(M9-L9)/L9</f>
        <v>1.1965811965811967E-2</v>
      </c>
      <c r="AE9" s="48">
        <f>(T9-S9)/S9</f>
        <v>0</v>
      </c>
      <c r="AF9" s="48" t="e">
        <f>(#REF!-#REF!)/#REF!</f>
        <v>#REF!</v>
      </c>
    </row>
    <row r="10" spans="1:32" x14ac:dyDescent="0.3">
      <c r="A10" s="48">
        <v>20180111</v>
      </c>
      <c r="B10" s="48" t="s">
        <v>88</v>
      </c>
      <c r="C10" s="79">
        <v>0.3</v>
      </c>
      <c r="D10" s="79">
        <f t="shared" si="1"/>
        <v>0.25837172374129891</v>
      </c>
      <c r="E10" s="49">
        <v>2442000</v>
      </c>
      <c r="F10" s="49">
        <v>2412000</v>
      </c>
      <c r="G10" s="49">
        <v>129098494</v>
      </c>
      <c r="H10" s="49">
        <f t="shared" si="2"/>
        <v>0.32765965513109302</v>
      </c>
      <c r="I10" s="49">
        <f t="shared" si="8"/>
        <v>0.32765965513109302</v>
      </c>
      <c r="J10" s="48">
        <v>0.3</v>
      </c>
      <c r="K10" s="48">
        <f t="shared" si="3"/>
        <v>0.37136441161843226</v>
      </c>
      <c r="L10" s="48">
        <v>296000</v>
      </c>
      <c r="M10" s="48">
        <v>307000</v>
      </c>
      <c r="N10" s="51">
        <v>122666424</v>
      </c>
      <c r="O10" s="48">
        <f t="shared" si="4"/>
        <v>3.8941499327021099</v>
      </c>
      <c r="P10" s="48">
        <f t="shared" si="9"/>
        <v>3.8941499327021099</v>
      </c>
      <c r="Q10" s="49">
        <v>0.4</v>
      </c>
      <c r="R10" s="49">
        <f t="shared" si="5"/>
        <v>0.37026386464026884</v>
      </c>
      <c r="S10" s="49">
        <v>164000</v>
      </c>
      <c r="T10" s="49">
        <v>169000</v>
      </c>
      <c r="U10" s="49">
        <v>15956260</v>
      </c>
      <c r="V10" s="49">
        <f t="shared" si="6"/>
        <v>54.221307688347601</v>
      </c>
      <c r="W10" s="49">
        <f t="shared" si="10"/>
        <v>54.221307688347601</v>
      </c>
      <c r="X10" s="82">
        <f>IF(Z9&lt;&gt;(E10*G10*H10+L10*N10*O10+S10*U10*V10),1,0)</f>
        <v>0</v>
      </c>
      <c r="Y10" s="82">
        <f>IF(AND(X10=0,B10="N"),Y9,Y9*(E10*G10*I10+L10*N10*P10+S10*U10*W10)/Z9)</f>
        <v>359694129413599.69</v>
      </c>
      <c r="Z10" s="81">
        <f t="shared" si="11"/>
        <v>394890300655278.75</v>
      </c>
      <c r="AA10" s="80">
        <f t="shared" si="0"/>
        <v>1097.8502799004768</v>
      </c>
      <c r="AB10" s="52">
        <f t="shared" si="7"/>
        <v>2.1499698502602142E-2</v>
      </c>
      <c r="AC10" s="48">
        <f>(F10-E10)/E10</f>
        <v>-1.2285012285012284E-2</v>
      </c>
      <c r="AD10" s="48">
        <f>(M10-L10)/L10</f>
        <v>3.7162162162162164E-2</v>
      </c>
      <c r="AE10" s="48">
        <f>(T10-S10)/S10</f>
        <v>3.048780487804878E-2</v>
      </c>
      <c r="AF10" s="48" t="e">
        <f>(#REF!-#REF!)/#REF!</f>
        <v>#REF!</v>
      </c>
    </row>
    <row r="11" spans="1:32" x14ac:dyDescent="0.3">
      <c r="A11" s="48">
        <v>20180112</v>
      </c>
      <c r="B11" s="48" t="s">
        <v>88</v>
      </c>
      <c r="C11" s="79">
        <v>0.3</v>
      </c>
      <c r="D11" s="79">
        <f t="shared" si="1"/>
        <v>0.24351225986414574</v>
      </c>
      <c r="E11" s="49">
        <v>2412000</v>
      </c>
      <c r="F11" s="49">
        <v>2410000</v>
      </c>
      <c r="G11" s="49">
        <v>129098494</v>
      </c>
      <c r="H11" s="49">
        <f t="shared" si="2"/>
        <v>0.32765965513109302</v>
      </c>
      <c r="I11" s="49">
        <f t="shared" si="8"/>
        <v>0.32765965513109302</v>
      </c>
      <c r="J11" s="48">
        <v>0.3</v>
      </c>
      <c r="K11" s="48">
        <f t="shared" si="3"/>
        <v>0.3896626001901814</v>
      </c>
      <c r="L11" s="48">
        <v>307000</v>
      </c>
      <c r="M11" s="48">
        <v>341500</v>
      </c>
      <c r="N11" s="51">
        <v>122666424</v>
      </c>
      <c r="O11" s="48">
        <f t="shared" si="4"/>
        <v>3.8941499327021099</v>
      </c>
      <c r="P11" s="48">
        <f t="shared" si="9"/>
        <v>3.8941499327021099</v>
      </c>
      <c r="Q11" s="49">
        <v>0.4</v>
      </c>
      <c r="R11" s="49">
        <f t="shared" si="5"/>
        <v>0.36682513994567284</v>
      </c>
      <c r="S11" s="49">
        <v>169000</v>
      </c>
      <c r="T11" s="49">
        <v>177500</v>
      </c>
      <c r="U11" s="49">
        <v>15956260</v>
      </c>
      <c r="V11" s="49">
        <f t="shared" si="6"/>
        <v>54.221307688347601</v>
      </c>
      <c r="W11" s="49">
        <f t="shared" si="10"/>
        <v>54.221307688347601</v>
      </c>
      <c r="X11" s="82">
        <f>IF(Z10&lt;&gt;(E11*G11*H11+L11*N11*O11+S11*U11*V11),1,0)</f>
        <v>0</v>
      </c>
      <c r="Y11" s="82">
        <f>IF(AND(X11=0,B11="N"),Y10,Y10*(E11*G11*I11+L11*N11*P11+S11*U11*W11)/Z10)</f>
        <v>359694129413599.69</v>
      </c>
      <c r="Z11" s="81">
        <f t="shared" si="11"/>
        <v>418639648738236.69</v>
      </c>
      <c r="AA11" s="80">
        <f t="shared" si="0"/>
        <v>1163.8767900402888</v>
      </c>
      <c r="AB11" s="52">
        <f t="shared" si="7"/>
        <v>6.0141634381873525E-2</v>
      </c>
      <c r="AC11" s="48">
        <f>(F11-E11)/E11</f>
        <v>-8.2918739635157548E-4</v>
      </c>
      <c r="AD11" s="48">
        <f>(M11-L11)/L11</f>
        <v>0.11237785016286644</v>
      </c>
      <c r="AE11" s="48">
        <f>(T11-S11)/S11</f>
        <v>5.0295857988165681E-2</v>
      </c>
      <c r="AF11" s="48" t="e">
        <f>(#REF!-#REF!)/#REF!</f>
        <v>#REF!</v>
      </c>
    </row>
    <row r="12" spans="1:32" x14ac:dyDescent="0.3">
      <c r="A12" s="48">
        <v>20180115</v>
      </c>
      <c r="B12" s="48" t="s">
        <v>88</v>
      </c>
      <c r="C12" s="79">
        <v>0.3</v>
      </c>
      <c r="D12" s="79">
        <f t="shared" si="1"/>
        <v>0.21868965028208262</v>
      </c>
      <c r="E12" s="49">
        <v>2410000</v>
      </c>
      <c r="F12" s="49">
        <v>2427000</v>
      </c>
      <c r="G12" s="49">
        <v>129098494</v>
      </c>
      <c r="H12" s="49">
        <f t="shared" si="2"/>
        <v>0.32765965513109302</v>
      </c>
      <c r="I12" s="49">
        <f t="shared" si="8"/>
        <v>0.32765965513109302</v>
      </c>
      <c r="J12" s="48">
        <v>0.3</v>
      </c>
      <c r="K12" s="48">
        <f t="shared" si="3"/>
        <v>0.35613997656648505</v>
      </c>
      <c r="L12" s="48">
        <v>341500</v>
      </c>
      <c r="M12" s="48">
        <v>350000</v>
      </c>
      <c r="N12" s="51">
        <v>122666424</v>
      </c>
      <c r="O12" s="48">
        <f t="shared" si="4"/>
        <v>3.8941499327021099</v>
      </c>
      <c r="P12" s="48">
        <f t="shared" si="9"/>
        <v>3.8941499327021099</v>
      </c>
      <c r="Q12" s="49">
        <v>0.4</v>
      </c>
      <c r="R12" s="49">
        <f t="shared" si="5"/>
        <v>0.4251703731514323</v>
      </c>
      <c r="S12" s="49">
        <v>177500</v>
      </c>
      <c r="T12" s="49">
        <v>230700</v>
      </c>
      <c r="U12" s="49">
        <v>15956260</v>
      </c>
      <c r="V12" s="49">
        <f t="shared" si="6"/>
        <v>54.221307688347601</v>
      </c>
      <c r="W12" s="49">
        <f t="shared" si="10"/>
        <v>54.221307688347601</v>
      </c>
      <c r="X12" s="82">
        <f>IF(Z11&lt;&gt;(E12*G12*H12+L12*N12*O12+S12*U12*V12),1,0)</f>
        <v>0</v>
      </c>
      <c r="Y12" s="82">
        <f>IF(AND(X12=0,B12="N"),Y11,Y11*(E12*G12*I12+L12*N12*P12+S12*U12*W12)/Z11)</f>
        <v>359694129413599.69</v>
      </c>
      <c r="Z12" s="81">
        <f t="shared" si="11"/>
        <v>469446053148520.44</v>
      </c>
      <c r="AA12" s="80">
        <f t="shared" si="0"/>
        <v>1305.125701978641</v>
      </c>
      <c r="AB12" s="52">
        <f t="shared" si="7"/>
        <v>0.1213607085793529</v>
      </c>
      <c r="AC12" s="48">
        <f>(F12-E12)/E12</f>
        <v>7.053941908713693E-3</v>
      </c>
      <c r="AD12" s="48">
        <f>(M12-L12)/L12</f>
        <v>2.4890190336749635E-2</v>
      </c>
      <c r="AE12" s="48">
        <f>(T12-S12)/S12</f>
        <v>0.29971830985915493</v>
      </c>
      <c r="AF12" s="48" t="e">
        <f>(#REF!-#REF!)/#REF!</f>
        <v>#REF!</v>
      </c>
    </row>
    <row r="13" spans="1:32" x14ac:dyDescent="0.3">
      <c r="A13" s="48">
        <v>20180116</v>
      </c>
      <c r="B13" s="48" t="s">
        <v>88</v>
      </c>
      <c r="C13" s="79">
        <v>0.3</v>
      </c>
      <c r="D13" s="79">
        <f t="shared" si="1"/>
        <v>0.22479780338768038</v>
      </c>
      <c r="E13" s="49">
        <v>2427000</v>
      </c>
      <c r="F13" s="49">
        <v>2500000</v>
      </c>
      <c r="G13" s="49">
        <v>129098494</v>
      </c>
      <c r="H13" s="49">
        <f t="shared" si="2"/>
        <v>0.32765965513109302</v>
      </c>
      <c r="I13" s="49">
        <f t="shared" si="8"/>
        <v>0.32765965513109302</v>
      </c>
      <c r="J13" s="48">
        <v>0.3</v>
      </c>
      <c r="K13" s="48">
        <f t="shared" si="3"/>
        <v>0.35275737024159598</v>
      </c>
      <c r="L13" s="48">
        <v>350000</v>
      </c>
      <c r="M13" s="48">
        <v>347400</v>
      </c>
      <c r="N13" s="51">
        <v>122666424</v>
      </c>
      <c r="O13" s="48">
        <f t="shared" si="4"/>
        <v>3.8941499327021099</v>
      </c>
      <c r="P13" s="48">
        <f t="shared" si="9"/>
        <v>3.8941499327021099</v>
      </c>
      <c r="Q13" s="49">
        <v>0.4</v>
      </c>
      <c r="R13" s="49">
        <f t="shared" si="5"/>
        <v>0.42244482637072361</v>
      </c>
      <c r="S13" s="49">
        <v>230700</v>
      </c>
      <c r="T13" s="49">
        <v>229700</v>
      </c>
      <c r="U13" s="49">
        <v>15956260</v>
      </c>
      <c r="V13" s="49">
        <f t="shared" si="6"/>
        <v>54.221307688347601</v>
      </c>
      <c r="W13" s="49">
        <f t="shared" si="10"/>
        <v>54.221307688347601</v>
      </c>
      <c r="X13" s="82">
        <f>IF(Z12&lt;&gt;(E13*G13*H13+L13*N13*O13+S13*U13*V13),1,0)</f>
        <v>0</v>
      </c>
      <c r="Y13" s="82">
        <f>IF(AND(X13=0,B13="N"),Y12,Y12*(E13*G13*I13+L13*N13*P13+S13*U13*W13)/Z12)</f>
        <v>359694129413599.69</v>
      </c>
      <c r="Z13" s="81">
        <f t="shared" si="11"/>
        <v>470426838969522.5</v>
      </c>
      <c r="AA13" s="80">
        <f t="shared" si="0"/>
        <v>1307.8524237702948</v>
      </c>
      <c r="AB13" s="52">
        <f t="shared" si="7"/>
        <v>2.0892407432631871E-3</v>
      </c>
      <c r="AC13" s="48">
        <f>(F13-E13)/E13</f>
        <v>3.0078285949732178E-2</v>
      </c>
      <c r="AD13" s="48">
        <f>(M13-L13)/L13</f>
        <v>-7.4285714285714285E-3</v>
      </c>
      <c r="AE13" s="48">
        <f>(T13-S13)/S13</f>
        <v>-4.3346337234503683E-3</v>
      </c>
      <c r="AF13" s="48" t="e">
        <f>(#REF!-#REF!)/#REF!</f>
        <v>#REF!</v>
      </c>
    </row>
    <row r="14" spans="1:32" x14ac:dyDescent="0.3">
      <c r="A14" s="48">
        <v>20180117</v>
      </c>
      <c r="B14" s="48" t="s">
        <v>88</v>
      </c>
      <c r="C14" s="79">
        <v>0.3</v>
      </c>
      <c r="D14" s="79">
        <f t="shared" si="1"/>
        <v>0.22314925442943581</v>
      </c>
      <c r="E14" s="49">
        <v>2500000</v>
      </c>
      <c r="F14" s="49">
        <v>2481000</v>
      </c>
      <c r="G14" s="49">
        <v>129098494</v>
      </c>
      <c r="H14" s="49">
        <f t="shared" si="2"/>
        <v>0.32765965513109302</v>
      </c>
      <c r="I14" s="49">
        <f t="shared" si="8"/>
        <v>0.32765965513109302</v>
      </c>
      <c r="J14" s="48">
        <v>0.3</v>
      </c>
      <c r="K14" s="48">
        <f t="shared" si="3"/>
        <v>0.31842008117561621</v>
      </c>
      <c r="L14" s="48">
        <v>347400</v>
      </c>
      <c r="M14" s="48">
        <v>313500</v>
      </c>
      <c r="N14" s="51">
        <v>122666424</v>
      </c>
      <c r="O14" s="48">
        <f t="shared" si="4"/>
        <v>3.8941499327021099</v>
      </c>
      <c r="P14" s="48">
        <f t="shared" si="9"/>
        <v>3.8941499327021099</v>
      </c>
      <c r="Q14" s="49">
        <v>0.4</v>
      </c>
      <c r="R14" s="49">
        <f t="shared" si="5"/>
        <v>0.45843066439494812</v>
      </c>
      <c r="S14" s="49">
        <v>229700</v>
      </c>
      <c r="T14" s="49">
        <v>249200</v>
      </c>
      <c r="U14" s="49">
        <v>15956260</v>
      </c>
      <c r="V14" s="49">
        <f t="shared" si="6"/>
        <v>54.221307688347601</v>
      </c>
      <c r="W14" s="49">
        <f t="shared" si="10"/>
        <v>54.221307688347601</v>
      </c>
      <c r="X14" s="82">
        <f>IF(Z13&lt;&gt;(E14*G14*H14+L14*N14*O14+S14*U14*V14),1,0)</f>
        <v>0</v>
      </c>
      <c r="Y14" s="82">
        <f>IF(AND(X14=0,B14="N"),Y13,Y13*(E14*G14*I14+L14*N14*P14+S14*U14*W14)/Z13)</f>
        <v>359694129413599.69</v>
      </c>
      <c r="Z14" s="81">
        <f t="shared" si="11"/>
        <v>470300531950589.12</v>
      </c>
      <c r="AA14" s="80">
        <f t="shared" si="0"/>
        <v>1307.5012725876518</v>
      </c>
      <c r="AB14" s="52">
        <f t="shared" si="7"/>
        <v>-2.6849450003745543E-4</v>
      </c>
      <c r="AC14" s="48">
        <f>(F14-E14)/E14</f>
        <v>-7.6E-3</v>
      </c>
      <c r="AD14" s="48">
        <f>(M14-L14)/L14</f>
        <v>-9.7582037996545773E-2</v>
      </c>
      <c r="AE14" s="48">
        <f>(T14-S14)/S14</f>
        <v>8.4893339138006091E-2</v>
      </c>
      <c r="AF14" s="48" t="e">
        <f>(#REF!-#REF!)/#REF!</f>
        <v>#REF!</v>
      </c>
    </row>
    <row r="15" spans="1:32" x14ac:dyDescent="0.3">
      <c r="A15" s="48">
        <v>20180118</v>
      </c>
      <c r="B15" s="48" t="s">
        <v>88</v>
      </c>
      <c r="C15" s="79">
        <v>0.3</v>
      </c>
      <c r="D15" s="79">
        <f t="shared" si="1"/>
        <v>0.22168152528220947</v>
      </c>
      <c r="E15" s="49">
        <v>2481000</v>
      </c>
      <c r="F15" s="49">
        <v>2495000</v>
      </c>
      <c r="G15" s="49">
        <v>129098494</v>
      </c>
      <c r="H15" s="49">
        <f t="shared" si="2"/>
        <v>0.32765965513109302</v>
      </c>
      <c r="I15" s="49">
        <f t="shared" si="8"/>
        <v>0.32765965513109302</v>
      </c>
      <c r="J15" s="48">
        <v>0.3</v>
      </c>
      <c r="K15" s="48">
        <f t="shared" si="3"/>
        <v>0.32037018883925766</v>
      </c>
      <c r="L15" s="48">
        <v>313500</v>
      </c>
      <c r="M15" s="48">
        <v>319300</v>
      </c>
      <c r="N15" s="51">
        <v>122666424</v>
      </c>
      <c r="O15" s="48">
        <f t="shared" si="4"/>
        <v>3.8941499327021099</v>
      </c>
      <c r="P15" s="48">
        <f t="shared" si="9"/>
        <v>3.8941499327021099</v>
      </c>
      <c r="Q15" s="49">
        <v>0.4</v>
      </c>
      <c r="R15" s="49">
        <f t="shared" si="5"/>
        <v>0.45794828587853298</v>
      </c>
      <c r="S15" s="49">
        <v>249200</v>
      </c>
      <c r="T15" s="49">
        <v>252000</v>
      </c>
      <c r="U15" s="49">
        <v>15956260</v>
      </c>
      <c r="V15" s="49">
        <f t="shared" si="6"/>
        <v>54.221307688347601</v>
      </c>
      <c r="W15" s="49">
        <f t="shared" si="10"/>
        <v>54.221307688347601</v>
      </c>
      <c r="X15" s="82">
        <f>IF(Z14&lt;&gt;(E15*G15*H15+L15*N15*O15+S15*U15*V15),1,0)</f>
        <v>0</v>
      </c>
      <c r="Y15" s="82">
        <f>IF(AND(X15=0,B15="N"),Y14,Y14*(E15*G15*I15+L15*N15*P15+S15*U15*W15)/Z14)</f>
        <v>359694129413599.69</v>
      </c>
      <c r="Z15" s="81">
        <f t="shared" si="11"/>
        <v>476085763486573.25</v>
      </c>
      <c r="AA15" s="80">
        <f t="shared" si="0"/>
        <v>1323.5850255958414</v>
      </c>
      <c r="AB15" s="52">
        <f t="shared" si="7"/>
        <v>1.2301137555574687E-2</v>
      </c>
      <c r="AC15" s="48">
        <f>(F15-E15)/E15</f>
        <v>5.642885933091495E-3</v>
      </c>
      <c r="AD15" s="48">
        <f>(M15-L15)/L15</f>
        <v>1.8500797448165868E-2</v>
      </c>
      <c r="AE15" s="48">
        <f>(T15-S15)/S15</f>
        <v>1.1235955056179775E-2</v>
      </c>
      <c r="AF15" s="48" t="e">
        <f>(#REF!-#REF!)/#REF!</f>
        <v>#REF!</v>
      </c>
    </row>
    <row r="16" spans="1:32" x14ac:dyDescent="0.3">
      <c r="A16" s="48">
        <v>20180119</v>
      </c>
      <c r="B16" s="48" t="s">
        <v>88</v>
      </c>
      <c r="C16" s="79">
        <v>0.3</v>
      </c>
      <c r="D16" s="79">
        <f t="shared" si="1"/>
        <v>0.23390105357307839</v>
      </c>
      <c r="E16" s="49">
        <v>2495000</v>
      </c>
      <c r="F16" s="49">
        <v>2466000</v>
      </c>
      <c r="G16" s="49">
        <v>129098494</v>
      </c>
      <c r="H16" s="49">
        <f t="shared" si="2"/>
        <v>0.32765965513109302</v>
      </c>
      <c r="I16" s="49">
        <f t="shared" si="8"/>
        <v>0.32765965513109302</v>
      </c>
      <c r="J16" s="48">
        <v>0.3</v>
      </c>
      <c r="K16" s="48">
        <f t="shared" si="3"/>
        <v>0.30826493239435671</v>
      </c>
      <c r="L16" s="48">
        <v>319300</v>
      </c>
      <c r="M16" s="48">
        <v>287800</v>
      </c>
      <c r="N16" s="51">
        <v>122666424</v>
      </c>
      <c r="O16" s="48">
        <f t="shared" si="4"/>
        <v>3.8941499327021099</v>
      </c>
      <c r="P16" s="48">
        <f t="shared" si="9"/>
        <v>3.8941499327021099</v>
      </c>
      <c r="Q16" s="49">
        <v>0.4</v>
      </c>
      <c r="R16" s="49">
        <f t="shared" si="5"/>
        <v>0.45783401403256496</v>
      </c>
      <c r="S16" s="49">
        <v>252000</v>
      </c>
      <c r="T16" s="49">
        <v>236000</v>
      </c>
      <c r="U16" s="49">
        <v>15956260</v>
      </c>
      <c r="V16" s="49">
        <f t="shared" si="6"/>
        <v>54.221307688347601</v>
      </c>
      <c r="W16" s="49">
        <f t="shared" si="10"/>
        <v>54.221307688347601</v>
      </c>
      <c r="X16" s="82">
        <f>IF(Z15&lt;&gt;(E16*G16*H16+L16*N16*O16+S16*U16*V16),1,0)</f>
        <v>0</v>
      </c>
      <c r="Y16" s="82">
        <f>IF(AND(X16=0,B16="N"),Y15,Y15*(E16*G16*I16+L16*N16*P16+S16*U16*W16)/Z15)</f>
        <v>359694129413599.69</v>
      </c>
      <c r="Z16" s="81">
        <f t="shared" si="11"/>
        <v>445969378712612.5</v>
      </c>
      <c r="AA16" s="80">
        <f t="shared" si="0"/>
        <v>1239.8572627239294</v>
      </c>
      <c r="AB16" s="52">
        <f t="shared" si="7"/>
        <v>-6.3258318319384249E-2</v>
      </c>
      <c r="AC16" s="48">
        <f>(F16-E16)/E16</f>
        <v>-1.1623246492985972E-2</v>
      </c>
      <c r="AD16" s="48">
        <f>(M16-L16)/L16</f>
        <v>-9.8653304102724715E-2</v>
      </c>
      <c r="AE16" s="48">
        <f>(T16-S16)/S16</f>
        <v>-6.3492063492063489E-2</v>
      </c>
      <c r="AF16" s="48" t="e">
        <f>(#REF!-#REF!)/#REF!</f>
        <v>#REF!</v>
      </c>
    </row>
    <row r="17" spans="1:32" x14ac:dyDescent="0.3">
      <c r="A17" s="48">
        <v>20180122</v>
      </c>
      <c r="B17" s="48" t="s">
        <v>88</v>
      </c>
      <c r="C17" s="79">
        <v>0.3</v>
      </c>
      <c r="D17" s="79">
        <f t="shared" si="1"/>
        <v>0.23225550329736044</v>
      </c>
      <c r="E17" s="49">
        <v>2466000</v>
      </c>
      <c r="F17" s="49">
        <v>2412000</v>
      </c>
      <c r="G17" s="49">
        <v>129098494</v>
      </c>
      <c r="H17" s="49">
        <f t="shared" si="2"/>
        <v>0.32765965513109302</v>
      </c>
      <c r="I17" s="49">
        <f t="shared" si="8"/>
        <v>0.32765965513109302</v>
      </c>
      <c r="J17" s="48">
        <v>0.3</v>
      </c>
      <c r="K17" s="48">
        <f t="shared" si="3"/>
        <v>0.3051199498460655</v>
      </c>
      <c r="L17" s="48">
        <v>287800</v>
      </c>
      <c r="M17" s="48">
        <v>280600</v>
      </c>
      <c r="N17" s="51">
        <v>122666424</v>
      </c>
      <c r="O17" s="48">
        <f t="shared" si="4"/>
        <v>3.8941499327021099</v>
      </c>
      <c r="P17" s="48">
        <f t="shared" si="9"/>
        <v>3.8941499327021099</v>
      </c>
      <c r="Q17" s="49">
        <v>0.4</v>
      </c>
      <c r="R17" s="49">
        <f t="shared" si="5"/>
        <v>0.462624546856574</v>
      </c>
      <c r="S17" s="49">
        <v>236000</v>
      </c>
      <c r="T17" s="49">
        <v>234900</v>
      </c>
      <c r="U17" s="49">
        <v>15956260</v>
      </c>
      <c r="V17" s="49">
        <f t="shared" si="6"/>
        <v>54.221307688347601</v>
      </c>
      <c r="W17" s="49">
        <f t="shared" si="10"/>
        <v>54.221307688347601</v>
      </c>
      <c r="X17" s="82">
        <f>IF(Z16&lt;&gt;(E17*G17*H17+L17*N17*O17+S17*U17*V17),1,0)</f>
        <v>0</v>
      </c>
      <c r="Y17" s="82">
        <f>IF(AND(X17=0,B17="N"),Y16,Y16*(E17*G17*I17+L17*N17*P17+S17*U17*W17)/Z16)</f>
        <v>359694129413599.69</v>
      </c>
      <c r="Z17" s="81">
        <f t="shared" si="11"/>
        <v>439294166211404.87</v>
      </c>
      <c r="AA17" s="80">
        <f t="shared" si="0"/>
        <v>1221.2992381265024</v>
      </c>
      <c r="AB17" s="52">
        <f t="shared" si="7"/>
        <v>-1.4967871831194154E-2</v>
      </c>
      <c r="AC17" s="48">
        <f>(F17-E17)/E17</f>
        <v>-2.1897810218978103E-2</v>
      </c>
      <c r="AD17" s="48">
        <f>(M17-L17)/L17</f>
        <v>-2.5017373175816541E-2</v>
      </c>
      <c r="AE17" s="48">
        <f>(T17-S17)/S17</f>
        <v>-4.6610169491525426E-3</v>
      </c>
      <c r="AF17" s="48" t="e">
        <f>(#REF!-#REF!)/#REF!</f>
        <v>#REF!</v>
      </c>
    </row>
    <row r="18" spans="1:32" x14ac:dyDescent="0.3">
      <c r="A18" s="48">
        <v>20180123</v>
      </c>
      <c r="B18" s="48" t="s">
        <v>88</v>
      </c>
      <c r="C18" s="79">
        <v>0.3</v>
      </c>
      <c r="D18" s="79">
        <f t="shared" si="1"/>
        <v>0.227582537451855</v>
      </c>
      <c r="E18" s="49">
        <v>2412000</v>
      </c>
      <c r="F18" s="49">
        <v>2458000</v>
      </c>
      <c r="G18" s="49">
        <v>129098494</v>
      </c>
      <c r="H18" s="49">
        <f t="shared" si="2"/>
        <v>0.32765965513109302</v>
      </c>
      <c r="I18" s="49">
        <f t="shared" si="8"/>
        <v>0.32765965513109302</v>
      </c>
      <c r="J18" s="48">
        <v>0.3</v>
      </c>
      <c r="K18" s="48">
        <f t="shared" si="3"/>
        <v>0.31262411318268191</v>
      </c>
      <c r="L18" s="48">
        <v>280600</v>
      </c>
      <c r="M18" s="48">
        <v>299000</v>
      </c>
      <c r="N18" s="51">
        <v>122666424</v>
      </c>
      <c r="O18" s="48">
        <f t="shared" si="4"/>
        <v>3.8941499327021099</v>
      </c>
      <c r="P18" s="48">
        <f t="shared" si="9"/>
        <v>3.8941499327021099</v>
      </c>
      <c r="Q18" s="49">
        <v>0.4</v>
      </c>
      <c r="R18" s="49">
        <f t="shared" si="5"/>
        <v>0.45979334936546307</v>
      </c>
      <c r="S18" s="49">
        <v>234900</v>
      </c>
      <c r="T18" s="49">
        <v>242800</v>
      </c>
      <c r="U18" s="49">
        <v>15956260</v>
      </c>
      <c r="V18" s="49">
        <f t="shared" si="6"/>
        <v>54.221307688347601</v>
      </c>
      <c r="W18" s="49">
        <f t="shared" si="10"/>
        <v>54.221307688347601</v>
      </c>
      <c r="X18" s="82">
        <f>IF(Z17&lt;&gt;(E18*G18*H18+L18*N18*O18+S18*U18*V18),1,0)</f>
        <v>0</v>
      </c>
      <c r="Y18" s="82">
        <f>IF(AND(X18=0,B18="N"),Y17,Y17*(E18*G18*I18+L18*N18*P18+S18*U18*W18)/Z17)</f>
        <v>359694129413599.69</v>
      </c>
      <c r="Z18" s="81">
        <f t="shared" si="11"/>
        <v>456864159096701.87</v>
      </c>
      <c r="AA18" s="80">
        <f t="shared" si="0"/>
        <v>1270.1462763418353</v>
      </c>
      <c r="AB18" s="52">
        <f t="shared" si="7"/>
        <v>3.9995962242853213E-2</v>
      </c>
      <c r="AC18" s="48">
        <f>(F18-E18)/E18</f>
        <v>1.9071310116086235E-2</v>
      </c>
      <c r="AD18" s="48">
        <f>(M18-L18)/L18</f>
        <v>6.5573770491803282E-2</v>
      </c>
      <c r="AE18" s="48">
        <f>(T18-S18)/S18</f>
        <v>3.3631332481907195E-2</v>
      </c>
      <c r="AF18" s="48" t="e">
        <f>(#REF!-#REF!)/#REF!</f>
        <v>#REF!</v>
      </c>
    </row>
    <row r="19" spans="1:32" x14ac:dyDescent="0.3">
      <c r="A19" s="48">
        <v>20180124</v>
      </c>
      <c r="B19" s="48" t="s">
        <v>88</v>
      </c>
      <c r="C19" s="79">
        <v>0.3</v>
      </c>
      <c r="D19" s="79">
        <f t="shared" si="1"/>
        <v>0.21421623880863869</v>
      </c>
      <c r="E19" s="49">
        <v>2458000</v>
      </c>
      <c r="F19" s="49">
        <v>2467000</v>
      </c>
      <c r="G19" s="49">
        <v>129098494</v>
      </c>
      <c r="H19" s="49">
        <f t="shared" si="2"/>
        <v>0.32765965513109302</v>
      </c>
      <c r="I19" s="49">
        <f t="shared" si="8"/>
        <v>0.32765965513109302</v>
      </c>
      <c r="J19" s="48">
        <v>0.3</v>
      </c>
      <c r="K19" s="48">
        <f t="shared" si="3"/>
        <v>0.28779654340606453</v>
      </c>
      <c r="L19" s="48">
        <v>299000</v>
      </c>
      <c r="M19" s="48">
        <v>293500</v>
      </c>
      <c r="N19" s="51">
        <v>122666424</v>
      </c>
      <c r="O19" s="48">
        <f t="shared" si="4"/>
        <v>3.8941499327021099</v>
      </c>
      <c r="P19" s="48">
        <f t="shared" si="9"/>
        <v>3.8941499327021099</v>
      </c>
      <c r="Q19" s="49">
        <v>0.4</v>
      </c>
      <c r="R19" s="49">
        <f t="shared" si="5"/>
        <v>0.49798721778529681</v>
      </c>
      <c r="S19" s="49">
        <v>242800</v>
      </c>
      <c r="T19" s="49">
        <v>280400</v>
      </c>
      <c r="U19" s="49">
        <v>15956260</v>
      </c>
      <c r="V19" s="49">
        <f t="shared" si="6"/>
        <v>54.221307688347601</v>
      </c>
      <c r="W19" s="49">
        <f t="shared" si="10"/>
        <v>54.221307688347601</v>
      </c>
      <c r="X19" s="82">
        <f>IF(Z18&lt;&gt;(E19*G19*H19+L19*N19*O19+S19*U19*V19),1,0)</f>
        <v>0</v>
      </c>
      <c r="Y19" s="82">
        <f>IF(AND(X19=0,B19="N"),Y18,Y18*(E19*G19*I19+L19*N19*P19+S19*U19*W19)/Z18)</f>
        <v>359694129413599.69</v>
      </c>
      <c r="Z19" s="81">
        <f t="shared" si="11"/>
        <v>487147979493069.75</v>
      </c>
      <c r="AA19" s="80">
        <f t="shared" si="0"/>
        <v>1354.3395336678275</v>
      </c>
      <c r="AB19" s="52">
        <f t="shared" si="7"/>
        <v>6.6286268671729862E-2</v>
      </c>
      <c r="AC19" s="48">
        <f>(F19-E19)/E19</f>
        <v>3.6615134255492269E-3</v>
      </c>
      <c r="AD19" s="48">
        <f>(M19-L19)/L19</f>
        <v>-1.839464882943144E-2</v>
      </c>
      <c r="AE19" s="48">
        <f>(T19-S19)/S19</f>
        <v>0.15485996705107083</v>
      </c>
      <c r="AF19" s="48" t="e">
        <f>(#REF!-#REF!)/#REF!</f>
        <v>#REF!</v>
      </c>
    </row>
    <row r="20" spans="1:32" x14ac:dyDescent="0.3">
      <c r="A20" s="48">
        <v>20180125</v>
      </c>
      <c r="B20" s="48" t="s">
        <v>88</v>
      </c>
      <c r="C20" s="79">
        <v>0.3</v>
      </c>
      <c r="D20" s="79">
        <f t="shared" si="1"/>
        <v>0.21990907648654626</v>
      </c>
      <c r="E20" s="49">
        <v>2467000</v>
      </c>
      <c r="F20" s="49">
        <v>2513000</v>
      </c>
      <c r="G20" s="49">
        <v>129098494</v>
      </c>
      <c r="H20" s="49">
        <f t="shared" si="2"/>
        <v>0.32765965513109302</v>
      </c>
      <c r="I20" s="49">
        <f t="shared" si="8"/>
        <v>0.32765965513109302</v>
      </c>
      <c r="J20" s="48">
        <v>0.3</v>
      </c>
      <c r="K20" s="48">
        <f t="shared" si="3"/>
        <v>0.28628156917846925</v>
      </c>
      <c r="L20" s="48">
        <v>293500</v>
      </c>
      <c r="M20" s="48">
        <v>289700</v>
      </c>
      <c r="N20" s="51">
        <v>122666424</v>
      </c>
      <c r="O20" s="48">
        <f t="shared" si="4"/>
        <v>3.8941499327021099</v>
      </c>
      <c r="P20" s="48">
        <f t="shared" si="9"/>
        <v>3.8941499327021099</v>
      </c>
      <c r="Q20" s="49">
        <v>0.4</v>
      </c>
      <c r="R20" s="49">
        <f t="shared" si="5"/>
        <v>0.49380935433498457</v>
      </c>
      <c r="S20" s="49">
        <v>280400</v>
      </c>
      <c r="T20" s="49">
        <v>275900</v>
      </c>
      <c r="U20" s="49">
        <v>15956260</v>
      </c>
      <c r="V20" s="49">
        <f t="shared" si="6"/>
        <v>54.221307688347601</v>
      </c>
      <c r="W20" s="49">
        <f t="shared" si="10"/>
        <v>54.221307688347601</v>
      </c>
      <c r="X20" s="82">
        <f>IF(Z19&lt;&gt;(E20*G20*H20+L20*N20*O20+S20*U20*V20),1,0)</f>
        <v>0</v>
      </c>
      <c r="Y20" s="82">
        <f>IF(AND(X20=0,B20="N"),Y19,Y19*(E20*G20*I20+L20*N20*P20+S20*U20*W20)/Z19)</f>
        <v>359694129413599.69</v>
      </c>
      <c r="Z20" s="81">
        <f t="shared" si="11"/>
        <v>483385345150807.5</v>
      </c>
      <c r="AA20" s="80">
        <f t="shared" si="0"/>
        <v>1343.8788838140297</v>
      </c>
      <c r="AB20" s="52">
        <f t="shared" si="7"/>
        <v>-7.7238015975714981E-3</v>
      </c>
      <c r="AC20" s="48">
        <f>(F20-E20)/E20</f>
        <v>1.8646128901499796E-2</v>
      </c>
      <c r="AD20" s="48">
        <f>(M20-L20)/L20</f>
        <v>-1.2947189097103918E-2</v>
      </c>
      <c r="AE20" s="48">
        <f>(T20-S20)/S20</f>
        <v>-1.6048502139800285E-2</v>
      </c>
      <c r="AF20" s="48" t="e">
        <f>(#REF!-#REF!)/#REF!</f>
        <v>#REF!</v>
      </c>
    </row>
    <row r="21" spans="1:32" x14ac:dyDescent="0.3">
      <c r="A21" s="48">
        <v>20180126</v>
      </c>
      <c r="B21" s="48" t="s">
        <v>88</v>
      </c>
      <c r="C21" s="79">
        <v>0.3</v>
      </c>
      <c r="D21" s="79">
        <f t="shared" si="1"/>
        <v>0.22003478757014458</v>
      </c>
      <c r="E21" s="49">
        <v>2513000</v>
      </c>
      <c r="F21" s="49">
        <v>2539000</v>
      </c>
      <c r="G21" s="49">
        <v>129098494</v>
      </c>
      <c r="H21" s="49">
        <f t="shared" si="2"/>
        <v>0.32765965513109302</v>
      </c>
      <c r="I21" s="49">
        <f t="shared" si="8"/>
        <v>0.32765965513109302</v>
      </c>
      <c r="J21" s="48">
        <v>0.3</v>
      </c>
      <c r="K21" s="48">
        <f t="shared" si="3"/>
        <v>0.29359194080521234</v>
      </c>
      <c r="L21" s="48">
        <v>289700</v>
      </c>
      <c r="M21" s="48">
        <v>300000</v>
      </c>
      <c r="N21" s="51">
        <v>122666424</v>
      </c>
      <c r="O21" s="48">
        <f t="shared" si="4"/>
        <v>3.8941499327021099</v>
      </c>
      <c r="P21" s="48">
        <f t="shared" si="9"/>
        <v>3.8941499327021099</v>
      </c>
      <c r="Q21" s="49">
        <v>0.4</v>
      </c>
      <c r="R21" s="49">
        <f t="shared" si="5"/>
        <v>0.48637327162464306</v>
      </c>
      <c r="S21" s="49">
        <v>275900</v>
      </c>
      <c r="T21" s="49">
        <v>274400</v>
      </c>
      <c r="U21" s="49">
        <v>15956260</v>
      </c>
      <c r="V21" s="49">
        <f t="shared" si="6"/>
        <v>54.221307688347601</v>
      </c>
      <c r="W21" s="49">
        <f t="shared" si="10"/>
        <v>54.221307688347601</v>
      </c>
      <c r="X21" s="82">
        <f>IF(Z20&lt;&gt;(E21*G21*H21+L21*N21*O21+S21*U21*V21),1,0)</f>
        <v>0</v>
      </c>
      <c r="Y21" s="82">
        <f>IF(AND(X21=0,B21="N"),Y20,Y20*(E21*G21*I21+L21*N21*P21+S21*U21*W21)/Z20)</f>
        <v>359694129413599.69</v>
      </c>
      <c r="Z21" s="81">
        <f t="shared" si="11"/>
        <v>488107519696529.62</v>
      </c>
      <c r="AA21" s="80">
        <f t="shared" si="0"/>
        <v>1357.0071896705101</v>
      </c>
      <c r="AB21" s="52">
        <f t="shared" si="7"/>
        <v>9.7689650567477585E-3</v>
      </c>
      <c r="AC21" s="48">
        <f>(F21-E21)/E21</f>
        <v>1.0346199761241544E-2</v>
      </c>
      <c r="AD21" s="48">
        <f>(M21-L21)/L21</f>
        <v>3.5554021401449774E-2</v>
      </c>
      <c r="AE21" s="48">
        <f>(T21-S21)/S21</f>
        <v>-5.4367524465386008E-3</v>
      </c>
      <c r="AF21" s="48" t="e">
        <f>(#REF!-#REF!)/#REF!</f>
        <v>#REF!</v>
      </c>
    </row>
    <row r="22" spans="1:32" x14ac:dyDescent="0.3">
      <c r="A22" s="48">
        <v>20180129</v>
      </c>
      <c r="B22" s="48" t="s">
        <v>88</v>
      </c>
      <c r="C22" s="79">
        <v>0.3</v>
      </c>
      <c r="D22" s="79">
        <f t="shared" si="1"/>
        <v>0.20992264412834752</v>
      </c>
      <c r="E22" s="49">
        <v>2539000</v>
      </c>
      <c r="F22" s="49">
        <v>2561000</v>
      </c>
      <c r="G22" s="49">
        <v>129098494</v>
      </c>
      <c r="H22" s="49">
        <f t="shared" si="2"/>
        <v>0.32765965513109302</v>
      </c>
      <c r="I22" s="49">
        <f t="shared" si="8"/>
        <v>0.32765965513109302</v>
      </c>
      <c r="J22" s="48">
        <v>0.3</v>
      </c>
      <c r="K22" s="48">
        <f t="shared" si="3"/>
        <v>0.30388888798275665</v>
      </c>
      <c r="L22" s="48">
        <v>300000</v>
      </c>
      <c r="M22" s="48">
        <v>328300</v>
      </c>
      <c r="N22" s="51">
        <v>122666424</v>
      </c>
      <c r="O22" s="48">
        <f t="shared" si="4"/>
        <v>3.8941499327021099</v>
      </c>
      <c r="P22" s="48">
        <f t="shared" si="9"/>
        <v>3.8941499327021099</v>
      </c>
      <c r="Q22" s="49">
        <v>0.4</v>
      </c>
      <c r="R22" s="49">
        <f t="shared" si="5"/>
        <v>0.48618846788889586</v>
      </c>
      <c r="S22" s="49">
        <v>274400</v>
      </c>
      <c r="T22" s="49">
        <v>290000</v>
      </c>
      <c r="U22" s="49">
        <v>15956260</v>
      </c>
      <c r="V22" s="49">
        <f t="shared" si="6"/>
        <v>54.221307688347601</v>
      </c>
      <c r="W22" s="49">
        <f t="shared" si="10"/>
        <v>54.221307688347601</v>
      </c>
      <c r="X22" s="82">
        <f>IF(Z21&lt;&gt;(E22*G22*H22+L22*N22*O22+S22*U22*V22),1,0)</f>
        <v>0</v>
      </c>
      <c r="Y22" s="82">
        <f>IF(AND(X22=0,B22="N"),Y21,Y21*(E22*G22*I22+L22*N22*P22+S22*U22*W22)/Z21)</f>
        <v>359694129413599.69</v>
      </c>
      <c r="Z22" s="81">
        <f t="shared" si="11"/>
        <v>516053153551484.25</v>
      </c>
      <c r="AA22" s="80">
        <f t="shared" si="0"/>
        <v>1434.6999613054368</v>
      </c>
      <c r="AB22" s="52">
        <f t="shared" si="7"/>
        <v>5.7253028743194025E-2</v>
      </c>
      <c r="AC22" s="48">
        <f>(F22-E22)/E22</f>
        <v>8.6648286727057898E-3</v>
      </c>
      <c r="AD22" s="48">
        <f>(M22-L22)/L22</f>
        <v>9.4333333333333338E-2</v>
      </c>
      <c r="AE22" s="48">
        <f>(T22-S22)/S22</f>
        <v>5.6851311953352766E-2</v>
      </c>
      <c r="AF22" s="48" t="e">
        <f>(#REF!-#REF!)/#REF!</f>
        <v>#REF!</v>
      </c>
    </row>
    <row r="23" spans="1:32" x14ac:dyDescent="0.3">
      <c r="A23" s="48">
        <v>20180130</v>
      </c>
      <c r="B23" s="48" t="s">
        <v>88</v>
      </c>
      <c r="C23" s="79">
        <v>0.3</v>
      </c>
      <c r="D23" s="79">
        <f t="shared" si="1"/>
        <v>0.20551896042435433</v>
      </c>
      <c r="E23" s="49">
        <v>2561000</v>
      </c>
      <c r="F23" s="49">
        <v>2490000</v>
      </c>
      <c r="G23" s="49">
        <v>129098494</v>
      </c>
      <c r="H23" s="49">
        <f t="shared" si="2"/>
        <v>0.32765965513109302</v>
      </c>
      <c r="I23" s="49">
        <f t="shared" si="8"/>
        <v>0.32765965513109302</v>
      </c>
      <c r="J23" s="48">
        <v>0.3</v>
      </c>
      <c r="K23" s="48">
        <f t="shared" si="3"/>
        <v>0.30441283203231628</v>
      </c>
      <c r="L23" s="48">
        <v>328300</v>
      </c>
      <c r="M23" s="48">
        <v>326600</v>
      </c>
      <c r="N23" s="51">
        <v>122666424</v>
      </c>
      <c r="O23" s="48">
        <f t="shared" si="4"/>
        <v>3.8941499327021099</v>
      </c>
      <c r="P23" s="48">
        <f t="shared" si="9"/>
        <v>3.8941499327021099</v>
      </c>
      <c r="Q23" s="49">
        <v>0.4</v>
      </c>
      <c r="R23" s="49">
        <f t="shared" si="5"/>
        <v>0.49006820754332941</v>
      </c>
      <c r="S23" s="49">
        <v>290000</v>
      </c>
      <c r="T23" s="49">
        <v>290300</v>
      </c>
      <c r="U23" s="49">
        <v>15956260</v>
      </c>
      <c r="V23" s="49">
        <f t="shared" si="6"/>
        <v>54.221307688347601</v>
      </c>
      <c r="W23" s="49">
        <f t="shared" si="10"/>
        <v>54.221307688347601</v>
      </c>
      <c r="X23" s="82">
        <f>IF(Z22&lt;&gt;(E23*G23*H23+L23*N23*O23+S23*U23*V23),1,0)</f>
        <v>0</v>
      </c>
      <c r="Y23" s="82">
        <f>IF(AND(X23=0,B23="N"),Y22,Y22*(E23*G23*I23+L23*N23*P23+S23*U23*W23)/Z22)</f>
        <v>359694129413599.69</v>
      </c>
      <c r="Z23" s="81">
        <f t="shared" si="11"/>
        <v>512497319747328.5</v>
      </c>
      <c r="AA23" s="80">
        <f t="shared" si="0"/>
        <v>1424.814245878408</v>
      </c>
      <c r="AB23" s="52">
        <f t="shared" si="7"/>
        <v>-6.8904409936930396E-3</v>
      </c>
      <c r="AC23" s="48">
        <f>(F23-E23)/E23</f>
        <v>-2.7723545490042953E-2</v>
      </c>
      <c r="AD23" s="48">
        <f>(M23-L23)/L23</f>
        <v>-5.1781906792567776E-3</v>
      </c>
      <c r="AE23" s="48">
        <f>(T23-S23)/S23</f>
        <v>1.0344827586206897E-3</v>
      </c>
      <c r="AF23" s="48" t="e">
        <f>(#REF!-#REF!)/#REF!</f>
        <v>#REF!</v>
      </c>
    </row>
    <row r="24" spans="1:32" x14ac:dyDescent="0.3">
      <c r="A24" s="48">
        <v>20180131</v>
      </c>
      <c r="B24" s="48" t="s">
        <v>88</v>
      </c>
      <c r="C24" s="79">
        <v>0.3</v>
      </c>
      <c r="D24" s="79">
        <f t="shared" si="1"/>
        <v>0.21656056936014373</v>
      </c>
      <c r="E24" s="49">
        <v>2490000</v>
      </c>
      <c r="F24" s="49">
        <v>2495000</v>
      </c>
      <c r="G24" s="49">
        <v>129098494</v>
      </c>
      <c r="H24" s="49">
        <f t="shared" si="2"/>
        <v>0.32765965513109302</v>
      </c>
      <c r="I24" s="49">
        <f t="shared" si="8"/>
        <v>0.32765965513109302</v>
      </c>
      <c r="J24" s="48">
        <v>0.3</v>
      </c>
      <c r="K24" s="48">
        <f t="shared" si="3"/>
        <v>0.30944084916462467</v>
      </c>
      <c r="L24" s="48">
        <v>326600</v>
      </c>
      <c r="M24" s="48">
        <v>315700</v>
      </c>
      <c r="N24" s="51">
        <v>122666424</v>
      </c>
      <c r="O24" s="48">
        <f t="shared" si="4"/>
        <v>3.8941499327021099</v>
      </c>
      <c r="P24" s="48">
        <f t="shared" si="9"/>
        <v>3.8941499327021099</v>
      </c>
      <c r="Q24" s="49">
        <v>0.4</v>
      </c>
      <c r="R24" s="49">
        <f t="shared" si="5"/>
        <v>0.47399858147523161</v>
      </c>
      <c r="S24" s="49">
        <v>290300</v>
      </c>
      <c r="T24" s="49">
        <v>267000</v>
      </c>
      <c r="U24" s="49">
        <v>15956260</v>
      </c>
      <c r="V24" s="49">
        <f t="shared" si="6"/>
        <v>54.221307688347601</v>
      </c>
      <c r="W24" s="49">
        <f t="shared" si="10"/>
        <v>54.221307688347601</v>
      </c>
      <c r="X24" s="82">
        <f>IF(Z23&lt;&gt;(E24*G24*H24+L24*N24*O24+S24*U24*V24),1,0)</f>
        <v>0</v>
      </c>
      <c r="Y24" s="82">
        <f>IF(AND(X24=0,B24="N"),Y23,Y23*(E24*G24*I24+L24*N24*P24+S24*U24*W24)/Z23)</f>
        <v>359694129413599.69</v>
      </c>
      <c r="Z24" s="81">
        <f t="shared" si="11"/>
        <v>487343649523450.5</v>
      </c>
      <c r="AA24" s="80">
        <f t="shared" si="0"/>
        <v>1354.8835237259909</v>
      </c>
      <c r="AB24" s="52">
        <f t="shared" si="7"/>
        <v>-4.9080588823916672E-2</v>
      </c>
      <c r="AC24" s="48">
        <f>(F24-E24)/E24</f>
        <v>2.008032128514056E-3</v>
      </c>
      <c r="AD24" s="48">
        <f>(M24-L24)/L24</f>
        <v>-3.3374157991426824E-2</v>
      </c>
      <c r="AE24" s="48">
        <f>(T24-S24)/S24</f>
        <v>-8.0261798139855317E-2</v>
      </c>
      <c r="AF24" s="48" t="e">
        <f>(#REF!-#REF!)/#REF!</f>
        <v>#REF!</v>
      </c>
    </row>
    <row r="25" spans="1:32" x14ac:dyDescent="0.3">
      <c r="A25" s="48">
        <v>20180201</v>
      </c>
      <c r="B25" s="48" t="s">
        <v>88</v>
      </c>
      <c r="C25" s="79">
        <v>0.3</v>
      </c>
      <c r="D25" s="79">
        <f t="shared" si="1"/>
        <v>0.22862253036865848</v>
      </c>
      <c r="E25" s="49">
        <v>2495000</v>
      </c>
      <c r="F25" s="49">
        <v>2491000</v>
      </c>
      <c r="G25" s="49">
        <v>129098494</v>
      </c>
      <c r="H25" s="49">
        <f t="shared" si="2"/>
        <v>0.32765965513109302</v>
      </c>
      <c r="I25" s="49">
        <f t="shared" si="8"/>
        <v>0.32765965513109302</v>
      </c>
      <c r="J25" s="48">
        <v>0.3</v>
      </c>
      <c r="K25" s="48">
        <f t="shared" si="3"/>
        <v>0.31072139343271943</v>
      </c>
      <c r="L25" s="48">
        <v>315700</v>
      </c>
      <c r="M25" s="48">
        <v>299800</v>
      </c>
      <c r="N25" s="51">
        <v>122666424</v>
      </c>
      <c r="O25" s="48">
        <f t="shared" si="4"/>
        <v>3.8941499327021099</v>
      </c>
      <c r="P25" s="48">
        <f t="shared" si="9"/>
        <v>3.8941499327021099</v>
      </c>
      <c r="Q25" s="49">
        <v>0.4</v>
      </c>
      <c r="R25" s="49">
        <f t="shared" si="5"/>
        <v>0.46065607619862214</v>
      </c>
      <c r="S25" s="49">
        <v>267000</v>
      </c>
      <c r="T25" s="49">
        <v>245400</v>
      </c>
      <c r="U25" s="49">
        <v>15956260</v>
      </c>
      <c r="V25" s="49">
        <f t="shared" si="6"/>
        <v>54.221307688347601</v>
      </c>
      <c r="W25" s="49">
        <f t="shared" si="10"/>
        <v>54.221307688347601</v>
      </c>
      <c r="X25" s="82">
        <f>IF(Z24&lt;&gt;(E25*G25*H25+L25*N25*O25+S25*U25*V25),1,0)</f>
        <v>0</v>
      </c>
      <c r="Y25" s="82">
        <f>IF(AND(X25=0,B25="N"),Y24,Y24*(E25*G25*I25+L25*N25*P25+S25*U25*W25)/Z24)</f>
        <v>359694129413599.69</v>
      </c>
      <c r="Z25" s="81">
        <f t="shared" si="11"/>
        <v>460891656534678.56</v>
      </c>
      <c r="AA25" s="80">
        <f t="shared" si="0"/>
        <v>1281.3432826553458</v>
      </c>
      <c r="AB25" s="52">
        <f t="shared" si="7"/>
        <v>-5.4277906390363478E-2</v>
      </c>
      <c r="AC25" s="48">
        <f>(F25-E25)/E25</f>
        <v>-1.6032064128256513E-3</v>
      </c>
      <c r="AD25" s="48">
        <f>(M25-L25)/L25</f>
        <v>-5.0364269876465001E-2</v>
      </c>
      <c r="AE25" s="48">
        <f>(T25-S25)/S25</f>
        <v>-8.0898876404494377E-2</v>
      </c>
      <c r="AF25" s="48" t="e">
        <f>(#REF!-#REF!)/#REF!</f>
        <v>#REF!</v>
      </c>
    </row>
    <row r="26" spans="1:32" x14ac:dyDescent="0.3">
      <c r="A26" s="48">
        <v>20180202</v>
      </c>
      <c r="B26" s="48" t="s">
        <v>88</v>
      </c>
      <c r="C26" s="79">
        <v>0.3</v>
      </c>
      <c r="D26" s="79">
        <f t="shared" si="1"/>
        <v>0.21742428379899162</v>
      </c>
      <c r="E26" s="49">
        <v>2491000</v>
      </c>
      <c r="F26" s="49">
        <v>2385000</v>
      </c>
      <c r="G26" s="49">
        <v>129098494</v>
      </c>
      <c r="H26" s="49">
        <f t="shared" si="2"/>
        <v>0.32765965513109302</v>
      </c>
      <c r="I26" s="49">
        <f t="shared" si="8"/>
        <v>0.32765965513109302</v>
      </c>
      <c r="J26" s="48">
        <v>0.3</v>
      </c>
      <c r="K26" s="48">
        <f t="shared" si="3"/>
        <v>0.31028239889921427</v>
      </c>
      <c r="L26" s="48">
        <v>299800</v>
      </c>
      <c r="M26" s="48">
        <v>301400</v>
      </c>
      <c r="N26" s="51">
        <v>122666424</v>
      </c>
      <c r="O26" s="48">
        <f t="shared" si="4"/>
        <v>3.8941499327021099</v>
      </c>
      <c r="P26" s="48">
        <f t="shared" si="9"/>
        <v>3.8941499327021099</v>
      </c>
      <c r="Q26" s="49">
        <v>0.4</v>
      </c>
      <c r="R26" s="49">
        <f t="shared" si="5"/>
        <v>0.47229331730179419</v>
      </c>
      <c r="S26" s="49">
        <v>245400</v>
      </c>
      <c r="T26" s="49">
        <v>253300</v>
      </c>
      <c r="U26" s="49">
        <v>15956260</v>
      </c>
      <c r="V26" s="49">
        <f t="shared" si="6"/>
        <v>54.221307688347601</v>
      </c>
      <c r="W26" s="49">
        <f t="shared" si="10"/>
        <v>54.221307688347601</v>
      </c>
      <c r="X26" s="82">
        <f>IF(Z25&lt;&gt;(E26*G26*H26+L26*N26*O26+S26*U26*V26),1,0)</f>
        <v>0</v>
      </c>
      <c r="Y26" s="82">
        <f>IF(AND(X26=0,B26="N"),Y25,Y25*(E26*G26*I26+L26*N26*P26+S26*U26*W26)/Z25)</f>
        <v>359694129413599.69</v>
      </c>
      <c r="Z26" s="81">
        <f t="shared" si="11"/>
        <v>464006945174992</v>
      </c>
      <c r="AA26" s="80">
        <f t="shared" si="0"/>
        <v>1290.0042208958232</v>
      </c>
      <c r="AB26" s="52">
        <f t="shared" si="7"/>
        <v>6.7592645606486109E-3</v>
      </c>
      <c r="AC26" s="48">
        <f>(F26-E26)/E26</f>
        <v>-4.2553191489361701E-2</v>
      </c>
      <c r="AD26" s="48">
        <f>(M26-L26)/L26</f>
        <v>5.3368912608405599E-3</v>
      </c>
      <c r="AE26" s="48">
        <f>(T26-S26)/S26</f>
        <v>3.2192339038304811E-2</v>
      </c>
      <c r="AF26" s="48" t="e">
        <f>(#REF!-#REF!)/#REF!</f>
        <v>#REF!</v>
      </c>
    </row>
    <row r="27" spans="1:32" x14ac:dyDescent="0.3">
      <c r="A27" s="48">
        <v>20180205</v>
      </c>
      <c r="B27" s="48" t="s">
        <v>88</v>
      </c>
      <c r="C27" s="79">
        <v>0.3</v>
      </c>
      <c r="D27" s="79">
        <f t="shared" si="1"/>
        <v>0.23856147116777177</v>
      </c>
      <c r="E27" s="49">
        <v>2385000</v>
      </c>
      <c r="F27" s="49">
        <v>2396000</v>
      </c>
      <c r="G27" s="49">
        <v>129098494</v>
      </c>
      <c r="H27" s="49">
        <f t="shared" si="2"/>
        <v>0.32765965513109302</v>
      </c>
      <c r="I27" s="49">
        <f t="shared" si="8"/>
        <v>0.32765965513109302</v>
      </c>
      <c r="J27" s="48">
        <v>0.3</v>
      </c>
      <c r="K27" s="48">
        <f t="shared" si="3"/>
        <v>0.32156868630728425</v>
      </c>
      <c r="L27" s="48">
        <v>301400</v>
      </c>
      <c r="M27" s="48">
        <v>286000</v>
      </c>
      <c r="N27" s="51">
        <v>122666424</v>
      </c>
      <c r="O27" s="48">
        <f t="shared" si="4"/>
        <v>3.8941499327021099</v>
      </c>
      <c r="P27" s="48">
        <f t="shared" si="9"/>
        <v>3.8941499327021099</v>
      </c>
      <c r="Q27" s="49">
        <v>0.4</v>
      </c>
      <c r="R27" s="49">
        <f t="shared" si="5"/>
        <v>0.43986984252494404</v>
      </c>
      <c r="S27" s="49">
        <v>253300</v>
      </c>
      <c r="T27" s="49">
        <v>216000</v>
      </c>
      <c r="U27" s="49">
        <v>15956260</v>
      </c>
      <c r="V27" s="49">
        <f t="shared" si="6"/>
        <v>54.221307688347601</v>
      </c>
      <c r="W27" s="49">
        <f t="shared" si="10"/>
        <v>54.221307688347601</v>
      </c>
      <c r="X27" s="82">
        <f>IF(Z26&lt;&gt;(E27*G27*H27+L27*N27*O27+S27*U27*V27),1,0)</f>
        <v>0</v>
      </c>
      <c r="Y27" s="82">
        <f>IF(AND(X27=0,B27="N"),Y26,Y26*(E27*G27*I27+L27*N27*P27+S27*U27*W27)/Z26)</f>
        <v>359694129413599.69</v>
      </c>
      <c r="Z27" s="81">
        <f t="shared" si="11"/>
        <v>424845140686592.25</v>
      </c>
      <c r="AA27" s="80">
        <f t="shared" si="0"/>
        <v>1181.1289257881597</v>
      </c>
      <c r="AB27" s="52">
        <f t="shared" si="7"/>
        <v>-8.439917741668844E-2</v>
      </c>
      <c r="AC27" s="48">
        <f>(F27-E27)/E27</f>
        <v>4.6121593291404616E-3</v>
      </c>
      <c r="AD27" s="48">
        <f>(M27-L27)/L27</f>
        <v>-5.1094890510948905E-2</v>
      </c>
      <c r="AE27" s="48">
        <f>(T27-S27)/S27</f>
        <v>-0.14725621792341098</v>
      </c>
      <c r="AF27" s="48" t="e">
        <f>(#REF!-#REF!)/#REF!</f>
        <v>#REF!</v>
      </c>
    </row>
    <row r="28" spans="1:32" x14ac:dyDescent="0.3">
      <c r="A28" s="48">
        <v>20180206</v>
      </c>
      <c r="B28" s="48" t="s">
        <v>88</v>
      </c>
      <c r="C28" s="79">
        <v>0.3</v>
      </c>
      <c r="D28" s="79">
        <f t="shared" si="1"/>
        <v>0.22999116132254543</v>
      </c>
      <c r="E28" s="49">
        <v>2396000</v>
      </c>
      <c r="F28" s="49">
        <v>2371000</v>
      </c>
      <c r="G28" s="49">
        <v>129098494</v>
      </c>
      <c r="H28" s="49">
        <f t="shared" si="2"/>
        <v>0.32765965513109302</v>
      </c>
      <c r="I28" s="49">
        <f t="shared" si="8"/>
        <v>0.32765965513109302</v>
      </c>
      <c r="J28" s="48">
        <v>0.3</v>
      </c>
      <c r="K28" s="48">
        <f t="shared" si="3"/>
        <v>0.31131345653537457</v>
      </c>
      <c r="L28" s="48">
        <v>286000</v>
      </c>
      <c r="M28" s="48">
        <v>284200</v>
      </c>
      <c r="N28" s="51">
        <v>122666424</v>
      </c>
      <c r="O28" s="48">
        <f t="shared" si="4"/>
        <v>3.8941499327021099</v>
      </c>
      <c r="P28" s="48">
        <f t="shared" si="9"/>
        <v>3.8941499327021099</v>
      </c>
      <c r="Q28" s="49">
        <v>0.4</v>
      </c>
      <c r="R28" s="49">
        <f t="shared" si="5"/>
        <v>0.45869538214208005</v>
      </c>
      <c r="S28" s="49">
        <v>216000</v>
      </c>
      <c r="T28" s="49">
        <v>231200</v>
      </c>
      <c r="U28" s="49">
        <v>15956260</v>
      </c>
      <c r="V28" s="49">
        <f t="shared" si="6"/>
        <v>54.221307688347601</v>
      </c>
      <c r="W28" s="49">
        <f t="shared" si="10"/>
        <v>54.221307688347601</v>
      </c>
      <c r="X28" s="82">
        <f>IF(Z27&lt;&gt;(E28*G28*H28+L28*N28*O28+S28*U28*V28),1,0)</f>
        <v>0</v>
      </c>
      <c r="Y28" s="82">
        <f>IF(AND(X28=0,B28="N"),Y27,Y27*(E28*G28*I28+L28*N28*P28+S28*U28*W28)/Z27)</f>
        <v>359694129413599.69</v>
      </c>
      <c r="Z28" s="81">
        <f t="shared" si="11"/>
        <v>436078377983698.87</v>
      </c>
      <c r="AA28" s="80">
        <f t="shared" si="0"/>
        <v>1212.3588969734549</v>
      </c>
      <c r="AB28" s="52">
        <f t="shared" si="7"/>
        <v>2.6440780937149296E-2</v>
      </c>
      <c r="AC28" s="48">
        <f>(F28-E28)/E28</f>
        <v>-1.0434056761268781E-2</v>
      </c>
      <c r="AD28" s="48">
        <f>(M28-L28)/L28</f>
        <v>-6.2937062937062941E-3</v>
      </c>
      <c r="AE28" s="48">
        <f>(T28-S28)/S28</f>
        <v>7.0370370370370375E-2</v>
      </c>
      <c r="AF28" s="48" t="e">
        <f>(#REF!-#REF!)/#REF!</f>
        <v>#REF!</v>
      </c>
    </row>
    <row r="29" spans="1:32" x14ac:dyDescent="0.3">
      <c r="A29" s="48">
        <v>20180207</v>
      </c>
      <c r="B29" s="48" t="s">
        <v>88</v>
      </c>
      <c r="C29" s="79">
        <v>0.3</v>
      </c>
      <c r="D29" s="79">
        <f t="shared" si="1"/>
        <v>0.2416622113909746</v>
      </c>
      <c r="E29" s="49">
        <v>2371000</v>
      </c>
      <c r="F29" s="49">
        <v>2290000</v>
      </c>
      <c r="G29" s="49">
        <v>129098494</v>
      </c>
      <c r="H29" s="49">
        <f t="shared" si="2"/>
        <v>0.32765965513109302</v>
      </c>
      <c r="I29" s="49">
        <f t="shared" si="8"/>
        <v>0.32765965513109302</v>
      </c>
      <c r="J29" s="48">
        <v>0.3</v>
      </c>
      <c r="K29" s="48">
        <f t="shared" si="3"/>
        <v>0.30507558726210021</v>
      </c>
      <c r="L29" s="48">
        <v>284200</v>
      </c>
      <c r="M29" s="48">
        <v>256000</v>
      </c>
      <c r="N29" s="51">
        <v>122666424</v>
      </c>
      <c r="O29" s="48">
        <f t="shared" si="4"/>
        <v>3.8941499327021099</v>
      </c>
      <c r="P29" s="48">
        <f t="shared" si="9"/>
        <v>3.8941499327021099</v>
      </c>
      <c r="Q29" s="49">
        <v>0.4</v>
      </c>
      <c r="R29" s="49">
        <f t="shared" si="5"/>
        <v>0.45326220134692519</v>
      </c>
      <c r="S29" s="49">
        <v>231200</v>
      </c>
      <c r="T29" s="49">
        <v>210000</v>
      </c>
      <c r="U29" s="49">
        <v>15956260</v>
      </c>
      <c r="V29" s="49">
        <f t="shared" si="6"/>
        <v>54.221307688347601</v>
      </c>
      <c r="W29" s="49">
        <f t="shared" si="10"/>
        <v>54.221307688347601</v>
      </c>
      <c r="X29" s="82">
        <f>IF(Z28&lt;&gt;(E29*G29*H29+L29*N29*O29+S29*U29*V29),1,0)</f>
        <v>0</v>
      </c>
      <c r="Y29" s="82">
        <f>IF(AND(X29=0,B29="N"),Y28,Y28*(E29*G29*I29+L29*N29*P29+S29*U29*W29)/Z28)</f>
        <v>359694129413599.69</v>
      </c>
      <c r="Z29" s="81">
        <f t="shared" si="11"/>
        <v>400839842575238.12</v>
      </c>
      <c r="AA29" s="80">
        <f t="shared" si="0"/>
        <v>1114.3908387626932</v>
      </c>
      <c r="AB29" s="52">
        <f t="shared" si="7"/>
        <v>-8.0807802421651004E-2</v>
      </c>
      <c r="AC29" s="48">
        <f>(F29-E29)/E29</f>
        <v>-3.4162800506115566E-2</v>
      </c>
      <c r="AD29" s="48">
        <f>(M29-L29)/L29</f>
        <v>-9.9225897255453901E-2</v>
      </c>
      <c r="AE29" s="48">
        <f>(T29-S29)/S29</f>
        <v>-9.1695501730103809E-2</v>
      </c>
      <c r="AF29" s="48" t="e">
        <f>(#REF!-#REF!)/#REF!</f>
        <v>#REF!</v>
      </c>
    </row>
    <row r="30" spans="1:32" s="64" customFormat="1" x14ac:dyDescent="0.3">
      <c r="A30" s="65">
        <v>20180208</v>
      </c>
      <c r="B30" s="48" t="s">
        <v>88</v>
      </c>
      <c r="C30" s="79">
        <v>0.3</v>
      </c>
      <c r="D30" s="79">
        <f t="shared" si="1"/>
        <v>0.23277384293567302</v>
      </c>
      <c r="E30" s="49">
        <v>2290000</v>
      </c>
      <c r="F30" s="49">
        <v>2300000</v>
      </c>
      <c r="G30" s="49">
        <v>128386494</v>
      </c>
      <c r="H30" s="49">
        <f t="shared" si="2"/>
        <v>0.32765965513109302</v>
      </c>
      <c r="I30" s="49">
        <f t="shared" si="8"/>
        <v>0.27022834491970299</v>
      </c>
      <c r="J30" s="48">
        <v>0.3</v>
      </c>
      <c r="K30" s="48">
        <f t="shared" si="3"/>
        <v>0.31017758589114841</v>
      </c>
      <c r="L30" s="48">
        <v>256000</v>
      </c>
      <c r="M30" s="48">
        <v>271400</v>
      </c>
      <c r="N30" s="51">
        <v>122666424</v>
      </c>
      <c r="O30" s="48">
        <f t="shared" si="4"/>
        <v>3.8941499327021099</v>
      </c>
      <c r="P30" s="48">
        <f t="shared" si="9"/>
        <v>3.1938812395917999</v>
      </c>
      <c r="Q30" s="49">
        <v>0.4</v>
      </c>
      <c r="R30" s="49">
        <f t="shared" si="5"/>
        <v>0.45704857117317849</v>
      </c>
      <c r="S30" s="49">
        <v>210000</v>
      </c>
      <c r="T30" s="49">
        <v>220800</v>
      </c>
      <c r="U30" s="49">
        <v>15956260</v>
      </c>
      <c r="V30" s="49">
        <f t="shared" si="6"/>
        <v>54.221307688347601</v>
      </c>
      <c r="W30" s="49">
        <f t="shared" si="10"/>
        <v>44.470916735294502</v>
      </c>
      <c r="X30" s="82">
        <f>IF(Z29&lt;&gt;(E30*G30*H30+L30*N30*O30+S30*U30*V30),1,0)</f>
        <v>1</v>
      </c>
      <c r="Y30" s="82">
        <f>IF(AND(X30=0,B30="N"),Y29,Y29*(E30*G30*I30+L30*N30*P30+S30*U30*W30)/Z29)</f>
        <v>295011838727084.5</v>
      </c>
      <c r="Z30" s="81">
        <f t="shared" si="11"/>
        <v>342802436459655</v>
      </c>
      <c r="AA30" s="80">
        <f t="shared" si="0"/>
        <v>1161.995525124609</v>
      </c>
      <c r="AB30" s="52">
        <f t="shared" si="7"/>
        <v>4.2718124293601729E-2</v>
      </c>
      <c r="AC30" s="48">
        <f>(F30-E30)/E30</f>
        <v>4.3668122270742356E-3</v>
      </c>
      <c r="AD30" s="48">
        <f>(M30-L30)/L30</f>
        <v>6.0156250000000001E-2</v>
      </c>
      <c r="AE30" s="48">
        <f>(T30-S30)/S30</f>
        <v>5.1428571428571428E-2</v>
      </c>
      <c r="AF30" s="48" t="e">
        <f>(#REF!-#REF!)/#REF!</f>
        <v>#REF!</v>
      </c>
    </row>
    <row r="31" spans="1:32" s="47" customFormat="1" x14ac:dyDescent="0.3">
      <c r="A31" s="48">
        <v>20180209</v>
      </c>
      <c r="B31" s="48" t="s">
        <v>88</v>
      </c>
      <c r="C31" s="79">
        <v>0.3</v>
      </c>
      <c r="D31" s="79">
        <f t="shared" si="1"/>
        <v>0.23145177975666004</v>
      </c>
      <c r="E31" s="49">
        <v>2300000</v>
      </c>
      <c r="F31" s="49">
        <v>2235000</v>
      </c>
      <c r="G31" s="49">
        <v>128386494</v>
      </c>
      <c r="H31" s="49">
        <f t="shared" si="2"/>
        <v>0.27022834491970299</v>
      </c>
      <c r="I31" s="49">
        <f t="shared" si="8"/>
        <v>0.26180432470833498</v>
      </c>
      <c r="J31" s="48">
        <v>0.3</v>
      </c>
      <c r="K31" s="48">
        <f t="shared" si="3"/>
        <v>0.33667411100715755</v>
      </c>
      <c r="L31" s="74">
        <v>271500</v>
      </c>
      <c r="M31" s="74">
        <v>288000</v>
      </c>
      <c r="N31" s="67">
        <v>122666424</v>
      </c>
      <c r="O31" s="48">
        <f t="shared" si="4"/>
        <v>3.1938812395917999</v>
      </c>
      <c r="P31" s="48">
        <f t="shared" si="9"/>
        <v>3.0931763989707699</v>
      </c>
      <c r="Q31" s="49">
        <v>0.4</v>
      </c>
      <c r="R31" s="49">
        <f t="shared" si="5"/>
        <v>0.43187410923618236</v>
      </c>
      <c r="S31" s="49">
        <v>220800</v>
      </c>
      <c r="T31" s="49">
        <v>203900</v>
      </c>
      <c r="U31" s="49">
        <v>15956260</v>
      </c>
      <c r="V31" s="49">
        <f t="shared" si="6"/>
        <v>44.470916735294502</v>
      </c>
      <c r="W31" s="49">
        <f t="shared" si="10"/>
        <v>43.084593248365302</v>
      </c>
      <c r="X31" s="82">
        <f>IF(Z30&lt;&gt;(E31*G31*H31+L31*N31*O31+S31*U31*V31),1,0)</f>
        <v>1</v>
      </c>
      <c r="Y31" s="82">
        <f>IF(AND(X31=0,B31="N"),Y30,Y30*(E31*G31*I31+L31*N31*P31+S31*U31*W31)/Z30)</f>
        <v>285815225052940.5</v>
      </c>
      <c r="Z31" s="81">
        <f t="shared" si="11"/>
        <v>324573574487300.06</v>
      </c>
      <c r="AA31" s="80">
        <f t="shared" si="0"/>
        <v>1135.6063149791285</v>
      </c>
      <c r="AB31" s="52">
        <f t="shared" si="7"/>
        <v>-2.2710251093824692E-2</v>
      </c>
      <c r="AC31" s="48">
        <f>(F31-E31)/E31</f>
        <v>-2.8260869565217391E-2</v>
      </c>
      <c r="AD31" s="48">
        <f>(M31-L31)/L31</f>
        <v>6.0773480662983423E-2</v>
      </c>
      <c r="AE31" s="48">
        <f>(T31-S31)/S31</f>
        <v>-7.6539855072463775E-2</v>
      </c>
      <c r="AF31" s="48" t="e">
        <f>(#REF!-#REF!)/#REF!</f>
        <v>#REF!</v>
      </c>
    </row>
    <row r="32" spans="1:32" x14ac:dyDescent="0.3">
      <c r="A32" s="48">
        <v>20180212</v>
      </c>
      <c r="B32" s="48" t="s">
        <v>88</v>
      </c>
      <c r="C32" s="79">
        <v>0.3</v>
      </c>
      <c r="D32" s="79">
        <f t="shared" si="1"/>
        <v>0.2256924206836653</v>
      </c>
      <c r="E32" s="49">
        <v>2235000</v>
      </c>
      <c r="F32" s="49">
        <v>2286000</v>
      </c>
      <c r="G32" s="49">
        <v>128386494</v>
      </c>
      <c r="H32" s="49">
        <f t="shared" si="2"/>
        <v>0.26180432470833498</v>
      </c>
      <c r="I32" s="49">
        <f t="shared" si="8"/>
        <v>0.26180432470833498</v>
      </c>
      <c r="J32" s="48">
        <v>0.3</v>
      </c>
      <c r="K32" s="48">
        <f t="shared" si="3"/>
        <v>0.33713230093745244</v>
      </c>
      <c r="L32" s="48">
        <v>288000</v>
      </c>
      <c r="M32" s="48">
        <v>302500</v>
      </c>
      <c r="N32" s="51">
        <v>122666424</v>
      </c>
      <c r="O32" s="48">
        <f t="shared" si="4"/>
        <v>3.0931763989707699</v>
      </c>
      <c r="P32" s="48">
        <f t="shared" si="9"/>
        <v>3.0931763989707699</v>
      </c>
      <c r="Q32" s="49">
        <v>0.4</v>
      </c>
      <c r="R32" s="49">
        <f t="shared" si="5"/>
        <v>0.43717527837888226</v>
      </c>
      <c r="S32" s="49">
        <v>203900</v>
      </c>
      <c r="T32" s="49">
        <v>216500</v>
      </c>
      <c r="U32" s="49">
        <v>15956260</v>
      </c>
      <c r="V32" s="49">
        <f t="shared" si="6"/>
        <v>43.084593248365302</v>
      </c>
      <c r="W32" s="49">
        <f t="shared" si="10"/>
        <v>43.084593248365302</v>
      </c>
      <c r="X32" s="82">
        <f>IF(Z31&lt;&gt;(E32*G32*H32+L32*N32*O32+S32*U32*V32),1,0)</f>
        <v>0</v>
      </c>
      <c r="Y32" s="82">
        <f>IF(AND(X32=0,B32="N"),Y31,Y31*(E32*G32*I32+L32*N32*P32+S32*U32*W32)/Z31)</f>
        <v>285815225052940.5</v>
      </c>
      <c r="Z32" s="81">
        <f t="shared" si="11"/>
        <v>340451621511444.12</v>
      </c>
      <c r="AA32" s="80">
        <f t="shared" si="0"/>
        <v>1191.159853182711</v>
      </c>
      <c r="AB32" s="52">
        <f t="shared" si="7"/>
        <v>4.8919715812432388E-2</v>
      </c>
      <c r="AC32" s="48">
        <f>(F32-E32)/E32</f>
        <v>2.2818791946308724E-2</v>
      </c>
      <c r="AD32" s="48">
        <f>(M32-L32)/L32</f>
        <v>5.0347222222222224E-2</v>
      </c>
      <c r="AE32" s="48">
        <f>(T32-S32)/S32</f>
        <v>6.1794997547817559E-2</v>
      </c>
      <c r="AF32" s="48" t="e">
        <f>(#REF!-#REF!)/#REF!</f>
        <v>#REF!</v>
      </c>
    </row>
    <row r="33" spans="1:32" x14ac:dyDescent="0.3">
      <c r="A33" s="48">
        <v>20180213</v>
      </c>
      <c r="B33" s="48" t="s">
        <v>88</v>
      </c>
      <c r="C33" s="79">
        <v>0.3</v>
      </c>
      <c r="D33" s="79">
        <f t="shared" si="1"/>
        <v>0.2427865324524677</v>
      </c>
      <c r="E33" s="49">
        <v>2286000</v>
      </c>
      <c r="F33" s="49">
        <v>2377000</v>
      </c>
      <c r="G33" s="49">
        <v>128386494</v>
      </c>
      <c r="H33" s="49">
        <f t="shared" si="2"/>
        <v>0.26180432470833498</v>
      </c>
      <c r="I33" s="49">
        <f t="shared" si="8"/>
        <v>0.26180432470833498</v>
      </c>
      <c r="J33" s="48">
        <v>0.3</v>
      </c>
      <c r="K33" s="48">
        <f t="shared" si="3"/>
        <v>0.33898226577411811</v>
      </c>
      <c r="L33" s="48">
        <v>302500</v>
      </c>
      <c r="M33" s="48">
        <v>294000</v>
      </c>
      <c r="N33" s="51">
        <v>122666424</v>
      </c>
      <c r="O33" s="48">
        <f t="shared" si="4"/>
        <v>3.0931763989707699</v>
      </c>
      <c r="P33" s="48">
        <f t="shared" si="9"/>
        <v>3.0931763989707699</v>
      </c>
      <c r="Q33" s="49">
        <v>0.4</v>
      </c>
      <c r="R33" s="49">
        <f t="shared" si="5"/>
        <v>0.41823120177341416</v>
      </c>
      <c r="S33" s="49">
        <v>216500</v>
      </c>
      <c r="T33" s="49">
        <v>200200</v>
      </c>
      <c r="U33" s="49">
        <v>15956260</v>
      </c>
      <c r="V33" s="49">
        <f t="shared" si="6"/>
        <v>43.084593248365302</v>
      </c>
      <c r="W33" s="49">
        <f t="shared" si="10"/>
        <v>43.084593248365302</v>
      </c>
      <c r="X33" s="82">
        <f>IF(Z32&lt;&gt;(E33*G33*H33+L33*N33*O33+S33*U33*V33),1,0)</f>
        <v>0</v>
      </c>
      <c r="Y33" s="82">
        <f>IF(AND(X33=0,B33="N"),Y32,Y32*(E33*G33*I33+L33*N33*P33+S33*U33*W33)/Z32)</f>
        <v>285815225052940.5</v>
      </c>
      <c r="Z33" s="81">
        <f t="shared" si="11"/>
        <v>329079436406971</v>
      </c>
      <c r="AA33" s="80">
        <f t="shared" si="0"/>
        <v>1151.3712621362868</v>
      </c>
      <c r="AB33" s="52">
        <f t="shared" si="7"/>
        <v>-3.3403233781017221E-2</v>
      </c>
      <c r="AC33" s="48">
        <f>(F33-E33)/E33</f>
        <v>3.9807524059492561E-2</v>
      </c>
      <c r="AD33" s="48">
        <f>(M33-L33)/L33</f>
        <v>-2.809917355371901E-2</v>
      </c>
      <c r="AE33" s="48">
        <f>(T33-S33)/S33</f>
        <v>-7.5288683602771356E-2</v>
      </c>
      <c r="AF33" s="48" t="e">
        <f>(#REF!-#REF!)/#REF!</f>
        <v>#REF!</v>
      </c>
    </row>
    <row r="34" spans="1:32" x14ac:dyDescent="0.3">
      <c r="A34" s="48">
        <v>20180214</v>
      </c>
      <c r="B34" s="48" t="s">
        <v>88</v>
      </c>
      <c r="C34" s="79">
        <v>0.3</v>
      </c>
      <c r="D34" s="79">
        <f t="shared" si="1"/>
        <v>0.24060236377864042</v>
      </c>
      <c r="E34" s="49">
        <v>2377000</v>
      </c>
      <c r="F34" s="49">
        <v>2450000</v>
      </c>
      <c r="G34" s="49">
        <v>128386494</v>
      </c>
      <c r="H34" s="49">
        <f t="shared" si="2"/>
        <v>0.26180432470833498</v>
      </c>
      <c r="I34" s="49">
        <f t="shared" si="8"/>
        <v>0.26180432470833498</v>
      </c>
      <c r="J34" s="48">
        <v>0.3</v>
      </c>
      <c r="K34" s="48">
        <f t="shared" si="3"/>
        <v>0.34643205029032387</v>
      </c>
      <c r="L34" s="48">
        <v>294000</v>
      </c>
      <c r="M34" s="48">
        <v>312500</v>
      </c>
      <c r="N34" s="51">
        <v>122666424</v>
      </c>
      <c r="O34" s="48">
        <f t="shared" si="4"/>
        <v>3.0931763989707699</v>
      </c>
      <c r="P34" s="48">
        <f t="shared" si="9"/>
        <v>3.0931763989707699</v>
      </c>
      <c r="Q34" s="49">
        <v>0.4</v>
      </c>
      <c r="R34" s="49">
        <f t="shared" si="5"/>
        <v>0.41296558593103572</v>
      </c>
      <c r="S34" s="49">
        <v>200200</v>
      </c>
      <c r="T34" s="49">
        <v>205600</v>
      </c>
      <c r="U34" s="49">
        <v>15956260</v>
      </c>
      <c r="V34" s="49">
        <f t="shared" si="6"/>
        <v>43.084593248365302</v>
      </c>
      <c r="W34" s="49">
        <f t="shared" si="10"/>
        <v>43.084593248365302</v>
      </c>
      <c r="X34" s="82">
        <f>IF(Z33&lt;&gt;(E34*G34*H34+L34*N34*O34+S34*U34*V34),1,0)</f>
        <v>0</v>
      </c>
      <c r="Y34" s="82">
        <f>IF(AND(X34=0,B34="N"),Y33,Y33*(E34*G34*I34+L34*N34*P34+S34*U34*W34)/Z33)</f>
        <v>285815225052940.5</v>
      </c>
      <c r="Z34" s="81">
        <f t="shared" si="11"/>
        <v>342264889450331.12</v>
      </c>
      <c r="AA34" s="80">
        <f t="shared" si="0"/>
        <v>1197.5040496423333</v>
      </c>
      <c r="AB34" s="52">
        <f t="shared" si="7"/>
        <v>4.0067690607850003E-2</v>
      </c>
      <c r="AC34" s="48">
        <f>(F34-E34)/E34</f>
        <v>3.0710980227177113E-2</v>
      </c>
      <c r="AD34" s="48">
        <f>(M34-L34)/L34</f>
        <v>6.2925170068027211E-2</v>
      </c>
      <c r="AE34" s="48">
        <f>(T34-S34)/S34</f>
        <v>2.6973026973026972E-2</v>
      </c>
      <c r="AF34" s="48" t="e">
        <f>(#REF!-#REF!)/#REF!</f>
        <v>#REF!</v>
      </c>
    </row>
    <row r="35" spans="1:32" x14ac:dyDescent="0.3">
      <c r="A35" s="48">
        <v>20180219</v>
      </c>
      <c r="B35" s="48" t="s">
        <v>88</v>
      </c>
      <c r="C35" s="79">
        <v>0.3</v>
      </c>
      <c r="D35" s="79">
        <f t="shared" si="1"/>
        <v>0.23079359931777443</v>
      </c>
      <c r="E35" s="49">
        <v>2450000</v>
      </c>
      <c r="F35" s="49">
        <v>2419000</v>
      </c>
      <c r="G35" s="49">
        <v>128386494</v>
      </c>
      <c r="H35" s="49">
        <f t="shared" si="2"/>
        <v>0.26180432470833498</v>
      </c>
      <c r="I35" s="49">
        <f t="shared" si="8"/>
        <v>0.26180432470833498</v>
      </c>
      <c r="J35" s="48">
        <v>0.3</v>
      </c>
      <c r="K35" s="48">
        <f t="shared" si="3"/>
        <v>0.34087554340989573</v>
      </c>
      <c r="L35" s="48">
        <v>312500</v>
      </c>
      <c r="M35" s="48">
        <v>316500</v>
      </c>
      <c r="N35" s="51">
        <v>122666424</v>
      </c>
      <c r="O35" s="48">
        <f t="shared" si="4"/>
        <v>3.0931763989707699</v>
      </c>
      <c r="P35" s="48">
        <f t="shared" si="9"/>
        <v>3.0931763989707699</v>
      </c>
      <c r="Q35" s="49">
        <v>0.4</v>
      </c>
      <c r="R35" s="49">
        <f t="shared" si="5"/>
        <v>0.42833085727232972</v>
      </c>
      <c r="S35" s="49">
        <v>205600</v>
      </c>
      <c r="T35" s="49">
        <v>219500</v>
      </c>
      <c r="U35" s="49">
        <v>15956260</v>
      </c>
      <c r="V35" s="49">
        <f t="shared" si="6"/>
        <v>43.084593248365302</v>
      </c>
      <c r="W35" s="49">
        <f t="shared" si="10"/>
        <v>43.084593248365302</v>
      </c>
      <c r="X35" s="82">
        <f>IF(Z34&lt;&gt;(E35*G35*H35+L35*N35*O35+S35*U35*V35),1,0)</f>
        <v>0</v>
      </c>
      <c r="Y35" s="82">
        <f>IF(AND(X35=0,B35="N"),Y34,Y34*(E35*G35*I35+L35*N35*P35+S35*U35*W35)/Z34)</f>
        <v>285815225052940.5</v>
      </c>
      <c r="Z35" s="81">
        <f t="shared" si="11"/>
        <v>352296447389645.12</v>
      </c>
      <c r="AA35" s="80">
        <f t="shared" si="0"/>
        <v>1232.6021027200022</v>
      </c>
      <c r="AB35" s="52">
        <f t="shared" si="7"/>
        <v>2.9309339778977733E-2</v>
      </c>
      <c r="AC35" s="48">
        <f>(F35-E35)/E35</f>
        <v>-1.2653061224489797E-2</v>
      </c>
      <c r="AD35" s="48">
        <f>(M35-L35)/L35</f>
        <v>1.2800000000000001E-2</v>
      </c>
      <c r="AE35" s="48">
        <f>(T35-S35)/S35</f>
        <v>6.7607003891050579E-2</v>
      </c>
      <c r="AF35" s="48" t="e">
        <f>(#REF!-#REF!)/#REF!</f>
        <v>#REF!</v>
      </c>
    </row>
    <row r="36" spans="1:32" x14ac:dyDescent="0.3">
      <c r="A36" s="48">
        <v>20180220</v>
      </c>
      <c r="B36" s="48" t="s">
        <v>88</v>
      </c>
      <c r="C36" s="79">
        <v>0.3</v>
      </c>
      <c r="D36" s="79">
        <f t="shared" si="1"/>
        <v>0.23237384429680552</v>
      </c>
      <c r="E36" s="49">
        <v>2419000</v>
      </c>
      <c r="F36" s="49">
        <v>2370000</v>
      </c>
      <c r="G36" s="49">
        <v>128386494</v>
      </c>
      <c r="H36" s="49">
        <f t="shared" si="2"/>
        <v>0.26180432470833498</v>
      </c>
      <c r="I36" s="49">
        <f t="shared" si="8"/>
        <v>0.26180432470833498</v>
      </c>
      <c r="J36" s="48">
        <v>0.3</v>
      </c>
      <c r="K36" s="48">
        <f t="shared" si="3"/>
        <v>0.3364702861665933</v>
      </c>
      <c r="L36" s="48">
        <v>316500</v>
      </c>
      <c r="M36" s="48">
        <v>304000</v>
      </c>
      <c r="N36" s="51">
        <v>122666424</v>
      </c>
      <c r="O36" s="48">
        <f t="shared" si="4"/>
        <v>3.0931763989707699</v>
      </c>
      <c r="P36" s="48">
        <f t="shared" si="9"/>
        <v>3.0931763989707699</v>
      </c>
      <c r="Q36" s="49">
        <v>0.4</v>
      </c>
      <c r="R36" s="49">
        <f t="shared" si="5"/>
        <v>0.43115586953660118</v>
      </c>
      <c r="S36" s="49">
        <v>219500</v>
      </c>
      <c r="T36" s="49">
        <v>215000</v>
      </c>
      <c r="U36" s="49">
        <v>15956260</v>
      </c>
      <c r="V36" s="49">
        <f t="shared" si="6"/>
        <v>43.084593248365302</v>
      </c>
      <c r="W36" s="49">
        <f t="shared" si="10"/>
        <v>43.084593248365302</v>
      </c>
      <c r="X36" s="82">
        <f>IF(Z35&lt;&gt;(E36*G36*H36+L36*N36*O36+S36*U36*V36),1,0)</f>
        <v>0</v>
      </c>
      <c r="Y36" s="82">
        <f>IF(AND(X36=0,B36="N"),Y35,Y35*(E36*G36*I36+L36*N36*P36+S36*U36*W36)/Z35)</f>
        <v>285815225052940.5</v>
      </c>
      <c r="Z36" s="81">
        <f t="shared" si="11"/>
        <v>342812981091661.37</v>
      </c>
      <c r="AA36" s="80">
        <f t="shared" si="0"/>
        <v>1199.421692907239</v>
      </c>
      <c r="AB36" s="52">
        <f t="shared" si="7"/>
        <v>-2.6918994977814369E-2</v>
      </c>
      <c r="AC36" s="48">
        <f>(F36-E36)/E36</f>
        <v>-2.0256304257957835E-2</v>
      </c>
      <c r="AD36" s="48">
        <f>(M36-L36)/L36</f>
        <v>-3.9494470774091628E-2</v>
      </c>
      <c r="AE36" s="48">
        <f>(T36-S36)/S36</f>
        <v>-2.0501138952164009E-2</v>
      </c>
      <c r="AF36" s="48" t="e">
        <f>(#REF!-#REF!)/#REF!</f>
        <v>#REF!</v>
      </c>
    </row>
    <row r="37" spans="1:32" x14ac:dyDescent="0.3">
      <c r="A37" s="48">
        <v>20180221</v>
      </c>
      <c r="B37" s="48" t="s">
        <v>88</v>
      </c>
      <c r="C37" s="79">
        <v>0.3</v>
      </c>
      <c r="D37" s="79">
        <f t="shared" si="1"/>
        <v>0.22819853090373923</v>
      </c>
      <c r="E37" s="49">
        <v>2370000</v>
      </c>
      <c r="F37" s="49">
        <v>2364000</v>
      </c>
      <c r="G37" s="49">
        <v>128386494</v>
      </c>
      <c r="H37" s="49">
        <f t="shared" si="2"/>
        <v>0.26180432470833498</v>
      </c>
      <c r="I37" s="49">
        <f t="shared" si="8"/>
        <v>0.26180432470833498</v>
      </c>
      <c r="J37" s="48">
        <v>0.3</v>
      </c>
      <c r="K37" s="48">
        <f t="shared" si="3"/>
        <v>0.3350770854129046</v>
      </c>
      <c r="L37" s="48">
        <v>304000</v>
      </c>
      <c r="M37" s="48">
        <v>307500</v>
      </c>
      <c r="N37" s="51">
        <v>122666424</v>
      </c>
      <c r="O37" s="48">
        <f t="shared" si="4"/>
        <v>3.0931763989707699</v>
      </c>
      <c r="P37" s="48">
        <f t="shared" si="9"/>
        <v>3.0931763989707699</v>
      </c>
      <c r="Q37" s="49">
        <v>0.4</v>
      </c>
      <c r="R37" s="49">
        <f t="shared" si="5"/>
        <v>0.43672438368335625</v>
      </c>
      <c r="S37" s="49">
        <v>215000</v>
      </c>
      <c r="T37" s="49">
        <v>221200</v>
      </c>
      <c r="U37" s="49">
        <v>15956260</v>
      </c>
      <c r="V37" s="49">
        <f t="shared" si="6"/>
        <v>43.084593248365302</v>
      </c>
      <c r="W37" s="49">
        <f t="shared" si="10"/>
        <v>43.084593248365302</v>
      </c>
      <c r="X37" s="82">
        <f>IF(Z36&lt;&gt;(E37*G37*H37+L37*N37*O37+S37*U37*V37),1,0)</f>
        <v>0</v>
      </c>
      <c r="Y37" s="82">
        <f>IF(AND(X37=0,B37="N"),Y36,Y36*(E37*G37*I37+L37*N37*P37+S37*U37*W37)/Z36)</f>
        <v>285815225052940.5</v>
      </c>
      <c r="Z37" s="81">
        <f t="shared" si="11"/>
        <v>348201616987865.62</v>
      </c>
      <c r="AA37" s="80">
        <f t="shared" si="0"/>
        <v>1218.2752578116492</v>
      </c>
      <c r="AB37" s="52">
        <f t="shared" si="7"/>
        <v>1.5718879369866687E-2</v>
      </c>
      <c r="AC37" s="48">
        <f>(F37-E37)/E37</f>
        <v>-2.5316455696202532E-3</v>
      </c>
      <c r="AD37" s="48">
        <f>(M37-L37)/L37</f>
        <v>1.1513157894736841E-2</v>
      </c>
      <c r="AE37" s="48">
        <f>(T37-S37)/S37</f>
        <v>2.883720930232558E-2</v>
      </c>
      <c r="AF37" s="48" t="e">
        <f>(#REF!-#REF!)/#REF!</f>
        <v>#REF!</v>
      </c>
    </row>
    <row r="38" spans="1:32" x14ac:dyDescent="0.3">
      <c r="A38" s="48">
        <v>20180222</v>
      </c>
      <c r="B38" s="48" t="s">
        <v>88</v>
      </c>
      <c r="C38" s="79">
        <v>0.3</v>
      </c>
      <c r="D38" s="79">
        <f t="shared" si="1"/>
        <v>0.22711068383956176</v>
      </c>
      <c r="E38" s="49">
        <v>2364000</v>
      </c>
      <c r="F38" s="49">
        <v>2338000</v>
      </c>
      <c r="G38" s="49">
        <v>128386494</v>
      </c>
      <c r="H38" s="49">
        <f t="shared" si="2"/>
        <v>0.26180432470833498</v>
      </c>
      <c r="I38" s="49">
        <f t="shared" si="8"/>
        <v>0.26180432470833498</v>
      </c>
      <c r="J38" s="48">
        <v>0.3</v>
      </c>
      <c r="K38" s="48">
        <f t="shared" si="3"/>
        <v>0.33718823679247811</v>
      </c>
      <c r="L38" s="48">
        <v>307500</v>
      </c>
      <c r="M38" s="48">
        <v>307500</v>
      </c>
      <c r="N38" s="51">
        <v>122666424</v>
      </c>
      <c r="O38" s="48">
        <f t="shared" si="4"/>
        <v>3.0931763989707699</v>
      </c>
      <c r="P38" s="48">
        <f t="shared" si="9"/>
        <v>3.0931763989707699</v>
      </c>
      <c r="Q38" s="49">
        <v>0.4</v>
      </c>
      <c r="R38" s="49">
        <f t="shared" si="5"/>
        <v>0.4357010793679601</v>
      </c>
      <c r="S38" s="49">
        <v>221200</v>
      </c>
      <c r="T38" s="49">
        <v>219300</v>
      </c>
      <c r="U38" s="49">
        <v>15956260</v>
      </c>
      <c r="V38" s="49">
        <f t="shared" si="6"/>
        <v>43.084593248365302</v>
      </c>
      <c r="W38" s="49">
        <f t="shared" si="10"/>
        <v>43.084593248365302</v>
      </c>
      <c r="X38" s="82">
        <f>IF(Z37&lt;&gt;(E38*G38*H38+L38*N38*O38+S38*U38*V38),1,0)</f>
        <v>0</v>
      </c>
      <c r="Y38" s="82">
        <f>IF(AND(X38=0,B38="N"),Y37,Y37*(E38*G38*I38+L38*N38*P38+S38*U38*W38)/Z37)</f>
        <v>285815225052940.5</v>
      </c>
      <c r="Z38" s="81">
        <f t="shared" si="11"/>
        <v>346021510317875</v>
      </c>
      <c r="AA38" s="80">
        <f t="shared" si="0"/>
        <v>1210.6475792315916</v>
      </c>
      <c r="AB38" s="52">
        <f t="shared" si="7"/>
        <v>-6.261046944151979E-3</v>
      </c>
      <c r="AC38" s="48">
        <f>(F38-E38)/E38</f>
        <v>-1.0998307952622674E-2</v>
      </c>
      <c r="AD38" s="48">
        <f>(M38-L38)/L38</f>
        <v>0</v>
      </c>
      <c r="AE38" s="48">
        <f>(T38-S38)/S38</f>
        <v>-8.5895117540687165E-3</v>
      </c>
      <c r="AF38" s="48" t="e">
        <f>(#REF!-#REF!)/#REF!</f>
        <v>#REF!</v>
      </c>
    </row>
    <row r="39" spans="1:32" x14ac:dyDescent="0.3">
      <c r="A39" s="48">
        <v>20180223</v>
      </c>
      <c r="B39" s="48" t="s">
        <v>88</v>
      </c>
      <c r="C39" s="79">
        <v>0.3</v>
      </c>
      <c r="D39" s="79">
        <f t="shared" si="1"/>
        <v>0.2247370945531027</v>
      </c>
      <c r="E39" s="49">
        <v>2338000</v>
      </c>
      <c r="F39" s="49">
        <v>2361000</v>
      </c>
      <c r="G39" s="49">
        <v>128386494</v>
      </c>
      <c r="H39" s="49">
        <f t="shared" si="2"/>
        <v>0.26180432470833498</v>
      </c>
      <c r="I39" s="49">
        <f t="shared" si="8"/>
        <v>0.26180432470833498</v>
      </c>
      <c r="J39" s="48">
        <v>0.3</v>
      </c>
      <c r="K39" s="48">
        <f t="shared" si="3"/>
        <v>0.34169618652211703</v>
      </c>
      <c r="L39" s="48">
        <v>307500</v>
      </c>
      <c r="M39" s="48">
        <v>318000</v>
      </c>
      <c r="N39" s="51">
        <v>122666424</v>
      </c>
      <c r="O39" s="48">
        <f t="shared" si="4"/>
        <v>3.0931763989707699</v>
      </c>
      <c r="P39" s="48">
        <f t="shared" si="9"/>
        <v>3.0931763989707699</v>
      </c>
      <c r="Q39" s="49">
        <v>0.4</v>
      </c>
      <c r="R39" s="49">
        <f t="shared" si="5"/>
        <v>0.43356671892478027</v>
      </c>
      <c r="S39" s="49">
        <v>219300</v>
      </c>
      <c r="T39" s="49">
        <v>222700</v>
      </c>
      <c r="U39" s="49">
        <v>15956260</v>
      </c>
      <c r="V39" s="49">
        <f t="shared" si="6"/>
        <v>43.084593248365302</v>
      </c>
      <c r="W39" s="49">
        <f t="shared" si="10"/>
        <v>43.084593248365302</v>
      </c>
      <c r="X39" s="82">
        <f>IF(Z38&lt;&gt;(E39*G39*H39+L39*N39*O39+S39*U39*V39),1,0)</f>
        <v>0</v>
      </c>
      <c r="Y39" s="82">
        <f>IF(AND(X39=0,B39="N"),Y38,Y38*(E39*G39*I39+L39*N39*P39+S39*U39*W39)/Z38)</f>
        <v>285815225052940.5</v>
      </c>
      <c r="Z39" s="81">
        <f t="shared" si="11"/>
        <v>353115987348034.25</v>
      </c>
      <c r="AA39" s="80">
        <f t="shared" si="0"/>
        <v>1235.4694795654354</v>
      </c>
      <c r="AB39" s="52">
        <f t="shared" si="7"/>
        <v>2.0502994231895697E-2</v>
      </c>
      <c r="AC39" s="48">
        <f>(F39-E39)/E39</f>
        <v>9.8374679213002574E-3</v>
      </c>
      <c r="AD39" s="48">
        <f>(M39-L39)/L39</f>
        <v>3.4146341463414637E-2</v>
      </c>
      <c r="AE39" s="48">
        <f>(T39-S39)/S39</f>
        <v>1.5503875968992248E-2</v>
      </c>
      <c r="AF39" s="48" t="e">
        <f>(#REF!-#REF!)/#REF!</f>
        <v>#REF!</v>
      </c>
    </row>
    <row r="40" spans="1:32" x14ac:dyDescent="0.3">
      <c r="A40" s="48">
        <v>20180226</v>
      </c>
      <c r="B40" s="48" t="s">
        <v>88</v>
      </c>
      <c r="C40" s="79">
        <v>0.3</v>
      </c>
      <c r="D40" s="79">
        <f t="shared" si="1"/>
        <v>0.22260256219559763</v>
      </c>
      <c r="E40" s="49">
        <v>2361000</v>
      </c>
      <c r="F40" s="49">
        <v>2369000</v>
      </c>
      <c r="G40" s="49">
        <v>128386494</v>
      </c>
      <c r="H40" s="49">
        <f t="shared" si="2"/>
        <v>0.26180432470833498</v>
      </c>
      <c r="I40" s="49">
        <f t="shared" si="8"/>
        <v>0.26180432470833498</v>
      </c>
      <c r="J40" s="48">
        <v>0.3</v>
      </c>
      <c r="K40" s="48">
        <f t="shared" si="3"/>
        <v>0.34632394571774033</v>
      </c>
      <c r="L40" s="48">
        <v>318000</v>
      </c>
      <c r="M40" s="48">
        <v>326500</v>
      </c>
      <c r="N40" s="51">
        <v>122666424</v>
      </c>
      <c r="O40" s="48">
        <f t="shared" si="4"/>
        <v>3.0931763989707699</v>
      </c>
      <c r="P40" s="48">
        <f t="shared" si="9"/>
        <v>3.0931763989707699</v>
      </c>
      <c r="Q40" s="49">
        <v>0.4</v>
      </c>
      <c r="R40" s="49">
        <f t="shared" si="5"/>
        <v>0.43107349208666207</v>
      </c>
      <c r="S40" s="49">
        <v>222700</v>
      </c>
      <c r="T40" s="49">
        <v>224300</v>
      </c>
      <c r="U40" s="49">
        <v>15956260</v>
      </c>
      <c r="V40" s="49">
        <f t="shared" si="6"/>
        <v>43.084593248365302</v>
      </c>
      <c r="W40" s="49">
        <f t="shared" si="10"/>
        <v>43.084593248365302</v>
      </c>
      <c r="X40" s="82">
        <f>IF(Z39&lt;&gt;(E40*G40*H40+L40*N40*O40+S40*U40*V40),1,0)</f>
        <v>0</v>
      </c>
      <c r="Y40" s="82">
        <f>IF(AND(X40=0,B40="N"),Y39,Y39*(E40*G40*I40+L40*N40*P40+S40*U40*W40)/Z39)</f>
        <v>285815225052940.5</v>
      </c>
      <c r="Z40" s="81">
        <f t="shared" si="11"/>
        <v>357709980363060.25</v>
      </c>
      <c r="AA40" s="80">
        <f t="shared" si="0"/>
        <v>1251.5427766201151</v>
      </c>
      <c r="AB40" s="52">
        <f t="shared" si="7"/>
        <v>1.3009869786773908E-2</v>
      </c>
      <c r="AC40" s="48">
        <f>(F40-E40)/E40</f>
        <v>3.3883947479881405E-3</v>
      </c>
      <c r="AD40" s="48">
        <f>(M40-L40)/L40</f>
        <v>2.6729559748427674E-2</v>
      </c>
      <c r="AE40" s="48">
        <f>(T40-S40)/S40</f>
        <v>7.1845532105972157E-3</v>
      </c>
      <c r="AF40" s="48" t="e">
        <f>(#REF!-#REF!)/#REF!</f>
        <v>#REF!</v>
      </c>
    </row>
    <row r="41" spans="1:32" x14ac:dyDescent="0.3">
      <c r="A41" s="48">
        <v>20180227</v>
      </c>
      <c r="B41" s="48" t="s">
        <v>88</v>
      </c>
      <c r="C41" s="79">
        <v>0.3</v>
      </c>
      <c r="D41" s="79">
        <f t="shared" si="1"/>
        <v>0.21659903685902701</v>
      </c>
      <c r="E41" s="49">
        <v>2369000</v>
      </c>
      <c r="F41" s="49">
        <v>2369000</v>
      </c>
      <c r="G41" s="49">
        <v>128386494</v>
      </c>
      <c r="H41" s="49">
        <f t="shared" si="2"/>
        <v>0.26180432470833498</v>
      </c>
      <c r="I41" s="49">
        <f t="shared" si="8"/>
        <v>0.26180432470833498</v>
      </c>
      <c r="J41" s="48">
        <v>0.3</v>
      </c>
      <c r="K41" s="48">
        <f t="shared" si="3"/>
        <v>0.36227036942782831</v>
      </c>
      <c r="L41" s="48">
        <v>326500</v>
      </c>
      <c r="M41" s="48">
        <v>351000</v>
      </c>
      <c r="N41" s="51">
        <v>122666424</v>
      </c>
      <c r="O41" s="48">
        <f t="shared" si="4"/>
        <v>3.0931763989707699</v>
      </c>
      <c r="P41" s="48">
        <f t="shared" si="9"/>
        <v>3.0931763989707699</v>
      </c>
      <c r="Q41" s="49">
        <v>0.4</v>
      </c>
      <c r="R41" s="49">
        <f t="shared" si="5"/>
        <v>0.42113059371314465</v>
      </c>
      <c r="S41" s="49">
        <v>224300</v>
      </c>
      <c r="T41" s="49">
        <v>225200</v>
      </c>
      <c r="U41" s="49">
        <v>15956260</v>
      </c>
      <c r="V41" s="49">
        <f t="shared" si="6"/>
        <v>43.084593248365302</v>
      </c>
      <c r="W41" s="49">
        <f t="shared" si="10"/>
        <v>43.084593248365302</v>
      </c>
      <c r="X41" s="82">
        <f>IF(Z40&lt;&gt;(E41*G41*H41+L41*N41*O41+S41*U41*V41),1,0)</f>
        <v>0</v>
      </c>
      <c r="Y41" s="82">
        <f>IF(AND(X41=0,B41="N"),Y40,Y40*(E41*G41*I41+L41*N41*P41+S41*U41*W41)/Z40)</f>
        <v>285815225052940.5</v>
      </c>
      <c r="Z41" s="81">
        <f t="shared" si="11"/>
        <v>367624710185481</v>
      </c>
      <c r="AA41" s="80">
        <f t="shared" si="0"/>
        <v>1286.2320756964127</v>
      </c>
      <c r="AB41" s="52">
        <f t="shared" si="7"/>
        <v>2.7717230065422677E-2</v>
      </c>
      <c r="AC41" s="48">
        <f>(F41-E41)/E41</f>
        <v>0</v>
      </c>
      <c r="AD41" s="48">
        <f>(M41-L41)/L41</f>
        <v>7.5038284839203676E-2</v>
      </c>
      <c r="AE41" s="48">
        <f>(T41-S41)/S41</f>
        <v>4.012483281319661E-3</v>
      </c>
      <c r="AF41" s="48" t="e">
        <f>(#REF!-#REF!)/#REF!</f>
        <v>#REF!</v>
      </c>
    </row>
    <row r="42" spans="1:32" x14ac:dyDescent="0.3">
      <c r="A42" s="48">
        <v>20180228</v>
      </c>
      <c r="B42" s="48" t="s">
        <v>88</v>
      </c>
      <c r="C42" s="79">
        <v>0.3</v>
      </c>
      <c r="D42" s="79">
        <f t="shared" si="1"/>
        <v>0.21152799051441112</v>
      </c>
      <c r="E42" s="49">
        <v>2369000</v>
      </c>
      <c r="F42" s="49">
        <v>2353000</v>
      </c>
      <c r="G42" s="49">
        <v>128386494</v>
      </c>
      <c r="H42" s="49">
        <f t="shared" si="2"/>
        <v>0.26180432470833498</v>
      </c>
      <c r="I42" s="49">
        <f t="shared" si="8"/>
        <v>0.26180432470833498</v>
      </c>
      <c r="J42" s="48">
        <v>0.3</v>
      </c>
      <c r="K42" s="48">
        <f t="shared" si="3"/>
        <v>0.35822414845914319</v>
      </c>
      <c r="L42" s="48">
        <v>351000</v>
      </c>
      <c r="M42" s="48">
        <v>353000</v>
      </c>
      <c r="N42" s="51">
        <v>122666424</v>
      </c>
      <c r="O42" s="48">
        <f t="shared" si="4"/>
        <v>3.0931763989707699</v>
      </c>
      <c r="P42" s="48">
        <f t="shared" si="9"/>
        <v>3.0931763989707699</v>
      </c>
      <c r="Q42" s="49">
        <v>0.4</v>
      </c>
      <c r="R42" s="49">
        <f t="shared" si="5"/>
        <v>0.43024786102644569</v>
      </c>
      <c r="S42" s="49">
        <v>225200</v>
      </c>
      <c r="T42" s="49">
        <v>234000</v>
      </c>
      <c r="U42" s="49">
        <v>15956260</v>
      </c>
      <c r="V42" s="49">
        <f t="shared" si="6"/>
        <v>43.084593248365302</v>
      </c>
      <c r="W42" s="49">
        <f t="shared" si="10"/>
        <v>43.084593248365302</v>
      </c>
      <c r="X42" s="82">
        <f>IF(Z41&lt;&gt;(E42*G42*H42+L42*N42*O42+S42*U42*V42),1,0)</f>
        <v>0</v>
      </c>
      <c r="Y42" s="82">
        <f>IF(AND(X42=0,B42="N"),Y41,Y41*(E42*G42*I42+L42*N42*P42+S42*U42*W42)/Z41)</f>
        <v>285815225052940.5</v>
      </c>
      <c r="Z42" s="81">
        <f t="shared" si="11"/>
        <v>373895500683406.81</v>
      </c>
      <c r="AA42" s="80">
        <f t="shared" si="0"/>
        <v>1308.1720913018246</v>
      </c>
      <c r="AB42" s="52">
        <f t="shared" si="7"/>
        <v>1.7057587056000568E-2</v>
      </c>
      <c r="AC42" s="48">
        <f>(F42-E42)/E42</f>
        <v>-6.7539046010975093E-3</v>
      </c>
      <c r="AD42" s="48">
        <f>(M42-L42)/L42</f>
        <v>5.6980056980056983E-3</v>
      </c>
      <c r="AE42" s="48">
        <f>(T42-S42)/S42</f>
        <v>3.9076376554174071E-2</v>
      </c>
      <c r="AF42" s="48" t="e">
        <f>(#REF!-#REF!)/#REF!</f>
        <v>#REF!</v>
      </c>
    </row>
    <row r="43" spans="1:32" x14ac:dyDescent="0.3">
      <c r="A43" s="48">
        <v>20180302</v>
      </c>
      <c r="B43" s="48" t="s">
        <v>88</v>
      </c>
      <c r="C43" s="79">
        <v>0.3</v>
      </c>
      <c r="D43" s="79">
        <f t="shared" si="1"/>
        <v>0.20204470213520445</v>
      </c>
      <c r="E43" s="49">
        <v>2353000</v>
      </c>
      <c r="F43" s="49">
        <v>2301000</v>
      </c>
      <c r="G43" s="49">
        <v>128386494</v>
      </c>
      <c r="H43" s="49">
        <f t="shared" si="2"/>
        <v>0.26180432470833498</v>
      </c>
      <c r="I43" s="49">
        <f t="shared" si="8"/>
        <v>0.26180432470833498</v>
      </c>
      <c r="J43" s="48">
        <v>0.3</v>
      </c>
      <c r="K43" s="48">
        <f t="shared" si="3"/>
        <v>0.36872961971232693</v>
      </c>
      <c r="L43" s="48">
        <v>353000</v>
      </c>
      <c r="M43" s="48">
        <v>372000</v>
      </c>
      <c r="N43" s="51">
        <v>122666424</v>
      </c>
      <c r="O43" s="48">
        <f t="shared" si="4"/>
        <v>3.0931763989707699</v>
      </c>
      <c r="P43" s="48">
        <f t="shared" si="9"/>
        <v>3.0931763989707699</v>
      </c>
      <c r="Q43" s="49">
        <v>0.4</v>
      </c>
      <c r="R43" s="49">
        <f t="shared" si="5"/>
        <v>0.42922567815246859</v>
      </c>
      <c r="S43" s="49">
        <v>234000</v>
      </c>
      <c r="T43" s="49">
        <v>239000</v>
      </c>
      <c r="U43" s="49">
        <v>15956260</v>
      </c>
      <c r="V43" s="49">
        <f t="shared" si="6"/>
        <v>43.084593248365302</v>
      </c>
      <c r="W43" s="49">
        <f t="shared" si="10"/>
        <v>43.084593248365302</v>
      </c>
      <c r="X43" s="82">
        <f>IF(Z42&lt;&gt;(E43*G43*H43+L43*N43*O43+S43*U43*V43),1,0)</f>
        <v>0</v>
      </c>
      <c r="Y43" s="82">
        <f>IF(AND(X43=0,B43="N"),Y42,Y42*(E43*G43*I43+L43*N43*P43+S43*U43*W43)/Z42)</f>
        <v>285815225052940.5</v>
      </c>
      <c r="Z43" s="81">
        <f t="shared" si="11"/>
        <v>382794163161434.81</v>
      </c>
      <c r="AA43" s="80">
        <f t="shared" si="0"/>
        <v>1339.3064106033235</v>
      </c>
      <c r="AB43" s="52">
        <f t="shared" si="7"/>
        <v>2.3799865100711338E-2</v>
      </c>
      <c r="AC43" s="48">
        <f>(F43-E43)/E43</f>
        <v>-2.2099447513812154E-2</v>
      </c>
      <c r="AD43" s="48">
        <f>(M43-L43)/L43</f>
        <v>5.3824362606232294E-2</v>
      </c>
      <c r="AE43" s="48">
        <f>(T43-S43)/S43</f>
        <v>2.1367521367521368E-2</v>
      </c>
      <c r="AF43" s="48" t="e">
        <f>(#REF!-#REF!)/#REF!</f>
        <v>#REF!</v>
      </c>
    </row>
    <row r="44" spans="1:32" x14ac:dyDescent="0.3">
      <c r="A44" s="48">
        <v>20180305</v>
      </c>
      <c r="B44" s="48" t="s">
        <v>88</v>
      </c>
      <c r="C44" s="79">
        <v>0.3</v>
      </c>
      <c r="D44" s="79">
        <f t="shared" si="1"/>
        <v>0.20254659773763967</v>
      </c>
      <c r="E44" s="49">
        <v>2301000</v>
      </c>
      <c r="F44" s="49">
        <v>2260000</v>
      </c>
      <c r="G44" s="49">
        <v>128386494</v>
      </c>
      <c r="H44" s="49">
        <f t="shared" si="2"/>
        <v>0.26180432470833498</v>
      </c>
      <c r="I44" s="49">
        <f t="shared" si="8"/>
        <v>0.26180432470833498</v>
      </c>
      <c r="J44" s="48">
        <v>0.3</v>
      </c>
      <c r="K44" s="48">
        <f t="shared" si="3"/>
        <v>0.37786908035524819</v>
      </c>
      <c r="L44" s="48">
        <v>372000</v>
      </c>
      <c r="M44" s="48">
        <v>373500</v>
      </c>
      <c r="N44" s="51">
        <v>122666424</v>
      </c>
      <c r="O44" s="48">
        <f t="shared" si="4"/>
        <v>3.0931763989707699</v>
      </c>
      <c r="P44" s="48">
        <f t="shared" si="9"/>
        <v>3.0931763989707699</v>
      </c>
      <c r="Q44" s="49">
        <v>0.4</v>
      </c>
      <c r="R44" s="49">
        <f t="shared" si="5"/>
        <v>0.41958432190711209</v>
      </c>
      <c r="S44" s="49">
        <v>239000</v>
      </c>
      <c r="T44" s="49">
        <v>228900</v>
      </c>
      <c r="U44" s="49">
        <v>15956260</v>
      </c>
      <c r="V44" s="49">
        <f t="shared" si="6"/>
        <v>43.084593248365302</v>
      </c>
      <c r="W44" s="49">
        <f t="shared" si="10"/>
        <v>43.084593248365302</v>
      </c>
      <c r="X44" s="82">
        <f>IF(Z43&lt;&gt;(E44*G44*H44+L44*N44*O44+S44*U44*V44),1,0)</f>
        <v>0</v>
      </c>
      <c r="Y44" s="82">
        <f>IF(AND(X44=0,B44="N"),Y43,Y43*(E44*G44*I44+L44*N44*P44+S44*U44*W44)/Z43)</f>
        <v>285815225052940.5</v>
      </c>
      <c r="Z44" s="81">
        <f t="shared" si="11"/>
        <v>375041772163194.12</v>
      </c>
      <c r="AA44" s="80">
        <f t="shared" si="0"/>
        <v>1312.1826246090513</v>
      </c>
      <c r="AB44" s="52">
        <f t="shared" si="7"/>
        <v>-2.0252113914734072E-2</v>
      </c>
      <c r="AC44" s="48">
        <f>(F44-E44)/E44</f>
        <v>-1.7818339852238158E-2</v>
      </c>
      <c r="AD44" s="48">
        <f>(M44-L44)/L44</f>
        <v>4.0322580645161289E-3</v>
      </c>
      <c r="AE44" s="48">
        <f>(T44-S44)/S44</f>
        <v>-4.225941422594142E-2</v>
      </c>
      <c r="AF44" s="48" t="e">
        <f>(#REF!-#REF!)/#REF!</f>
        <v>#REF!</v>
      </c>
    </row>
    <row r="45" spans="1:32" x14ac:dyDescent="0.3">
      <c r="A45" s="48">
        <v>20180306</v>
      </c>
      <c r="B45" s="48" t="s">
        <v>88</v>
      </c>
      <c r="C45" s="79">
        <v>0.3</v>
      </c>
      <c r="D45" s="79">
        <f t="shared" si="1"/>
        <v>0.20679130335565157</v>
      </c>
      <c r="E45" s="49">
        <v>2260000</v>
      </c>
      <c r="F45" s="49">
        <v>2351000</v>
      </c>
      <c r="G45" s="49">
        <v>128386494</v>
      </c>
      <c r="H45" s="49">
        <f t="shared" si="2"/>
        <v>0.26180432470833498</v>
      </c>
      <c r="I45" s="49">
        <f t="shared" si="8"/>
        <v>0.26180432470833498</v>
      </c>
      <c r="J45" s="48">
        <v>0.3</v>
      </c>
      <c r="K45" s="48">
        <f t="shared" si="3"/>
        <v>0.36738007840587278</v>
      </c>
      <c r="L45" s="48">
        <v>373500</v>
      </c>
      <c r="M45" s="48">
        <v>370000</v>
      </c>
      <c r="N45" s="51">
        <v>122666424</v>
      </c>
      <c r="O45" s="48">
        <f t="shared" si="4"/>
        <v>3.0931763989707699</v>
      </c>
      <c r="P45" s="48">
        <f t="shared" si="9"/>
        <v>3.0931763989707699</v>
      </c>
      <c r="Q45" s="49">
        <v>0.4</v>
      </c>
      <c r="R45" s="49">
        <f t="shared" si="5"/>
        <v>0.42582861823847573</v>
      </c>
      <c r="S45" s="49">
        <v>228900</v>
      </c>
      <c r="T45" s="49">
        <v>236700</v>
      </c>
      <c r="U45" s="49">
        <v>15956260</v>
      </c>
      <c r="V45" s="49">
        <f t="shared" si="6"/>
        <v>43.084593248365302</v>
      </c>
      <c r="W45" s="49">
        <f t="shared" si="10"/>
        <v>43.084593248365302</v>
      </c>
      <c r="X45" s="82">
        <f>IF(Z44&lt;&gt;(E45*G45*H45+L45*N45*O45+S45*U45*V45),1,0)</f>
        <v>0</v>
      </c>
      <c r="Y45" s="82">
        <f>IF(AND(X45=0,B45="N"),Y44,Y44*(E45*G45*I45+L45*N45*P45+S45*U45*W45)/Z44)</f>
        <v>285815225052940.5</v>
      </c>
      <c r="Z45" s="81">
        <f t="shared" si="11"/>
        <v>382134733718986.06</v>
      </c>
      <c r="AA45" s="80">
        <f t="shared" si="0"/>
        <v>1336.9992226558422</v>
      </c>
      <c r="AB45" s="52">
        <f t="shared" si="7"/>
        <v>1.8912457444088385E-2</v>
      </c>
      <c r="AC45" s="48">
        <f>(F45-E45)/E45</f>
        <v>4.026548672566372E-2</v>
      </c>
      <c r="AD45" s="48">
        <f>(M45-L45)/L45</f>
        <v>-9.3708165997322627E-3</v>
      </c>
      <c r="AE45" s="48">
        <f>(T45-S45)/S45</f>
        <v>3.4076015727391877E-2</v>
      </c>
      <c r="AF45" s="48" t="e">
        <f>(#REF!-#REF!)/#REF!</f>
        <v>#REF!</v>
      </c>
    </row>
    <row r="46" spans="1:32" x14ac:dyDescent="0.3">
      <c r="A46" s="48">
        <v>20180307</v>
      </c>
      <c r="B46" s="48" t="s">
        <v>88</v>
      </c>
      <c r="C46" s="79">
        <v>0.3</v>
      </c>
      <c r="D46" s="79">
        <f t="shared" si="1"/>
        <v>0.22772661055560617</v>
      </c>
      <c r="E46" s="49">
        <v>2351000</v>
      </c>
      <c r="F46" s="49">
        <v>2431000</v>
      </c>
      <c r="G46" s="49">
        <v>128386494</v>
      </c>
      <c r="H46" s="49">
        <f t="shared" si="2"/>
        <v>0.26180432470833498</v>
      </c>
      <c r="I46" s="49">
        <f t="shared" si="8"/>
        <v>0.26180432470833498</v>
      </c>
      <c r="J46" s="48">
        <v>0.3</v>
      </c>
      <c r="K46" s="48">
        <f t="shared" si="3"/>
        <v>0.34367379725208114</v>
      </c>
      <c r="L46" s="48">
        <v>370000</v>
      </c>
      <c r="M46" s="48">
        <v>325000</v>
      </c>
      <c r="N46" s="51">
        <v>122666424</v>
      </c>
      <c r="O46" s="48">
        <f t="shared" si="4"/>
        <v>3.0931763989707699</v>
      </c>
      <c r="P46" s="48">
        <f t="shared" si="9"/>
        <v>3.0931763989707699</v>
      </c>
      <c r="Q46" s="49">
        <v>0.4</v>
      </c>
      <c r="R46" s="49">
        <f t="shared" si="5"/>
        <v>0.42859959219231275</v>
      </c>
      <c r="S46" s="49">
        <v>236700</v>
      </c>
      <c r="T46" s="49">
        <v>223700</v>
      </c>
      <c r="U46" s="49">
        <v>15956260</v>
      </c>
      <c r="V46" s="49">
        <f t="shared" si="6"/>
        <v>43.084593248365302</v>
      </c>
      <c r="W46" s="49">
        <f t="shared" si="10"/>
        <v>43.084593248365302</v>
      </c>
      <c r="X46" s="82">
        <f>IF(Z45&lt;&gt;(E46*G46*H46+L46*N46*O46+S46*U46*V46),1,0)</f>
        <v>0</v>
      </c>
      <c r="Y46" s="82">
        <f>IF(AND(X46=0,B46="N"),Y45,Y45*(E46*G46*I46+L46*N46*P46+S46*U46*W46)/Z45)</f>
        <v>285815225052940.5</v>
      </c>
      <c r="Z46" s="81">
        <f t="shared" si="11"/>
        <v>358812308288973.87</v>
      </c>
      <c r="AA46" s="80">
        <f t="shared" si="0"/>
        <v>1255.3995618061017</v>
      </c>
      <c r="AB46" s="52">
        <f t="shared" si="7"/>
        <v>-6.1031943375142221E-2</v>
      </c>
      <c r="AC46" s="48">
        <f>(F46-E46)/E46</f>
        <v>3.4028073160357296E-2</v>
      </c>
      <c r="AD46" s="48">
        <f>(M46-L46)/L46</f>
        <v>-0.12162162162162163</v>
      </c>
      <c r="AE46" s="48">
        <f>(T46-S46)/S46</f>
        <v>-5.4921841994085341E-2</v>
      </c>
      <c r="AF46" s="48" t="e">
        <f>(#REF!-#REF!)/#REF!</f>
        <v>#REF!</v>
      </c>
    </row>
    <row r="47" spans="1:32" x14ac:dyDescent="0.3">
      <c r="A47" s="48">
        <v>20180308</v>
      </c>
      <c r="B47" s="48" t="s">
        <v>88</v>
      </c>
      <c r="C47" s="79">
        <v>0.3</v>
      </c>
      <c r="D47" s="79">
        <f t="shared" si="1"/>
        <v>0.21870073155696845</v>
      </c>
      <c r="E47" s="49">
        <v>2431000</v>
      </c>
      <c r="F47" s="49">
        <v>2460000</v>
      </c>
      <c r="G47" s="49">
        <v>128386494</v>
      </c>
      <c r="H47" s="49">
        <f t="shared" si="2"/>
        <v>0.26180432470833498</v>
      </c>
      <c r="I47" s="49">
        <f t="shared" si="8"/>
        <v>0.26180432470833498</v>
      </c>
      <c r="J47" s="48">
        <v>0.3</v>
      </c>
      <c r="K47" s="48">
        <f t="shared" si="3"/>
        <v>0.35526516687946774</v>
      </c>
      <c r="L47" s="48">
        <v>325000</v>
      </c>
      <c r="M47" s="48">
        <v>354000</v>
      </c>
      <c r="N47" s="51">
        <v>122666424</v>
      </c>
      <c r="O47" s="48">
        <f t="shared" si="4"/>
        <v>3.0931763989707699</v>
      </c>
      <c r="P47" s="48">
        <f t="shared" si="9"/>
        <v>3.0931763989707699</v>
      </c>
      <c r="Q47" s="49">
        <v>0.4</v>
      </c>
      <c r="R47" s="49">
        <f t="shared" si="5"/>
        <v>0.42603410156356386</v>
      </c>
      <c r="S47" s="49">
        <v>223700</v>
      </c>
      <c r="T47" s="49">
        <v>234300</v>
      </c>
      <c r="U47" s="49">
        <v>15956260</v>
      </c>
      <c r="V47" s="49">
        <f t="shared" si="6"/>
        <v>43.084593248365302</v>
      </c>
      <c r="W47" s="49">
        <f t="shared" si="10"/>
        <v>43.084593248365302</v>
      </c>
      <c r="X47" s="82">
        <f>IF(Z46&lt;&gt;(E47*G47*H47+L47*N47*O47+S47*U47*V47),1,0)</f>
        <v>0</v>
      </c>
      <c r="Y47" s="82">
        <f>IF(AND(X47=0,B47="N"),Y46,Y46*(E47*G47*I47+L47*N47*P47+S47*U47*W47)/Z46)</f>
        <v>285815225052940.5</v>
      </c>
      <c r="Z47" s="81">
        <f t="shared" si="11"/>
        <v>378077669174506.75</v>
      </c>
      <c r="AA47" s="80">
        <f t="shared" si="0"/>
        <v>1322.8045115667887</v>
      </c>
      <c r="AB47" s="52">
        <f t="shared" si="7"/>
        <v>5.3692029065004428E-2</v>
      </c>
      <c r="AC47" s="48">
        <f>(F47-E47)/E47</f>
        <v>1.192924722336487E-2</v>
      </c>
      <c r="AD47" s="48">
        <f>(M47-L47)/L47</f>
        <v>8.9230769230769225E-2</v>
      </c>
      <c r="AE47" s="48">
        <f>(T47-S47)/S47</f>
        <v>4.7384890478319175E-2</v>
      </c>
      <c r="AF47" s="48" t="e">
        <f>(#REF!-#REF!)/#REF!</f>
        <v>#REF!</v>
      </c>
    </row>
    <row r="48" spans="1:32" x14ac:dyDescent="0.3">
      <c r="A48" s="48">
        <v>20180309</v>
      </c>
      <c r="B48" s="48" t="s">
        <v>88</v>
      </c>
      <c r="C48" s="79">
        <v>0.3</v>
      </c>
      <c r="D48" s="79">
        <f t="shared" si="1"/>
        <v>0.22322544878746584</v>
      </c>
      <c r="E48" s="49">
        <v>2460000</v>
      </c>
      <c r="F48" s="49">
        <v>2487000</v>
      </c>
      <c r="G48" s="49">
        <v>128386494</v>
      </c>
      <c r="H48" s="49">
        <f t="shared" si="2"/>
        <v>0.26180432470833498</v>
      </c>
      <c r="I48" s="49">
        <f t="shared" si="8"/>
        <v>0.26180432470833498</v>
      </c>
      <c r="J48" s="48">
        <v>0.3</v>
      </c>
      <c r="K48" s="48">
        <f t="shared" si="3"/>
        <v>0.33030850524657551</v>
      </c>
      <c r="L48" s="48">
        <v>354000</v>
      </c>
      <c r="M48" s="48">
        <v>326000</v>
      </c>
      <c r="N48" s="51">
        <v>122666424</v>
      </c>
      <c r="O48" s="48">
        <f t="shared" si="4"/>
        <v>3.0931763989707699</v>
      </c>
      <c r="P48" s="48">
        <f t="shared" si="9"/>
        <v>3.0931763989707699</v>
      </c>
      <c r="Q48" s="49">
        <v>0.4</v>
      </c>
      <c r="R48" s="49">
        <f t="shared" si="5"/>
        <v>0.44646604596595862</v>
      </c>
      <c r="S48" s="49">
        <v>234300</v>
      </c>
      <c r="T48" s="49">
        <v>243200</v>
      </c>
      <c r="U48" s="49">
        <v>15956260</v>
      </c>
      <c r="V48" s="49">
        <f t="shared" si="6"/>
        <v>43.084593248365302</v>
      </c>
      <c r="W48" s="49">
        <f t="shared" si="10"/>
        <v>43.084593248365302</v>
      </c>
      <c r="X48" s="82">
        <f>IF(Z47&lt;&gt;(E48*G48*H48+L48*N48*O48+S48*U48*V48),1,0)</f>
        <v>0</v>
      </c>
      <c r="Y48" s="82">
        <f>IF(AND(X48=0,B48="N"),Y47,Y47*(E48*G48*I48+L48*N48*P48+S48*U48*W48)/Z47)</f>
        <v>285815225052940.5</v>
      </c>
      <c r="Z48" s="81">
        <f t="shared" si="11"/>
        <v>374479661932354.56</v>
      </c>
      <c r="AA48" s="80">
        <f t="shared" si="0"/>
        <v>1310.2159336088239</v>
      </c>
      <c r="AB48" s="52">
        <f t="shared" si="7"/>
        <v>-9.5165822673634291E-3</v>
      </c>
      <c r="AC48" s="48">
        <f>(F48-E48)/E48</f>
        <v>1.097560975609756E-2</v>
      </c>
      <c r="AD48" s="48">
        <f>(M48-L48)/L48</f>
        <v>-7.909604519774012E-2</v>
      </c>
      <c r="AE48" s="48">
        <f>(T48-S48)/S48</f>
        <v>3.7985488689714041E-2</v>
      </c>
      <c r="AF48" s="48" t="e">
        <f>(#REF!-#REF!)/#REF!</f>
        <v>#REF!</v>
      </c>
    </row>
    <row r="49" spans="1:32" x14ac:dyDescent="0.3">
      <c r="A49" s="48">
        <v>20180312</v>
      </c>
      <c r="B49" s="48" t="s">
        <v>88</v>
      </c>
      <c r="C49" s="79">
        <v>0.3</v>
      </c>
      <c r="D49" s="79">
        <f t="shared" si="1"/>
        <v>0.21924391584192002</v>
      </c>
      <c r="E49" s="49">
        <v>2487000</v>
      </c>
      <c r="F49" s="49">
        <v>2487000</v>
      </c>
      <c r="G49" s="49">
        <v>128386494</v>
      </c>
      <c r="H49" s="49">
        <f t="shared" si="2"/>
        <v>0.26180432470833498</v>
      </c>
      <c r="I49" s="49">
        <f t="shared" si="8"/>
        <v>0.26180432470833498</v>
      </c>
      <c r="J49" s="48">
        <v>0.3</v>
      </c>
      <c r="K49" s="48">
        <f t="shared" si="3"/>
        <v>0.32043642201582712</v>
      </c>
      <c r="L49" s="48">
        <v>326000</v>
      </c>
      <c r="M49" s="48">
        <v>322000</v>
      </c>
      <c r="N49" s="51">
        <v>122666424</v>
      </c>
      <c r="O49" s="48">
        <f t="shared" si="4"/>
        <v>3.0931763989707699</v>
      </c>
      <c r="P49" s="48">
        <f t="shared" si="9"/>
        <v>3.0931763989707699</v>
      </c>
      <c r="Q49" s="49">
        <v>0.4</v>
      </c>
      <c r="R49" s="49">
        <f t="shared" si="5"/>
        <v>0.46031966214225278</v>
      </c>
      <c r="S49" s="49">
        <v>243200</v>
      </c>
      <c r="T49" s="49">
        <v>255300</v>
      </c>
      <c r="U49" s="49">
        <v>15956260</v>
      </c>
      <c r="V49" s="49">
        <f t="shared" si="6"/>
        <v>43.084593248365302</v>
      </c>
      <c r="W49" s="49">
        <f t="shared" si="10"/>
        <v>43.084593248365302</v>
      </c>
      <c r="X49" s="82">
        <f>IF(Z48&lt;&gt;(E49*G49*H49+L49*N49*O49+S49*U49*V49),1,0)</f>
        <v>0</v>
      </c>
      <c r="Y49" s="82">
        <f>IF(AND(X49=0,B49="N"),Y48,Y48*(E49*G49*I49+L49*N49*P49+S49*U49*W49)/Z48)</f>
        <v>285815225052940.5</v>
      </c>
      <c r="Z49" s="81">
        <f t="shared" si="11"/>
        <v>381280320941271.25</v>
      </c>
      <c r="AA49" s="80">
        <f t="shared" si="0"/>
        <v>1334.0098340480222</v>
      </c>
      <c r="AB49" s="52">
        <f t="shared" si="7"/>
        <v>1.8160289330065624E-2</v>
      </c>
      <c r="AC49" s="48">
        <f>(F49-E49)/E49</f>
        <v>0</v>
      </c>
      <c r="AD49" s="48">
        <f>(M49-L49)/L49</f>
        <v>-1.2269938650306749E-2</v>
      </c>
      <c r="AE49" s="48">
        <f>(T49-S49)/S49</f>
        <v>4.9753289473684209E-2</v>
      </c>
      <c r="AF49" s="48" t="e">
        <f>(#REF!-#REF!)/#REF!</f>
        <v>#REF!</v>
      </c>
    </row>
    <row r="50" spans="1:32" x14ac:dyDescent="0.3">
      <c r="A50" s="48">
        <v>20180313</v>
      </c>
      <c r="B50" s="48" t="s">
        <v>88</v>
      </c>
      <c r="C50" s="79">
        <v>0.3</v>
      </c>
      <c r="D50" s="79">
        <f t="shared" si="1"/>
        <v>0.22798536793709348</v>
      </c>
      <c r="E50" s="49">
        <v>2487000</v>
      </c>
      <c r="F50" s="49">
        <v>2583000</v>
      </c>
      <c r="G50" s="49">
        <v>128386494</v>
      </c>
      <c r="H50" s="49">
        <f t="shared" si="2"/>
        <v>0.26180432470833498</v>
      </c>
      <c r="I50" s="49">
        <f t="shared" si="8"/>
        <v>0.26180432470833498</v>
      </c>
      <c r="J50" s="48">
        <v>0.3</v>
      </c>
      <c r="K50" s="48">
        <f t="shared" si="3"/>
        <v>0.30986833236842037</v>
      </c>
      <c r="L50" s="48">
        <v>322000</v>
      </c>
      <c r="M50" s="48">
        <v>311000</v>
      </c>
      <c r="N50" s="51">
        <v>122666424</v>
      </c>
      <c r="O50" s="48">
        <f t="shared" si="4"/>
        <v>3.0931763989707699</v>
      </c>
      <c r="P50" s="48">
        <f t="shared" si="9"/>
        <v>3.0931763989707699</v>
      </c>
      <c r="Q50" s="49">
        <v>0.4</v>
      </c>
      <c r="R50" s="49">
        <f t="shared" si="5"/>
        <v>0.46214629969448617</v>
      </c>
      <c r="S50" s="49">
        <v>255300</v>
      </c>
      <c r="T50" s="49">
        <v>256000</v>
      </c>
      <c r="U50" s="49">
        <v>15956260</v>
      </c>
      <c r="V50" s="49">
        <f t="shared" si="6"/>
        <v>43.084593248365302</v>
      </c>
      <c r="W50" s="49">
        <f t="shared" si="10"/>
        <v>43.084593248365302</v>
      </c>
      <c r="X50" s="82">
        <f>IF(Z49&lt;&gt;(E50*G50*H50+L50*N50*O50+S50*U50*V50),1,0)</f>
        <v>0</v>
      </c>
      <c r="Y50" s="82">
        <f>IF(AND(X50=0,B50="N"),Y49,Y49*(E50*G50*I50+L50*N50*P50+S50*U50*W50)/Z49)</f>
        <v>285815225052940.5</v>
      </c>
      <c r="Z50" s="81">
        <f t="shared" si="11"/>
        <v>380814596836165.19</v>
      </c>
      <c r="AA50" s="80">
        <f t="shared" si="0"/>
        <v>1332.3803753478435</v>
      </c>
      <c r="AB50" s="52">
        <f t="shared" si="7"/>
        <v>-1.2214742789670053E-3</v>
      </c>
      <c r="AC50" s="48">
        <f>(F50-E50)/E50</f>
        <v>3.8600723763570564E-2</v>
      </c>
      <c r="AD50" s="48">
        <f>(M50-L50)/L50</f>
        <v>-3.4161490683229816E-2</v>
      </c>
      <c r="AE50" s="48">
        <f>(T50-S50)/S50</f>
        <v>2.7418723070896985E-3</v>
      </c>
      <c r="AF50" s="48" t="e">
        <f>(#REF!-#REF!)/#REF!</f>
        <v>#REF!</v>
      </c>
    </row>
    <row r="51" spans="1:32" x14ac:dyDescent="0.3">
      <c r="A51" s="48">
        <v>20180314</v>
      </c>
      <c r="B51" s="48" t="s">
        <v>88</v>
      </c>
      <c r="C51" s="79">
        <v>0.3</v>
      </c>
      <c r="D51" s="79">
        <f t="shared" si="1"/>
        <v>0.23467081827906769</v>
      </c>
      <c r="E51" s="49">
        <v>2583000</v>
      </c>
      <c r="F51" s="49">
        <v>2588000</v>
      </c>
      <c r="G51" s="49">
        <v>128386494</v>
      </c>
      <c r="H51" s="49">
        <f t="shared" si="2"/>
        <v>0.26180432470833498</v>
      </c>
      <c r="I51" s="49">
        <f t="shared" si="8"/>
        <v>0.26180432470833498</v>
      </c>
      <c r="J51" s="48">
        <v>0.3</v>
      </c>
      <c r="K51" s="48">
        <f t="shared" si="3"/>
        <v>0.31373251547193481</v>
      </c>
      <c r="L51" s="48">
        <v>311000</v>
      </c>
      <c r="M51" s="48">
        <v>306500</v>
      </c>
      <c r="N51" s="51">
        <v>122666424</v>
      </c>
      <c r="O51" s="48">
        <f t="shared" si="4"/>
        <v>3.0931763989707699</v>
      </c>
      <c r="P51" s="48">
        <f t="shared" si="9"/>
        <v>3.0931763989707699</v>
      </c>
      <c r="Q51" s="49">
        <v>0.4</v>
      </c>
      <c r="R51" s="49">
        <f t="shared" si="5"/>
        <v>0.45159666624899747</v>
      </c>
      <c r="S51" s="49">
        <v>256000</v>
      </c>
      <c r="T51" s="49">
        <v>243500</v>
      </c>
      <c r="U51" s="49">
        <v>15956260</v>
      </c>
      <c r="V51" s="49">
        <f t="shared" si="6"/>
        <v>43.084593248365302</v>
      </c>
      <c r="W51" s="49">
        <f t="shared" si="10"/>
        <v>43.084593248365302</v>
      </c>
      <c r="X51" s="82">
        <f>IF(Z50&lt;&gt;(E51*G51*H51+L51*N51*O51+S51*U51*V51),1,0)</f>
        <v>0</v>
      </c>
      <c r="Y51" s="82">
        <f>IF(AND(X51=0,B51="N"),Y50,Y50*(E51*G51*I51+L51*N51*P51+S51*U51*W51)/Z50)</f>
        <v>285815225052940.5</v>
      </c>
      <c r="Z51" s="81">
        <f t="shared" si="11"/>
        <v>370681865390184.12</v>
      </c>
      <c r="AA51" s="80">
        <f t="shared" si="0"/>
        <v>1296.9283400543975</v>
      </c>
      <c r="AB51" s="52">
        <f t="shared" si="7"/>
        <v>-2.6608043730898208E-2</v>
      </c>
      <c r="AC51" s="48">
        <f>(F51-E51)/E51</f>
        <v>1.9357336430507162E-3</v>
      </c>
      <c r="AD51" s="48">
        <f>(M51-L51)/L51</f>
        <v>-1.4469453376205787E-2</v>
      </c>
      <c r="AE51" s="48">
        <f>(T51-S51)/S51</f>
        <v>-4.8828125E-2</v>
      </c>
      <c r="AF51" s="48" t="e">
        <f>(#REF!-#REF!)/#REF!</f>
        <v>#REF!</v>
      </c>
    </row>
    <row r="52" spans="1:32" x14ac:dyDescent="0.3">
      <c r="A52" s="48">
        <v>20180315</v>
      </c>
      <c r="B52" s="48" t="s">
        <v>88</v>
      </c>
      <c r="C52" s="79">
        <v>0.3</v>
      </c>
      <c r="D52" s="79">
        <f t="shared" si="1"/>
        <v>0.23161455722095042</v>
      </c>
      <c r="E52" s="49">
        <v>2588000</v>
      </c>
      <c r="F52" s="49">
        <v>2577000</v>
      </c>
      <c r="G52" s="49">
        <v>128386494</v>
      </c>
      <c r="H52" s="49">
        <f t="shared" si="2"/>
        <v>0.26180432470833498</v>
      </c>
      <c r="I52" s="49">
        <f t="shared" si="8"/>
        <v>0.26180432470833498</v>
      </c>
      <c r="J52" s="48">
        <v>0.3</v>
      </c>
      <c r="K52" s="48">
        <f t="shared" si="3"/>
        <v>0.32720157785571413</v>
      </c>
      <c r="L52" s="48">
        <v>306500</v>
      </c>
      <c r="M52" s="48">
        <v>322500</v>
      </c>
      <c r="N52" s="51">
        <v>122666424</v>
      </c>
      <c r="O52" s="48">
        <f t="shared" si="4"/>
        <v>3.0931763989707699</v>
      </c>
      <c r="P52" s="48">
        <f t="shared" si="9"/>
        <v>3.0931763989707699</v>
      </c>
      <c r="Q52" s="49">
        <v>0.4</v>
      </c>
      <c r="R52" s="49">
        <f t="shared" si="5"/>
        <v>0.44118386492333544</v>
      </c>
      <c r="S52" s="49">
        <v>243500</v>
      </c>
      <c r="T52" s="49">
        <v>240000</v>
      </c>
      <c r="U52" s="49">
        <v>15956260</v>
      </c>
      <c r="V52" s="49">
        <f t="shared" si="6"/>
        <v>43.084593248365302</v>
      </c>
      <c r="W52" s="49">
        <f t="shared" si="10"/>
        <v>43.084593248365302</v>
      </c>
      <c r="X52" s="82">
        <f>IF(Z51&lt;&gt;(E52*G52*H52+L52*N52*O52+S52*U52*V52),1,0)</f>
        <v>0</v>
      </c>
      <c r="Y52" s="82">
        <f>IF(AND(X52=0,B52="N"),Y51,Y51*(E52*G52*I52+L52*N52*P52+S52*U52*W52)/Z51)</f>
        <v>285815225052940.5</v>
      </c>
      <c r="Z52" s="81">
        <f t="shared" si="11"/>
        <v>373976852658266.37</v>
      </c>
      <c r="AA52" s="80">
        <f t="shared" si="0"/>
        <v>1308.4567226570805</v>
      </c>
      <c r="AB52" s="52">
        <f t="shared" si="7"/>
        <v>8.8889896585955218E-3</v>
      </c>
      <c r="AC52" s="48">
        <f>(F52-E52)/E52</f>
        <v>-4.250386398763524E-3</v>
      </c>
      <c r="AD52" s="48">
        <f>(M52-L52)/L52</f>
        <v>5.2202283849918436E-2</v>
      </c>
      <c r="AE52" s="48">
        <f>(T52-S52)/S52</f>
        <v>-1.4373716632443531E-2</v>
      </c>
      <c r="AF52" s="48" t="e">
        <f>(#REF!-#REF!)/#REF!</f>
        <v>#REF!</v>
      </c>
    </row>
    <row r="53" spans="1:32" x14ac:dyDescent="0.3">
      <c r="A53" s="48">
        <v>20180316</v>
      </c>
      <c r="B53" s="48" t="s">
        <v>88</v>
      </c>
      <c r="C53" s="79">
        <v>0.3</v>
      </c>
      <c r="D53" s="79">
        <f t="shared" si="1"/>
        <v>0.22945845769387732</v>
      </c>
      <c r="E53" s="49">
        <v>2577000</v>
      </c>
      <c r="F53" s="49">
        <v>2557000</v>
      </c>
      <c r="G53" s="49">
        <v>128386494</v>
      </c>
      <c r="H53" s="49">
        <f t="shared" si="2"/>
        <v>0.26180432470833498</v>
      </c>
      <c r="I53" s="49">
        <f t="shared" si="8"/>
        <v>0.26180432470833498</v>
      </c>
      <c r="J53" s="48">
        <v>0.3</v>
      </c>
      <c r="K53" s="48">
        <f t="shared" si="3"/>
        <v>0.32821058968449912</v>
      </c>
      <c r="L53" s="48">
        <v>322500</v>
      </c>
      <c r="M53" s="48">
        <v>324000</v>
      </c>
      <c r="N53" s="51">
        <v>122666424</v>
      </c>
      <c r="O53" s="48">
        <f t="shared" si="4"/>
        <v>3.0931763989707699</v>
      </c>
      <c r="P53" s="48">
        <f t="shared" si="9"/>
        <v>3.0931763989707699</v>
      </c>
      <c r="Q53" s="49">
        <v>0.4</v>
      </c>
      <c r="R53" s="49">
        <f t="shared" si="5"/>
        <v>0.44233095262162359</v>
      </c>
      <c r="S53" s="49">
        <v>240000</v>
      </c>
      <c r="T53" s="49">
        <v>241000</v>
      </c>
      <c r="U53" s="49">
        <v>15956260</v>
      </c>
      <c r="V53" s="49">
        <f t="shared" si="6"/>
        <v>43.084593248365302</v>
      </c>
      <c r="W53" s="49">
        <f t="shared" si="10"/>
        <v>43.084593248365302</v>
      </c>
      <c r="X53" s="82">
        <f>IF(Z52&lt;&gt;(E53*G53*H53+L53*N53*O53+S53*U53*V53),1,0)</f>
        <v>0</v>
      </c>
      <c r="Y53" s="82">
        <f>IF(AND(X53=0,B53="N"),Y52,Y52*(E53*G53*I53+L53*N53*P53+S53*U53*W53)/Z52)</f>
        <v>285815225052940.5</v>
      </c>
      <c r="Z53" s="81">
        <f t="shared" si="11"/>
        <v>374561222174359.12</v>
      </c>
      <c r="AA53" s="80">
        <f t="shared" si="0"/>
        <v>1310.5012936416545</v>
      </c>
      <c r="AB53" s="52">
        <f t="shared" si="7"/>
        <v>1.5625820473619176E-3</v>
      </c>
      <c r="AC53" s="48">
        <f>(F53-E53)/E53</f>
        <v>-7.7609623593325574E-3</v>
      </c>
      <c r="AD53" s="48">
        <f>(M53-L53)/L53</f>
        <v>4.6511627906976744E-3</v>
      </c>
      <c r="AE53" s="48">
        <f>(T53-S53)/S53</f>
        <v>4.1666666666666666E-3</v>
      </c>
      <c r="AF53" s="48" t="e">
        <f>(#REF!-#REF!)/#REF!</f>
        <v>#REF!</v>
      </c>
    </row>
    <row r="54" spans="1:32" x14ac:dyDescent="0.3">
      <c r="A54" s="48">
        <v>20180319</v>
      </c>
      <c r="B54" s="48" t="s">
        <v>88</v>
      </c>
      <c r="C54" s="79">
        <v>0.3</v>
      </c>
      <c r="D54" s="79">
        <f t="shared" si="1"/>
        <v>0.23267623362096779</v>
      </c>
      <c r="E54" s="49">
        <v>2557000</v>
      </c>
      <c r="F54" s="49">
        <v>2537000</v>
      </c>
      <c r="G54" s="49">
        <v>128386494</v>
      </c>
      <c r="H54" s="49">
        <f t="shared" si="2"/>
        <v>0.26180432470833498</v>
      </c>
      <c r="I54" s="49">
        <f t="shared" si="8"/>
        <v>0.26180432470833498</v>
      </c>
      <c r="J54" s="48">
        <v>0.3</v>
      </c>
      <c r="K54" s="48">
        <f t="shared" si="3"/>
        <v>0.33026038138744868</v>
      </c>
      <c r="L54" s="48">
        <v>324000</v>
      </c>
      <c r="M54" s="48">
        <v>319000</v>
      </c>
      <c r="N54" s="51">
        <v>122666424</v>
      </c>
      <c r="O54" s="48">
        <f t="shared" si="4"/>
        <v>3.0931763989707699</v>
      </c>
      <c r="P54" s="48">
        <f t="shared" si="9"/>
        <v>3.0931763989707699</v>
      </c>
      <c r="Q54" s="49">
        <v>0.4</v>
      </c>
      <c r="R54" s="49">
        <f t="shared" si="5"/>
        <v>0.43706338499158343</v>
      </c>
      <c r="S54" s="49">
        <v>241000</v>
      </c>
      <c r="T54" s="49">
        <v>233000</v>
      </c>
      <c r="U54" s="49">
        <v>15956260</v>
      </c>
      <c r="V54" s="49">
        <f t="shared" si="6"/>
        <v>43.084593248365302</v>
      </c>
      <c r="W54" s="49">
        <f t="shared" si="10"/>
        <v>43.084593248365302</v>
      </c>
      <c r="X54" s="82">
        <f>IF(Z53&lt;&gt;(E54*G54*H54+L54*N54*O54+S54*U54*V54),1,0)</f>
        <v>0</v>
      </c>
      <c r="Y54" s="82">
        <f>IF(AND(X54=0,B54="N"),Y53,Y53*(E54*G54*I54+L54*N54*P54+S54*U54*W54)/Z53)</f>
        <v>285815225052940.5</v>
      </c>
      <c r="Z54" s="81">
        <f t="shared" si="11"/>
        <v>366492083173856.37</v>
      </c>
      <c r="AA54" s="80">
        <f t="shared" si="0"/>
        <v>1282.2692811622346</v>
      </c>
      <c r="AB54" s="52">
        <f t="shared" si="7"/>
        <v>-2.1542910805504051E-2</v>
      </c>
      <c r="AC54" s="48">
        <f>(F54-E54)/E54</f>
        <v>-7.8216660148611658E-3</v>
      </c>
      <c r="AD54" s="48">
        <f>(M54-L54)/L54</f>
        <v>-1.5432098765432098E-2</v>
      </c>
      <c r="AE54" s="48">
        <f>(T54-S54)/S54</f>
        <v>-3.3195020746887967E-2</v>
      </c>
      <c r="AF54" s="48" t="e">
        <f>(#REF!-#REF!)/#REF!</f>
        <v>#REF!</v>
      </c>
    </row>
    <row r="55" spans="1:32" x14ac:dyDescent="0.3">
      <c r="A55" s="48">
        <v>20180320</v>
      </c>
      <c r="B55" s="48" t="s">
        <v>88</v>
      </c>
      <c r="C55" s="79">
        <v>0.3</v>
      </c>
      <c r="D55" s="79">
        <f t="shared" si="1"/>
        <v>0.23018445719276645</v>
      </c>
      <c r="E55" s="49">
        <v>2537000</v>
      </c>
      <c r="F55" s="49">
        <v>2560000</v>
      </c>
      <c r="G55" s="49">
        <v>128386494</v>
      </c>
      <c r="H55" s="49">
        <f t="shared" si="2"/>
        <v>0.26180432470833498</v>
      </c>
      <c r="I55" s="49">
        <f t="shared" si="8"/>
        <v>0.26180432470833498</v>
      </c>
      <c r="J55" s="48">
        <v>0.3</v>
      </c>
      <c r="K55" s="48">
        <f t="shared" si="3"/>
        <v>0.32734068436278452</v>
      </c>
      <c r="L55" s="48">
        <v>319000</v>
      </c>
      <c r="M55" s="48">
        <v>322500</v>
      </c>
      <c r="N55" s="51">
        <v>122666424</v>
      </c>
      <c r="O55" s="48">
        <f t="shared" si="4"/>
        <v>3.0931763989707699</v>
      </c>
      <c r="P55" s="48">
        <f t="shared" si="9"/>
        <v>3.0931763989707699</v>
      </c>
      <c r="Q55" s="49">
        <v>0.4</v>
      </c>
      <c r="R55" s="49">
        <f t="shared" si="5"/>
        <v>0.442474858444449</v>
      </c>
      <c r="S55" s="49">
        <v>233000</v>
      </c>
      <c r="T55" s="49">
        <v>240600</v>
      </c>
      <c r="U55" s="49">
        <v>15956260</v>
      </c>
      <c r="V55" s="49">
        <f t="shared" si="6"/>
        <v>43.084593248365302</v>
      </c>
      <c r="W55" s="49">
        <f t="shared" si="10"/>
        <v>43.084593248365302</v>
      </c>
      <c r="X55" s="82">
        <f>IF(Z54&lt;&gt;(E55*G55*H55+L55*N55*O55+S55*U55*V55),1,0)</f>
        <v>0</v>
      </c>
      <c r="Y55" s="82">
        <f>IF(AND(X55=0,B55="N"),Y54,Y54*(E55*G55*I55+L55*N55*P55+S55*U55*W55)/Z54)</f>
        <v>285815225052940.5</v>
      </c>
      <c r="Z55" s="81">
        <f t="shared" si="11"/>
        <v>373817927672208.69</v>
      </c>
      <c r="AA55" s="80">
        <f t="shared" si="0"/>
        <v>1307.9006816483195</v>
      </c>
      <c r="AB55" s="52">
        <f t="shared" si="7"/>
        <v>1.9989093447557966E-2</v>
      </c>
      <c r="AC55" s="48">
        <f>(F55-E55)/E55</f>
        <v>9.0658257784785173E-3</v>
      </c>
      <c r="AD55" s="48">
        <f>(M55-L55)/L55</f>
        <v>1.0971786833855799E-2</v>
      </c>
      <c r="AE55" s="48">
        <f>(T55-S55)/S55</f>
        <v>3.2618025751072963E-2</v>
      </c>
      <c r="AF55" s="48" t="e">
        <f>(#REF!-#REF!)/#REF!</f>
        <v>#REF!</v>
      </c>
    </row>
    <row r="56" spans="1:32" x14ac:dyDescent="0.3">
      <c r="A56" s="48">
        <v>20180321</v>
      </c>
      <c r="B56" s="48" t="s">
        <v>88</v>
      </c>
      <c r="C56" s="79">
        <v>0.3</v>
      </c>
      <c r="D56" s="79">
        <f t="shared" si="1"/>
        <v>0.23212206127499971</v>
      </c>
      <c r="E56" s="49">
        <v>2560000</v>
      </c>
      <c r="F56" s="49">
        <v>2553000</v>
      </c>
      <c r="G56" s="49">
        <v>128386494</v>
      </c>
      <c r="H56" s="49">
        <f t="shared" si="2"/>
        <v>0.26180432470833498</v>
      </c>
      <c r="I56" s="49">
        <f t="shared" si="8"/>
        <v>0.26180432470833498</v>
      </c>
      <c r="J56" s="48">
        <v>0.3</v>
      </c>
      <c r="K56" s="48">
        <f t="shared" si="3"/>
        <v>0.31971123033452081</v>
      </c>
      <c r="L56" s="48">
        <v>322500</v>
      </c>
      <c r="M56" s="48">
        <v>311500</v>
      </c>
      <c r="N56" s="51">
        <v>122666424</v>
      </c>
      <c r="O56" s="48">
        <f t="shared" si="4"/>
        <v>3.0931763989707699</v>
      </c>
      <c r="P56" s="48">
        <f t="shared" si="9"/>
        <v>3.0931763989707699</v>
      </c>
      <c r="Q56" s="49">
        <v>0.4</v>
      </c>
      <c r="R56" s="49">
        <f t="shared" si="5"/>
        <v>0.44816670839047951</v>
      </c>
      <c r="S56" s="49">
        <v>240600</v>
      </c>
      <c r="T56" s="49">
        <v>241000</v>
      </c>
      <c r="U56" s="49">
        <v>15956260</v>
      </c>
      <c r="V56" s="49">
        <f t="shared" si="6"/>
        <v>43.084593248365302</v>
      </c>
      <c r="W56" s="49">
        <f t="shared" si="10"/>
        <v>43.084593248365302</v>
      </c>
      <c r="X56" s="82">
        <f>IF(Z55&lt;&gt;(E56*G56*H56+L56*N56*O56+S56*U56*V56),1,0)</f>
        <v>0</v>
      </c>
      <c r="Y56" s="82">
        <f>IF(AND(X56=0,B56="N"),Y55,Y55*(E56*G56*I56+L56*N56*P56+S56*U56*W56)/Z55)</f>
        <v>285815225052940.5</v>
      </c>
      <c r="Z56" s="81">
        <f t="shared" si="11"/>
        <v>369683912521119</v>
      </c>
      <c r="AA56" s="80">
        <f t="shared" si="0"/>
        <v>1293.436738552482</v>
      </c>
      <c r="AB56" s="52">
        <f t="shared" si="7"/>
        <v>-1.1058900189278072E-2</v>
      </c>
      <c r="AC56" s="48">
        <f>(F56-E56)/E56</f>
        <v>-2.7343749999999998E-3</v>
      </c>
      <c r="AD56" s="48">
        <f>(M56-L56)/L56</f>
        <v>-3.4108527131782945E-2</v>
      </c>
      <c r="AE56" s="48">
        <f>(T56-S56)/S56</f>
        <v>1.6625103906899418E-3</v>
      </c>
      <c r="AF56" s="48" t="e">
        <f>(#REF!-#REF!)/#REF!</f>
        <v>#REF!</v>
      </c>
    </row>
    <row r="57" spans="1:32" x14ac:dyDescent="0.3">
      <c r="A57" s="48">
        <v>20180322</v>
      </c>
      <c r="B57" s="48" t="s">
        <v>88</v>
      </c>
      <c r="C57" s="79">
        <v>0.3</v>
      </c>
      <c r="D57" s="79">
        <f t="shared" si="1"/>
        <v>0.24071850641366166</v>
      </c>
      <c r="E57" s="49">
        <v>2553000</v>
      </c>
      <c r="F57" s="49">
        <v>2589000</v>
      </c>
      <c r="G57" s="49">
        <v>128386494</v>
      </c>
      <c r="H57" s="49">
        <f t="shared" si="2"/>
        <v>0.26180432470833498</v>
      </c>
      <c r="I57" s="49">
        <f t="shared" si="8"/>
        <v>0.26180432470833498</v>
      </c>
      <c r="J57" s="48">
        <v>0.3</v>
      </c>
      <c r="K57" s="48">
        <f t="shared" si="3"/>
        <v>0.3258916786125407</v>
      </c>
      <c r="L57" s="48">
        <v>311500</v>
      </c>
      <c r="M57" s="48">
        <v>310500</v>
      </c>
      <c r="N57" s="51">
        <v>122666424</v>
      </c>
      <c r="O57" s="48">
        <f t="shared" si="4"/>
        <v>3.0931763989707699</v>
      </c>
      <c r="P57" s="48">
        <f t="shared" si="9"/>
        <v>3.0931763989707699</v>
      </c>
      <c r="Q57" s="49">
        <v>0.4</v>
      </c>
      <c r="R57" s="49">
        <f t="shared" si="5"/>
        <v>0.43338981497379758</v>
      </c>
      <c r="S57" s="49">
        <v>241000</v>
      </c>
      <c r="T57" s="49">
        <v>227900</v>
      </c>
      <c r="U57" s="49">
        <v>15956260</v>
      </c>
      <c r="V57" s="49">
        <f t="shared" si="6"/>
        <v>43.084593248365302</v>
      </c>
      <c r="W57" s="49">
        <f t="shared" si="10"/>
        <v>43.084593248365302</v>
      </c>
      <c r="X57" s="82">
        <f>IF(Z56&lt;&gt;(E57*G57*H57+L57*N57*O57+S57*U57*V57),1,0)</f>
        <v>0</v>
      </c>
      <c r="Y57" s="82">
        <f>IF(AND(X57=0,B57="N"),Y56,Y56*(E57*G57*I57+L57*N57*P57+S57*U57*W57)/Z56)</f>
        <v>285815225052940.5</v>
      </c>
      <c r="Z57" s="81">
        <f t="shared" si="11"/>
        <v>361508677119102.75</v>
      </c>
      <c r="AA57" s="80">
        <f t="shared" si="0"/>
        <v>1264.8335198103664</v>
      </c>
      <c r="AB57" s="52">
        <f t="shared" si="7"/>
        <v>-2.2114122700833579E-2</v>
      </c>
      <c r="AC57" s="48">
        <f>(F57-E57)/E57</f>
        <v>1.4101057579318449E-2</v>
      </c>
      <c r="AD57" s="48">
        <f>(M57-L57)/L57</f>
        <v>-3.2102728731942215E-3</v>
      </c>
      <c r="AE57" s="48">
        <f>(T57-S57)/S57</f>
        <v>-5.4356846473029047E-2</v>
      </c>
      <c r="AF57" s="48" t="e">
        <f>(#REF!-#REF!)/#REF!</f>
        <v>#REF!</v>
      </c>
    </row>
    <row r="58" spans="1:32" x14ac:dyDescent="0.3">
      <c r="A58" s="48">
        <v>20180323</v>
      </c>
      <c r="B58" s="48" t="s">
        <v>88</v>
      </c>
      <c r="C58" s="79">
        <v>0.3</v>
      </c>
      <c r="D58" s="79">
        <f t="shared" si="1"/>
        <v>0.24875389866432329</v>
      </c>
      <c r="E58" s="49">
        <v>2589000</v>
      </c>
      <c r="F58" s="49">
        <v>2486000</v>
      </c>
      <c r="G58" s="49">
        <v>128386494</v>
      </c>
      <c r="H58" s="49">
        <f t="shared" si="2"/>
        <v>0.26180432470833498</v>
      </c>
      <c r="I58" s="49">
        <f t="shared" si="8"/>
        <v>0.26180432470833498</v>
      </c>
      <c r="J58" s="48">
        <v>0.3</v>
      </c>
      <c r="K58" s="48">
        <f t="shared" si="3"/>
        <v>0.33886308753305999</v>
      </c>
      <c r="L58" s="48">
        <v>310500</v>
      </c>
      <c r="M58" s="48">
        <v>300000</v>
      </c>
      <c r="N58" s="51">
        <v>122666424</v>
      </c>
      <c r="O58" s="48">
        <f t="shared" si="4"/>
        <v>3.0931763989707699</v>
      </c>
      <c r="P58" s="48">
        <f t="shared" si="9"/>
        <v>3.0931763989707699</v>
      </c>
      <c r="Q58" s="49">
        <v>0.4</v>
      </c>
      <c r="R58" s="49">
        <f t="shared" si="5"/>
        <v>0.4123830138026166</v>
      </c>
      <c r="S58" s="49">
        <v>227900</v>
      </c>
      <c r="T58" s="49">
        <v>201500</v>
      </c>
      <c r="U58" s="49">
        <v>15956260</v>
      </c>
      <c r="V58" s="49">
        <f t="shared" si="6"/>
        <v>43.084593248365302</v>
      </c>
      <c r="W58" s="49">
        <f t="shared" si="10"/>
        <v>43.084593248365302</v>
      </c>
      <c r="X58" s="82">
        <f>IF(Z57&lt;&gt;(E58*G58*H58+L58*N58*O58+S58*U58*V58),1,0)</f>
        <v>0</v>
      </c>
      <c r="Y58" s="82">
        <f>IF(AND(X58=0,B58="N"),Y57,Y57*(E58*G58*I58+L58*N58*P58+S58*U58*W58)/Z57)</f>
        <v>285815225052940.5</v>
      </c>
      <c r="Z58" s="81">
        <f t="shared" si="11"/>
        <v>335913442586977.5</v>
      </c>
      <c r="AA58" s="80">
        <f t="shared" si="0"/>
        <v>1175.2818364548548</v>
      </c>
      <c r="AB58" s="52">
        <f t="shared" si="7"/>
        <v>-7.0801162329203526E-2</v>
      </c>
      <c r="AC58" s="48">
        <f>(F58-E58)/E58</f>
        <v>-3.9783700270374665E-2</v>
      </c>
      <c r="AD58" s="48">
        <f>(M58-L58)/L58</f>
        <v>-3.3816425120772944E-2</v>
      </c>
      <c r="AE58" s="48">
        <f>(T58-S58)/S58</f>
        <v>-0.11584028082492322</v>
      </c>
      <c r="AF58" s="48" t="e">
        <f>(#REF!-#REF!)/#REF!</f>
        <v>#REF!</v>
      </c>
    </row>
    <row r="59" spans="1:32" x14ac:dyDescent="0.3">
      <c r="A59" s="48">
        <v>20180326</v>
      </c>
      <c r="B59" s="48" t="s">
        <v>88</v>
      </c>
      <c r="C59" s="79">
        <v>0.3</v>
      </c>
      <c r="D59" s="79">
        <f t="shared" si="1"/>
        <v>0.24726986402753712</v>
      </c>
      <c r="E59" s="49">
        <v>2486000</v>
      </c>
      <c r="F59" s="49">
        <v>2514000</v>
      </c>
      <c r="G59" s="49">
        <v>128386494</v>
      </c>
      <c r="H59" s="49">
        <f t="shared" si="2"/>
        <v>0.26180432470833498</v>
      </c>
      <c r="I59" s="49">
        <f t="shared" si="8"/>
        <v>0.26180432470833498</v>
      </c>
      <c r="J59" s="48">
        <v>0.3</v>
      </c>
      <c r="K59" s="48">
        <f t="shared" si="3"/>
        <v>0.33308985730113894</v>
      </c>
      <c r="L59" s="48">
        <v>300000</v>
      </c>
      <c r="M59" s="48">
        <v>300000</v>
      </c>
      <c r="N59" s="51">
        <v>122666424</v>
      </c>
      <c r="O59" s="48">
        <f t="shared" si="4"/>
        <v>3.0931763989707699</v>
      </c>
      <c r="P59" s="48">
        <f t="shared" si="9"/>
        <v>3.0931763989707699</v>
      </c>
      <c r="Q59" s="49">
        <v>0.4</v>
      </c>
      <c r="R59" s="49">
        <f t="shared" si="5"/>
        <v>0.41964027867132403</v>
      </c>
      <c r="S59" s="49">
        <v>201500</v>
      </c>
      <c r="T59" s="49">
        <v>208600</v>
      </c>
      <c r="U59" s="49">
        <v>15956260</v>
      </c>
      <c r="V59" s="49">
        <f t="shared" si="6"/>
        <v>43.084593248365302</v>
      </c>
      <c r="W59" s="49">
        <f t="shared" si="10"/>
        <v>43.084593248365302</v>
      </c>
      <c r="X59" s="82">
        <f>IF(Z58&lt;&gt;(E59*G59*H59+L59*N59*O59+S59*U59*V59),1,0)</f>
        <v>0</v>
      </c>
      <c r="Y59" s="82">
        <f>IF(AND(X59=0,B59="N"),Y58,Y58*(E59*G59*I59+L59*N59*P59+S59*U59*W59)/Z58)</f>
        <v>285815225052940.5</v>
      </c>
      <c r="Z59" s="81">
        <f t="shared" si="11"/>
        <v>341735612189393.62</v>
      </c>
      <c r="AA59" s="80">
        <f t="shared" si="0"/>
        <v>1195.6522334529072</v>
      </c>
      <c r="AB59" s="52">
        <f t="shared" si="7"/>
        <v>1.7332350731717388E-2</v>
      </c>
      <c r="AC59" s="48">
        <f>(F59-E59)/E59</f>
        <v>1.1263073209975865E-2</v>
      </c>
      <c r="AD59" s="48">
        <f>(M59-L59)/L59</f>
        <v>0</v>
      </c>
      <c r="AE59" s="48">
        <f>(T59-S59)/S59</f>
        <v>3.5235732009925559E-2</v>
      </c>
      <c r="AF59" s="48" t="e">
        <f>(#REF!-#REF!)/#REF!</f>
        <v>#REF!</v>
      </c>
    </row>
    <row r="60" spans="1:32" x14ac:dyDescent="0.3">
      <c r="A60" s="48">
        <v>20180327</v>
      </c>
      <c r="B60" s="48" t="s">
        <v>88</v>
      </c>
      <c r="C60" s="79">
        <v>0.3</v>
      </c>
      <c r="D60" s="79">
        <f t="shared" si="1"/>
        <v>0.24475518165147914</v>
      </c>
      <c r="E60" s="49">
        <v>2514000</v>
      </c>
      <c r="F60" s="49">
        <v>2499000</v>
      </c>
      <c r="G60" s="49">
        <v>128386494</v>
      </c>
      <c r="H60" s="49">
        <f t="shared" si="2"/>
        <v>0.26180432470833498</v>
      </c>
      <c r="I60" s="49">
        <f t="shared" si="8"/>
        <v>0.26180432470833498</v>
      </c>
      <c r="J60" s="48">
        <v>0.3</v>
      </c>
      <c r="K60" s="48">
        <f t="shared" si="3"/>
        <v>0.32836459561751341</v>
      </c>
      <c r="L60" s="48">
        <v>300000</v>
      </c>
      <c r="M60" s="48">
        <v>297000</v>
      </c>
      <c r="N60" s="51">
        <v>122666424</v>
      </c>
      <c r="O60" s="48">
        <f t="shared" si="4"/>
        <v>3.0931763989707699</v>
      </c>
      <c r="P60" s="48">
        <f t="shared" si="9"/>
        <v>3.0931763989707699</v>
      </c>
      <c r="Q60" s="49">
        <v>0.4</v>
      </c>
      <c r="R60" s="49">
        <f t="shared" si="5"/>
        <v>0.42688022273100745</v>
      </c>
      <c r="S60" s="49">
        <v>208600</v>
      </c>
      <c r="T60" s="49">
        <v>213100</v>
      </c>
      <c r="U60" s="49">
        <v>15956260</v>
      </c>
      <c r="V60" s="49">
        <f t="shared" si="6"/>
        <v>43.084593248365302</v>
      </c>
      <c r="W60" s="49">
        <f t="shared" si="10"/>
        <v>43.084593248365302</v>
      </c>
      <c r="X60" s="82">
        <f>IF(Z59&lt;&gt;(E60*G60*H60+L60*N60*O60+S60*U60*V60),1,0)</f>
        <v>0</v>
      </c>
      <c r="Y60" s="82">
        <f>IF(AND(X60=0,B60="N"),Y59,Y59*(E60*G60*I60+L60*N60*P60+S60*U60*W60)/Z59)</f>
        <v>285815225052940.5</v>
      </c>
      <c r="Z60" s="81">
        <f t="shared" si="11"/>
        <v>343186753809347.94</v>
      </c>
      <c r="AA60" s="80">
        <f t="shared" si="0"/>
        <v>1200.7294354098201</v>
      </c>
      <c r="AB60" s="52">
        <f t="shared" si="7"/>
        <v>4.2463868797789793E-3</v>
      </c>
      <c r="AC60" s="48">
        <f>(F60-E60)/E60</f>
        <v>-5.9665871121718375E-3</v>
      </c>
      <c r="AD60" s="48">
        <f>(M60-L60)/L60</f>
        <v>-0.01</v>
      </c>
      <c r="AE60" s="48">
        <f>(T60-S60)/S60</f>
        <v>2.1572387344199424E-2</v>
      </c>
      <c r="AF60" s="48" t="e">
        <f>(#REF!-#REF!)/#REF!</f>
        <v>#REF!</v>
      </c>
    </row>
    <row r="61" spans="1:32" x14ac:dyDescent="0.3">
      <c r="A61" s="48">
        <v>20180328</v>
      </c>
      <c r="B61" s="48" t="s">
        <v>88</v>
      </c>
      <c r="C61" s="79">
        <v>0.3</v>
      </c>
      <c r="D61" s="79">
        <f t="shared" si="1"/>
        <v>0.24255304921980306</v>
      </c>
      <c r="E61" s="49">
        <v>2499000</v>
      </c>
      <c r="F61" s="49">
        <v>2435000</v>
      </c>
      <c r="G61" s="49">
        <v>128386494</v>
      </c>
      <c r="H61" s="49">
        <f t="shared" si="2"/>
        <v>0.26180432470833498</v>
      </c>
      <c r="I61" s="49">
        <f t="shared" si="8"/>
        <v>0.26180432470833498</v>
      </c>
      <c r="J61" s="48">
        <v>0.3</v>
      </c>
      <c r="K61" s="48">
        <f t="shared" si="3"/>
        <v>0.32552967024256968</v>
      </c>
      <c r="L61" s="48">
        <v>297000</v>
      </c>
      <c r="M61" s="48">
        <v>289500</v>
      </c>
      <c r="N61" s="51">
        <v>122666424</v>
      </c>
      <c r="O61" s="48">
        <f t="shared" si="4"/>
        <v>3.0931763989707699</v>
      </c>
      <c r="P61" s="48">
        <f t="shared" si="9"/>
        <v>3.0931763989707699</v>
      </c>
      <c r="Q61" s="49">
        <v>0.4</v>
      </c>
      <c r="R61" s="49">
        <f t="shared" si="5"/>
        <v>0.43191728053762729</v>
      </c>
      <c r="S61" s="49">
        <v>213100</v>
      </c>
      <c r="T61" s="49">
        <v>212000</v>
      </c>
      <c r="U61" s="49">
        <v>15956260</v>
      </c>
      <c r="V61" s="49">
        <f t="shared" si="6"/>
        <v>43.084593248365302</v>
      </c>
      <c r="W61" s="49">
        <f t="shared" si="10"/>
        <v>43.084593248365302</v>
      </c>
      <c r="X61" s="82">
        <f>IF(Z60&lt;&gt;(E61*G61*H61+L61*N61*O61+S61*U61*V61),1,0)</f>
        <v>0</v>
      </c>
      <c r="Y61" s="82">
        <f>IF(AND(X61=0,B61="N"),Y60,Y60*(E61*G61*I61+L61*N61*P61+S61*U61*W61)/Z60)</f>
        <v>285815225052940.5</v>
      </c>
      <c r="Z61" s="81">
        <f t="shared" si="11"/>
        <v>337433644363570.37</v>
      </c>
      <c r="AA61" s="80">
        <f t="shared" si="0"/>
        <v>1180.6006635968004</v>
      </c>
      <c r="AB61" s="52">
        <f t="shared" si="7"/>
        <v>-1.6763786427997081E-2</v>
      </c>
      <c r="AC61" s="48">
        <f>(F61-E61)/E61</f>
        <v>-2.5610244097639057E-2</v>
      </c>
      <c r="AD61" s="48">
        <f>(M61-L61)/L61</f>
        <v>-2.5252525252525252E-2</v>
      </c>
      <c r="AE61" s="48">
        <f>(T61-S61)/S61</f>
        <v>-5.1618958235570157E-3</v>
      </c>
      <c r="AF61" s="48" t="e">
        <f>(#REF!-#REF!)/#REF!</f>
        <v>#REF!</v>
      </c>
    </row>
    <row r="62" spans="1:32" x14ac:dyDescent="0.3">
      <c r="A62" s="48">
        <v>20180329</v>
      </c>
      <c r="B62" s="48" t="s">
        <v>88</v>
      </c>
      <c r="C62" s="79">
        <v>0.3</v>
      </c>
      <c r="D62" s="79">
        <f t="shared" si="1"/>
        <v>0.23240493986120167</v>
      </c>
      <c r="E62" s="49">
        <v>2435000</v>
      </c>
      <c r="F62" s="49">
        <v>2452000</v>
      </c>
      <c r="G62" s="49">
        <v>128386494</v>
      </c>
      <c r="H62" s="49">
        <f t="shared" si="2"/>
        <v>0.26180432470833498</v>
      </c>
      <c r="I62" s="49">
        <f t="shared" si="8"/>
        <v>0.26180432470833498</v>
      </c>
      <c r="J62" s="48">
        <v>0.3</v>
      </c>
      <c r="K62" s="48">
        <f t="shared" si="3"/>
        <v>0.33917074736688385</v>
      </c>
      <c r="L62" s="48">
        <v>289500</v>
      </c>
      <c r="M62" s="48">
        <v>317000</v>
      </c>
      <c r="N62" s="51">
        <v>122666424</v>
      </c>
      <c r="O62" s="48">
        <f t="shared" si="4"/>
        <v>3.0931763989707699</v>
      </c>
      <c r="P62" s="48">
        <f t="shared" si="9"/>
        <v>3.0931763989707699</v>
      </c>
      <c r="Q62" s="49">
        <v>0.4</v>
      </c>
      <c r="R62" s="49">
        <f t="shared" si="5"/>
        <v>0.42842431277191462</v>
      </c>
      <c r="S62" s="49">
        <v>212000</v>
      </c>
      <c r="T62" s="49">
        <v>221000</v>
      </c>
      <c r="U62" s="49">
        <v>15956260</v>
      </c>
      <c r="V62" s="49">
        <f t="shared" si="6"/>
        <v>43.084593248365302</v>
      </c>
      <c r="W62" s="49">
        <f t="shared" si="10"/>
        <v>43.084593248365302</v>
      </c>
      <c r="X62" s="82">
        <f>IF(Z61&lt;&gt;(E62*G62*H62+L62*N62*O62+S62*U62*V62),1,0)</f>
        <v>0</v>
      </c>
      <c r="Y62" s="82">
        <f>IF(AND(X62=0,B62="N"),Y61,Y61*(E62*G62*I62+L62*N62*P62+S62*U62*W62)/Z61)</f>
        <v>285815225052940.5</v>
      </c>
      <c r="Z62" s="81">
        <f t="shared" si="11"/>
        <v>354626565890264.5</v>
      </c>
      <c r="AA62" s="80">
        <f t="shared" si="0"/>
        <v>1240.7546372821055</v>
      </c>
      <c r="AB62" s="52">
        <f t="shared" si="7"/>
        <v>5.0952007346871143E-2</v>
      </c>
      <c r="AC62" s="48">
        <f>(F62-E62)/E62</f>
        <v>6.9815195071868588E-3</v>
      </c>
      <c r="AD62" s="48">
        <f>(M62-L62)/L62</f>
        <v>9.499136442141623E-2</v>
      </c>
      <c r="AE62" s="48">
        <f>(T62-S62)/S62</f>
        <v>4.2452830188679243E-2</v>
      </c>
      <c r="AF62" s="48" t="e">
        <f>(#REF!-#REF!)/#REF!</f>
        <v>#REF!</v>
      </c>
    </row>
    <row r="63" spans="1:32" x14ac:dyDescent="0.3">
      <c r="A63" s="48">
        <v>20180330</v>
      </c>
      <c r="B63" s="48" t="s">
        <v>88</v>
      </c>
      <c r="C63" s="79">
        <v>0.3</v>
      </c>
      <c r="D63" s="79">
        <f t="shared" si="1"/>
        <v>0.23316729236735065</v>
      </c>
      <c r="E63" s="49">
        <v>2452000</v>
      </c>
      <c r="F63" s="49">
        <v>2461000</v>
      </c>
      <c r="G63" s="49">
        <v>128386494</v>
      </c>
      <c r="H63" s="49">
        <f t="shared" si="2"/>
        <v>0.26180432470833498</v>
      </c>
      <c r="I63" s="49">
        <f t="shared" si="8"/>
        <v>0.26180432470833498</v>
      </c>
      <c r="J63" s="48">
        <v>0.3</v>
      </c>
      <c r="K63" s="48">
        <f t="shared" si="3"/>
        <v>0.33101746335075993</v>
      </c>
      <c r="L63" s="48">
        <v>317000</v>
      </c>
      <c r="M63" s="48">
        <v>309500</v>
      </c>
      <c r="N63" s="51">
        <v>122666424</v>
      </c>
      <c r="O63" s="48">
        <f t="shared" si="4"/>
        <v>3.0931763989707699</v>
      </c>
      <c r="P63" s="48">
        <f t="shared" si="9"/>
        <v>3.0931763989707699</v>
      </c>
      <c r="Q63" s="49">
        <v>0.4</v>
      </c>
      <c r="R63" s="49">
        <f t="shared" si="5"/>
        <v>0.43581524428188939</v>
      </c>
      <c r="S63" s="49">
        <v>221000</v>
      </c>
      <c r="T63" s="49">
        <v>224900</v>
      </c>
      <c r="U63" s="49">
        <v>15956260</v>
      </c>
      <c r="V63" s="49">
        <f t="shared" si="6"/>
        <v>43.084593248365302</v>
      </c>
      <c r="W63" s="49">
        <f t="shared" si="10"/>
        <v>43.084593248365302</v>
      </c>
      <c r="X63" s="82">
        <f>IF(Z62&lt;&gt;(E63*G63*H63+L63*N63*O63+S63*U63*V63),1,0)</f>
        <v>0</v>
      </c>
      <c r="Y63" s="82">
        <f>IF(AND(X63=0,B63="N"),Y62,Y62*(E63*G63*I63+L63*N63*P63+S63*U63*W63)/Z62)</f>
        <v>285815225052940.5</v>
      </c>
      <c r="Z63" s="81">
        <f t="shared" si="11"/>
        <v>354764487477336.69</v>
      </c>
      <c r="AA63" s="80">
        <f t="shared" si="0"/>
        <v>1241.2371923560929</v>
      </c>
      <c r="AB63" s="52">
        <f t="shared" si="7"/>
        <v>3.8892062901693989E-4</v>
      </c>
      <c r="AC63" s="48">
        <f>(F63-E63)/E63</f>
        <v>3.67047308319739E-3</v>
      </c>
      <c r="AD63" s="48">
        <f>(M63-L63)/L63</f>
        <v>-2.365930599369085E-2</v>
      </c>
      <c r="AE63" s="48">
        <f>(T63-S63)/S63</f>
        <v>1.7647058823529412E-2</v>
      </c>
      <c r="AF63" s="48" t="e">
        <f>(#REF!-#REF!)/#REF!</f>
        <v>#REF!</v>
      </c>
    </row>
    <row r="64" spans="1:32" x14ac:dyDescent="0.3">
      <c r="A64" s="48">
        <v>20180402</v>
      </c>
      <c r="B64" s="48" t="s">
        <v>88</v>
      </c>
      <c r="C64" s="79">
        <v>0.3</v>
      </c>
      <c r="D64" s="79">
        <f t="shared" si="1"/>
        <v>0.23246771430628385</v>
      </c>
      <c r="E64" s="49">
        <v>2461000</v>
      </c>
      <c r="F64" s="49">
        <v>2427000</v>
      </c>
      <c r="G64" s="49">
        <v>128386494</v>
      </c>
      <c r="H64" s="49">
        <f t="shared" si="2"/>
        <v>0.26180432470833498</v>
      </c>
      <c r="I64" s="49">
        <f t="shared" si="8"/>
        <v>0.26180432470833498</v>
      </c>
      <c r="J64" s="48">
        <v>0.3</v>
      </c>
      <c r="K64" s="48">
        <f t="shared" si="3"/>
        <v>0.32870074611379607</v>
      </c>
      <c r="L64" s="48">
        <v>309500</v>
      </c>
      <c r="M64" s="48">
        <v>304000</v>
      </c>
      <c r="N64" s="51">
        <v>122666424</v>
      </c>
      <c r="O64" s="48">
        <f t="shared" si="4"/>
        <v>3.0931763989707699</v>
      </c>
      <c r="P64" s="48">
        <f t="shared" si="9"/>
        <v>3.0931763989707699</v>
      </c>
      <c r="Q64" s="49">
        <v>0.4</v>
      </c>
      <c r="R64" s="49">
        <f t="shared" si="5"/>
        <v>0.4388315395799201</v>
      </c>
      <c r="S64" s="49">
        <v>224900</v>
      </c>
      <c r="T64" s="49">
        <v>224000</v>
      </c>
      <c r="U64" s="49">
        <v>15956260</v>
      </c>
      <c r="V64" s="49">
        <f t="shared" si="6"/>
        <v>43.084593248365302</v>
      </c>
      <c r="W64" s="49">
        <f t="shared" si="10"/>
        <v>43.084593248365302</v>
      </c>
      <c r="X64" s="82">
        <f>IF(Z63&lt;&gt;(E64*G64*H64+L64*N64*O64+S64*U64*V64),1,0)</f>
        <v>0</v>
      </c>
      <c r="Y64" s="82">
        <f>IF(AND(X64=0,B64="N"),Y63,Y63*(E64*G64*I64+L64*N64*P64+S64*U64*W64)/Z63)</f>
        <v>285815225052940.5</v>
      </c>
      <c r="Z64" s="81">
        <f t="shared" si="11"/>
        <v>350916093782158.25</v>
      </c>
      <c r="AA64" s="80">
        <f t="shared" si="0"/>
        <v>1227.7725713077718</v>
      </c>
      <c r="AB64" s="52">
        <f t="shared" si="7"/>
        <v>-1.0847742181140084E-2</v>
      </c>
      <c r="AC64" s="48">
        <f>(F64-E64)/E64</f>
        <v>-1.3815522145469321E-2</v>
      </c>
      <c r="AD64" s="48">
        <f>(M64-L64)/L64</f>
        <v>-1.7770597738287562E-2</v>
      </c>
      <c r="AE64" s="48">
        <f>(T64-S64)/S64</f>
        <v>-4.0017785682525571E-3</v>
      </c>
      <c r="AF64" s="48" t="e">
        <f>(#REF!-#REF!)/#REF!</f>
        <v>#REF!</v>
      </c>
    </row>
    <row r="65" spans="1:32" x14ac:dyDescent="0.3">
      <c r="A65" s="48">
        <v>20180403</v>
      </c>
      <c r="B65" s="48" t="s">
        <v>88</v>
      </c>
      <c r="C65" s="79">
        <v>0.3</v>
      </c>
      <c r="D65" s="79">
        <f t="shared" si="1"/>
        <v>0.22623962006742343</v>
      </c>
      <c r="E65" s="49">
        <v>2427000</v>
      </c>
      <c r="F65" s="49">
        <v>2406000</v>
      </c>
      <c r="G65" s="49">
        <v>128386494</v>
      </c>
      <c r="H65" s="49">
        <f t="shared" si="2"/>
        <v>0.26180432470833498</v>
      </c>
      <c r="I65" s="49">
        <f t="shared" si="8"/>
        <v>0.26180432470833498</v>
      </c>
      <c r="J65" s="48">
        <v>0.3</v>
      </c>
      <c r="K65" s="48">
        <f t="shared" si="3"/>
        <v>0.3173792029927151</v>
      </c>
      <c r="L65" s="48">
        <v>304000</v>
      </c>
      <c r="M65" s="48">
        <v>299000</v>
      </c>
      <c r="N65" s="51">
        <v>122666424</v>
      </c>
      <c r="O65" s="48">
        <f t="shared" si="4"/>
        <v>3.0931763989707699</v>
      </c>
      <c r="P65" s="48">
        <f t="shared" si="9"/>
        <v>3.0931763989707699</v>
      </c>
      <c r="Q65" s="49">
        <v>0.4</v>
      </c>
      <c r="R65" s="49">
        <f t="shared" si="5"/>
        <v>0.45638117693986163</v>
      </c>
      <c r="S65" s="49">
        <v>224000</v>
      </c>
      <c r="T65" s="49">
        <v>237300</v>
      </c>
      <c r="U65" s="49">
        <v>15956260</v>
      </c>
      <c r="V65" s="49">
        <f t="shared" si="6"/>
        <v>43.084593248365302</v>
      </c>
      <c r="W65" s="49">
        <f t="shared" si="10"/>
        <v>43.084593248365302</v>
      </c>
      <c r="X65" s="82">
        <f>IF(Z64&lt;&gt;(E65*G65*H65+L65*N65*O65+S65*U65*V65),1,0)</f>
        <v>0</v>
      </c>
      <c r="Y65" s="82">
        <f>IF(AND(X65=0,B65="N"),Y64,Y64*(E65*G65*I65+L65*N65*P65+S65*U65*W65)/Z64)</f>
        <v>285815225052940.5</v>
      </c>
      <c r="Z65" s="81">
        <f t="shared" si="11"/>
        <v>357456431743020</v>
      </c>
      <c r="AA65" s="80">
        <f t="shared" si="0"/>
        <v>1250.6556698538702</v>
      </c>
      <c r="AB65" s="52">
        <f t="shared" si="7"/>
        <v>1.8637896855542443E-2</v>
      </c>
      <c r="AC65" s="48">
        <f>(F65-E65)/E65</f>
        <v>-8.65265760197775E-3</v>
      </c>
      <c r="AD65" s="48">
        <f>(M65-L65)/L65</f>
        <v>-1.6447368421052631E-2</v>
      </c>
      <c r="AE65" s="48">
        <f>(T65-S65)/S65</f>
        <v>5.9374999999999997E-2</v>
      </c>
      <c r="AF65" s="48" t="e">
        <f>(#REF!-#REF!)/#REF!</f>
        <v>#REF!</v>
      </c>
    </row>
    <row r="66" spans="1:32" x14ac:dyDescent="0.3">
      <c r="A66" s="48">
        <v>20180404</v>
      </c>
      <c r="B66" s="48" t="s">
        <v>88</v>
      </c>
      <c r="C66" s="79">
        <v>0.3</v>
      </c>
      <c r="D66" s="79">
        <f t="shared" si="1"/>
        <v>0.22119038403425331</v>
      </c>
      <c r="E66" s="49">
        <v>2406000</v>
      </c>
      <c r="F66" s="49">
        <v>2346000</v>
      </c>
      <c r="G66" s="49">
        <v>128386494</v>
      </c>
      <c r="H66" s="49">
        <f t="shared" si="2"/>
        <v>0.26180432470833498</v>
      </c>
      <c r="I66" s="49">
        <f t="shared" si="8"/>
        <v>0.26180432470833498</v>
      </c>
      <c r="J66" s="48">
        <v>0.3</v>
      </c>
      <c r="K66" s="48">
        <f t="shared" si="3"/>
        <v>0.31291025923052623</v>
      </c>
      <c r="L66" s="48">
        <v>299000</v>
      </c>
      <c r="M66" s="48">
        <v>294000</v>
      </c>
      <c r="N66" s="51">
        <v>122666424</v>
      </c>
      <c r="O66" s="48">
        <f t="shared" si="4"/>
        <v>3.0931763989707699</v>
      </c>
      <c r="P66" s="48">
        <f t="shared" si="9"/>
        <v>3.0931763989707699</v>
      </c>
      <c r="Q66" s="49">
        <v>0.4</v>
      </c>
      <c r="R66" s="49">
        <f t="shared" si="5"/>
        <v>0.46589935673522037</v>
      </c>
      <c r="S66" s="49">
        <v>237300</v>
      </c>
      <c r="T66" s="49">
        <v>241600</v>
      </c>
      <c r="U66" s="49">
        <v>15956260</v>
      </c>
      <c r="V66" s="49">
        <f t="shared" si="6"/>
        <v>43.084593248365302</v>
      </c>
      <c r="W66" s="49">
        <f t="shared" si="10"/>
        <v>43.084593248365302</v>
      </c>
      <c r="X66" s="82">
        <f>IF(Z65&lt;&gt;(E66*G66*H66+L66*N66*O66+S66*U66*V66),1,0)</f>
        <v>0</v>
      </c>
      <c r="Y66" s="82">
        <f>IF(AND(X66=0,B66="N"),Y65,Y65*(E66*G66*I66+L66*N66*P66+S66*U66*W66)/Z65)</f>
        <v>285815225052940.5</v>
      </c>
      <c r="Z66" s="81">
        <f t="shared" si="11"/>
        <v>356498675521925.12</v>
      </c>
      <c r="AA66" s="80">
        <f t="shared" si="0"/>
        <v>1247.3047069339718</v>
      </c>
      <c r="AB66" s="52">
        <f t="shared" si="7"/>
        <v>-2.6793649128780011E-3</v>
      </c>
      <c r="AC66" s="48">
        <f>(F66-E66)/E66</f>
        <v>-2.4937655860349128E-2</v>
      </c>
      <c r="AD66" s="48">
        <f>(M66-L66)/L66</f>
        <v>-1.6722408026755852E-2</v>
      </c>
      <c r="AE66" s="48">
        <f>(T66-S66)/S66</f>
        <v>1.8120522545301308E-2</v>
      </c>
      <c r="AF66" s="48" t="e">
        <f>(#REF!-#REF!)/#REF!</f>
        <v>#REF!</v>
      </c>
    </row>
    <row r="67" spans="1:32" x14ac:dyDescent="0.3">
      <c r="A67" s="48">
        <v>20180405</v>
      </c>
      <c r="B67" s="48" t="s">
        <v>88</v>
      </c>
      <c r="C67" s="79">
        <v>0.3</v>
      </c>
      <c r="D67" s="79">
        <f t="shared" si="1"/>
        <v>0.22809824979773835</v>
      </c>
      <c r="E67" s="49">
        <v>2346000</v>
      </c>
      <c r="F67" s="49">
        <v>2437000</v>
      </c>
      <c r="G67" s="49">
        <v>128386494</v>
      </c>
      <c r="H67" s="49">
        <f t="shared" si="2"/>
        <v>0.26180432470833498</v>
      </c>
      <c r="I67" s="49">
        <f t="shared" si="8"/>
        <v>0.26180432470833498</v>
      </c>
      <c r="J67" s="48">
        <v>0.3</v>
      </c>
      <c r="K67" s="48">
        <f t="shared" si="3"/>
        <v>0.3116898621025706</v>
      </c>
      <c r="L67" s="48">
        <v>294000</v>
      </c>
      <c r="M67" s="48">
        <v>295000</v>
      </c>
      <c r="N67" s="51">
        <v>122666424</v>
      </c>
      <c r="O67" s="48">
        <f t="shared" si="4"/>
        <v>3.0931763989707699</v>
      </c>
      <c r="P67" s="48">
        <f t="shared" si="9"/>
        <v>3.0931763989707699</v>
      </c>
      <c r="Q67" s="49">
        <v>0.4</v>
      </c>
      <c r="R67" s="49">
        <f t="shared" si="5"/>
        <v>0.46021188809969094</v>
      </c>
      <c r="S67" s="49">
        <v>241600</v>
      </c>
      <c r="T67" s="49">
        <v>240400</v>
      </c>
      <c r="U67" s="49">
        <v>15956260</v>
      </c>
      <c r="V67" s="49">
        <f t="shared" si="6"/>
        <v>43.084593248365302</v>
      </c>
      <c r="W67" s="49">
        <f t="shared" si="10"/>
        <v>43.084593248365302</v>
      </c>
      <c r="X67" s="82">
        <f>IF(Z66&lt;&gt;(E67*G67*H67+L67*N67*O67+S67*U67*V67),1,0)</f>
        <v>0</v>
      </c>
      <c r="Y67" s="82">
        <f>IF(AND(X67=0,B67="N"),Y66,Y66*(E67*G67*I67+L67*N67*P67+S67*U67*W67)/Z66)</f>
        <v>285815225052940.5</v>
      </c>
      <c r="Z67" s="81">
        <f t="shared" si="11"/>
        <v>359111846325413.87</v>
      </c>
      <c r="AA67" s="80">
        <f t="shared" ref="AA67:AA130" si="12">Z67/Y67*1000</f>
        <v>1256.4475746835981</v>
      </c>
      <c r="AB67" s="52">
        <f t="shared" si="7"/>
        <v>7.3300996130292329E-3</v>
      </c>
      <c r="AC67" s="48">
        <f>(F67-E67)/E67</f>
        <v>3.8789428815004259E-2</v>
      </c>
      <c r="AD67" s="48">
        <f>(M67-L67)/L67</f>
        <v>3.4013605442176869E-3</v>
      </c>
      <c r="AE67" s="48">
        <f>(T67-S67)/S67</f>
        <v>-4.9668874172185433E-3</v>
      </c>
      <c r="AF67" s="48" t="e">
        <f>(#REF!-#REF!)/#REF!</f>
        <v>#REF!</v>
      </c>
    </row>
    <row r="68" spans="1:32" x14ac:dyDescent="0.3">
      <c r="A68" s="48">
        <v>20180406</v>
      </c>
      <c r="B68" s="48" t="s">
        <v>88</v>
      </c>
      <c r="C68" s="79">
        <v>0.3</v>
      </c>
      <c r="D68" s="79">
        <f t="shared" ref="D68:D131" si="13">F68*G68*I68/Z68</f>
        <v>0.22706649947118224</v>
      </c>
      <c r="E68" s="49">
        <v>2437000</v>
      </c>
      <c r="F68" s="49">
        <v>2420000</v>
      </c>
      <c r="G68" s="49">
        <v>128386494</v>
      </c>
      <c r="H68" s="49">
        <f t="shared" ref="H68:H131" si="14">I67</f>
        <v>0.26180432470833498</v>
      </c>
      <c r="I68" s="49">
        <f t="shared" si="8"/>
        <v>0.26180432470833498</v>
      </c>
      <c r="J68" s="48">
        <v>0.3</v>
      </c>
      <c r="K68" s="48">
        <f t="shared" ref="K68:K131" si="15">M68*N68*P68/Z68</f>
        <v>0.30928210130017314</v>
      </c>
      <c r="L68" s="48">
        <v>295000</v>
      </c>
      <c r="M68" s="48">
        <v>292000</v>
      </c>
      <c r="N68" s="51">
        <v>122666424</v>
      </c>
      <c r="O68" s="48">
        <f t="shared" ref="O68:O131" si="16">P67</f>
        <v>3.0931763989707699</v>
      </c>
      <c r="P68" s="48">
        <f t="shared" si="9"/>
        <v>3.0931763989707699</v>
      </c>
      <c r="Q68" s="49">
        <v>0.4</v>
      </c>
      <c r="R68" s="49">
        <f t="shared" ref="R68:R131" si="17">T68*U68*W68/Z68</f>
        <v>0.46365139922864473</v>
      </c>
      <c r="S68" s="49">
        <v>240400</v>
      </c>
      <c r="T68" s="49">
        <v>241600</v>
      </c>
      <c r="U68" s="49">
        <v>15956260</v>
      </c>
      <c r="V68" s="49">
        <f t="shared" ref="V68:V131" si="18">W67</f>
        <v>43.084593248365302</v>
      </c>
      <c r="W68" s="49">
        <f t="shared" si="10"/>
        <v>43.084593248365302</v>
      </c>
      <c r="X68" s="82">
        <f>IF(Z67&lt;&gt;(E68*G68*H68+L68*N68*O68+S68*U68*V68),1,0)</f>
        <v>0</v>
      </c>
      <c r="Y68" s="82">
        <f>IF(AND(X68=0,B68="N"),Y67,Y67*(E68*G68*I68+L68*N68*P68+S68*U68*W68)/Z67)</f>
        <v>285815225052940.5</v>
      </c>
      <c r="Z68" s="81">
        <f t="shared" si="11"/>
        <v>358227116059486.37</v>
      </c>
      <c r="AA68" s="80">
        <f t="shared" si="12"/>
        <v>1253.3521123415776</v>
      </c>
      <c r="AB68" s="52">
        <f t="shared" ref="AB68:AB131" si="19">(AA68-AA67)/AA67</f>
        <v>-2.4636621570143825E-3</v>
      </c>
      <c r="AC68" s="48">
        <f>(F68-E68)/E68</f>
        <v>-6.9757899056216658E-3</v>
      </c>
      <c r="AD68" s="48">
        <f>(M68-L68)/L68</f>
        <v>-1.0169491525423728E-2</v>
      </c>
      <c r="AE68" s="48">
        <f>(T68-S68)/S68</f>
        <v>4.9916805324459234E-3</v>
      </c>
      <c r="AF68" s="48" t="e">
        <f>(#REF!-#REF!)/#REF!</f>
        <v>#REF!</v>
      </c>
    </row>
    <row r="69" spans="1:32" x14ac:dyDescent="0.3">
      <c r="A69" s="48">
        <v>20180409</v>
      </c>
      <c r="B69" s="48" t="s">
        <v>88</v>
      </c>
      <c r="C69" s="79">
        <v>0.3</v>
      </c>
      <c r="D69" s="79">
        <f t="shared" si="13"/>
        <v>0.22098803257914387</v>
      </c>
      <c r="E69" s="49">
        <v>2420000</v>
      </c>
      <c r="F69" s="49">
        <v>2460000</v>
      </c>
      <c r="G69" s="49">
        <v>128386494</v>
      </c>
      <c r="H69" s="49">
        <f t="shared" si="14"/>
        <v>0.26180432470833498</v>
      </c>
      <c r="I69" s="49">
        <f t="shared" ref="I69:I132" si="20">IF(B69="Y",ROUND(C69*(E69*G69+L69*N69+S69*U69)/(E69*G69),17),IF(X69=0,H69,ROUND(F68*G68*I68/Z68*(E69*G69+L69*N69+S69*U69)/(E69*G69),17)))</f>
        <v>0.26180432470833498</v>
      </c>
      <c r="J69" s="48">
        <v>0.3</v>
      </c>
      <c r="K69" s="48">
        <f t="shared" si="15"/>
        <v>0.31030538471122965</v>
      </c>
      <c r="L69" s="48">
        <v>292000</v>
      </c>
      <c r="M69" s="48">
        <v>306000</v>
      </c>
      <c r="N69" s="51">
        <v>122666424</v>
      </c>
      <c r="O69" s="48">
        <f t="shared" si="16"/>
        <v>3.0931763989707699</v>
      </c>
      <c r="P69" s="48">
        <f t="shared" ref="P69:P132" si="21">IF(B69="Y",ROUND(J69*(E69*G69+L69*N69+S69*U69)/(L69*N69),17),IF(X69=0,O69,ROUND(M68*N68*P68/Z68*(E69*G69+L69*N69+S69*U69)/(L69*N69),17)))</f>
        <v>3.0931763989707699</v>
      </c>
      <c r="Q69" s="49">
        <v>0.4</v>
      </c>
      <c r="R69" s="49">
        <f t="shared" si="17"/>
        <v>0.46870658270962662</v>
      </c>
      <c r="S69" s="49">
        <v>241600</v>
      </c>
      <c r="T69" s="49">
        <v>255100</v>
      </c>
      <c r="U69" s="49">
        <v>15956260</v>
      </c>
      <c r="V69" s="49">
        <f t="shared" si="18"/>
        <v>43.084593248365302</v>
      </c>
      <c r="W69" s="49">
        <f t="shared" ref="W69:W132" si="22">IF(B69="Y",ROUND(Q69*(E69*G69+L69*N69+S69*U69)/(S69*U69),17),IF(X69=0,V69,ROUND(T68*U68*W68/Z68*(E69*G69+L69*N69+S69*U69)/(S69*U69),17)))</f>
        <v>43.084593248365302</v>
      </c>
      <c r="X69" s="82">
        <f>IF(Z68&lt;&gt;(E69*G69*H69+L69*N69*O69+S69*U69*V69),1,0)</f>
        <v>0</v>
      </c>
      <c r="Y69" s="82">
        <f>IF(AND(X69=0,B69="N"),Y68,Y68*(E69*G69*I69+L69*N69*P69+S69*U69*W69)/Z68)</f>
        <v>285815225052940.5</v>
      </c>
      <c r="Z69" s="81">
        <f t="shared" ref="Z69:Z132" si="23">F69*G69*I69+M69*N69*P69+T69*U69*W69</f>
        <v>374164437181480.87</v>
      </c>
      <c r="AA69" s="80">
        <f t="shared" si="12"/>
        <v>1309.1130366206901</v>
      </c>
      <c r="AB69" s="52">
        <f t="shared" si="19"/>
        <v>4.4489432562519901E-2</v>
      </c>
      <c r="AC69" s="48">
        <f>(F69-E69)/E69</f>
        <v>1.6528925619834711E-2</v>
      </c>
      <c r="AD69" s="48">
        <f>(M69-L69)/L69</f>
        <v>4.7945205479452052E-2</v>
      </c>
      <c r="AE69" s="48">
        <f>(T69-S69)/S69</f>
        <v>5.587748344370861E-2</v>
      </c>
      <c r="AF69" s="48" t="e">
        <f>(#REF!-#REF!)/#REF!</f>
        <v>#REF!</v>
      </c>
    </row>
    <row r="70" spans="1:32" x14ac:dyDescent="0.3">
      <c r="A70" s="48">
        <v>20180410</v>
      </c>
      <c r="B70" s="48" t="s">
        <v>88</v>
      </c>
      <c r="C70" s="79">
        <v>0.3</v>
      </c>
      <c r="D70" s="79">
        <f t="shared" si="13"/>
        <v>0.21848213193331845</v>
      </c>
      <c r="E70" s="49">
        <v>2460000</v>
      </c>
      <c r="F70" s="49">
        <v>2444000</v>
      </c>
      <c r="G70" s="49">
        <v>128386494</v>
      </c>
      <c r="H70" s="49">
        <f t="shared" si="14"/>
        <v>0.26180432470833498</v>
      </c>
      <c r="I70" s="49">
        <f t="shared" si="20"/>
        <v>0.26180432470833498</v>
      </c>
      <c r="J70" s="48">
        <v>0.3</v>
      </c>
      <c r="K70" s="48">
        <f t="shared" si="15"/>
        <v>0.30576768768684948</v>
      </c>
      <c r="L70" s="48">
        <v>306000</v>
      </c>
      <c r="M70" s="48">
        <v>303000</v>
      </c>
      <c r="N70" s="51">
        <v>122666424</v>
      </c>
      <c r="O70" s="48">
        <f t="shared" si="16"/>
        <v>3.0931763989707699</v>
      </c>
      <c r="P70" s="48">
        <f t="shared" si="21"/>
        <v>3.0931763989707699</v>
      </c>
      <c r="Q70" s="49">
        <v>0.4</v>
      </c>
      <c r="R70" s="49">
        <f t="shared" si="17"/>
        <v>0.47575018037983197</v>
      </c>
      <c r="S70" s="49">
        <v>255100</v>
      </c>
      <c r="T70" s="49">
        <v>260200</v>
      </c>
      <c r="U70" s="49">
        <v>15956260</v>
      </c>
      <c r="V70" s="49">
        <f t="shared" si="18"/>
        <v>43.084593248365302</v>
      </c>
      <c r="W70" s="49">
        <f t="shared" si="22"/>
        <v>43.084593248365302</v>
      </c>
      <c r="X70" s="82">
        <f>IF(Z69&lt;&gt;(E70*G70*H70+L70*N70*O70+S70*U70*V70),1,0)</f>
        <v>0</v>
      </c>
      <c r="Y70" s="82">
        <f>IF(AND(X70=0,B70="N"),Y69,Y69*(E70*G70*I70+L70*N70*P70+S70*U70*W70)/Z69)</f>
        <v>285815225052940.5</v>
      </c>
      <c r="Z70" s="81">
        <f t="shared" si="23"/>
        <v>375994448045191</v>
      </c>
      <c r="AA70" s="80">
        <f t="shared" si="12"/>
        <v>1315.5158126217627</v>
      </c>
      <c r="AB70" s="52">
        <f t="shared" si="19"/>
        <v>4.8909267740550573E-3</v>
      </c>
      <c r="AC70" s="48">
        <f>(F70-E70)/E70</f>
        <v>-6.5040650406504065E-3</v>
      </c>
      <c r="AD70" s="48">
        <f>(M70-L70)/L70</f>
        <v>-9.8039215686274508E-3</v>
      </c>
      <c r="AE70" s="48">
        <f>(T70-S70)/S70</f>
        <v>1.9992159937279499E-2</v>
      </c>
      <c r="AF70" s="48" t="e">
        <f>(#REF!-#REF!)/#REF!</f>
        <v>#REF!</v>
      </c>
    </row>
    <row r="71" spans="1:32" x14ac:dyDescent="0.3">
      <c r="A71" s="48">
        <v>20180411</v>
      </c>
      <c r="B71" s="48" t="s">
        <v>88</v>
      </c>
      <c r="C71" s="79">
        <v>0.3</v>
      </c>
      <c r="D71" s="79">
        <f t="shared" si="13"/>
        <v>0.22102294365666461</v>
      </c>
      <c r="E71" s="49">
        <v>2444000</v>
      </c>
      <c r="F71" s="49">
        <v>2443000</v>
      </c>
      <c r="G71" s="49">
        <v>128386494</v>
      </c>
      <c r="H71" s="49">
        <f t="shared" si="14"/>
        <v>0.26180432470833498</v>
      </c>
      <c r="I71" s="49">
        <f t="shared" si="20"/>
        <v>0.26180432470833498</v>
      </c>
      <c r="J71" s="48">
        <v>0.3</v>
      </c>
      <c r="K71" s="48">
        <f t="shared" si="15"/>
        <v>0.3043437537619591</v>
      </c>
      <c r="L71" s="48">
        <v>303000</v>
      </c>
      <c r="M71" s="48">
        <v>298000</v>
      </c>
      <c r="N71" s="51">
        <v>122666424</v>
      </c>
      <c r="O71" s="48">
        <f t="shared" si="16"/>
        <v>3.0931763989707699</v>
      </c>
      <c r="P71" s="48">
        <f t="shared" si="21"/>
        <v>3.0931763989707699</v>
      </c>
      <c r="Q71" s="49">
        <v>0.4</v>
      </c>
      <c r="R71" s="49">
        <f t="shared" si="17"/>
        <v>0.47463330258137632</v>
      </c>
      <c r="S71" s="49">
        <v>260200</v>
      </c>
      <c r="T71" s="49">
        <v>256500</v>
      </c>
      <c r="U71" s="49">
        <v>15956260</v>
      </c>
      <c r="V71" s="49">
        <f t="shared" si="18"/>
        <v>43.084593248365302</v>
      </c>
      <c r="W71" s="49">
        <f t="shared" si="22"/>
        <v>43.084593248365302</v>
      </c>
      <c r="X71" s="82">
        <f>IF(Z70&lt;&gt;(E71*G71*H71+L71*N71*O71+S71*U71*V71),1,0)</f>
        <v>0</v>
      </c>
      <c r="Y71" s="82">
        <f>IF(AND(X71=0,B71="N"),Y70,Y70*(E71*G71*I71+L71*N71*P71+S71*U71*W71)/Z70)</f>
        <v>285815225052940.5</v>
      </c>
      <c r="Z71" s="81">
        <f t="shared" si="23"/>
        <v>371520056271611.81</v>
      </c>
      <c r="AA71" s="80">
        <f t="shared" si="12"/>
        <v>1299.8609720766153</v>
      </c>
      <c r="AB71" s="52">
        <f t="shared" si="19"/>
        <v>-1.1900153836956189E-2</v>
      </c>
      <c r="AC71" s="48">
        <f>(F71-E71)/E71</f>
        <v>-4.0916530278232408E-4</v>
      </c>
      <c r="AD71" s="48">
        <f>(M71-L71)/L71</f>
        <v>-1.65016501650165E-2</v>
      </c>
      <c r="AE71" s="48">
        <f>(T71-S71)/S71</f>
        <v>-1.4219830899308224E-2</v>
      </c>
      <c r="AF71" s="48" t="e">
        <f>(#REF!-#REF!)/#REF!</f>
        <v>#REF!</v>
      </c>
    </row>
    <row r="72" spans="1:32" x14ac:dyDescent="0.3">
      <c r="A72" s="48">
        <v>20180412</v>
      </c>
      <c r="B72" s="48" t="s">
        <v>88</v>
      </c>
      <c r="C72" s="79">
        <v>0.3</v>
      </c>
      <c r="D72" s="79">
        <f t="shared" si="13"/>
        <v>0.23185954047349847</v>
      </c>
      <c r="E72" s="49">
        <v>2443000</v>
      </c>
      <c r="F72" s="49">
        <v>2450000</v>
      </c>
      <c r="G72" s="49">
        <v>128386494</v>
      </c>
      <c r="H72" s="49">
        <f t="shared" si="14"/>
        <v>0.26180432470833498</v>
      </c>
      <c r="I72" s="49">
        <f t="shared" si="20"/>
        <v>0.26180432470833498</v>
      </c>
      <c r="J72" s="48">
        <v>0.3</v>
      </c>
      <c r="K72" s="48">
        <f t="shared" si="15"/>
        <v>0.31888747299274267</v>
      </c>
      <c r="L72" s="48">
        <v>298000</v>
      </c>
      <c r="M72" s="48">
        <v>298500</v>
      </c>
      <c r="N72" s="51">
        <v>122666424</v>
      </c>
      <c r="O72" s="48">
        <f t="shared" si="16"/>
        <v>3.0931763989707699</v>
      </c>
      <c r="P72" s="48">
        <f t="shared" si="21"/>
        <v>3.0931763989707699</v>
      </c>
      <c r="Q72" s="49">
        <v>0.4</v>
      </c>
      <c r="R72" s="49">
        <f t="shared" si="17"/>
        <v>0.44925298653375884</v>
      </c>
      <c r="S72" s="49">
        <v>256500</v>
      </c>
      <c r="T72" s="49">
        <v>232100</v>
      </c>
      <c r="U72" s="49">
        <v>15956260</v>
      </c>
      <c r="V72" s="49">
        <f t="shared" si="18"/>
        <v>43.084593248365302</v>
      </c>
      <c r="W72" s="49">
        <f t="shared" si="22"/>
        <v>43.084593248365302</v>
      </c>
      <c r="X72" s="82">
        <f>IF(Z71&lt;&gt;(E72*G72*H72+L72*N72*O72+S72*U72*V72),1,0)</f>
        <v>0</v>
      </c>
      <c r="Y72" s="82">
        <f>IF(AND(X72=0,B72="N"),Y71,Y71*(E72*G72*I72+L72*N72*P72+S72*U72*W72)/Z71)</f>
        <v>285815225052940.5</v>
      </c>
      <c r="Z72" s="81">
        <f t="shared" si="23"/>
        <v>355170812777476.75</v>
      </c>
      <c r="AA72" s="80">
        <f t="shared" si="12"/>
        <v>1242.658828659984</v>
      </c>
      <c r="AB72" s="52">
        <f t="shared" si="19"/>
        <v>-4.4006355022142903E-2</v>
      </c>
      <c r="AC72" s="48">
        <f>(F72-E72)/E72</f>
        <v>2.8653295128939827E-3</v>
      </c>
      <c r="AD72" s="48">
        <f>(M72-L72)/L72</f>
        <v>1.6778523489932886E-3</v>
      </c>
      <c r="AE72" s="48">
        <f>(T72-S72)/S72</f>
        <v>-9.5126705653021448E-2</v>
      </c>
      <c r="AF72" s="48" t="e">
        <f>(#REF!-#REF!)/#REF!</f>
        <v>#REF!</v>
      </c>
    </row>
    <row r="73" spans="1:32" x14ac:dyDescent="0.3">
      <c r="A73" s="48">
        <v>20180413</v>
      </c>
      <c r="B73" s="48" t="s">
        <v>88</v>
      </c>
      <c r="C73" s="79">
        <v>0.3</v>
      </c>
      <c r="D73" s="79">
        <f t="shared" si="13"/>
        <v>0.23511510982622347</v>
      </c>
      <c r="E73" s="49">
        <v>2450000</v>
      </c>
      <c r="F73" s="49">
        <v>2490000</v>
      </c>
      <c r="G73" s="49">
        <v>128386494</v>
      </c>
      <c r="H73" s="49">
        <f t="shared" si="14"/>
        <v>0.26180432470833498</v>
      </c>
      <c r="I73" s="49">
        <f t="shared" si="20"/>
        <v>0.26180432470833498</v>
      </c>
      <c r="J73" s="48">
        <v>0.3</v>
      </c>
      <c r="K73" s="48">
        <f t="shared" si="15"/>
        <v>0.30911026548752957</v>
      </c>
      <c r="L73" s="48">
        <v>298500</v>
      </c>
      <c r="M73" s="48">
        <v>290000</v>
      </c>
      <c r="N73" s="51">
        <v>122666424</v>
      </c>
      <c r="O73" s="48">
        <f t="shared" si="16"/>
        <v>3.0931763989707699</v>
      </c>
      <c r="P73" s="48">
        <f t="shared" si="21"/>
        <v>3.0931763989707699</v>
      </c>
      <c r="Q73" s="49">
        <v>0.4</v>
      </c>
      <c r="R73" s="49">
        <f t="shared" si="17"/>
        <v>0.45577462468624697</v>
      </c>
      <c r="S73" s="49">
        <v>232100</v>
      </c>
      <c r="T73" s="49">
        <v>236000</v>
      </c>
      <c r="U73" s="49">
        <v>15956260</v>
      </c>
      <c r="V73" s="49">
        <f t="shared" si="18"/>
        <v>43.084593248365302</v>
      </c>
      <c r="W73" s="49">
        <f t="shared" si="22"/>
        <v>43.084593248365302</v>
      </c>
      <c r="X73" s="82">
        <f>IF(Z72&lt;&gt;(E73*G73*H73+L73*N73*O73+S73*U73*V73),1,0)</f>
        <v>0</v>
      </c>
      <c r="Y73" s="82">
        <f>IF(AND(X73=0,B73="N"),Y72,Y72*(E73*G73*I73+L73*N73*P73+S73*U73*W73)/Z72)</f>
        <v>285815225052940.5</v>
      </c>
      <c r="Z73" s="81">
        <f t="shared" si="23"/>
        <v>355971281797149.5</v>
      </c>
      <c r="AA73" s="80">
        <f t="shared" si="12"/>
        <v>1245.4594807929293</v>
      </c>
      <c r="AB73" s="52">
        <f t="shared" si="19"/>
        <v>2.2537578845879683E-3</v>
      </c>
      <c r="AC73" s="48">
        <f>(F73-E73)/E73</f>
        <v>1.6326530612244899E-2</v>
      </c>
      <c r="AD73" s="48">
        <f>(M73-L73)/L73</f>
        <v>-2.8475711892797319E-2</v>
      </c>
      <c r="AE73" s="48">
        <f>(T73-S73)/S73</f>
        <v>1.6803102111158982E-2</v>
      </c>
      <c r="AF73" s="48" t="e">
        <f>(#REF!-#REF!)/#REF!</f>
        <v>#REF!</v>
      </c>
    </row>
    <row r="74" spans="1:32" x14ac:dyDescent="0.3">
      <c r="A74" s="48">
        <v>20180416</v>
      </c>
      <c r="B74" s="48" t="s">
        <v>88</v>
      </c>
      <c r="C74" s="79">
        <v>0.3</v>
      </c>
      <c r="D74" s="79">
        <f t="shared" si="13"/>
        <v>0.23967542378156403</v>
      </c>
      <c r="E74" s="49">
        <v>2490000</v>
      </c>
      <c r="F74" s="49">
        <v>2517000</v>
      </c>
      <c r="G74" s="49">
        <v>128386494</v>
      </c>
      <c r="H74" s="49">
        <f t="shared" si="14"/>
        <v>0.26180432470833498</v>
      </c>
      <c r="I74" s="49">
        <f t="shared" si="20"/>
        <v>0.26180432470833498</v>
      </c>
      <c r="J74" s="48">
        <v>0.3</v>
      </c>
      <c r="K74" s="48">
        <f t="shared" si="15"/>
        <v>0.31763767662780856</v>
      </c>
      <c r="L74" s="48">
        <v>290000</v>
      </c>
      <c r="M74" s="48">
        <v>295500</v>
      </c>
      <c r="N74" s="51">
        <v>122666424</v>
      </c>
      <c r="O74" s="48">
        <f t="shared" si="16"/>
        <v>3.0931763989707699</v>
      </c>
      <c r="P74" s="48">
        <f t="shared" si="21"/>
        <v>3.0931763989707699</v>
      </c>
      <c r="Q74" s="49">
        <v>0.4</v>
      </c>
      <c r="R74" s="49">
        <f t="shared" si="17"/>
        <v>0.44268689959062724</v>
      </c>
      <c r="S74" s="49">
        <v>236000</v>
      </c>
      <c r="T74" s="49">
        <v>227300</v>
      </c>
      <c r="U74" s="49">
        <v>15956260</v>
      </c>
      <c r="V74" s="49">
        <f t="shared" si="18"/>
        <v>43.084593248365302</v>
      </c>
      <c r="W74" s="49">
        <f t="shared" si="22"/>
        <v>43.084593248365302</v>
      </c>
      <c r="X74" s="82">
        <f>IF(Z73&lt;&gt;(E74*G74*H74+L74*N74*O74+S74*U74*V74),1,0)</f>
        <v>0</v>
      </c>
      <c r="Y74" s="82">
        <f>IF(AND(X74=0,B74="N"),Y73,Y73*(E74*G74*I74+L74*N74*P74+S74*U74*W74)/Z73)</f>
        <v>285815225052940.5</v>
      </c>
      <c r="Z74" s="81">
        <f t="shared" si="23"/>
        <v>352984688386879</v>
      </c>
      <c r="AA74" s="80">
        <f t="shared" si="12"/>
        <v>1235.0100954961267</v>
      </c>
      <c r="AB74" s="52">
        <f t="shared" si="19"/>
        <v>-8.3899841447671267E-3</v>
      </c>
      <c r="AC74" s="48">
        <f>(F74-E74)/E74</f>
        <v>1.0843373493975903E-2</v>
      </c>
      <c r="AD74" s="48">
        <f>(M74-L74)/L74</f>
        <v>1.896551724137931E-2</v>
      </c>
      <c r="AE74" s="48">
        <f>(T74-S74)/S74</f>
        <v>-3.6864406779661019E-2</v>
      </c>
      <c r="AF74" s="48" t="e">
        <f>(#REF!-#REF!)/#REF!</f>
        <v>#REF!</v>
      </c>
    </row>
    <row r="75" spans="1:32" s="47" customFormat="1" x14ac:dyDescent="0.3">
      <c r="A75" s="48">
        <v>20180417</v>
      </c>
      <c r="B75" s="48" t="s">
        <v>88</v>
      </c>
      <c r="C75" s="79">
        <v>0.3</v>
      </c>
      <c r="D75" s="79">
        <f t="shared" si="13"/>
        <v>0.23663212154527552</v>
      </c>
      <c r="E75" s="49">
        <v>2517000</v>
      </c>
      <c r="F75" s="49">
        <v>2499000</v>
      </c>
      <c r="G75" s="49">
        <v>128386494</v>
      </c>
      <c r="H75" s="49">
        <f t="shared" si="14"/>
        <v>0.26180432470833498</v>
      </c>
      <c r="I75" s="49">
        <f t="shared" si="20"/>
        <v>0.269785253090084</v>
      </c>
      <c r="J75" s="48">
        <v>0.3</v>
      </c>
      <c r="K75" s="48">
        <f t="shared" si="15"/>
        <v>0.30998428425789148</v>
      </c>
      <c r="L75" s="48">
        <v>295500</v>
      </c>
      <c r="M75" s="48">
        <v>290000</v>
      </c>
      <c r="N75" s="51">
        <v>125108377</v>
      </c>
      <c r="O75" s="48">
        <f t="shared" si="16"/>
        <v>3.0931763989707699</v>
      </c>
      <c r="P75" s="48">
        <f t="shared" si="21"/>
        <v>3.12525452685726</v>
      </c>
      <c r="Q75" s="49">
        <v>0.4</v>
      </c>
      <c r="R75" s="49">
        <f t="shared" si="17"/>
        <v>0.45338359419683294</v>
      </c>
      <c r="S75" s="49">
        <v>227300</v>
      </c>
      <c r="T75" s="49">
        <v>234100</v>
      </c>
      <c r="U75" s="49">
        <v>15956260</v>
      </c>
      <c r="V75" s="49">
        <f t="shared" si="18"/>
        <v>43.084593248365302</v>
      </c>
      <c r="W75" s="49">
        <f t="shared" si="22"/>
        <v>44.397998034382702</v>
      </c>
      <c r="X75" s="82">
        <f>IF(Z74&lt;&gt;(E75*G75*H75+L75*N75*O75+S75*U75*V75),1,0)</f>
        <v>1</v>
      </c>
      <c r="Y75" s="82">
        <f>IF(AND(X75=0,B75="N"),Y74,Y74*(E75*G75*I75+L75*N75*P75+S75*U75*W75)/Z74)</f>
        <v>294528109548267.81</v>
      </c>
      <c r="Z75" s="81">
        <f t="shared" si="23"/>
        <v>365788548041682.37</v>
      </c>
      <c r="AA75" s="80">
        <f t="shared" si="12"/>
        <v>1241.9478351411356</v>
      </c>
      <c r="AB75" s="52">
        <f t="shared" si="19"/>
        <v>5.6175570307559408E-3</v>
      </c>
      <c r="AC75" s="48">
        <f>(F75-E75)/E75</f>
        <v>-7.1513706793802142E-3</v>
      </c>
      <c r="AD75" s="48">
        <f>(M75-L75)/L75</f>
        <v>-1.8612521150592216E-2</v>
      </c>
      <c r="AE75" s="48">
        <f>(T75-S75)/S75</f>
        <v>2.9916410030796304E-2</v>
      </c>
      <c r="AF75" s="48" t="e">
        <f>(#REF!-#REF!)/#REF!</f>
        <v>#REF!</v>
      </c>
    </row>
    <row r="76" spans="1:32" x14ac:dyDescent="0.3">
      <c r="A76" s="48">
        <v>20180418</v>
      </c>
      <c r="B76" s="48" t="s">
        <v>88</v>
      </c>
      <c r="C76" s="79">
        <v>0.3</v>
      </c>
      <c r="D76" s="79">
        <f t="shared" si="13"/>
        <v>0.24328922109260706</v>
      </c>
      <c r="E76" s="49">
        <v>2499000</v>
      </c>
      <c r="F76" s="49">
        <v>2568000</v>
      </c>
      <c r="G76" s="49">
        <v>128386494</v>
      </c>
      <c r="H76" s="49">
        <f t="shared" si="14"/>
        <v>0.269785253090084</v>
      </c>
      <c r="I76" s="49">
        <f t="shared" si="20"/>
        <v>0.269785253090084</v>
      </c>
      <c r="J76" s="48">
        <v>0.3</v>
      </c>
      <c r="K76" s="48">
        <f t="shared" si="15"/>
        <v>0.30425964653395715</v>
      </c>
      <c r="L76" s="48">
        <v>290000</v>
      </c>
      <c r="M76" s="48">
        <v>284500</v>
      </c>
      <c r="N76" s="51">
        <v>125108377</v>
      </c>
      <c r="O76" s="48">
        <f t="shared" si="16"/>
        <v>3.12525452685726</v>
      </c>
      <c r="P76" s="48">
        <f t="shared" si="21"/>
        <v>3.12525452685726</v>
      </c>
      <c r="Q76" s="49">
        <v>0.4</v>
      </c>
      <c r="R76" s="49">
        <f t="shared" si="17"/>
        <v>0.45245113237343576</v>
      </c>
      <c r="S76" s="49">
        <v>234100</v>
      </c>
      <c r="T76" s="49">
        <v>233500</v>
      </c>
      <c r="U76" s="49">
        <v>15956260</v>
      </c>
      <c r="V76" s="49">
        <f t="shared" si="18"/>
        <v>44.397998034382702</v>
      </c>
      <c r="W76" s="49">
        <f t="shared" si="22"/>
        <v>44.397998034382702</v>
      </c>
      <c r="X76" s="82">
        <f>IF(Z75&lt;&gt;(E76*G76*H76+L76*N76*O76+S76*U76*V76),1,0)</f>
        <v>0</v>
      </c>
      <c r="Y76" s="82">
        <f>IF(AND(X76=0,B76="N"),Y75,Y75*(E76*G76*I76+L76*N76*P76+S76*U76*W76)/Z75)</f>
        <v>294528109548267.81</v>
      </c>
      <c r="Z76" s="81">
        <f t="shared" si="23"/>
        <v>365602955084616.69</v>
      </c>
      <c r="AA76" s="80">
        <f t="shared" si="12"/>
        <v>1241.3176984884731</v>
      </c>
      <c r="AB76" s="52">
        <f t="shared" si="19"/>
        <v>-5.0737771332471228E-4</v>
      </c>
      <c r="AC76" s="48">
        <f>(F76-E76)/E76</f>
        <v>2.7611044417767107E-2</v>
      </c>
      <c r="AD76" s="48">
        <f>(M76-L76)/L76</f>
        <v>-1.896551724137931E-2</v>
      </c>
      <c r="AE76" s="48">
        <f>(T76-S76)/S76</f>
        <v>-2.5630072618539087E-3</v>
      </c>
      <c r="AF76" s="48" t="e">
        <f>(#REF!-#REF!)/#REF!</f>
        <v>#REF!</v>
      </c>
    </row>
    <row r="77" spans="1:32" x14ac:dyDescent="0.3">
      <c r="A77" s="48">
        <v>20180419</v>
      </c>
      <c r="B77" s="48" t="s">
        <v>88</v>
      </c>
      <c r="C77" s="79">
        <v>0.3</v>
      </c>
      <c r="D77" s="79">
        <f t="shared" si="13"/>
        <v>0.25840931287949093</v>
      </c>
      <c r="E77" s="49">
        <v>2568000</v>
      </c>
      <c r="F77" s="49">
        <v>2639000</v>
      </c>
      <c r="G77" s="49">
        <v>128386494</v>
      </c>
      <c r="H77" s="49">
        <f t="shared" si="14"/>
        <v>0.269785253090084</v>
      </c>
      <c r="I77" s="49">
        <f t="shared" si="20"/>
        <v>0.269785253090084</v>
      </c>
      <c r="J77" s="48">
        <v>0.3</v>
      </c>
      <c r="K77" s="48">
        <f t="shared" si="15"/>
        <v>0.2945779404658922</v>
      </c>
      <c r="L77" s="48">
        <v>284500</v>
      </c>
      <c r="M77" s="48">
        <v>266500</v>
      </c>
      <c r="N77" s="51">
        <v>125108377</v>
      </c>
      <c r="O77" s="48">
        <f t="shared" si="16"/>
        <v>3.12525452685726</v>
      </c>
      <c r="P77" s="48">
        <f t="shared" si="21"/>
        <v>3.12525452685726</v>
      </c>
      <c r="Q77" s="49">
        <v>0.4</v>
      </c>
      <c r="R77" s="49">
        <f t="shared" si="17"/>
        <v>0.44701274665461688</v>
      </c>
      <c r="S77" s="49">
        <v>233500</v>
      </c>
      <c r="T77" s="49">
        <v>223200</v>
      </c>
      <c r="U77" s="49">
        <v>15956260</v>
      </c>
      <c r="V77" s="49">
        <f t="shared" si="18"/>
        <v>44.397998034382702</v>
      </c>
      <c r="W77" s="49">
        <f t="shared" si="22"/>
        <v>44.397998034382702</v>
      </c>
      <c r="X77" s="82">
        <f>IF(Z76&lt;&gt;(E77*G77*H77+L77*N77*O77+S77*U77*V77),1,0)</f>
        <v>0</v>
      </c>
      <c r="Y77" s="82">
        <f>IF(AND(X77=0,B77="N"),Y76,Y76*(E77*G77*I77+L77*N77*P77+S77*U77*W77)/Z76)</f>
        <v>294528109548267.81</v>
      </c>
      <c r="Z77" s="81">
        <f t="shared" si="23"/>
        <v>353727459472391.44</v>
      </c>
      <c r="AA77" s="80">
        <f t="shared" si="12"/>
        <v>1200.9972834678515</v>
      </c>
      <c r="AB77" s="52">
        <f t="shared" si="19"/>
        <v>-3.248194645876628E-2</v>
      </c>
      <c r="AC77" s="48">
        <f>(F77-E77)/E77</f>
        <v>2.764797507788162E-2</v>
      </c>
      <c r="AD77" s="48">
        <f>(M77-L77)/L77</f>
        <v>-6.32688927943761E-2</v>
      </c>
      <c r="AE77" s="48">
        <f>(T77-S77)/S77</f>
        <v>-4.411134903640257E-2</v>
      </c>
      <c r="AF77" s="48" t="e">
        <f>(#REF!-#REF!)/#REF!</f>
        <v>#REF!</v>
      </c>
    </row>
    <row r="78" spans="1:32" x14ac:dyDescent="0.3">
      <c r="A78" s="48">
        <v>20180420</v>
      </c>
      <c r="B78" s="48" t="s">
        <v>88</v>
      </c>
      <c r="C78" s="79">
        <v>0.3</v>
      </c>
      <c r="D78" s="79">
        <f t="shared" si="13"/>
        <v>0.25296098749173873</v>
      </c>
      <c r="E78" s="49">
        <v>2639000</v>
      </c>
      <c r="F78" s="49">
        <v>2581000</v>
      </c>
      <c r="G78" s="49">
        <v>128386494</v>
      </c>
      <c r="H78" s="49">
        <f t="shared" si="14"/>
        <v>0.269785253090084</v>
      </c>
      <c r="I78" s="49">
        <f t="shared" si="20"/>
        <v>0.269785253090084</v>
      </c>
      <c r="J78" s="48">
        <v>0.3</v>
      </c>
      <c r="K78" s="48">
        <f t="shared" si="15"/>
        <v>0.29761311159817633</v>
      </c>
      <c r="L78" s="48">
        <v>266500</v>
      </c>
      <c r="M78" s="48">
        <v>269000</v>
      </c>
      <c r="N78" s="51">
        <v>125108377</v>
      </c>
      <c r="O78" s="48">
        <f t="shared" si="16"/>
        <v>3.12525452685726</v>
      </c>
      <c r="P78" s="48">
        <f t="shared" si="21"/>
        <v>3.12525452685726</v>
      </c>
      <c r="Q78" s="49">
        <v>0.4</v>
      </c>
      <c r="R78" s="49">
        <f t="shared" si="17"/>
        <v>0.44942590091008494</v>
      </c>
      <c r="S78" s="49">
        <v>223200</v>
      </c>
      <c r="T78" s="49">
        <v>224200</v>
      </c>
      <c r="U78" s="49">
        <v>15956260</v>
      </c>
      <c r="V78" s="49">
        <f t="shared" si="18"/>
        <v>44.397998034382702</v>
      </c>
      <c r="W78" s="49">
        <f t="shared" si="22"/>
        <v>44.397998034382702</v>
      </c>
      <c r="X78" s="82">
        <f>IF(Z77&lt;&gt;(E78*G78*H78+L78*N78*O78+S78*U78*V78),1,0)</f>
        <v>0</v>
      </c>
      <c r="Y78" s="82">
        <f>IF(AND(X78=0,B78="N"),Y77,Y77*(E78*G78*I78+L78*N78*P78+S78*U78*W78)/Z77)</f>
        <v>294528109548267.81</v>
      </c>
      <c r="Z78" s="81">
        <f t="shared" si="23"/>
        <v>353404440875351</v>
      </c>
      <c r="AA78" s="80">
        <f t="shared" si="12"/>
        <v>1199.9005508078149</v>
      </c>
      <c r="AB78" s="52">
        <f t="shared" si="19"/>
        <v>-9.131849631415157E-4</v>
      </c>
      <c r="AC78" s="48">
        <f>(F78-E78)/E78</f>
        <v>-2.197802197802198E-2</v>
      </c>
      <c r="AD78" s="48">
        <f>(M78-L78)/L78</f>
        <v>9.3808630393996256E-3</v>
      </c>
      <c r="AE78" s="48">
        <f>(T78-S78)/S78</f>
        <v>4.4802867383512543E-3</v>
      </c>
      <c r="AF78" s="48" t="e">
        <f>(#REF!-#REF!)/#REF!</f>
        <v>#REF!</v>
      </c>
    </row>
    <row r="79" spans="1:32" x14ac:dyDescent="0.3">
      <c r="A79" s="48">
        <v>20180423</v>
      </c>
      <c r="B79" s="48" t="s">
        <v>88</v>
      </c>
      <c r="C79" s="79">
        <v>0.3</v>
      </c>
      <c r="D79" s="79">
        <f t="shared" si="13"/>
        <v>0.26480409224913215</v>
      </c>
      <c r="E79" s="49">
        <v>2581000</v>
      </c>
      <c r="F79" s="49">
        <v>2595000</v>
      </c>
      <c r="G79" s="49">
        <v>128386494</v>
      </c>
      <c r="H79" s="49">
        <f t="shared" si="14"/>
        <v>0.269785253090084</v>
      </c>
      <c r="I79" s="49">
        <f t="shared" si="20"/>
        <v>0.269785253090084</v>
      </c>
      <c r="J79" s="48">
        <v>0.3</v>
      </c>
      <c r="K79" s="48">
        <f t="shared" si="15"/>
        <v>0.28855546072164545</v>
      </c>
      <c r="L79" s="48">
        <v>269000</v>
      </c>
      <c r="M79" s="48">
        <v>250500</v>
      </c>
      <c r="N79" s="51">
        <v>125108377</v>
      </c>
      <c r="O79" s="48">
        <f t="shared" si="16"/>
        <v>3.12525452685726</v>
      </c>
      <c r="P79" s="48">
        <f t="shared" si="21"/>
        <v>3.12525452685726</v>
      </c>
      <c r="Q79" s="49">
        <v>0.4</v>
      </c>
      <c r="R79" s="49">
        <f t="shared" si="17"/>
        <v>0.44664044702922234</v>
      </c>
      <c r="S79" s="49">
        <v>224200</v>
      </c>
      <c r="T79" s="49">
        <v>214000</v>
      </c>
      <c r="U79" s="49">
        <v>15956260</v>
      </c>
      <c r="V79" s="49">
        <f t="shared" si="18"/>
        <v>44.397998034382702</v>
      </c>
      <c r="W79" s="49">
        <f t="shared" si="22"/>
        <v>44.397998034382702</v>
      </c>
      <c r="X79" s="82">
        <f>IF(Z78&lt;&gt;(E79*G79*H79+L79*N79*O79+S79*U79*V79),1,0)</f>
        <v>0</v>
      </c>
      <c r="Y79" s="82">
        <f>IF(AND(X79=0,B79="N"),Y78,Y78*(E79*G79*I79+L79*N79*P79+S79*U79*W79)/Z78)</f>
        <v>294528109548267.81</v>
      </c>
      <c r="Z79" s="81">
        <f t="shared" si="23"/>
        <v>339429993484057</v>
      </c>
      <c r="AA79" s="80">
        <f t="shared" si="12"/>
        <v>1152.453645272288</v>
      </c>
      <c r="AB79" s="52">
        <f t="shared" si="19"/>
        <v>-3.9542364993152106E-2</v>
      </c>
      <c r="AC79" s="48">
        <f>(F79-E79)/E79</f>
        <v>5.424254165052305E-3</v>
      </c>
      <c r="AD79" s="48">
        <f>(M79-L79)/L79</f>
        <v>-6.8773234200743494E-2</v>
      </c>
      <c r="AE79" s="48">
        <f>(T79-S79)/S79</f>
        <v>-4.5495093666369314E-2</v>
      </c>
      <c r="AF79" s="48" t="e">
        <f>(#REF!-#REF!)/#REF!</f>
        <v>#REF!</v>
      </c>
    </row>
    <row r="80" spans="1:32" x14ac:dyDescent="0.3">
      <c r="A80" s="48">
        <v>20180424</v>
      </c>
      <c r="B80" s="48" t="s">
        <v>88</v>
      </c>
      <c r="C80" s="79">
        <v>0.3</v>
      </c>
      <c r="D80" s="79">
        <f t="shared" si="13"/>
        <v>0.2627903183530288</v>
      </c>
      <c r="E80" s="49">
        <v>2595000</v>
      </c>
      <c r="F80" s="49">
        <v>2523000</v>
      </c>
      <c r="G80" s="49">
        <v>128386494</v>
      </c>
      <c r="H80" s="49">
        <f t="shared" si="14"/>
        <v>0.269785253090084</v>
      </c>
      <c r="I80" s="49">
        <f t="shared" si="20"/>
        <v>0.269785253090084</v>
      </c>
      <c r="J80" s="48">
        <v>0.3</v>
      </c>
      <c r="K80" s="48">
        <f t="shared" si="15"/>
        <v>0.29218151772019452</v>
      </c>
      <c r="L80" s="48">
        <v>250500</v>
      </c>
      <c r="M80" s="48">
        <v>248500</v>
      </c>
      <c r="N80" s="51">
        <v>125108377</v>
      </c>
      <c r="O80" s="48">
        <f t="shared" si="16"/>
        <v>3.12525452685726</v>
      </c>
      <c r="P80" s="48">
        <f t="shared" si="21"/>
        <v>3.12525452685726</v>
      </c>
      <c r="Q80" s="49">
        <v>0.4</v>
      </c>
      <c r="R80" s="49">
        <f t="shared" si="17"/>
        <v>0.44502816392677669</v>
      </c>
      <c r="S80" s="49">
        <v>214000</v>
      </c>
      <c r="T80" s="49">
        <v>208900</v>
      </c>
      <c r="U80" s="49">
        <v>15956260</v>
      </c>
      <c r="V80" s="49">
        <f t="shared" si="18"/>
        <v>44.397998034382702</v>
      </c>
      <c r="W80" s="49">
        <f t="shared" si="22"/>
        <v>44.397998034382702</v>
      </c>
      <c r="X80" s="82">
        <f>IF(Z79&lt;&gt;(E80*G80*H80+L80*N80*O80+S80*U80*V80),1,0)</f>
        <v>0</v>
      </c>
      <c r="Y80" s="82">
        <f>IF(AND(X80=0,B80="N"),Y79,Y79*(E80*G80*I80+L80*N80*P80+S80*U80*W80)/Z79)</f>
        <v>294528109548267.81</v>
      </c>
      <c r="Z80" s="81">
        <f t="shared" si="23"/>
        <v>332541181480376.87</v>
      </c>
      <c r="AA80" s="80">
        <f t="shared" si="12"/>
        <v>1129.0643259497763</v>
      </c>
      <c r="AB80" s="52">
        <f t="shared" si="19"/>
        <v>-2.0295236531605192E-2</v>
      </c>
      <c r="AC80" s="48">
        <f>(F80-E80)/E80</f>
        <v>-2.7745664739884393E-2</v>
      </c>
      <c r="AD80" s="48">
        <f>(M80-L80)/L80</f>
        <v>-7.9840319361277438E-3</v>
      </c>
      <c r="AE80" s="48">
        <f>(T80-S80)/S80</f>
        <v>-2.3831775700934581E-2</v>
      </c>
      <c r="AF80" s="48" t="e">
        <f>(#REF!-#REF!)/#REF!</f>
        <v>#REF!</v>
      </c>
    </row>
    <row r="81" spans="1:32" x14ac:dyDescent="0.3">
      <c r="A81" s="48">
        <v>20180425</v>
      </c>
      <c r="B81" s="48" t="s">
        <v>88</v>
      </c>
      <c r="C81" s="79">
        <v>0.3</v>
      </c>
      <c r="D81" s="79">
        <f t="shared" si="13"/>
        <v>0.25844047310946078</v>
      </c>
      <c r="E81" s="49">
        <v>2523000</v>
      </c>
      <c r="F81" s="49">
        <v>2520000</v>
      </c>
      <c r="G81" s="49">
        <v>128386494</v>
      </c>
      <c r="H81" s="49">
        <f t="shared" si="14"/>
        <v>0.269785253090084</v>
      </c>
      <c r="I81" s="49">
        <f t="shared" si="20"/>
        <v>0.269785253090084</v>
      </c>
      <c r="J81" s="48">
        <v>0.3</v>
      </c>
      <c r="K81" s="48">
        <f t="shared" si="15"/>
        <v>0.29058148922678867</v>
      </c>
      <c r="L81" s="48">
        <v>248500</v>
      </c>
      <c r="M81" s="48">
        <v>251000</v>
      </c>
      <c r="N81" s="51">
        <v>125108377</v>
      </c>
      <c r="O81" s="48">
        <f t="shared" si="16"/>
        <v>3.12525452685726</v>
      </c>
      <c r="P81" s="48">
        <f t="shared" si="21"/>
        <v>3.12525452685726</v>
      </c>
      <c r="Q81" s="49">
        <v>0.4</v>
      </c>
      <c r="R81" s="49">
        <f t="shared" si="17"/>
        <v>0.45097803766375066</v>
      </c>
      <c r="S81" s="49">
        <v>208900</v>
      </c>
      <c r="T81" s="49">
        <v>215000</v>
      </c>
      <c r="U81" s="49">
        <v>15956260</v>
      </c>
      <c r="V81" s="49">
        <f t="shared" si="18"/>
        <v>44.397998034382702</v>
      </c>
      <c r="W81" s="49">
        <f t="shared" si="22"/>
        <v>44.397998034382702</v>
      </c>
      <c r="X81" s="82">
        <f>IF(Z80&lt;&gt;(E81*G81*H81+L81*N81*O81+S81*U81*V81),1,0)</f>
        <v>0</v>
      </c>
      <c r="Y81" s="82">
        <f>IF(AND(X81=0,B81="N"),Y80,Y80*(E81*G81*I81+L81*N81*P81+S81*U81*W81)/Z80)</f>
        <v>294528109548267.81</v>
      </c>
      <c r="Z81" s="81">
        <f t="shared" si="23"/>
        <v>337736158536671.12</v>
      </c>
      <c r="AA81" s="80">
        <f t="shared" si="12"/>
        <v>1146.7026324063725</v>
      </c>
      <c r="AB81" s="52">
        <f t="shared" si="19"/>
        <v>1.5622056291397502E-2</v>
      </c>
      <c r="AC81" s="48">
        <f>(F81-E81)/E81</f>
        <v>-1.1890606420927466E-3</v>
      </c>
      <c r="AD81" s="48">
        <f>(M81-L81)/L81</f>
        <v>1.0060362173038229E-2</v>
      </c>
      <c r="AE81" s="48">
        <f>(T81-S81)/S81</f>
        <v>2.9200574437529919E-2</v>
      </c>
      <c r="AF81" s="48" t="e">
        <f>(#REF!-#REF!)/#REF!</f>
        <v>#REF!</v>
      </c>
    </row>
    <row r="82" spans="1:32" x14ac:dyDescent="0.3">
      <c r="A82" s="48">
        <v>20180426</v>
      </c>
      <c r="B82" s="48" t="s">
        <v>88</v>
      </c>
      <c r="C82" s="79">
        <v>0.3</v>
      </c>
      <c r="D82" s="79">
        <f t="shared" si="13"/>
        <v>0.26119100008417456</v>
      </c>
      <c r="E82" s="49">
        <v>2520000</v>
      </c>
      <c r="F82" s="49">
        <v>2607000</v>
      </c>
      <c r="G82" s="49">
        <v>128386494</v>
      </c>
      <c r="H82" s="49">
        <f t="shared" si="14"/>
        <v>0.269785253090084</v>
      </c>
      <c r="I82" s="49">
        <f t="shared" si="20"/>
        <v>0.269785253090084</v>
      </c>
      <c r="J82" s="48">
        <v>0.3</v>
      </c>
      <c r="K82" s="48">
        <f t="shared" si="15"/>
        <v>0.29065951030631348</v>
      </c>
      <c r="L82" s="48">
        <v>251000</v>
      </c>
      <c r="M82" s="48">
        <v>257000</v>
      </c>
      <c r="N82" s="51">
        <v>125108377</v>
      </c>
      <c r="O82" s="48">
        <f t="shared" si="16"/>
        <v>3.12525452685726</v>
      </c>
      <c r="P82" s="48">
        <f t="shared" si="21"/>
        <v>3.12525452685726</v>
      </c>
      <c r="Q82" s="49">
        <v>0.4</v>
      </c>
      <c r="R82" s="49">
        <f t="shared" si="17"/>
        <v>0.4481494896095119</v>
      </c>
      <c r="S82" s="49">
        <v>215000</v>
      </c>
      <c r="T82" s="49">
        <v>218700</v>
      </c>
      <c r="U82" s="49">
        <v>15956260</v>
      </c>
      <c r="V82" s="49">
        <f t="shared" si="18"/>
        <v>44.397998034382702</v>
      </c>
      <c r="W82" s="49">
        <f t="shared" si="22"/>
        <v>44.397998034382702</v>
      </c>
      <c r="X82" s="82">
        <f>IF(Z81&lt;&gt;(E82*G82*H82+L82*N82*O82+S82*U82*V82),1,0)</f>
        <v>0</v>
      </c>
      <c r="Y82" s="82">
        <f>IF(AND(X82=0,B82="N"),Y81,Y81*(E82*G82*I82+L82*N82*P82+S82*U82*W82)/Z81)</f>
        <v>294528109548267.81</v>
      </c>
      <c r="Z82" s="81">
        <f t="shared" si="23"/>
        <v>345716707968113.94</v>
      </c>
      <c r="AA82" s="80">
        <f t="shared" si="12"/>
        <v>1173.7986859670427</v>
      </c>
      <c r="AB82" s="52">
        <f t="shared" si="19"/>
        <v>2.3629538116441577E-2</v>
      </c>
      <c r="AC82" s="48">
        <f>(F82-E82)/E82</f>
        <v>3.4523809523809526E-2</v>
      </c>
      <c r="AD82" s="48">
        <f>(M82-L82)/L82</f>
        <v>2.3904382470119521E-2</v>
      </c>
      <c r="AE82" s="48">
        <f>(T82-S82)/S82</f>
        <v>1.7209302325581394E-2</v>
      </c>
      <c r="AF82" s="48" t="e">
        <f>(#REF!-#REF!)/#REF!</f>
        <v>#REF!</v>
      </c>
    </row>
    <row r="83" spans="1:32" x14ac:dyDescent="0.3">
      <c r="A83" s="48">
        <v>20180427</v>
      </c>
      <c r="B83" s="48" t="s">
        <v>88</v>
      </c>
      <c r="C83" s="79">
        <v>0.3</v>
      </c>
      <c r="D83" s="79">
        <f t="shared" si="13"/>
        <v>0.25647790318252933</v>
      </c>
      <c r="E83" s="49">
        <v>2607000</v>
      </c>
      <c r="F83" s="49">
        <v>2650000</v>
      </c>
      <c r="G83" s="49">
        <v>128386494</v>
      </c>
      <c r="H83" s="49">
        <f t="shared" si="14"/>
        <v>0.269785253090084</v>
      </c>
      <c r="I83" s="49">
        <f t="shared" si="20"/>
        <v>0.269785253090084</v>
      </c>
      <c r="J83" s="48">
        <v>0.3</v>
      </c>
      <c r="K83" s="48">
        <f t="shared" si="15"/>
        <v>0.302087985645632</v>
      </c>
      <c r="L83" s="48">
        <v>257000</v>
      </c>
      <c r="M83" s="48">
        <v>276500</v>
      </c>
      <c r="N83" s="51">
        <v>125108377</v>
      </c>
      <c r="O83" s="48">
        <f t="shared" si="16"/>
        <v>3.12525452685726</v>
      </c>
      <c r="P83" s="48">
        <f t="shared" si="21"/>
        <v>3.12525452685726</v>
      </c>
      <c r="Q83" s="49">
        <v>0.4</v>
      </c>
      <c r="R83" s="49">
        <f t="shared" si="17"/>
        <v>0.44143411117183867</v>
      </c>
      <c r="S83" s="49">
        <v>218700</v>
      </c>
      <c r="T83" s="49">
        <v>223000</v>
      </c>
      <c r="U83" s="49">
        <v>15956260</v>
      </c>
      <c r="V83" s="49">
        <f t="shared" si="18"/>
        <v>44.397998034382702</v>
      </c>
      <c r="W83" s="49">
        <f t="shared" si="22"/>
        <v>44.397998034382702</v>
      </c>
      <c r="X83" s="82">
        <f>IF(Z82&lt;&gt;(E83*G83*H83+L83*N83*O83+S83*U83*V83),1,0)</f>
        <v>0</v>
      </c>
      <c r="Y83" s="82">
        <f>IF(AND(X83=0,B83="N"),Y82,Y82*(E83*G83*I83+L83*N83*P83+S83*U83*W83)/Z82)</f>
        <v>294528109548267.81</v>
      </c>
      <c r="Z83" s="81">
        <f t="shared" si="23"/>
        <v>357876734098586.87</v>
      </c>
      <c r="AA83" s="80">
        <f t="shared" si="12"/>
        <v>1215.0851565491657</v>
      </c>
      <c r="AB83" s="52">
        <f t="shared" si="19"/>
        <v>3.5173382860033478E-2</v>
      </c>
      <c r="AC83" s="48">
        <f>(F83-E83)/E83</f>
        <v>1.6494054468738015E-2</v>
      </c>
      <c r="AD83" s="48">
        <f>(M83-L83)/L83</f>
        <v>7.5875486381322951E-2</v>
      </c>
      <c r="AE83" s="48">
        <f>(T83-S83)/S83</f>
        <v>1.9661636945587563E-2</v>
      </c>
      <c r="AF83" s="48" t="e">
        <f>(#REF!-#REF!)/#REF!</f>
        <v>#REF!</v>
      </c>
    </row>
    <row r="84" spans="1:32" x14ac:dyDescent="0.3">
      <c r="A84" s="48">
        <v>20180430</v>
      </c>
      <c r="B84" s="48" t="s">
        <v>88</v>
      </c>
      <c r="C84" s="79">
        <v>0.3</v>
      </c>
      <c r="D84" s="79">
        <f t="shared" si="13"/>
        <v>0.26141229473081823</v>
      </c>
      <c r="E84" s="49">
        <v>2650000</v>
      </c>
      <c r="F84" s="49">
        <v>2650000</v>
      </c>
      <c r="G84" s="49">
        <v>128386494</v>
      </c>
      <c r="H84" s="49">
        <f t="shared" si="14"/>
        <v>0.269785253090084</v>
      </c>
      <c r="I84" s="49">
        <f t="shared" si="20"/>
        <v>0.269785253090084</v>
      </c>
      <c r="J84" s="48">
        <v>0.3</v>
      </c>
      <c r="K84" s="48">
        <f t="shared" si="15"/>
        <v>0.30177528133176246</v>
      </c>
      <c r="L84" s="48">
        <v>276500</v>
      </c>
      <c r="M84" s="48">
        <v>271000</v>
      </c>
      <c r="N84" s="51">
        <v>125108377</v>
      </c>
      <c r="O84" s="48">
        <f t="shared" si="16"/>
        <v>3.12525452685726</v>
      </c>
      <c r="P84" s="48">
        <f t="shared" si="21"/>
        <v>3.12525452685726</v>
      </c>
      <c r="Q84" s="49">
        <v>0.4</v>
      </c>
      <c r="R84" s="49">
        <f t="shared" si="17"/>
        <v>0.43681242393741937</v>
      </c>
      <c r="S84" s="49">
        <v>223000</v>
      </c>
      <c r="T84" s="49">
        <v>216500</v>
      </c>
      <c r="U84" s="49">
        <v>15956260</v>
      </c>
      <c r="V84" s="49">
        <f t="shared" si="18"/>
        <v>44.397998034382702</v>
      </c>
      <c r="W84" s="49">
        <f t="shared" si="22"/>
        <v>44.397998034382702</v>
      </c>
      <c r="X84" s="82">
        <f>IF(Z83&lt;&gt;(E84*G84*H84+L84*N84*O84+S84*U84*V84),1,0)</f>
        <v>0</v>
      </c>
      <c r="Y84" s="82">
        <f>IF(AND(X84=0,B84="N"),Y83,Y83*(E84*G84*I84+L84*N84*P84+S84*U84*W84)/Z83)</f>
        <v>294528109548267.81</v>
      </c>
      <c r="Z84" s="81">
        <f t="shared" si="23"/>
        <v>351121489729213.62</v>
      </c>
      <c r="AA84" s="80">
        <f t="shared" si="12"/>
        <v>1192.149334295276</v>
      </c>
      <c r="AB84" s="52">
        <f t="shared" si="19"/>
        <v>-1.8875896993941786E-2</v>
      </c>
      <c r="AC84" s="48">
        <f>(F84-E84)/E84</f>
        <v>0</v>
      </c>
      <c r="AD84" s="48">
        <f>(M84-L84)/L84</f>
        <v>-1.9891500904159132E-2</v>
      </c>
      <c r="AE84" s="48">
        <f>(T84-S84)/S84</f>
        <v>-2.914798206278027E-2</v>
      </c>
      <c r="AF84" s="48" t="e">
        <f>(#REF!-#REF!)/#REF!</f>
        <v>#REF!</v>
      </c>
    </row>
    <row r="85" spans="1:32" x14ac:dyDescent="0.3">
      <c r="A85" s="48">
        <v>20180502</v>
      </c>
      <c r="B85" s="48" t="s">
        <v>88</v>
      </c>
      <c r="C85" s="79">
        <v>0.3</v>
      </c>
      <c r="D85" s="79">
        <f t="shared" si="13"/>
        <v>0.26593165424966142</v>
      </c>
      <c r="E85" s="49">
        <v>2650000</v>
      </c>
      <c r="F85" s="49">
        <v>2650000</v>
      </c>
      <c r="G85" s="49">
        <v>128386494</v>
      </c>
      <c r="H85" s="49">
        <f t="shared" si="14"/>
        <v>0.269785253090084</v>
      </c>
      <c r="I85" s="49">
        <f t="shared" si="20"/>
        <v>0.269785253090084</v>
      </c>
      <c r="J85" s="48">
        <v>0.3</v>
      </c>
      <c r="K85" s="48">
        <f t="shared" si="15"/>
        <v>0.29339868456200846</v>
      </c>
      <c r="L85" s="48">
        <v>271000</v>
      </c>
      <c r="M85" s="48">
        <v>259000</v>
      </c>
      <c r="N85" s="51">
        <v>125108377</v>
      </c>
      <c r="O85" s="48">
        <f t="shared" si="16"/>
        <v>3.12525452685726</v>
      </c>
      <c r="P85" s="48">
        <f t="shared" si="21"/>
        <v>3.12525452685726</v>
      </c>
      <c r="Q85" s="49">
        <v>0.4</v>
      </c>
      <c r="R85" s="49">
        <f t="shared" si="17"/>
        <v>0.44066966118833012</v>
      </c>
      <c r="S85" s="49">
        <v>216500</v>
      </c>
      <c r="T85" s="49">
        <v>214700</v>
      </c>
      <c r="U85" s="49">
        <v>15956260</v>
      </c>
      <c r="V85" s="49">
        <f t="shared" si="18"/>
        <v>44.397998034382702</v>
      </c>
      <c r="W85" s="49">
        <f t="shared" si="22"/>
        <v>44.397998034382702</v>
      </c>
      <c r="X85" s="82">
        <f>IF(Z84&lt;&gt;(E85*G85*H85+L85*N85*O85+S85*U85*V85),1,0)</f>
        <v>0</v>
      </c>
      <c r="Y85" s="82">
        <f>IF(AND(X85=0,B85="N"),Y84,Y84*(E85*G85*I85+L85*N85*P85+S85*U85*W85)/Z84)</f>
        <v>294528109548267.81</v>
      </c>
      <c r="Z85" s="81">
        <f t="shared" si="23"/>
        <v>345154376670200.5</v>
      </c>
      <c r="AA85" s="80">
        <f t="shared" si="12"/>
        <v>1171.8894240674706</v>
      </c>
      <c r="AB85" s="52">
        <f t="shared" si="19"/>
        <v>-1.6994439911994615E-2</v>
      </c>
      <c r="AC85" s="48">
        <f>(F85-E85)/E85</f>
        <v>0</v>
      </c>
      <c r="AD85" s="48">
        <f>(M85-L85)/L85</f>
        <v>-4.4280442804428041E-2</v>
      </c>
      <c r="AE85" s="48">
        <f>(T85-S85)/S85</f>
        <v>-8.3140877598152432E-3</v>
      </c>
      <c r="AF85" s="48" t="e">
        <f>(#REF!-#REF!)/#REF!</f>
        <v>#REF!</v>
      </c>
    </row>
    <row r="86" spans="1:32" x14ac:dyDescent="0.3">
      <c r="A86" s="48">
        <v>20180503</v>
      </c>
      <c r="B86" s="48" t="s">
        <v>88</v>
      </c>
      <c r="C86" s="79">
        <v>0.3</v>
      </c>
      <c r="D86" s="79">
        <f t="shared" si="13"/>
        <v>0.26888100774768331</v>
      </c>
      <c r="E86" s="49">
        <v>2650000</v>
      </c>
      <c r="F86" s="49">
        <v>2650000</v>
      </c>
      <c r="G86" s="49">
        <v>128386494</v>
      </c>
      <c r="H86" s="49">
        <f t="shared" si="14"/>
        <v>0.269785253090084</v>
      </c>
      <c r="I86" s="49">
        <f t="shared" si="20"/>
        <v>0.269785253090084</v>
      </c>
      <c r="J86" s="48">
        <v>0.3</v>
      </c>
      <c r="K86" s="48">
        <f t="shared" si="15"/>
        <v>0.30008879639122293</v>
      </c>
      <c r="L86" s="48">
        <v>259000</v>
      </c>
      <c r="M86" s="48">
        <v>262000</v>
      </c>
      <c r="N86" s="51">
        <v>125108377</v>
      </c>
      <c r="O86" s="48">
        <f t="shared" si="16"/>
        <v>3.12525452685726</v>
      </c>
      <c r="P86" s="48">
        <f t="shared" si="21"/>
        <v>3.12525452685726</v>
      </c>
      <c r="Q86" s="49">
        <v>0.4</v>
      </c>
      <c r="R86" s="49">
        <f t="shared" si="17"/>
        <v>0.43103019586109376</v>
      </c>
      <c r="S86" s="49">
        <v>214700</v>
      </c>
      <c r="T86" s="49">
        <v>207700</v>
      </c>
      <c r="U86" s="49">
        <v>15956260</v>
      </c>
      <c r="V86" s="49">
        <f t="shared" si="18"/>
        <v>44.397998034382702</v>
      </c>
      <c r="W86" s="49">
        <f t="shared" si="22"/>
        <v>44.397998034382702</v>
      </c>
      <c r="X86" s="82">
        <f>IF(Z85&lt;&gt;(E86*G86*H86+L86*N86*O86+S86*U86*V86),1,0)</f>
        <v>0</v>
      </c>
      <c r="Y86" s="82">
        <f>IF(AND(X86=0,B86="N"),Y85,Y85*(E86*G86*I86+L86*N86*P86+S86*U86*W86)/Z85)</f>
        <v>294528109548267.81</v>
      </c>
      <c r="Z86" s="81">
        <f t="shared" si="23"/>
        <v>341368381234088.87</v>
      </c>
      <c r="AA86" s="80">
        <f t="shared" si="12"/>
        <v>1159.0349788944161</v>
      </c>
      <c r="AB86" s="52">
        <f t="shared" si="19"/>
        <v>-1.09689915354287E-2</v>
      </c>
      <c r="AC86" s="48">
        <f>(F86-E86)/E86</f>
        <v>0</v>
      </c>
      <c r="AD86" s="48">
        <f>(M86-L86)/L86</f>
        <v>1.1583011583011582E-2</v>
      </c>
      <c r="AE86" s="48">
        <f>(T86-S86)/S86</f>
        <v>-3.2603632976245925E-2</v>
      </c>
      <c r="AF86" s="48" t="e">
        <f>(#REF!-#REF!)/#REF!</f>
        <v>#REF!</v>
      </c>
    </row>
    <row r="87" spans="1:32" x14ac:dyDescent="0.3">
      <c r="A87" s="48">
        <v>20180504</v>
      </c>
      <c r="B87" s="48" t="s">
        <v>88</v>
      </c>
      <c r="C87" s="79">
        <v>0.3</v>
      </c>
      <c r="D87" s="79">
        <f t="shared" si="13"/>
        <v>0.27281896972095887</v>
      </c>
      <c r="E87" s="49">
        <v>53000</v>
      </c>
      <c r="F87" s="49">
        <v>51900</v>
      </c>
      <c r="G87" s="49">
        <v>6419324700</v>
      </c>
      <c r="H87" s="49">
        <f t="shared" si="14"/>
        <v>0.269785253090084</v>
      </c>
      <c r="I87" s="49">
        <f t="shared" si="20"/>
        <v>0.269785253090084</v>
      </c>
      <c r="J87" s="48">
        <v>0.3</v>
      </c>
      <c r="K87" s="48">
        <f t="shared" si="15"/>
        <v>0.29669583386045417</v>
      </c>
      <c r="L87" s="48">
        <v>262000</v>
      </c>
      <c r="M87" s="48">
        <v>250000</v>
      </c>
      <c r="N87" s="51">
        <v>125108377</v>
      </c>
      <c r="O87" s="48">
        <f t="shared" si="16"/>
        <v>3.12525452685726</v>
      </c>
      <c r="P87" s="48">
        <f t="shared" si="21"/>
        <v>3.12525452685726</v>
      </c>
      <c r="Q87" s="49">
        <v>0.4</v>
      </c>
      <c r="R87" s="49">
        <f t="shared" si="17"/>
        <v>0.4304851964185869</v>
      </c>
      <c r="S87" s="49">
        <v>207700</v>
      </c>
      <c r="T87" s="49">
        <v>200200</v>
      </c>
      <c r="U87" s="49">
        <v>15956260</v>
      </c>
      <c r="V87" s="49">
        <f t="shared" si="18"/>
        <v>44.397998034382702</v>
      </c>
      <c r="W87" s="49">
        <f t="shared" si="22"/>
        <v>44.397998034382702</v>
      </c>
      <c r="X87" s="82">
        <f>IF(Z86&lt;&gt;(E87*G87*H87+L87*N87*O87+S87*U87*V87),1,0)</f>
        <v>0</v>
      </c>
      <c r="Y87" s="82">
        <f>IF(AND(X87=0,B87="N"),Y86,Y86*(E87*G87*I87+L87*N87*P87+S87*U87*W87)/Z86)</f>
        <v>294528109548267.81</v>
      </c>
      <c r="Z87" s="81">
        <f t="shared" si="23"/>
        <v>329458216921671.31</v>
      </c>
      <c r="AA87" s="80">
        <f t="shared" si="12"/>
        <v>1118.596854565011</v>
      </c>
      <c r="AB87" s="52">
        <f t="shared" si="19"/>
        <v>-3.4889477078576502E-2</v>
      </c>
      <c r="AC87" s="48">
        <f>(F87-E87)/E87</f>
        <v>-2.0754716981132074E-2</v>
      </c>
      <c r="AD87" s="48">
        <f>(M87-L87)/L87</f>
        <v>-4.5801526717557252E-2</v>
      </c>
      <c r="AE87" s="48">
        <f>(T87-S87)/S87</f>
        <v>-3.6109773712084736E-2</v>
      </c>
      <c r="AF87" s="48" t="e">
        <f>(#REF!-#REF!)/#REF!</f>
        <v>#REF!</v>
      </c>
    </row>
    <row r="88" spans="1:32" x14ac:dyDescent="0.3">
      <c r="A88" s="48">
        <v>20180508</v>
      </c>
      <c r="B88" s="48" t="s">
        <v>88</v>
      </c>
      <c r="C88" s="79">
        <v>0.3</v>
      </c>
      <c r="D88" s="79">
        <f t="shared" si="13"/>
        <v>0.28364414360468865</v>
      </c>
      <c r="E88" s="49">
        <v>51900</v>
      </c>
      <c r="F88" s="49">
        <v>52600</v>
      </c>
      <c r="G88" s="49">
        <v>6419324700</v>
      </c>
      <c r="H88" s="49">
        <f t="shared" si="14"/>
        <v>0.269785253090084</v>
      </c>
      <c r="I88" s="49">
        <f t="shared" si="20"/>
        <v>0.269785253090084</v>
      </c>
      <c r="J88" s="48">
        <v>0.3</v>
      </c>
      <c r="K88" s="48">
        <f t="shared" si="15"/>
        <v>0.28731897781676058</v>
      </c>
      <c r="L88" s="48">
        <v>250000</v>
      </c>
      <c r="M88" s="48">
        <v>236000</v>
      </c>
      <c r="N88" s="51">
        <v>125108377</v>
      </c>
      <c r="O88" s="48">
        <f t="shared" si="16"/>
        <v>3.12525452685726</v>
      </c>
      <c r="P88" s="48">
        <f t="shared" si="21"/>
        <v>3.12525452685726</v>
      </c>
      <c r="Q88" s="49">
        <v>0.4</v>
      </c>
      <c r="R88" s="49">
        <f t="shared" si="17"/>
        <v>0.42903687857855077</v>
      </c>
      <c r="S88" s="49">
        <v>200200</v>
      </c>
      <c r="T88" s="49">
        <v>194500</v>
      </c>
      <c r="U88" s="49">
        <v>15956260</v>
      </c>
      <c r="V88" s="49">
        <f t="shared" si="18"/>
        <v>44.397998034382702</v>
      </c>
      <c r="W88" s="49">
        <f t="shared" si="22"/>
        <v>44.397998034382702</v>
      </c>
      <c r="X88" s="82">
        <f>IF(Z87&lt;&gt;(E88*G88*H88+L88*N88*O88+S88*U88*V88),1,0)</f>
        <v>0</v>
      </c>
      <c r="Y88" s="82">
        <f>IF(AND(X88=0,B88="N"),Y87,Y87*(E88*G88*I88+L88*N88*P88+S88*U88*W88)/Z87)</f>
        <v>294528109548267.81</v>
      </c>
      <c r="Z88" s="81">
        <f t="shared" si="23"/>
        <v>321158538816271.19</v>
      </c>
      <c r="AA88" s="80">
        <f t="shared" si="12"/>
        <v>1090.4172756510332</v>
      </c>
      <c r="AB88" s="52">
        <f t="shared" si="19"/>
        <v>-2.5191898939261742E-2</v>
      </c>
      <c r="AC88" s="48">
        <f>(F88-E88)/E88</f>
        <v>1.348747591522158E-2</v>
      </c>
      <c r="AD88" s="48">
        <f>(M88-L88)/L88</f>
        <v>-5.6000000000000001E-2</v>
      </c>
      <c r="AE88" s="48">
        <f>(T88-S88)/S88</f>
        <v>-2.8471528471528472E-2</v>
      </c>
      <c r="AF88" s="48" t="e">
        <f>(#REF!-#REF!)/#REF!</f>
        <v>#REF!</v>
      </c>
    </row>
    <row r="89" spans="1:32" x14ac:dyDescent="0.3">
      <c r="A89" s="48">
        <v>20180509</v>
      </c>
      <c r="B89" s="48" t="s">
        <v>88</v>
      </c>
      <c r="C89" s="79">
        <v>0.3</v>
      </c>
      <c r="D89" s="79">
        <f t="shared" si="13"/>
        <v>0.26515476575648356</v>
      </c>
      <c r="E89" s="49">
        <v>52600</v>
      </c>
      <c r="F89" s="49">
        <v>50900</v>
      </c>
      <c r="G89" s="49">
        <v>6419324700</v>
      </c>
      <c r="H89" s="49">
        <f t="shared" si="14"/>
        <v>0.269785253090084</v>
      </c>
      <c r="I89" s="49">
        <f t="shared" si="20"/>
        <v>0.269785253090084</v>
      </c>
      <c r="J89" s="48">
        <v>0.3</v>
      </c>
      <c r="K89" s="48">
        <f t="shared" si="15"/>
        <v>0.30461104870731132</v>
      </c>
      <c r="L89" s="48">
        <v>236000</v>
      </c>
      <c r="M89" s="48">
        <v>259000</v>
      </c>
      <c r="N89" s="51">
        <v>125108377</v>
      </c>
      <c r="O89" s="48">
        <f t="shared" si="16"/>
        <v>3.12525452685726</v>
      </c>
      <c r="P89" s="48">
        <f t="shared" si="21"/>
        <v>3.12525452685726</v>
      </c>
      <c r="Q89" s="49">
        <v>0.4</v>
      </c>
      <c r="R89" s="49">
        <f t="shared" si="17"/>
        <v>0.43023418553620513</v>
      </c>
      <c r="S89" s="49">
        <v>194500</v>
      </c>
      <c r="T89" s="49">
        <v>201900</v>
      </c>
      <c r="U89" s="49">
        <v>15956260</v>
      </c>
      <c r="V89" s="49">
        <f t="shared" si="18"/>
        <v>44.397998034382702</v>
      </c>
      <c r="W89" s="49">
        <f t="shared" si="22"/>
        <v>44.397998034382702</v>
      </c>
      <c r="X89" s="82">
        <f>IF(Z88&lt;&gt;(E89*G89*H89+L89*N89*O89+S89*U89*V89),1,0)</f>
        <v>0</v>
      </c>
      <c r="Y89" s="82">
        <f>IF(AND(X89=0,B89="N"),Y88,Y88*(E89*G89*I89+L89*N89*P89+S89*U89*W89)/Z88)</f>
        <v>294528109548267.81</v>
      </c>
      <c r="Z89" s="81">
        <f t="shared" si="23"/>
        <v>332449661677114.87</v>
      </c>
      <c r="AA89" s="80">
        <f t="shared" si="12"/>
        <v>1128.7535922700526</v>
      </c>
      <c r="AB89" s="52">
        <f t="shared" si="19"/>
        <v>3.5157473634238615E-2</v>
      </c>
      <c r="AC89" s="48">
        <f>(F89-E89)/E89</f>
        <v>-3.2319391634980987E-2</v>
      </c>
      <c r="AD89" s="48">
        <f>(M89-L89)/L89</f>
        <v>9.7457627118644072E-2</v>
      </c>
      <c r="AE89" s="48">
        <f>(T89-S89)/S89</f>
        <v>3.8046272493573265E-2</v>
      </c>
      <c r="AF89" s="48" t="e">
        <f>(#REF!-#REF!)/#REF!</f>
        <v>#REF!</v>
      </c>
    </row>
    <row r="90" spans="1:32" x14ac:dyDescent="0.3">
      <c r="A90" s="48">
        <v>20180510</v>
      </c>
      <c r="B90" s="48" t="s">
        <v>88</v>
      </c>
      <c r="C90" s="79">
        <v>0.3</v>
      </c>
      <c r="D90" s="79">
        <f t="shared" si="13"/>
        <v>0.26971442129749706</v>
      </c>
      <c r="E90" s="49">
        <v>50900</v>
      </c>
      <c r="F90" s="49">
        <v>51600</v>
      </c>
      <c r="G90" s="49">
        <v>6419324700</v>
      </c>
      <c r="H90" s="49">
        <f t="shared" si="14"/>
        <v>0.269785253090084</v>
      </c>
      <c r="I90" s="49">
        <f t="shared" si="20"/>
        <v>0.269785253090084</v>
      </c>
      <c r="J90" s="48">
        <v>0.3</v>
      </c>
      <c r="K90" s="48">
        <f t="shared" si="15"/>
        <v>0.30564582189874034</v>
      </c>
      <c r="L90" s="48">
        <v>259000</v>
      </c>
      <c r="M90" s="48">
        <v>259000</v>
      </c>
      <c r="N90" s="51">
        <v>125108377</v>
      </c>
      <c r="O90" s="48">
        <f t="shared" si="16"/>
        <v>3.12525452685726</v>
      </c>
      <c r="P90" s="48">
        <f t="shared" si="21"/>
        <v>3.12525452685726</v>
      </c>
      <c r="Q90" s="49">
        <v>0.4</v>
      </c>
      <c r="R90" s="49">
        <f t="shared" si="17"/>
        <v>0.4246397568037627</v>
      </c>
      <c r="S90" s="49">
        <v>201900</v>
      </c>
      <c r="T90" s="49">
        <v>198600</v>
      </c>
      <c r="U90" s="49">
        <v>15956260</v>
      </c>
      <c r="V90" s="49">
        <f t="shared" si="18"/>
        <v>44.397998034382702</v>
      </c>
      <c r="W90" s="49">
        <f t="shared" si="22"/>
        <v>44.397998034382702</v>
      </c>
      <c r="X90" s="82">
        <f>IF(Z89&lt;&gt;(E90*G90*H90+L90*N90*O90+S90*U90*V90),1,0)</f>
        <v>0</v>
      </c>
      <c r="Y90" s="82">
        <f>IF(AND(X90=0,B90="N"),Y89,Y89*(E90*G90*I90+L90*N90*P90+S90*U90*W90)/Z89)</f>
        <v>294528109548267.81</v>
      </c>
      <c r="Z90" s="81">
        <f t="shared" si="23"/>
        <v>331324143273931.56</v>
      </c>
      <c r="AA90" s="80">
        <f t="shared" si="12"/>
        <v>1124.9321627809979</v>
      </c>
      <c r="AB90" s="52">
        <f t="shared" si="19"/>
        <v>-3.3855303010547908E-3</v>
      </c>
      <c r="AC90" s="48">
        <f>(F90-E90)/E90</f>
        <v>1.37524557956778E-2</v>
      </c>
      <c r="AD90" s="48">
        <f>(M90-L90)/L90</f>
        <v>0</v>
      </c>
      <c r="AE90" s="48">
        <f>(T90-S90)/S90</f>
        <v>-1.6344725111441308E-2</v>
      </c>
      <c r="AF90" s="48" t="e">
        <f>(#REF!-#REF!)/#REF!</f>
        <v>#REF!</v>
      </c>
    </row>
    <row r="91" spans="1:32" x14ac:dyDescent="0.3">
      <c r="A91" s="48">
        <v>20180511</v>
      </c>
      <c r="B91" s="48" t="s">
        <v>88</v>
      </c>
      <c r="C91" s="79">
        <v>0.3</v>
      </c>
      <c r="D91" s="79">
        <f t="shared" si="13"/>
        <v>0.26819303095757258</v>
      </c>
      <c r="E91" s="49">
        <v>51600</v>
      </c>
      <c r="F91" s="49">
        <v>51300</v>
      </c>
      <c r="G91" s="49">
        <v>6419324700</v>
      </c>
      <c r="H91" s="49">
        <f t="shared" si="14"/>
        <v>0.269785253090084</v>
      </c>
      <c r="I91" s="49">
        <f t="shared" si="20"/>
        <v>0.269785253090084</v>
      </c>
      <c r="J91" s="48">
        <v>0.3</v>
      </c>
      <c r="K91" s="48">
        <f t="shared" si="15"/>
        <v>0.30687937716372032</v>
      </c>
      <c r="L91" s="48">
        <v>259000</v>
      </c>
      <c r="M91" s="48">
        <v>260000</v>
      </c>
      <c r="N91" s="51">
        <v>125108377</v>
      </c>
      <c r="O91" s="48">
        <f t="shared" si="16"/>
        <v>3.12525452685726</v>
      </c>
      <c r="P91" s="48">
        <f t="shared" si="21"/>
        <v>3.12525452685726</v>
      </c>
      <c r="Q91" s="49">
        <v>0.4</v>
      </c>
      <c r="R91" s="49">
        <f t="shared" si="17"/>
        <v>0.4249275918787071</v>
      </c>
      <c r="S91" s="49">
        <v>198600</v>
      </c>
      <c r="T91" s="49">
        <v>198700</v>
      </c>
      <c r="U91" s="49">
        <v>15956260</v>
      </c>
      <c r="V91" s="49">
        <f t="shared" si="18"/>
        <v>44.397998034382702</v>
      </c>
      <c r="W91" s="49">
        <f t="shared" si="22"/>
        <v>44.397998034382702</v>
      </c>
      <c r="X91" s="82">
        <f>IF(Z90&lt;&gt;(E91*G91*H91+L91*N91*O91+S91*U91*V91),1,0)</f>
        <v>0</v>
      </c>
      <c r="Y91" s="82">
        <f>IF(AND(X91=0,B91="N"),Y90,Y90*(E91*G91*I91+L91*N91*P91+S91*U91*W91)/Z90)</f>
        <v>294528109548267.81</v>
      </c>
      <c r="Z91" s="81">
        <f t="shared" si="23"/>
        <v>331266429653853.12</v>
      </c>
      <c r="AA91" s="80">
        <f t="shared" si="12"/>
        <v>1124.7362099391216</v>
      </c>
      <c r="AB91" s="52">
        <f t="shared" si="19"/>
        <v>-1.7419080755223622E-4</v>
      </c>
      <c r="AC91" s="48">
        <f>(F91-E91)/E91</f>
        <v>-5.8139534883720929E-3</v>
      </c>
      <c r="AD91" s="48">
        <f>(M91-L91)/L91</f>
        <v>3.8610038610038611E-3</v>
      </c>
      <c r="AE91" s="48">
        <f>(T91-S91)/S91</f>
        <v>5.0352467270896274E-4</v>
      </c>
      <c r="AF91" s="48" t="e">
        <f>(#REF!-#REF!)/#REF!</f>
        <v>#REF!</v>
      </c>
    </row>
    <row r="92" spans="1:32" x14ac:dyDescent="0.3">
      <c r="A92" s="48">
        <v>20180514</v>
      </c>
      <c r="B92" s="48" t="s">
        <v>88</v>
      </c>
      <c r="C92" s="79">
        <v>0.3</v>
      </c>
      <c r="D92" s="79">
        <f t="shared" si="13"/>
        <v>0.27161591848928435</v>
      </c>
      <c r="E92" s="49">
        <v>51300</v>
      </c>
      <c r="F92" s="49">
        <v>50100</v>
      </c>
      <c r="G92" s="49">
        <v>6419324700</v>
      </c>
      <c r="H92" s="49">
        <f t="shared" si="14"/>
        <v>0.269785253090084</v>
      </c>
      <c r="I92" s="49">
        <f t="shared" si="20"/>
        <v>0.269785253090084</v>
      </c>
      <c r="J92" s="48">
        <v>0.3</v>
      </c>
      <c r="K92" s="48">
        <f t="shared" si="15"/>
        <v>0.31212022132483253</v>
      </c>
      <c r="L92" s="48">
        <v>260000</v>
      </c>
      <c r="M92" s="48">
        <v>255000</v>
      </c>
      <c r="N92" s="51">
        <v>125108377</v>
      </c>
      <c r="O92" s="48">
        <f t="shared" si="16"/>
        <v>3.12525452685726</v>
      </c>
      <c r="P92" s="48">
        <f t="shared" si="21"/>
        <v>3.12525452685726</v>
      </c>
      <c r="Q92" s="49">
        <v>0.4</v>
      </c>
      <c r="R92" s="49">
        <f t="shared" si="17"/>
        <v>0.41626386018588324</v>
      </c>
      <c r="S92" s="49">
        <v>198700</v>
      </c>
      <c r="T92" s="49">
        <v>187700</v>
      </c>
      <c r="U92" s="49">
        <v>15956260</v>
      </c>
      <c r="V92" s="49">
        <f t="shared" si="18"/>
        <v>44.397998034382702</v>
      </c>
      <c r="W92" s="49">
        <f t="shared" si="22"/>
        <v>44.397998034382702</v>
      </c>
      <c r="X92" s="82">
        <f>IF(Z91&lt;&gt;(E92*G92*H92+L92*N92*O92+S92*U92*V92),1,0)</f>
        <v>0</v>
      </c>
      <c r="Y92" s="82">
        <f>IF(AND(X92=0,B92="N"),Y91,Y91*(E92*G92*I92+L92*N92*P92+S92*U92*W92)/Z91)</f>
        <v>294528109548267.81</v>
      </c>
      <c r="Z92" s="81">
        <f t="shared" si="23"/>
        <v>319440559078112.62</v>
      </c>
      <c r="AA92" s="80">
        <f t="shared" si="12"/>
        <v>1084.5842849025657</v>
      </c>
      <c r="AB92" s="52">
        <f t="shared" si="19"/>
        <v>-3.5698970729082499E-2</v>
      </c>
      <c r="AC92" s="48">
        <f>(F92-E92)/E92</f>
        <v>-2.3391812865497075E-2</v>
      </c>
      <c r="AD92" s="48">
        <f>(M92-L92)/L92</f>
        <v>-1.9230769230769232E-2</v>
      </c>
      <c r="AE92" s="48">
        <f>(T92-S92)/S92</f>
        <v>-5.5359838953195774E-2</v>
      </c>
      <c r="AF92" s="48" t="e">
        <f>(#REF!-#REF!)/#REF!</f>
        <v>#REF!</v>
      </c>
    </row>
    <row r="93" spans="1:32" s="47" customFormat="1" x14ac:dyDescent="0.3">
      <c r="A93" s="48">
        <v>20180515</v>
      </c>
      <c r="B93" s="48" t="s">
        <v>88</v>
      </c>
      <c r="C93" s="79">
        <v>0.3</v>
      </c>
      <c r="D93" s="79">
        <f t="shared" si="13"/>
        <v>0.25860712051930174</v>
      </c>
      <c r="E93" s="49">
        <v>50100</v>
      </c>
      <c r="F93" s="49">
        <v>49200</v>
      </c>
      <c r="G93" s="49">
        <v>6419324700</v>
      </c>
      <c r="H93" s="49">
        <f t="shared" si="14"/>
        <v>0.269785253090084</v>
      </c>
      <c r="I93" s="49">
        <f t="shared" si="20"/>
        <v>0.30115081958914802</v>
      </c>
      <c r="J93" s="48">
        <v>0.3</v>
      </c>
      <c r="K93" s="48">
        <f t="shared" si="15"/>
        <v>0.31803462328725501</v>
      </c>
      <c r="L93" s="48">
        <v>255000</v>
      </c>
      <c r="M93" s="48">
        <v>268000</v>
      </c>
      <c r="N93" s="51">
        <v>125395903</v>
      </c>
      <c r="O93" s="48">
        <f t="shared" si="16"/>
        <v>3.12525452685726</v>
      </c>
      <c r="P93" s="48">
        <f t="shared" si="21"/>
        <v>3.48060130385239</v>
      </c>
      <c r="Q93" s="49">
        <v>0.4</v>
      </c>
      <c r="R93" s="49">
        <f t="shared" si="17"/>
        <v>0.42335825619344325</v>
      </c>
      <c r="S93" s="49">
        <v>187700</v>
      </c>
      <c r="T93" s="49">
        <v>196900</v>
      </c>
      <c r="U93" s="49">
        <v>15956260</v>
      </c>
      <c r="V93" s="49">
        <f t="shared" si="18"/>
        <v>44.397998034382702</v>
      </c>
      <c r="W93" s="49">
        <f t="shared" si="22"/>
        <v>49.559764082832103</v>
      </c>
      <c r="X93" s="82">
        <f>IF(Z92&lt;&gt;(E93*G93*H93+L93*N93*O93+S93*U93*V93),1,0)</f>
        <v>1</v>
      </c>
      <c r="Y93" s="82">
        <f>IF(AND(X93=0,B93="N"),Y92,Y92*(E93*G93*I93+L93*N93*P93+S93*U93*W93)/Z92)</f>
        <v>328770311077329.94</v>
      </c>
      <c r="Z93" s="81">
        <f t="shared" si="23"/>
        <v>367788391224529.5</v>
      </c>
      <c r="AA93" s="80">
        <f t="shared" si="12"/>
        <v>1118.6788430480335</v>
      </c>
      <c r="AB93" s="52">
        <f t="shared" si="19"/>
        <v>3.1435600367868757E-2</v>
      </c>
      <c r="AC93" s="48">
        <f>(F93-E93)/E93</f>
        <v>-1.7964071856287425E-2</v>
      </c>
      <c r="AD93" s="48">
        <f>(M93-L93)/L93</f>
        <v>5.0980392156862744E-2</v>
      </c>
      <c r="AE93" s="48">
        <f>(T93-S93)/S93</f>
        <v>4.9014384656366546E-2</v>
      </c>
      <c r="AF93" s="48" t="e">
        <f>(#REF!-#REF!)/#REF!</f>
        <v>#REF!</v>
      </c>
    </row>
    <row r="94" spans="1:32" x14ac:dyDescent="0.3">
      <c r="A94" s="48">
        <v>20180516</v>
      </c>
      <c r="B94" s="48" t="s">
        <v>88</v>
      </c>
      <c r="C94" s="79">
        <v>0.3</v>
      </c>
      <c r="D94" s="79">
        <f t="shared" si="13"/>
        <v>0.25625764487399305</v>
      </c>
      <c r="E94" s="49">
        <v>49200</v>
      </c>
      <c r="F94" s="49">
        <v>49850</v>
      </c>
      <c r="G94" s="49">
        <v>6419324700</v>
      </c>
      <c r="H94" s="49">
        <f t="shared" si="14"/>
        <v>0.30115081958914802</v>
      </c>
      <c r="I94" s="49">
        <f t="shared" si="20"/>
        <v>0.30115081958914802</v>
      </c>
      <c r="J94" s="48">
        <v>0.3</v>
      </c>
      <c r="K94" s="48">
        <f t="shared" si="15"/>
        <v>0.31161631719705657</v>
      </c>
      <c r="L94" s="48">
        <v>268000</v>
      </c>
      <c r="M94" s="48">
        <v>268500</v>
      </c>
      <c r="N94" s="51">
        <v>125395903</v>
      </c>
      <c r="O94" s="48">
        <f t="shared" si="16"/>
        <v>3.48060130385239</v>
      </c>
      <c r="P94" s="48">
        <f t="shared" si="21"/>
        <v>3.48060130385239</v>
      </c>
      <c r="Q94" s="49">
        <v>0.4</v>
      </c>
      <c r="R94" s="49">
        <f t="shared" si="17"/>
        <v>0.43212603792895038</v>
      </c>
      <c r="S94" s="49">
        <v>196900</v>
      </c>
      <c r="T94" s="49">
        <v>205500</v>
      </c>
      <c r="U94" s="49">
        <v>15956260</v>
      </c>
      <c r="V94" s="49">
        <f t="shared" si="18"/>
        <v>49.559764082832103</v>
      </c>
      <c r="W94" s="49">
        <f t="shared" si="22"/>
        <v>49.559764082832103</v>
      </c>
      <c r="X94" s="82">
        <f>IF(Z93&lt;&gt;(E94*G94*H94+L94*N94*O94+S94*U94*V94),1,0)</f>
        <v>0</v>
      </c>
      <c r="Y94" s="82">
        <f>IF(AND(X94=0,B94="N"),Y93,Y93*(E94*G94*I94+L94*N94*P94+S94*U94*W94)/Z93)</f>
        <v>328770311077329.94</v>
      </c>
      <c r="Z94" s="81">
        <f t="shared" si="23"/>
        <v>376063968916469.56</v>
      </c>
      <c r="AA94" s="80">
        <f t="shared" si="12"/>
        <v>1143.8501477951752</v>
      </c>
      <c r="AB94" s="52">
        <f t="shared" si="19"/>
        <v>2.250092142491773E-2</v>
      </c>
      <c r="AC94" s="48">
        <f>(F94-E94)/E94</f>
        <v>1.3211382113821139E-2</v>
      </c>
      <c r="AD94" s="48">
        <f>(M94-L94)/L94</f>
        <v>1.8656716417910447E-3</v>
      </c>
      <c r="AE94" s="48">
        <f>(T94-S94)/S94</f>
        <v>4.3676993397663788E-2</v>
      </c>
      <c r="AF94" s="48" t="e">
        <f>(#REF!-#REF!)/#REF!</f>
        <v>#REF!</v>
      </c>
    </row>
    <row r="95" spans="1:32" x14ac:dyDescent="0.3">
      <c r="A95" s="48">
        <v>20180517</v>
      </c>
      <c r="B95" s="48" t="s">
        <v>88</v>
      </c>
      <c r="C95" s="79">
        <v>0.3</v>
      </c>
      <c r="D95" s="79">
        <f t="shared" si="13"/>
        <v>0.25085952097915171</v>
      </c>
      <c r="E95" s="49">
        <v>49850</v>
      </c>
      <c r="F95" s="49">
        <v>49400</v>
      </c>
      <c r="G95" s="49">
        <v>6419324700</v>
      </c>
      <c r="H95" s="49">
        <f t="shared" si="14"/>
        <v>0.30115081958914802</v>
      </c>
      <c r="I95" s="49">
        <f t="shared" si="20"/>
        <v>0.30115081958914802</v>
      </c>
      <c r="J95" s="48">
        <v>0.3</v>
      </c>
      <c r="K95" s="48">
        <f t="shared" si="15"/>
        <v>0.30668438119982927</v>
      </c>
      <c r="L95" s="48">
        <v>268500</v>
      </c>
      <c r="M95" s="48">
        <v>267500</v>
      </c>
      <c r="N95" s="51">
        <v>125395903</v>
      </c>
      <c r="O95" s="48">
        <f t="shared" si="16"/>
        <v>3.48060130385239</v>
      </c>
      <c r="P95" s="48">
        <f t="shared" si="21"/>
        <v>3.48060130385239</v>
      </c>
      <c r="Q95" s="49">
        <v>0.4</v>
      </c>
      <c r="R95" s="49">
        <f t="shared" si="17"/>
        <v>0.44245609782101897</v>
      </c>
      <c r="S95" s="49">
        <v>205500</v>
      </c>
      <c r="T95" s="49">
        <v>213000</v>
      </c>
      <c r="U95" s="49">
        <v>15956260</v>
      </c>
      <c r="V95" s="49">
        <f t="shared" si="18"/>
        <v>49.559764082832103</v>
      </c>
      <c r="W95" s="49">
        <f t="shared" si="22"/>
        <v>49.559764082832103</v>
      </c>
      <c r="X95" s="82">
        <f>IF(Z94&lt;&gt;(E95*G95*H95+L95*N95*O95+S95*U95*V95),1,0)</f>
        <v>0</v>
      </c>
      <c r="Y95" s="82">
        <f>IF(AND(X95=0,B95="N"),Y94,Y94*(E95*G95*I95+L95*N95*P95+S95*U95*W95)/Z94)</f>
        <v>328770311077329.94</v>
      </c>
      <c r="Z95" s="81">
        <f t="shared" si="23"/>
        <v>380688496179746.25</v>
      </c>
      <c r="AA95" s="80">
        <f t="shared" si="12"/>
        <v>1157.9162818330171</v>
      </c>
      <c r="AB95" s="52">
        <f t="shared" si="19"/>
        <v>1.2297182515520132E-2</v>
      </c>
      <c r="AC95" s="48">
        <f>(F95-E95)/E95</f>
        <v>-9.0270812437311942E-3</v>
      </c>
      <c r="AD95" s="48">
        <f>(M95-L95)/L95</f>
        <v>-3.7243947858472998E-3</v>
      </c>
      <c r="AE95" s="48">
        <f>(T95-S95)/S95</f>
        <v>3.6496350364963501E-2</v>
      </c>
      <c r="AF95" s="48" t="e">
        <f>(#REF!-#REF!)/#REF!</f>
        <v>#REF!</v>
      </c>
    </row>
    <row r="96" spans="1:32" x14ac:dyDescent="0.3">
      <c r="A96" s="48">
        <v>20180518</v>
      </c>
      <c r="B96" s="48" t="s">
        <v>88</v>
      </c>
      <c r="C96" s="79">
        <v>0.3</v>
      </c>
      <c r="D96" s="79">
        <f t="shared" si="13"/>
        <v>0.24689300090774266</v>
      </c>
      <c r="E96" s="49">
        <v>49400</v>
      </c>
      <c r="F96" s="49">
        <v>49500</v>
      </c>
      <c r="G96" s="49">
        <v>6419324700</v>
      </c>
      <c r="H96" s="49">
        <f t="shared" si="14"/>
        <v>0.30115081958914802</v>
      </c>
      <c r="I96" s="49">
        <f t="shared" si="20"/>
        <v>0.30115081958914802</v>
      </c>
      <c r="J96" s="48">
        <v>0.3</v>
      </c>
      <c r="K96" s="48">
        <f t="shared" si="15"/>
        <v>0.30404059684901985</v>
      </c>
      <c r="L96" s="48">
        <v>267500</v>
      </c>
      <c r="M96" s="48">
        <v>270000</v>
      </c>
      <c r="N96" s="51">
        <v>125395903</v>
      </c>
      <c r="O96" s="48">
        <f t="shared" si="16"/>
        <v>3.48060130385239</v>
      </c>
      <c r="P96" s="48">
        <f t="shared" si="21"/>
        <v>3.48060130385239</v>
      </c>
      <c r="Q96" s="49">
        <v>0.4</v>
      </c>
      <c r="R96" s="49">
        <f t="shared" si="17"/>
        <v>0.44906640224323741</v>
      </c>
      <c r="S96" s="49">
        <v>213000</v>
      </c>
      <c r="T96" s="49">
        <v>220100</v>
      </c>
      <c r="U96" s="49">
        <v>15956260</v>
      </c>
      <c r="V96" s="49">
        <f t="shared" si="18"/>
        <v>49.559764082832103</v>
      </c>
      <c r="W96" s="49">
        <f t="shared" si="22"/>
        <v>49.559764082832103</v>
      </c>
      <c r="X96" s="82">
        <f>IF(Z95&lt;&gt;(E96*G96*H96+L96*N96*O96+S96*U96*V96),1,0)</f>
        <v>0</v>
      </c>
      <c r="Y96" s="82">
        <f>IF(AND(X96=0,B96="N"),Y95,Y95*(E96*G96*I96+L96*N96*P96+S96*U96*W96)/Z95)</f>
        <v>328770311077329.94</v>
      </c>
      <c r="Z96" s="81">
        <f t="shared" si="23"/>
        <v>387587545744741.25</v>
      </c>
      <c r="AA96" s="80">
        <f t="shared" si="12"/>
        <v>1178.9006874576851</v>
      </c>
      <c r="AB96" s="52">
        <f t="shared" si="19"/>
        <v>1.8122558559630048E-2</v>
      </c>
      <c r="AC96" s="48">
        <f>(F96-E96)/E96</f>
        <v>2.0242914979757085E-3</v>
      </c>
      <c r="AD96" s="48">
        <f>(M96-L96)/L96</f>
        <v>9.3457943925233638E-3</v>
      </c>
      <c r="AE96" s="48">
        <f>(T96-S96)/S96</f>
        <v>3.3333333333333333E-2</v>
      </c>
      <c r="AF96" s="48" t="e">
        <f>(#REF!-#REF!)/#REF!</f>
        <v>#REF!</v>
      </c>
    </row>
    <row r="97" spans="1:32" x14ac:dyDescent="0.3">
      <c r="A97" s="48">
        <v>20180521</v>
      </c>
      <c r="B97" s="48" t="s">
        <v>88</v>
      </c>
      <c r="C97" s="79">
        <v>0.3</v>
      </c>
      <c r="D97" s="79">
        <f t="shared" si="13"/>
        <v>0.24665807663315087</v>
      </c>
      <c r="E97" s="49">
        <v>49500</v>
      </c>
      <c r="F97" s="49">
        <v>50000</v>
      </c>
      <c r="G97" s="49">
        <v>6419324700</v>
      </c>
      <c r="H97" s="49">
        <f t="shared" si="14"/>
        <v>0.30115081958914802</v>
      </c>
      <c r="I97" s="49">
        <f t="shared" si="20"/>
        <v>0.30115081958914802</v>
      </c>
      <c r="J97" s="48">
        <v>0.3</v>
      </c>
      <c r="K97" s="48">
        <f t="shared" si="15"/>
        <v>0.30071378239088181</v>
      </c>
      <c r="L97" s="48">
        <v>270000</v>
      </c>
      <c r="M97" s="48">
        <v>270000</v>
      </c>
      <c r="N97" s="51">
        <v>125395903</v>
      </c>
      <c r="O97" s="48">
        <f t="shared" si="16"/>
        <v>3.48060130385239</v>
      </c>
      <c r="P97" s="48">
        <f t="shared" si="21"/>
        <v>3.48060130385239</v>
      </c>
      <c r="Q97" s="49">
        <v>0.4</v>
      </c>
      <c r="R97" s="49">
        <f t="shared" si="17"/>
        <v>0.45262814097596726</v>
      </c>
      <c r="S97" s="49">
        <v>220100</v>
      </c>
      <c r="T97" s="49">
        <v>224300</v>
      </c>
      <c r="U97" s="49">
        <v>15956260</v>
      </c>
      <c r="V97" s="49">
        <f t="shared" si="18"/>
        <v>49.559764082832103</v>
      </c>
      <c r="W97" s="49">
        <f t="shared" si="22"/>
        <v>49.559764082832103</v>
      </c>
      <c r="X97" s="82">
        <f>IF(Z96&lt;&gt;(E97*G97*H97+L97*N97*O97+S97*U97*V97),1,0)</f>
        <v>0</v>
      </c>
      <c r="Y97" s="82">
        <f>IF(AND(X97=0,B97="N"),Y96,Y96*(E97*G97*I97+L97*N97*P97+S97*U97*W97)/Z96)</f>
        <v>328770311077329.94</v>
      </c>
      <c r="Z97" s="81">
        <f t="shared" si="23"/>
        <v>391875449813274.37</v>
      </c>
      <c r="AA97" s="80">
        <f t="shared" si="12"/>
        <v>1191.9429358726418</v>
      </c>
      <c r="AB97" s="52">
        <f t="shared" si="19"/>
        <v>1.1063059470329501E-2</v>
      </c>
      <c r="AC97" s="48">
        <f>(F97-E97)/E97</f>
        <v>1.0101010101010102E-2</v>
      </c>
      <c r="AD97" s="48">
        <f>(M97-L97)/L97</f>
        <v>0</v>
      </c>
      <c r="AE97" s="48">
        <f>(T97-S97)/S97</f>
        <v>1.9082235347569285E-2</v>
      </c>
      <c r="AF97" s="48" t="e">
        <f>(#REF!-#REF!)/#REF!</f>
        <v>#REF!</v>
      </c>
    </row>
    <row r="98" spans="1:32" x14ac:dyDescent="0.3">
      <c r="A98" s="48">
        <v>20180523</v>
      </c>
      <c r="B98" s="48" t="s">
        <v>88</v>
      </c>
      <c r="C98" s="79">
        <v>0.3</v>
      </c>
      <c r="D98" s="79">
        <f t="shared" si="13"/>
        <v>0.24131763176416732</v>
      </c>
      <c r="E98" s="49">
        <v>50000</v>
      </c>
      <c r="F98" s="49">
        <v>51800</v>
      </c>
      <c r="G98" s="49">
        <v>6419324700</v>
      </c>
      <c r="H98" s="49">
        <f t="shared" si="14"/>
        <v>0.30115081958914802</v>
      </c>
      <c r="I98" s="49">
        <f t="shared" si="20"/>
        <v>0.30115081958914802</v>
      </c>
      <c r="J98" s="48">
        <v>0.3</v>
      </c>
      <c r="K98" s="48">
        <f t="shared" si="15"/>
        <v>0.27083248898989337</v>
      </c>
      <c r="L98" s="48">
        <v>270000</v>
      </c>
      <c r="M98" s="48">
        <v>257500</v>
      </c>
      <c r="N98" s="51">
        <v>125395903</v>
      </c>
      <c r="O98" s="48">
        <f t="shared" si="16"/>
        <v>3.48060130385239</v>
      </c>
      <c r="P98" s="48">
        <f t="shared" si="21"/>
        <v>3.48060130385239</v>
      </c>
      <c r="Q98" s="49">
        <v>0.4</v>
      </c>
      <c r="R98" s="49">
        <f t="shared" si="17"/>
        <v>0.4878498792459392</v>
      </c>
      <c r="S98" s="49">
        <v>224300</v>
      </c>
      <c r="T98" s="49">
        <v>256000</v>
      </c>
      <c r="U98" s="49">
        <v>15956260</v>
      </c>
      <c r="V98" s="49">
        <f t="shared" si="18"/>
        <v>49.559764082832103</v>
      </c>
      <c r="W98" s="49">
        <f t="shared" si="22"/>
        <v>49.559764082832103</v>
      </c>
      <c r="X98" s="82">
        <f>IF(Z97&lt;&gt;(E98*G98*H98+L98*N98*O98+S98*U98*V98),1,0)</f>
        <v>0</v>
      </c>
      <c r="Y98" s="82">
        <f>IF(AND(X98=0,B98="N"),Y97,Y97*(E98*G98*I98+L98*N98*P98+S98*U98*W98)/Z97)</f>
        <v>328770311077329.94</v>
      </c>
      <c r="Z98" s="81">
        <f t="shared" si="23"/>
        <v>414967513185530.25</v>
      </c>
      <c r="AA98" s="80">
        <f t="shared" si="12"/>
        <v>1262.180614258463</v>
      </c>
      <c r="AB98" s="52">
        <f t="shared" si="19"/>
        <v>5.8927047824146928E-2</v>
      </c>
      <c r="AC98" s="48">
        <f>(F98-E98)/E98</f>
        <v>3.5999999999999997E-2</v>
      </c>
      <c r="AD98" s="48">
        <f>(M98-L98)/L98</f>
        <v>-4.6296296296296294E-2</v>
      </c>
      <c r="AE98" s="48">
        <f>(T98-S98)/S98</f>
        <v>0.1413285777975925</v>
      </c>
      <c r="AF98" s="48" t="e">
        <f>(#REF!-#REF!)/#REF!</f>
        <v>#REF!</v>
      </c>
    </row>
    <row r="99" spans="1:32" x14ac:dyDescent="0.3">
      <c r="A99" s="48">
        <v>20180524</v>
      </c>
      <c r="B99" s="48" t="s">
        <v>88</v>
      </c>
      <c r="C99" s="79">
        <v>0.3</v>
      </c>
      <c r="D99" s="79">
        <f t="shared" si="13"/>
        <v>0.23859682128039764</v>
      </c>
      <c r="E99" s="49">
        <v>51800</v>
      </c>
      <c r="F99" s="49">
        <v>51400</v>
      </c>
      <c r="G99" s="49">
        <v>6419324700</v>
      </c>
      <c r="H99" s="49">
        <f t="shared" si="14"/>
        <v>0.30115081958914802</v>
      </c>
      <c r="I99" s="49">
        <f t="shared" si="20"/>
        <v>0.30115081958914802</v>
      </c>
      <c r="J99" s="48">
        <v>0.3</v>
      </c>
      <c r="K99" s="48">
        <f t="shared" si="15"/>
        <v>0.27719886236914137</v>
      </c>
      <c r="L99" s="48">
        <v>257500</v>
      </c>
      <c r="M99" s="48">
        <v>264500</v>
      </c>
      <c r="N99" s="51">
        <v>125395903</v>
      </c>
      <c r="O99" s="48">
        <f t="shared" si="16"/>
        <v>3.48060130385239</v>
      </c>
      <c r="P99" s="48">
        <f t="shared" si="21"/>
        <v>3.48060130385239</v>
      </c>
      <c r="Q99" s="49">
        <v>0.4</v>
      </c>
      <c r="R99" s="49">
        <f t="shared" si="17"/>
        <v>0.48420431635046102</v>
      </c>
      <c r="S99" s="49">
        <v>256000</v>
      </c>
      <c r="T99" s="49">
        <v>255000</v>
      </c>
      <c r="U99" s="49">
        <v>15956260</v>
      </c>
      <c r="V99" s="49">
        <f t="shared" si="18"/>
        <v>49.559764082832103</v>
      </c>
      <c r="W99" s="49">
        <f t="shared" si="22"/>
        <v>49.559764082832103</v>
      </c>
      <c r="X99" s="82">
        <f>IF(Z98&lt;&gt;(E99*G99*H99+L99*N99*O99+S99*U99*V99),1,0)</f>
        <v>0</v>
      </c>
      <c r="Y99" s="82">
        <f>IF(AND(X99=0,B99="N"),Y98,Y98*(E99*G99*I99+L99*N99*P99+S99*U99*W99)/Z98)</f>
        <v>328770311077329.94</v>
      </c>
      <c r="Z99" s="81">
        <f t="shared" si="23"/>
        <v>416458622750797.19</v>
      </c>
      <c r="AA99" s="80">
        <f t="shared" si="12"/>
        <v>1266.7160285432287</v>
      </c>
      <c r="AB99" s="52">
        <f t="shared" si="19"/>
        <v>3.5933163871561045E-3</v>
      </c>
      <c r="AC99" s="48">
        <f>(F99-E99)/E99</f>
        <v>-7.7220077220077222E-3</v>
      </c>
      <c r="AD99" s="48">
        <f>(M99-L99)/L99</f>
        <v>2.7184466019417475E-2</v>
      </c>
      <c r="AE99" s="48">
        <f>(T99-S99)/S99</f>
        <v>-3.90625E-3</v>
      </c>
      <c r="AF99" s="48" t="e">
        <f>(#REF!-#REF!)/#REF!</f>
        <v>#REF!</v>
      </c>
    </row>
    <row r="100" spans="1:32" x14ac:dyDescent="0.3">
      <c r="A100" s="48">
        <v>20180525</v>
      </c>
      <c r="B100" s="48" t="s">
        <v>88</v>
      </c>
      <c r="C100" s="79">
        <v>0.3</v>
      </c>
      <c r="D100" s="79">
        <f t="shared" si="13"/>
        <v>0.23839656262374512</v>
      </c>
      <c r="E100" s="49">
        <v>51400</v>
      </c>
      <c r="F100" s="49">
        <v>52700</v>
      </c>
      <c r="G100" s="49">
        <v>6419324700</v>
      </c>
      <c r="H100" s="49">
        <f t="shared" si="14"/>
        <v>0.30115081958914802</v>
      </c>
      <c r="I100" s="49">
        <f t="shared" si="20"/>
        <v>0.30115081958914802</v>
      </c>
      <c r="J100" s="48">
        <v>0.3</v>
      </c>
      <c r="K100" s="48">
        <f t="shared" si="15"/>
        <v>0.28085767769296111</v>
      </c>
      <c r="L100" s="48">
        <v>264500</v>
      </c>
      <c r="M100" s="48">
        <v>275000</v>
      </c>
      <c r="N100" s="51">
        <v>125395903</v>
      </c>
      <c r="O100" s="48">
        <f t="shared" si="16"/>
        <v>3.48060130385239</v>
      </c>
      <c r="P100" s="48">
        <f t="shared" si="21"/>
        <v>3.48060130385239</v>
      </c>
      <c r="Q100" s="49">
        <v>0.4</v>
      </c>
      <c r="R100" s="49">
        <f t="shared" si="17"/>
        <v>0.48074575968329386</v>
      </c>
      <c r="S100" s="49">
        <v>255000</v>
      </c>
      <c r="T100" s="49">
        <v>259800</v>
      </c>
      <c r="U100" s="49">
        <v>15956260</v>
      </c>
      <c r="V100" s="49">
        <f t="shared" si="18"/>
        <v>49.559764082832103</v>
      </c>
      <c r="W100" s="49">
        <f t="shared" si="22"/>
        <v>49.559764082832103</v>
      </c>
      <c r="X100" s="82">
        <f>IF(Z99&lt;&gt;(E100*G100*H100+L100*N100*O100+S100*U100*V100),1,0)</f>
        <v>0</v>
      </c>
      <c r="Y100" s="82">
        <f>IF(AND(X100=0,B100="N"),Y99,Y99*(E100*G100*I100+L100*N100*P100+S100*U100*W100)/Z99)</f>
        <v>328770311077329.94</v>
      </c>
      <c r="Z100" s="81">
        <f t="shared" si="23"/>
        <v>427350305830303.25</v>
      </c>
      <c r="AA100" s="80">
        <f t="shared" si="12"/>
        <v>1299.8445766892448</v>
      </c>
      <c r="AB100" s="52">
        <f t="shared" si="19"/>
        <v>2.6153097773709538E-2</v>
      </c>
      <c r="AC100" s="48">
        <f>(F100-E100)/E100</f>
        <v>2.5291828793774319E-2</v>
      </c>
      <c r="AD100" s="48">
        <f>(M100-L100)/L100</f>
        <v>3.9697542533081283E-2</v>
      </c>
      <c r="AE100" s="48">
        <f>(T100-S100)/S100</f>
        <v>1.8823529411764704E-2</v>
      </c>
      <c r="AF100" s="48" t="e">
        <f>(#REF!-#REF!)/#REF!</f>
        <v>#REF!</v>
      </c>
    </row>
    <row r="101" spans="1:32" x14ac:dyDescent="0.3">
      <c r="A101" s="48">
        <v>20180528</v>
      </c>
      <c r="B101" s="48" t="s">
        <v>88</v>
      </c>
      <c r="C101" s="79">
        <v>0.3</v>
      </c>
      <c r="D101" s="79">
        <f t="shared" si="13"/>
        <v>0.2374595582094963</v>
      </c>
      <c r="E101" s="49">
        <v>52700</v>
      </c>
      <c r="F101" s="49">
        <v>52300</v>
      </c>
      <c r="G101" s="49">
        <v>6419324700</v>
      </c>
      <c r="H101" s="49">
        <f t="shared" si="14"/>
        <v>0.30115081958914802</v>
      </c>
      <c r="I101" s="49">
        <f t="shared" si="20"/>
        <v>0.30115081958914802</v>
      </c>
      <c r="J101" s="48">
        <v>0.3</v>
      </c>
      <c r="K101" s="48">
        <f t="shared" si="15"/>
        <v>0.27779312300919146</v>
      </c>
      <c r="L101" s="48">
        <v>275000</v>
      </c>
      <c r="M101" s="48">
        <v>271000</v>
      </c>
      <c r="N101" s="51">
        <v>125395903</v>
      </c>
      <c r="O101" s="48">
        <f t="shared" si="16"/>
        <v>3.48060130385239</v>
      </c>
      <c r="P101" s="48">
        <f t="shared" si="21"/>
        <v>3.48060130385239</v>
      </c>
      <c r="Q101" s="49">
        <v>0.4</v>
      </c>
      <c r="R101" s="49">
        <f t="shared" si="17"/>
        <v>0.48474731878131216</v>
      </c>
      <c r="S101" s="49">
        <v>259800</v>
      </c>
      <c r="T101" s="49">
        <v>261000</v>
      </c>
      <c r="U101" s="49">
        <v>15956260</v>
      </c>
      <c r="V101" s="49">
        <f t="shared" si="18"/>
        <v>49.559764082832103</v>
      </c>
      <c r="W101" s="49">
        <f t="shared" si="22"/>
        <v>49.559764082832103</v>
      </c>
      <c r="X101" s="82">
        <f>IF(Z100&lt;&gt;(E101*G101*H101+L101*N101*O101+S101*U101*V101),1,0)</f>
        <v>0</v>
      </c>
      <c r="Y101" s="82">
        <f>IF(AND(X101=0,B101="N"),Y100,Y100*(E101*G101*I101+L101*N101*P101+S101*U101*W101)/Z100)</f>
        <v>328770311077329.94</v>
      </c>
      <c r="Z101" s="81">
        <f t="shared" si="23"/>
        <v>425780165476032.75</v>
      </c>
      <c r="AA101" s="80">
        <f t="shared" si="12"/>
        <v>1295.0687794187265</v>
      </c>
      <c r="AB101" s="52">
        <f t="shared" si="19"/>
        <v>-3.6741294737578853E-3</v>
      </c>
      <c r="AC101" s="48">
        <f>(F101-E101)/E101</f>
        <v>-7.5901328273244783E-3</v>
      </c>
      <c r="AD101" s="48">
        <f>(M101-L101)/L101</f>
        <v>-1.4545454545454545E-2</v>
      </c>
      <c r="AE101" s="48">
        <f>(T101-S101)/S101</f>
        <v>4.6189376443418013E-3</v>
      </c>
      <c r="AF101" s="48" t="e">
        <f>(#REF!-#REF!)/#REF!</f>
        <v>#REF!</v>
      </c>
    </row>
    <row r="102" spans="1:32" x14ac:dyDescent="0.3">
      <c r="A102" s="48">
        <v>20180529</v>
      </c>
      <c r="B102" s="48" t="s">
        <v>88</v>
      </c>
      <c r="C102" s="79">
        <v>0.3</v>
      </c>
      <c r="D102" s="79">
        <f t="shared" si="13"/>
        <v>0.23946625435742788</v>
      </c>
      <c r="E102" s="49">
        <v>52300</v>
      </c>
      <c r="F102" s="49">
        <v>51300</v>
      </c>
      <c r="G102" s="49">
        <v>6419324700</v>
      </c>
      <c r="H102" s="49">
        <f t="shared" si="14"/>
        <v>0.30115081958914802</v>
      </c>
      <c r="I102" s="49">
        <f t="shared" si="20"/>
        <v>0.30115081958914802</v>
      </c>
      <c r="J102" s="48">
        <v>0.3</v>
      </c>
      <c r="K102" s="48">
        <f t="shared" si="15"/>
        <v>0.28507455709925067</v>
      </c>
      <c r="L102" s="48">
        <v>271000</v>
      </c>
      <c r="M102" s="48">
        <v>270500</v>
      </c>
      <c r="N102" s="51">
        <v>125395903</v>
      </c>
      <c r="O102" s="48">
        <f t="shared" si="16"/>
        <v>3.48060130385239</v>
      </c>
      <c r="P102" s="48">
        <f t="shared" si="21"/>
        <v>3.48060130385239</v>
      </c>
      <c r="Q102" s="49">
        <v>0.4</v>
      </c>
      <c r="R102" s="49">
        <f t="shared" si="17"/>
        <v>0.47545918854332142</v>
      </c>
      <c r="S102" s="49">
        <v>261000</v>
      </c>
      <c r="T102" s="49">
        <v>249000</v>
      </c>
      <c r="U102" s="49">
        <v>15956260</v>
      </c>
      <c r="V102" s="49">
        <f t="shared" si="18"/>
        <v>49.559764082832103</v>
      </c>
      <c r="W102" s="49">
        <f t="shared" si="22"/>
        <v>49.559764082832103</v>
      </c>
      <c r="X102" s="82">
        <f>IF(Z101&lt;&gt;(E102*G102*H102+L102*N102*O102+S102*U102*V102),1,0)</f>
        <v>0</v>
      </c>
      <c r="Y102" s="82">
        <f>IF(AND(X102=0,B102="N"),Y101,Y101*(E102*G102*I102+L102*N102*P102+S102*U102*W102)/Z101)</f>
        <v>328770311077329.94</v>
      </c>
      <c r="Z102" s="81">
        <f t="shared" si="23"/>
        <v>414139292234747.12</v>
      </c>
      <c r="AA102" s="80">
        <f t="shared" si="12"/>
        <v>1259.6614666259741</v>
      </c>
      <c r="AB102" s="52">
        <f t="shared" si="19"/>
        <v>-2.7340102205725737E-2</v>
      </c>
      <c r="AC102" s="48">
        <f>(F102-E102)/E102</f>
        <v>-1.9120458891013385E-2</v>
      </c>
      <c r="AD102" s="48">
        <f>(M102-L102)/L102</f>
        <v>-1.8450184501845018E-3</v>
      </c>
      <c r="AE102" s="48">
        <f>(T102-S102)/S102</f>
        <v>-4.5977011494252873E-2</v>
      </c>
      <c r="AF102" s="48" t="e">
        <f>(#REF!-#REF!)/#REF!</f>
        <v>#REF!</v>
      </c>
    </row>
    <row r="103" spans="1:32" x14ac:dyDescent="0.3">
      <c r="A103" s="48">
        <v>20180530</v>
      </c>
      <c r="B103" s="48" t="s">
        <v>88</v>
      </c>
      <c r="C103" s="79">
        <v>0.3</v>
      </c>
      <c r="D103" s="79">
        <f t="shared" si="13"/>
        <v>0.22782398081236627</v>
      </c>
      <c r="E103" s="49">
        <v>51300</v>
      </c>
      <c r="F103" s="49">
        <v>49500</v>
      </c>
      <c r="G103" s="49">
        <v>6419324700</v>
      </c>
      <c r="H103" s="49">
        <f t="shared" si="14"/>
        <v>0.30115081958914802</v>
      </c>
      <c r="I103" s="49">
        <f t="shared" si="20"/>
        <v>0.30115081958914802</v>
      </c>
      <c r="J103" s="48">
        <v>0.3</v>
      </c>
      <c r="K103" s="48">
        <f t="shared" si="15"/>
        <v>0.2800381754751165</v>
      </c>
      <c r="L103" s="48">
        <v>270500</v>
      </c>
      <c r="M103" s="48">
        <v>269500</v>
      </c>
      <c r="N103" s="51">
        <v>125395903</v>
      </c>
      <c r="O103" s="48">
        <f t="shared" si="16"/>
        <v>3.48060130385239</v>
      </c>
      <c r="P103" s="48">
        <f t="shared" si="21"/>
        <v>3.48060130385239</v>
      </c>
      <c r="Q103" s="49">
        <v>0.4</v>
      </c>
      <c r="R103" s="49">
        <f t="shared" si="17"/>
        <v>0.49213784371251723</v>
      </c>
      <c r="S103" s="49">
        <v>249000</v>
      </c>
      <c r="T103" s="49">
        <v>261400</v>
      </c>
      <c r="U103" s="49">
        <v>15956260</v>
      </c>
      <c r="V103" s="49">
        <f t="shared" si="18"/>
        <v>49.559764082832103</v>
      </c>
      <c r="W103" s="49">
        <f t="shared" si="22"/>
        <v>49.559764082832103</v>
      </c>
      <c r="X103" s="82">
        <f>IF(Z102&lt;&gt;(E103*G103*H103+L103*N103*O103+S103*U103*V103),1,0)</f>
        <v>0</v>
      </c>
      <c r="Y103" s="82">
        <f>IF(AND(X103=0,B103="N"),Y102,Y102*(E103*G103*I103+L103*N103*P103+S103*U103*W103)/Z102)</f>
        <v>328770311077329.94</v>
      </c>
      <c r="Z103" s="81">
        <f t="shared" si="23"/>
        <v>420028883448392.31</v>
      </c>
      <c r="AA103" s="80">
        <f t="shared" si="12"/>
        <v>1277.5754662032043</v>
      </c>
      <c r="AB103" s="52">
        <f t="shared" si="19"/>
        <v>1.4221280917017501E-2</v>
      </c>
      <c r="AC103" s="48">
        <f>(F103-E103)/E103</f>
        <v>-3.5087719298245612E-2</v>
      </c>
      <c r="AD103" s="48">
        <f>(M103-L103)/L103</f>
        <v>-3.6968576709796672E-3</v>
      </c>
      <c r="AE103" s="48">
        <f>(T103-S103)/S103</f>
        <v>4.9799196787148593E-2</v>
      </c>
      <c r="AF103" s="48" t="e">
        <f>(#REF!-#REF!)/#REF!</f>
        <v>#REF!</v>
      </c>
    </row>
    <row r="104" spans="1:32" x14ac:dyDescent="0.3">
      <c r="A104" s="48">
        <v>20180531</v>
      </c>
      <c r="B104" s="48" t="s">
        <v>88</v>
      </c>
      <c r="C104" s="79">
        <v>0.3</v>
      </c>
      <c r="D104" s="79">
        <f t="shared" si="13"/>
        <v>0.2314618877205048</v>
      </c>
      <c r="E104" s="49">
        <v>49500</v>
      </c>
      <c r="F104" s="49">
        <v>50700</v>
      </c>
      <c r="G104" s="49">
        <v>6419324700</v>
      </c>
      <c r="H104" s="49">
        <f t="shared" si="14"/>
        <v>0.30115081958914802</v>
      </c>
      <c r="I104" s="49">
        <f t="shared" si="20"/>
        <v>0.30115081958914802</v>
      </c>
      <c r="J104" s="48">
        <v>0.3</v>
      </c>
      <c r="K104" s="48">
        <f t="shared" si="15"/>
        <v>0.2736530478916821</v>
      </c>
      <c r="L104" s="48">
        <v>269500</v>
      </c>
      <c r="M104" s="48">
        <v>265500</v>
      </c>
      <c r="N104" s="51">
        <v>125395903</v>
      </c>
      <c r="O104" s="48">
        <f t="shared" si="16"/>
        <v>3.48060130385239</v>
      </c>
      <c r="P104" s="48">
        <f t="shared" si="21"/>
        <v>3.48060130385239</v>
      </c>
      <c r="Q104" s="49">
        <v>0.4</v>
      </c>
      <c r="R104" s="49">
        <f t="shared" si="17"/>
        <v>0.49488506438781299</v>
      </c>
      <c r="S104" s="49">
        <v>261400</v>
      </c>
      <c r="T104" s="49">
        <v>265000</v>
      </c>
      <c r="U104" s="49">
        <v>15956260</v>
      </c>
      <c r="V104" s="49">
        <f t="shared" si="18"/>
        <v>49.559764082832103</v>
      </c>
      <c r="W104" s="49">
        <f t="shared" si="22"/>
        <v>49.559764082832103</v>
      </c>
      <c r="X104" s="82">
        <f>IF(Z103&lt;&gt;(E104*G104*H104+L104*N104*O104+S104*U104*V104),1,0)</f>
        <v>0</v>
      </c>
      <c r="Y104" s="82">
        <f>IF(AND(X104=0,B104="N"),Y103,Y103*(E104*G104*I104+L104*N104*P104+S104*U104*W104)/Z103)</f>
        <v>328770311077329.94</v>
      </c>
      <c r="Z104" s="81">
        <f t="shared" si="23"/>
        <v>423449731280490.37</v>
      </c>
      <c r="AA104" s="80">
        <f t="shared" si="12"/>
        <v>1287.9804441371562</v>
      </c>
      <c r="AB104" s="52">
        <f t="shared" si="19"/>
        <v>8.1443157051803317E-3</v>
      </c>
      <c r="AC104" s="48">
        <f>(F104-E104)/E104</f>
        <v>2.4242424242424242E-2</v>
      </c>
      <c r="AD104" s="48">
        <f>(M104-L104)/L104</f>
        <v>-1.4842300556586271E-2</v>
      </c>
      <c r="AE104" s="48">
        <f>(T104-S104)/S104</f>
        <v>1.3771996939556235E-2</v>
      </c>
      <c r="AF104" s="48" t="e">
        <f>(#REF!-#REF!)/#REF!</f>
        <v>#REF!</v>
      </c>
    </row>
    <row r="105" spans="1:32" x14ac:dyDescent="0.3">
      <c r="A105" s="48">
        <v>20180601</v>
      </c>
      <c r="B105" s="48" t="s">
        <v>88</v>
      </c>
      <c r="C105" s="79">
        <v>0.3</v>
      </c>
      <c r="D105" s="79">
        <f t="shared" si="13"/>
        <v>0.23230002560478541</v>
      </c>
      <c r="E105" s="49">
        <v>50700</v>
      </c>
      <c r="F105" s="49">
        <v>51300</v>
      </c>
      <c r="G105" s="49">
        <v>6419324700</v>
      </c>
      <c r="H105" s="49">
        <f t="shared" si="14"/>
        <v>0.30115081958914802</v>
      </c>
      <c r="I105" s="49">
        <f t="shared" si="20"/>
        <v>0.30115081958914802</v>
      </c>
      <c r="J105" s="48">
        <v>0.3</v>
      </c>
      <c r="K105" s="48">
        <f t="shared" si="15"/>
        <v>0.2796104870396261</v>
      </c>
      <c r="L105" s="48">
        <v>265500</v>
      </c>
      <c r="M105" s="48">
        <v>273500</v>
      </c>
      <c r="N105" s="51">
        <v>125395903</v>
      </c>
      <c r="O105" s="48">
        <f t="shared" si="16"/>
        <v>3.48060130385239</v>
      </c>
      <c r="P105" s="48">
        <f t="shared" si="21"/>
        <v>3.48060130385239</v>
      </c>
      <c r="Q105" s="49">
        <v>0.4</v>
      </c>
      <c r="R105" s="49">
        <f t="shared" si="17"/>
        <v>0.48808948735558855</v>
      </c>
      <c r="S105" s="49">
        <v>265000</v>
      </c>
      <c r="T105" s="49">
        <v>263500</v>
      </c>
      <c r="U105" s="49">
        <v>15956260</v>
      </c>
      <c r="V105" s="49">
        <f t="shared" si="18"/>
        <v>49.559764082832103</v>
      </c>
      <c r="W105" s="49">
        <f t="shared" si="22"/>
        <v>49.559764082832103</v>
      </c>
      <c r="X105" s="82">
        <f>IF(Z104&lt;&gt;(E105*G105*H105+L105*N105*O105+S105*U105*V105),1,0)</f>
        <v>0</v>
      </c>
      <c r="Y105" s="82">
        <f>IF(AND(X105=0,B105="N"),Y104,Y104*(E105*G105*I105+L105*N105*P105+S105*U105*W105)/Z104)</f>
        <v>328770311077329.94</v>
      </c>
      <c r="Z105" s="81">
        <f t="shared" si="23"/>
        <v>426915084643228.5</v>
      </c>
      <c r="AA105" s="80">
        <f t="shared" si="12"/>
        <v>1298.5207917475675</v>
      </c>
      <c r="AB105" s="52">
        <f t="shared" si="19"/>
        <v>8.1836239504960301E-3</v>
      </c>
      <c r="AC105" s="48">
        <f>(F105-E105)/E105</f>
        <v>1.1834319526627219E-2</v>
      </c>
      <c r="AD105" s="48">
        <f>(M105-L105)/L105</f>
        <v>3.0131826741996232E-2</v>
      </c>
      <c r="AE105" s="48">
        <f>(T105-S105)/S105</f>
        <v>-5.6603773584905656E-3</v>
      </c>
      <c r="AF105" s="48" t="e">
        <f>(#REF!-#REF!)/#REF!</f>
        <v>#REF!</v>
      </c>
    </row>
    <row r="106" spans="1:32" x14ac:dyDescent="0.3">
      <c r="A106" s="48">
        <v>20180604</v>
      </c>
      <c r="B106" s="48" t="s">
        <v>88</v>
      </c>
      <c r="C106" s="79">
        <v>0.3</v>
      </c>
      <c r="D106" s="79">
        <f t="shared" si="13"/>
        <v>0.23794047961588774</v>
      </c>
      <c r="E106" s="49">
        <v>51300</v>
      </c>
      <c r="F106" s="49">
        <v>51100</v>
      </c>
      <c r="G106" s="49">
        <v>6419324700</v>
      </c>
      <c r="H106" s="49">
        <f t="shared" si="14"/>
        <v>0.30115081958914802</v>
      </c>
      <c r="I106" s="49">
        <f t="shared" si="20"/>
        <v>0.30115081958914802</v>
      </c>
      <c r="J106" s="48">
        <v>0.3</v>
      </c>
      <c r="K106" s="48">
        <f t="shared" si="15"/>
        <v>0.28016177394301384</v>
      </c>
      <c r="L106" s="48">
        <v>273500</v>
      </c>
      <c r="M106" s="48">
        <v>266500</v>
      </c>
      <c r="N106" s="51">
        <v>125395903</v>
      </c>
      <c r="O106" s="48">
        <f t="shared" si="16"/>
        <v>3.48060130385239</v>
      </c>
      <c r="P106" s="48">
        <f t="shared" si="21"/>
        <v>3.48060130385239</v>
      </c>
      <c r="Q106" s="49">
        <v>0.4</v>
      </c>
      <c r="R106" s="49">
        <f t="shared" si="17"/>
        <v>0.48189774644109845</v>
      </c>
      <c r="S106" s="49">
        <v>263500</v>
      </c>
      <c r="T106" s="49">
        <v>253000</v>
      </c>
      <c r="U106" s="49">
        <v>15956260</v>
      </c>
      <c r="V106" s="49">
        <f t="shared" si="18"/>
        <v>49.559764082832103</v>
      </c>
      <c r="W106" s="49">
        <f t="shared" si="22"/>
        <v>49.559764082832103</v>
      </c>
      <c r="X106" s="82">
        <f>IF(Z105&lt;&gt;(E106*G106*H106+L106*N106*O106+S106*U106*V106),1,0)</f>
        <v>0</v>
      </c>
      <c r="Y106" s="82">
        <f>IF(AND(X106=0,B106="N"),Y105,Y105*(E106*G106*I106+L106*N106*P106+S106*U106*W106)/Z105)</f>
        <v>328770311077329.94</v>
      </c>
      <c r="Z106" s="81">
        <f t="shared" si="23"/>
        <v>415169996606883.44</v>
      </c>
      <c r="AA106" s="80">
        <f t="shared" si="12"/>
        <v>1262.7964953600433</v>
      </c>
      <c r="AB106" s="52">
        <f t="shared" si="19"/>
        <v>-2.7511532055983435E-2</v>
      </c>
      <c r="AC106" s="48">
        <f>(F106-E106)/E106</f>
        <v>-3.8986354775828458E-3</v>
      </c>
      <c r="AD106" s="48">
        <f>(M106-L106)/L106</f>
        <v>-2.5594149908592323E-2</v>
      </c>
      <c r="AE106" s="48">
        <f>(T106-S106)/S106</f>
        <v>-3.9848197343453511E-2</v>
      </c>
      <c r="AF106" s="48" t="e">
        <f>(#REF!-#REF!)/#REF!</f>
        <v>#REF!</v>
      </c>
    </row>
    <row r="107" spans="1:32" x14ac:dyDescent="0.3">
      <c r="A107" s="48">
        <v>20180605</v>
      </c>
      <c r="B107" s="48" t="s">
        <v>88</v>
      </c>
      <c r="C107" s="79">
        <v>0.3</v>
      </c>
      <c r="D107" s="79">
        <f t="shared" si="13"/>
        <v>0.24220963668028681</v>
      </c>
      <c r="E107" s="49">
        <v>51100</v>
      </c>
      <c r="F107" s="49">
        <v>51300</v>
      </c>
      <c r="G107" s="49">
        <v>6419324700</v>
      </c>
      <c r="H107" s="49">
        <f t="shared" si="14"/>
        <v>0.30115081958914802</v>
      </c>
      <c r="I107" s="49">
        <f t="shared" si="20"/>
        <v>0.30115081958914802</v>
      </c>
      <c r="J107" s="48">
        <v>0.3</v>
      </c>
      <c r="K107" s="48">
        <f t="shared" si="15"/>
        <v>0.28460960150494269</v>
      </c>
      <c r="L107" s="48">
        <v>266500</v>
      </c>
      <c r="M107" s="48">
        <v>267000</v>
      </c>
      <c r="N107" s="51">
        <v>125395903</v>
      </c>
      <c r="O107" s="48">
        <f t="shared" si="16"/>
        <v>3.48060130385239</v>
      </c>
      <c r="P107" s="48">
        <f t="shared" si="21"/>
        <v>3.48060130385239</v>
      </c>
      <c r="Q107" s="49">
        <v>0.4</v>
      </c>
      <c r="R107" s="49">
        <f t="shared" si="17"/>
        <v>0.47318076181477053</v>
      </c>
      <c r="S107" s="49">
        <v>253000</v>
      </c>
      <c r="T107" s="49">
        <v>245000</v>
      </c>
      <c r="U107" s="49">
        <v>15956260</v>
      </c>
      <c r="V107" s="49">
        <f t="shared" si="18"/>
        <v>49.559764082832103</v>
      </c>
      <c r="W107" s="49">
        <f t="shared" si="22"/>
        <v>49.559764082832103</v>
      </c>
      <c r="X107" s="82">
        <f>IF(Z106&lt;&gt;(E107*G107*H107+L107*N107*O107+S107*U107*V107),1,0)</f>
        <v>0</v>
      </c>
      <c r="Y107" s="82">
        <f>IF(AND(X107=0,B107="N"),Y106,Y106*(E107*G107*I107+L107*N107*P107+S107*U107*W107)/Z106)</f>
        <v>328770311077329.94</v>
      </c>
      <c r="Z107" s="81">
        <f t="shared" si="23"/>
        <v>409448552307591.37</v>
      </c>
      <c r="AA107" s="80">
        <f t="shared" si="12"/>
        <v>1245.3939376882638</v>
      </c>
      <c r="AB107" s="52">
        <f t="shared" si="19"/>
        <v>-1.3780967666383774E-2</v>
      </c>
      <c r="AC107" s="48">
        <f>(F107-E107)/E107</f>
        <v>3.9138943248532287E-3</v>
      </c>
      <c r="AD107" s="48">
        <f>(M107-L107)/L107</f>
        <v>1.876172607879925E-3</v>
      </c>
      <c r="AE107" s="48">
        <f>(T107-S107)/S107</f>
        <v>-3.1620553359683792E-2</v>
      </c>
      <c r="AF107" s="48" t="e">
        <f>(#REF!-#REF!)/#REF!</f>
        <v>#REF!</v>
      </c>
    </row>
    <row r="108" spans="1:32" x14ac:dyDescent="0.3">
      <c r="A108" s="48">
        <v>20180607</v>
      </c>
      <c r="B108" s="48" t="s">
        <v>88</v>
      </c>
      <c r="C108" s="79">
        <v>0.3</v>
      </c>
      <c r="D108" s="79">
        <f t="shared" si="13"/>
        <v>0.23323056487898242</v>
      </c>
      <c r="E108" s="49">
        <v>51300</v>
      </c>
      <c r="F108" s="49">
        <v>50600</v>
      </c>
      <c r="G108" s="49">
        <v>6419324700</v>
      </c>
      <c r="H108" s="49">
        <f t="shared" si="14"/>
        <v>0.30115081958914802</v>
      </c>
      <c r="I108" s="49">
        <f t="shared" si="20"/>
        <v>0.30115081958914802</v>
      </c>
      <c r="J108" s="48">
        <v>0.3</v>
      </c>
      <c r="K108" s="48">
        <f t="shared" si="15"/>
        <v>0.28201257297856341</v>
      </c>
      <c r="L108" s="48">
        <v>267000</v>
      </c>
      <c r="M108" s="48">
        <v>271000</v>
      </c>
      <c r="N108" s="51">
        <v>125395903</v>
      </c>
      <c r="O108" s="48">
        <f t="shared" si="16"/>
        <v>3.48060130385239</v>
      </c>
      <c r="P108" s="48">
        <f t="shared" si="21"/>
        <v>3.48060130385239</v>
      </c>
      <c r="Q108" s="49">
        <v>0.4</v>
      </c>
      <c r="R108" s="49">
        <f t="shared" si="17"/>
        <v>0.48475686214245417</v>
      </c>
      <c r="S108" s="49">
        <v>245000</v>
      </c>
      <c r="T108" s="49">
        <v>257100</v>
      </c>
      <c r="U108" s="49">
        <v>15956260</v>
      </c>
      <c r="V108" s="49">
        <f t="shared" si="18"/>
        <v>49.559764082832103</v>
      </c>
      <c r="W108" s="49">
        <f t="shared" si="22"/>
        <v>49.559764082832103</v>
      </c>
      <c r="X108" s="82">
        <f>IF(Z107&lt;&gt;(E108*G108*H108+L108*N108*O108+S108*U108*V108),1,0)</f>
        <v>0</v>
      </c>
      <c r="Y108" s="82">
        <f>IF(AND(X108=0,B108="N"),Y107,Y107*(E108*G108*I108+L108*N108*P108+S108*U108*W108)/Z107)</f>
        <v>328770311077329.94</v>
      </c>
      <c r="Z108" s="81">
        <f t="shared" si="23"/>
        <v>419409676078336.25</v>
      </c>
      <c r="AA108" s="80">
        <f t="shared" si="12"/>
        <v>1275.6920620478015</v>
      </c>
      <c r="AB108" s="52">
        <f t="shared" si="19"/>
        <v>2.4328145049250825E-2</v>
      </c>
      <c r="AC108" s="48">
        <f>(F108-E108)/E108</f>
        <v>-1.364522417153996E-2</v>
      </c>
      <c r="AD108" s="48">
        <f>(M108-L108)/L108</f>
        <v>1.4981273408239701E-2</v>
      </c>
      <c r="AE108" s="48">
        <f>(T108-S108)/S108</f>
        <v>4.9387755102040819E-2</v>
      </c>
      <c r="AF108" s="48" t="e">
        <f>(#REF!-#REF!)/#REF!</f>
        <v>#REF!</v>
      </c>
    </row>
    <row r="109" spans="1:32" x14ac:dyDescent="0.3">
      <c r="A109" s="48">
        <v>20180608</v>
      </c>
      <c r="B109" s="48" t="s">
        <v>88</v>
      </c>
      <c r="C109" s="79">
        <v>0.3</v>
      </c>
      <c r="D109" s="79">
        <f t="shared" si="13"/>
        <v>0.23412708452221065</v>
      </c>
      <c r="E109" s="49">
        <v>50600</v>
      </c>
      <c r="F109" s="49">
        <v>49650</v>
      </c>
      <c r="G109" s="49">
        <v>6419324700</v>
      </c>
      <c r="H109" s="49">
        <f t="shared" si="14"/>
        <v>0.30115081958914802</v>
      </c>
      <c r="I109" s="49">
        <f t="shared" si="20"/>
        <v>0.30115081958914802</v>
      </c>
      <c r="J109" s="48">
        <v>0.3</v>
      </c>
      <c r="K109" s="48">
        <f t="shared" si="15"/>
        <v>0.28691642214402097</v>
      </c>
      <c r="L109" s="48">
        <v>271000</v>
      </c>
      <c r="M109" s="48">
        <v>269500</v>
      </c>
      <c r="N109" s="51">
        <v>125395903</v>
      </c>
      <c r="O109" s="48">
        <f t="shared" si="16"/>
        <v>3.48060130385239</v>
      </c>
      <c r="P109" s="48">
        <f t="shared" si="21"/>
        <v>3.48060130385239</v>
      </c>
      <c r="Q109" s="49">
        <v>0.4</v>
      </c>
      <c r="R109" s="49">
        <f t="shared" si="17"/>
        <v>0.47895649333376844</v>
      </c>
      <c r="S109" s="49">
        <v>257100</v>
      </c>
      <c r="T109" s="49">
        <v>248300</v>
      </c>
      <c r="U109" s="49">
        <v>15956260</v>
      </c>
      <c r="V109" s="49">
        <f t="shared" si="18"/>
        <v>49.559764082832103</v>
      </c>
      <c r="W109" s="49">
        <f t="shared" si="22"/>
        <v>49.559764082832103</v>
      </c>
      <c r="X109" s="82">
        <f>IF(Z108&lt;&gt;(E109*G109*H109+L109*N109*O109+S109*U109*V109),1,0)</f>
        <v>0</v>
      </c>
      <c r="Y109" s="82">
        <f>IF(AND(X109=0,B109="N"),Y108,Y108*(E109*G109*I109+L109*N109*P109+S109*U109*W109)/Z108)</f>
        <v>328770311077329.94</v>
      </c>
      <c r="Z109" s="81">
        <f t="shared" si="23"/>
        <v>409959532078283.62</v>
      </c>
      <c r="AA109" s="80">
        <f t="shared" si="12"/>
        <v>1246.9481527541495</v>
      </c>
      <c r="AB109" s="52">
        <f t="shared" si="19"/>
        <v>-2.2532012347486828E-2</v>
      </c>
      <c r="AC109" s="48">
        <f>(F109-E109)/E109</f>
        <v>-1.8774703557312252E-2</v>
      </c>
      <c r="AD109" s="48">
        <f>(M109-L109)/L109</f>
        <v>-5.5350553505535052E-3</v>
      </c>
      <c r="AE109" s="48">
        <f>(T109-S109)/S109</f>
        <v>-3.4227926876701675E-2</v>
      </c>
      <c r="AF109" s="48" t="e">
        <f>(#REF!-#REF!)/#REF!</f>
        <v>#REF!</v>
      </c>
    </row>
    <row r="110" spans="1:32" x14ac:dyDescent="0.3">
      <c r="A110" s="48">
        <v>20180611</v>
      </c>
      <c r="B110" s="48" t="s">
        <v>88</v>
      </c>
      <c r="C110" s="79">
        <v>0.3</v>
      </c>
      <c r="D110" s="79">
        <f t="shared" si="13"/>
        <v>0.23704012773250724</v>
      </c>
      <c r="E110" s="49">
        <v>49650</v>
      </c>
      <c r="F110" s="49">
        <v>49900</v>
      </c>
      <c r="G110" s="49">
        <v>6419324700</v>
      </c>
      <c r="H110" s="49">
        <f t="shared" si="14"/>
        <v>0.30115081958914802</v>
      </c>
      <c r="I110" s="49">
        <f t="shared" si="20"/>
        <v>0.30115081958914802</v>
      </c>
      <c r="J110" s="48">
        <v>0.3</v>
      </c>
      <c r="K110" s="48">
        <f t="shared" si="15"/>
        <v>0.2868859938803614</v>
      </c>
      <c r="L110" s="48">
        <v>269500</v>
      </c>
      <c r="M110" s="48">
        <v>267500</v>
      </c>
      <c r="N110" s="51">
        <v>125395903</v>
      </c>
      <c r="O110" s="48">
        <f t="shared" si="16"/>
        <v>3.48060130385239</v>
      </c>
      <c r="P110" s="48">
        <f t="shared" si="21"/>
        <v>3.48060130385239</v>
      </c>
      <c r="Q110" s="49">
        <v>0.4</v>
      </c>
      <c r="R110" s="49">
        <f t="shared" si="17"/>
        <v>0.47607387838713133</v>
      </c>
      <c r="S110" s="49">
        <v>248300</v>
      </c>
      <c r="T110" s="49">
        <v>245000</v>
      </c>
      <c r="U110" s="49">
        <v>15956260</v>
      </c>
      <c r="V110" s="49">
        <f t="shared" si="18"/>
        <v>49.559764082832103</v>
      </c>
      <c r="W110" s="49">
        <f t="shared" si="22"/>
        <v>49.559764082832103</v>
      </c>
      <c r="X110" s="82">
        <f>IF(Z109&lt;&gt;(E110*G110*H110+L110*N110*O110+S110*U110*V110),1,0)</f>
        <v>0</v>
      </c>
      <c r="Y110" s="82">
        <f>IF(AND(X110=0,B110="N"),Y109,Y109*(E110*G110*I110+L110*N110*P110+S110*U110*W110)/Z109)</f>
        <v>328770311077329.94</v>
      </c>
      <c r="Z110" s="81">
        <f t="shared" si="23"/>
        <v>406960320026871.75</v>
      </c>
      <c r="AA110" s="80">
        <f t="shared" si="12"/>
        <v>1237.8256378847748</v>
      </c>
      <c r="AB110" s="52">
        <f t="shared" si="19"/>
        <v>-7.3158734380621556E-3</v>
      </c>
      <c r="AC110" s="48">
        <f>(F110-E110)/E110</f>
        <v>5.0352467270896274E-3</v>
      </c>
      <c r="AD110" s="48">
        <f>(M110-L110)/L110</f>
        <v>-7.4211502782931356E-3</v>
      </c>
      <c r="AE110" s="48">
        <f>(T110-S110)/S110</f>
        <v>-1.3290374546919049E-2</v>
      </c>
      <c r="AF110" s="48" t="e">
        <f>(#REF!-#REF!)/#REF!</f>
        <v>#REF!</v>
      </c>
    </row>
    <row r="111" spans="1:32" x14ac:dyDescent="0.3">
      <c r="A111" s="48">
        <v>20180612</v>
      </c>
      <c r="B111" s="48" t="s">
        <v>88</v>
      </c>
      <c r="C111" s="79">
        <v>0.3</v>
      </c>
      <c r="D111" s="79">
        <f t="shared" si="13"/>
        <v>0.2331638261740499</v>
      </c>
      <c r="E111" s="49">
        <v>49900</v>
      </c>
      <c r="F111" s="49">
        <v>49400</v>
      </c>
      <c r="G111" s="49">
        <v>6419324700</v>
      </c>
      <c r="H111" s="49">
        <f t="shared" si="14"/>
        <v>0.30115081958914802</v>
      </c>
      <c r="I111" s="49">
        <f t="shared" si="20"/>
        <v>0.30115081958914802</v>
      </c>
      <c r="J111" s="48">
        <v>0.3</v>
      </c>
      <c r="K111" s="48">
        <f t="shared" si="15"/>
        <v>0.29091164376100498</v>
      </c>
      <c r="L111" s="48">
        <v>267500</v>
      </c>
      <c r="M111" s="48">
        <v>273000</v>
      </c>
      <c r="N111" s="51">
        <v>125395903</v>
      </c>
      <c r="O111" s="48">
        <f t="shared" si="16"/>
        <v>3.48060130385239</v>
      </c>
      <c r="P111" s="48">
        <f t="shared" si="21"/>
        <v>3.48060130385239</v>
      </c>
      <c r="Q111" s="49">
        <v>0.4</v>
      </c>
      <c r="R111" s="49">
        <f t="shared" si="17"/>
        <v>0.47592453006494512</v>
      </c>
      <c r="S111" s="49">
        <v>245000</v>
      </c>
      <c r="T111" s="49">
        <v>246500</v>
      </c>
      <c r="U111" s="49">
        <v>15956260</v>
      </c>
      <c r="V111" s="49">
        <f t="shared" si="18"/>
        <v>49.559764082832103</v>
      </c>
      <c r="W111" s="49">
        <f t="shared" si="22"/>
        <v>49.559764082832103</v>
      </c>
      <c r="X111" s="82">
        <f>IF(Z110&lt;&gt;(E111*G111*H111+L111*N111*O111+S111*U111*V111),1,0)</f>
        <v>0</v>
      </c>
      <c r="Y111" s="82">
        <f>IF(AND(X111=0,B111="N"),Y110,Y110*(E111*G111*I111+L111*N111*P111+S111*U111*W111)/Z110)</f>
        <v>328770311077329.94</v>
      </c>
      <c r="Z111" s="81">
        <f t="shared" si="23"/>
        <v>409580402590568.81</v>
      </c>
      <c r="AA111" s="80">
        <f t="shared" si="12"/>
        <v>1245.7949784104185</v>
      </c>
      <c r="AB111" s="52">
        <f t="shared" si="19"/>
        <v>6.4381769788367741E-3</v>
      </c>
      <c r="AC111" s="48">
        <f>(F111-E111)/E111</f>
        <v>-1.002004008016032E-2</v>
      </c>
      <c r="AD111" s="48">
        <f>(M111-L111)/L111</f>
        <v>2.0560747663551402E-2</v>
      </c>
      <c r="AE111" s="48">
        <f>(T111-S111)/S111</f>
        <v>6.1224489795918364E-3</v>
      </c>
      <c r="AF111" s="48" t="e">
        <f>(#REF!-#REF!)/#REF!</f>
        <v>#REF!</v>
      </c>
    </row>
    <row r="112" spans="1:32" x14ac:dyDescent="0.3">
      <c r="A112" s="48">
        <v>20180614</v>
      </c>
      <c r="B112" s="48" t="s">
        <v>88</v>
      </c>
      <c r="C112" s="79">
        <v>0.3</v>
      </c>
      <c r="D112" s="79">
        <f t="shared" si="13"/>
        <v>0.23173705425352484</v>
      </c>
      <c r="E112" s="49">
        <v>49400</v>
      </c>
      <c r="F112" s="49">
        <v>48200</v>
      </c>
      <c r="G112" s="49">
        <v>6419324700</v>
      </c>
      <c r="H112" s="49">
        <f t="shared" si="14"/>
        <v>0.30115081958914802</v>
      </c>
      <c r="I112" s="49">
        <f t="shared" si="20"/>
        <v>0.30115081958914802</v>
      </c>
      <c r="J112" s="48">
        <v>0.3</v>
      </c>
      <c r="K112" s="48">
        <f t="shared" si="15"/>
        <v>0.30392799701822731</v>
      </c>
      <c r="L112" s="48">
        <v>273000</v>
      </c>
      <c r="M112" s="48">
        <v>280000</v>
      </c>
      <c r="N112" s="51">
        <v>125395903</v>
      </c>
      <c r="O112" s="48">
        <f t="shared" si="16"/>
        <v>3.48060130385239</v>
      </c>
      <c r="P112" s="48">
        <f t="shared" si="21"/>
        <v>3.48060130385239</v>
      </c>
      <c r="Q112" s="49">
        <v>0.4</v>
      </c>
      <c r="R112" s="49">
        <f t="shared" si="17"/>
        <v>0.46433494872824782</v>
      </c>
      <c r="S112" s="49">
        <v>246500</v>
      </c>
      <c r="T112" s="49">
        <v>236100</v>
      </c>
      <c r="U112" s="49">
        <v>15956260</v>
      </c>
      <c r="V112" s="49">
        <f t="shared" si="18"/>
        <v>49.559764082832103</v>
      </c>
      <c r="W112" s="49">
        <f t="shared" si="22"/>
        <v>49.559764082832103</v>
      </c>
      <c r="X112" s="82">
        <f>IF(Z111&lt;&gt;(E112*G112*H112+L112*N112*O112+S112*U112*V112),1,0)</f>
        <v>0</v>
      </c>
      <c r="Y112" s="82">
        <f>IF(AND(X112=0,B112="N"),Y111,Y111*(E112*G112*I112+L112*N112*P112+S112*U112*W112)/Z111)</f>
        <v>328770311077329.94</v>
      </c>
      <c r="Z112" s="81">
        <f t="shared" si="23"/>
        <v>402091552516448</v>
      </c>
      <c r="AA112" s="80">
        <f t="shared" si="12"/>
        <v>1223.0166136317346</v>
      </c>
      <c r="AB112" s="52">
        <f t="shared" si="19"/>
        <v>-1.8284200188178744E-2</v>
      </c>
      <c r="AC112" s="48">
        <f>(F112-E112)/E112</f>
        <v>-2.4291497975708502E-2</v>
      </c>
      <c r="AD112" s="48">
        <f>(M112-L112)/L112</f>
        <v>2.564102564102564E-2</v>
      </c>
      <c r="AE112" s="48">
        <f>(T112-S112)/S112</f>
        <v>-4.2190669371196754E-2</v>
      </c>
      <c r="AF112" s="48" t="e">
        <f>(#REF!-#REF!)/#REF!</f>
        <v>#REF!</v>
      </c>
    </row>
    <row r="113" spans="1:32" x14ac:dyDescent="0.3">
      <c r="A113" s="48">
        <v>20180615</v>
      </c>
      <c r="B113" s="48" t="s">
        <v>88</v>
      </c>
      <c r="C113" s="79">
        <v>0.3</v>
      </c>
      <c r="D113" s="79">
        <f t="shared" si="13"/>
        <v>0.22665621636083338</v>
      </c>
      <c r="E113" s="49">
        <v>48200</v>
      </c>
      <c r="F113" s="49">
        <v>47650</v>
      </c>
      <c r="G113" s="49">
        <v>6419324700</v>
      </c>
      <c r="H113" s="49">
        <f t="shared" si="14"/>
        <v>0.30115081958914802</v>
      </c>
      <c r="I113" s="49">
        <f t="shared" si="20"/>
        <v>0.30115081958914802</v>
      </c>
      <c r="J113" s="48">
        <v>0.3</v>
      </c>
      <c r="K113" s="48">
        <f t="shared" si="15"/>
        <v>0.32056292923289947</v>
      </c>
      <c r="L113" s="48">
        <v>280000</v>
      </c>
      <c r="M113" s="48">
        <v>298500</v>
      </c>
      <c r="N113" s="51">
        <v>125395903</v>
      </c>
      <c r="O113" s="48">
        <f t="shared" si="16"/>
        <v>3.48060130385239</v>
      </c>
      <c r="P113" s="48">
        <f t="shared" si="21"/>
        <v>3.48060130385239</v>
      </c>
      <c r="Q113" s="49">
        <v>0.4</v>
      </c>
      <c r="R113" s="49">
        <f t="shared" si="17"/>
        <v>0.4527808544062672</v>
      </c>
      <c r="S113" s="49">
        <v>236100</v>
      </c>
      <c r="T113" s="49">
        <v>232700</v>
      </c>
      <c r="U113" s="49">
        <v>15956260</v>
      </c>
      <c r="V113" s="49">
        <f t="shared" si="18"/>
        <v>49.559764082832103</v>
      </c>
      <c r="W113" s="49">
        <f t="shared" si="22"/>
        <v>49.559764082832103</v>
      </c>
      <c r="X113" s="82">
        <f>IF(Z112&lt;&gt;(E113*G113*H113+L113*N113*O113+S113*U113*V113),1,0)</f>
        <v>0</v>
      </c>
      <c r="Y113" s="82">
        <f>IF(AND(X113=0,B113="N"),Y112,Y112*(E113*G113*I113+L113*N113*P113+S113*U113*W113)/Z112)</f>
        <v>328770311077329.94</v>
      </c>
      <c r="Z113" s="81">
        <f t="shared" si="23"/>
        <v>406414003142551.25</v>
      </c>
      <c r="AA113" s="80">
        <f t="shared" si="12"/>
        <v>1236.1639401404427</v>
      </c>
      <c r="AB113" s="52">
        <f t="shared" si="19"/>
        <v>1.0749916527844461E-2</v>
      </c>
      <c r="AC113" s="48">
        <f>(F113-E113)/E113</f>
        <v>-1.1410788381742738E-2</v>
      </c>
      <c r="AD113" s="48">
        <f>(M113-L113)/L113</f>
        <v>6.6071428571428573E-2</v>
      </c>
      <c r="AE113" s="48">
        <f>(T113-S113)/S113</f>
        <v>-1.4400677678949597E-2</v>
      </c>
      <c r="AF113" s="48" t="e">
        <f>(#REF!-#REF!)/#REF!</f>
        <v>#REF!</v>
      </c>
    </row>
    <row r="114" spans="1:32" x14ac:dyDescent="0.3">
      <c r="A114" s="48">
        <v>20180618</v>
      </c>
      <c r="B114" s="48" t="s">
        <v>88</v>
      </c>
      <c r="C114" s="79">
        <v>0.3</v>
      </c>
      <c r="D114" s="79">
        <f t="shared" si="13"/>
        <v>0.22731402169087978</v>
      </c>
      <c r="E114" s="49">
        <v>47650</v>
      </c>
      <c r="F114" s="49">
        <v>46600</v>
      </c>
      <c r="G114" s="49">
        <v>6419324700</v>
      </c>
      <c r="H114" s="49">
        <f t="shared" si="14"/>
        <v>0.30115081958914802</v>
      </c>
      <c r="I114" s="49">
        <f t="shared" si="20"/>
        <v>0.30115081958914802</v>
      </c>
      <c r="J114" s="48">
        <v>0.3</v>
      </c>
      <c r="K114" s="48">
        <f t="shared" si="15"/>
        <v>0.33589565117022613</v>
      </c>
      <c r="L114" s="48">
        <v>298500</v>
      </c>
      <c r="M114" s="48">
        <v>305000</v>
      </c>
      <c r="N114" s="51">
        <v>125395903</v>
      </c>
      <c r="O114" s="48">
        <f t="shared" si="16"/>
        <v>3.48060130385239</v>
      </c>
      <c r="P114" s="48">
        <f t="shared" si="21"/>
        <v>3.48060130385239</v>
      </c>
      <c r="Q114" s="49">
        <v>0.4</v>
      </c>
      <c r="R114" s="49">
        <f t="shared" si="17"/>
        <v>0.4367903271388941</v>
      </c>
      <c r="S114" s="49">
        <v>232700</v>
      </c>
      <c r="T114" s="49">
        <v>218900</v>
      </c>
      <c r="U114" s="49">
        <v>15956260</v>
      </c>
      <c r="V114" s="49">
        <f t="shared" si="18"/>
        <v>49.559764082832103</v>
      </c>
      <c r="W114" s="49">
        <f t="shared" si="22"/>
        <v>49.559764082832103</v>
      </c>
      <c r="X114" s="82">
        <f>IF(Z113&lt;&gt;(E114*G114*H114+L114*N114*O114+S114*U114*V114),1,0)</f>
        <v>0</v>
      </c>
      <c r="Y114" s="82">
        <f>IF(AND(X114=0,B114="N"),Y113,Y113*(E114*G114*I114+L114*N114*P114+S114*U114*W114)/Z113)</f>
        <v>328770311077329.94</v>
      </c>
      <c r="Z114" s="81">
        <f t="shared" si="23"/>
        <v>396308223394652</v>
      </c>
      <c r="AA114" s="80">
        <f t="shared" si="12"/>
        <v>1205.4258247832984</v>
      </c>
      <c r="AB114" s="52">
        <f t="shared" si="19"/>
        <v>-2.4865727238130034E-2</v>
      </c>
      <c r="AC114" s="48">
        <f>(F114-E114)/E114</f>
        <v>-2.2035676810073453E-2</v>
      </c>
      <c r="AD114" s="48">
        <f>(M114-L114)/L114</f>
        <v>2.1775544388609715E-2</v>
      </c>
      <c r="AE114" s="48">
        <f>(T114-S114)/S114</f>
        <v>-5.9303824666953157E-2</v>
      </c>
      <c r="AF114" s="48" t="e">
        <f>(#REF!-#REF!)/#REF!</f>
        <v>#REF!</v>
      </c>
    </row>
    <row r="115" spans="1:32" x14ac:dyDescent="0.3">
      <c r="A115" s="48">
        <v>20180619</v>
      </c>
      <c r="B115" s="48" t="s">
        <v>88</v>
      </c>
      <c r="C115" s="79">
        <v>0.3</v>
      </c>
      <c r="D115" s="79">
        <f t="shared" si="13"/>
        <v>0.23170675319119802</v>
      </c>
      <c r="E115" s="49">
        <v>46600</v>
      </c>
      <c r="F115" s="49">
        <v>47000</v>
      </c>
      <c r="G115" s="49">
        <v>6419324700</v>
      </c>
      <c r="H115" s="49">
        <f t="shared" si="14"/>
        <v>0.30115081958914802</v>
      </c>
      <c r="I115" s="49">
        <f t="shared" si="20"/>
        <v>0.30115081958914802</v>
      </c>
      <c r="J115" s="48">
        <v>0.3</v>
      </c>
      <c r="K115" s="48">
        <f t="shared" si="15"/>
        <v>0.3199947959736873</v>
      </c>
      <c r="L115" s="48">
        <v>305000</v>
      </c>
      <c r="M115" s="48">
        <v>287500</v>
      </c>
      <c r="N115" s="51">
        <v>125395903</v>
      </c>
      <c r="O115" s="48">
        <f t="shared" si="16"/>
        <v>3.48060130385239</v>
      </c>
      <c r="P115" s="48">
        <f t="shared" si="21"/>
        <v>3.48060130385239</v>
      </c>
      <c r="Q115" s="49">
        <v>0.4</v>
      </c>
      <c r="R115" s="49">
        <f t="shared" si="17"/>
        <v>0.44829845083511471</v>
      </c>
      <c r="S115" s="49">
        <v>218900</v>
      </c>
      <c r="T115" s="49">
        <v>222300</v>
      </c>
      <c r="U115" s="49">
        <v>15956260</v>
      </c>
      <c r="V115" s="49">
        <f t="shared" si="18"/>
        <v>49.559764082832103</v>
      </c>
      <c r="W115" s="49">
        <f t="shared" si="22"/>
        <v>49.559764082832103</v>
      </c>
      <c r="X115" s="82">
        <f>IF(Z114&lt;&gt;(E115*G115*H115+L115*N115*O115+S115*U115*V115),1,0)</f>
        <v>0</v>
      </c>
      <c r="Y115" s="82">
        <f>IF(AND(X115=0,B115="N"),Y114,Y114*(E115*G115*I115+L115*N115*P115+S115*U115*W115)/Z114)</f>
        <v>328770311077329.94</v>
      </c>
      <c r="Z115" s="81">
        <f t="shared" si="23"/>
        <v>392132248177836.19</v>
      </c>
      <c r="AA115" s="80">
        <f t="shared" si="12"/>
        <v>1192.7240233246089</v>
      </c>
      <c r="AB115" s="52">
        <f t="shared" si="19"/>
        <v>-1.0537190424780317E-2</v>
      </c>
      <c r="AC115" s="48">
        <f>(F115-E115)/E115</f>
        <v>8.5836909871244635E-3</v>
      </c>
      <c r="AD115" s="48">
        <f>(M115-L115)/L115</f>
        <v>-5.737704918032787E-2</v>
      </c>
      <c r="AE115" s="48">
        <f>(T115-S115)/S115</f>
        <v>1.5532206486980357E-2</v>
      </c>
      <c r="AF115" s="48" t="e">
        <f>(#REF!-#REF!)/#REF!</f>
        <v>#REF!</v>
      </c>
    </row>
    <row r="116" spans="1:32" x14ac:dyDescent="0.3">
      <c r="A116" s="48">
        <v>20180620</v>
      </c>
      <c r="B116" s="48" t="s">
        <v>88</v>
      </c>
      <c r="C116" s="79">
        <v>0.3</v>
      </c>
      <c r="D116" s="79">
        <f t="shared" si="13"/>
        <v>0.22387665567980053</v>
      </c>
      <c r="E116" s="49">
        <v>47000</v>
      </c>
      <c r="F116" s="49">
        <v>47000</v>
      </c>
      <c r="G116" s="49">
        <v>6419324700</v>
      </c>
      <c r="H116" s="49">
        <f t="shared" si="14"/>
        <v>0.30115081958914802</v>
      </c>
      <c r="I116" s="49">
        <f t="shared" si="20"/>
        <v>0.30115081958914802</v>
      </c>
      <c r="J116" s="48">
        <v>0.3</v>
      </c>
      <c r="K116" s="48">
        <f t="shared" si="15"/>
        <v>0.31939758997204948</v>
      </c>
      <c r="L116" s="48">
        <v>287500</v>
      </c>
      <c r="M116" s="48">
        <v>297000</v>
      </c>
      <c r="N116" s="51">
        <v>125395903</v>
      </c>
      <c r="O116" s="48">
        <f t="shared" si="16"/>
        <v>3.48060130385239</v>
      </c>
      <c r="P116" s="48">
        <f t="shared" si="21"/>
        <v>3.48060130385239</v>
      </c>
      <c r="Q116" s="49">
        <v>0.4</v>
      </c>
      <c r="R116" s="49">
        <f t="shared" si="17"/>
        <v>0.4567257543481501</v>
      </c>
      <c r="S116" s="49">
        <v>222300</v>
      </c>
      <c r="T116" s="49">
        <v>234400</v>
      </c>
      <c r="U116" s="49">
        <v>15956260</v>
      </c>
      <c r="V116" s="49">
        <f t="shared" si="18"/>
        <v>49.559764082832103</v>
      </c>
      <c r="W116" s="49">
        <f t="shared" si="22"/>
        <v>49.559764082832103</v>
      </c>
      <c r="X116" s="82">
        <f>IF(Z115&lt;&gt;(E116*G116*H116+L116*N116*O116+S116*U116*V116),1,0)</f>
        <v>0</v>
      </c>
      <c r="Y116" s="82">
        <f>IF(AND(X116=0,B116="N"),Y115,Y115*(E116*G116*I116+L116*N116*P116+S116*U116*W116)/Z115)</f>
        <v>328770311077329.94</v>
      </c>
      <c r="Z116" s="81">
        <f t="shared" si="23"/>
        <v>405847093663948.25</v>
      </c>
      <c r="AA116" s="80">
        <f t="shared" si="12"/>
        <v>1234.4396071958245</v>
      </c>
      <c r="AB116" s="52">
        <f t="shared" si="19"/>
        <v>3.4975051273753353E-2</v>
      </c>
      <c r="AC116" s="48">
        <f>(F116-E116)/E116</f>
        <v>0</v>
      </c>
      <c r="AD116" s="48">
        <f>(M116-L116)/L116</f>
        <v>3.3043478260869563E-2</v>
      </c>
      <c r="AE116" s="48">
        <f>(T116-S116)/S116</f>
        <v>5.4430949167791273E-2</v>
      </c>
      <c r="AF116" s="48" t="e">
        <f>(#REF!-#REF!)/#REF!</f>
        <v>#REF!</v>
      </c>
    </row>
    <row r="117" spans="1:32" x14ac:dyDescent="0.3">
      <c r="A117" s="48">
        <v>20180621</v>
      </c>
      <c r="B117" s="48" t="s">
        <v>88</v>
      </c>
      <c r="C117" s="79">
        <v>0.3</v>
      </c>
      <c r="D117" s="79">
        <f t="shared" si="13"/>
        <v>0.22678263858922137</v>
      </c>
      <c r="E117" s="49">
        <v>47000</v>
      </c>
      <c r="F117" s="49">
        <v>47050</v>
      </c>
      <c r="G117" s="49">
        <v>6419324700</v>
      </c>
      <c r="H117" s="49">
        <f t="shared" si="14"/>
        <v>0.30115081958914802</v>
      </c>
      <c r="I117" s="49">
        <f t="shared" si="20"/>
        <v>0.30115081958914802</v>
      </c>
      <c r="J117" s="48">
        <v>0.3</v>
      </c>
      <c r="K117" s="48">
        <f t="shared" si="15"/>
        <v>0.31775856123042062</v>
      </c>
      <c r="L117" s="48">
        <v>297000</v>
      </c>
      <c r="M117" s="48">
        <v>292000</v>
      </c>
      <c r="N117" s="51">
        <v>125395903</v>
      </c>
      <c r="O117" s="48">
        <f t="shared" si="16"/>
        <v>3.48060130385239</v>
      </c>
      <c r="P117" s="48">
        <f t="shared" si="21"/>
        <v>3.48060130385239</v>
      </c>
      <c r="Q117" s="49">
        <v>0.4</v>
      </c>
      <c r="R117" s="49">
        <f t="shared" si="17"/>
        <v>0.45545880018035795</v>
      </c>
      <c r="S117" s="49">
        <v>234400</v>
      </c>
      <c r="T117" s="49">
        <v>231000</v>
      </c>
      <c r="U117" s="49">
        <v>15956260</v>
      </c>
      <c r="V117" s="49">
        <f t="shared" si="18"/>
        <v>49.559764082832103</v>
      </c>
      <c r="W117" s="49">
        <f t="shared" si="22"/>
        <v>49.559764082832103</v>
      </c>
      <c r="X117" s="82">
        <f>IF(Z116&lt;&gt;(E117*G117*H117+L117*N117*O117+S117*U117*V117),1,0)</f>
        <v>0</v>
      </c>
      <c r="Y117" s="82">
        <f>IF(AND(X117=0,B117="N"),Y116,Y116*(E117*G117*I117+L117*N117*P117+S117*U117*W117)/Z116)</f>
        <v>328770311077329.94</v>
      </c>
      <c r="Z117" s="81">
        <f t="shared" si="23"/>
        <v>401072806355050.56</v>
      </c>
      <c r="AA117" s="80">
        <f t="shared" si="12"/>
        <v>1219.9179574359875</v>
      </c>
      <c r="AB117" s="52">
        <f t="shared" si="19"/>
        <v>-1.1763758773768255E-2</v>
      </c>
      <c r="AC117" s="48">
        <f>(F117-E117)/E117</f>
        <v>1.0638297872340426E-3</v>
      </c>
      <c r="AD117" s="48">
        <f>(M117-L117)/L117</f>
        <v>-1.6835016835016835E-2</v>
      </c>
      <c r="AE117" s="48">
        <f>(T117-S117)/S117</f>
        <v>-1.4505119453924915E-2</v>
      </c>
      <c r="AF117" s="48" t="e">
        <f>(#REF!-#REF!)/#REF!</f>
        <v>#REF!</v>
      </c>
    </row>
    <row r="118" spans="1:32" x14ac:dyDescent="0.3">
      <c r="A118" s="48">
        <v>20180622</v>
      </c>
      <c r="B118" s="48" t="s">
        <v>88</v>
      </c>
      <c r="C118" s="79">
        <v>0.3</v>
      </c>
      <c r="D118" s="79">
        <f t="shared" si="13"/>
        <v>0.22622091219437371</v>
      </c>
      <c r="E118" s="49">
        <v>47050</v>
      </c>
      <c r="F118" s="49">
        <v>47250</v>
      </c>
      <c r="G118" s="49">
        <v>6419324700</v>
      </c>
      <c r="H118" s="49">
        <f t="shared" si="14"/>
        <v>0.30115081958914802</v>
      </c>
      <c r="I118" s="49">
        <f t="shared" si="20"/>
        <v>0.30115081958914802</v>
      </c>
      <c r="J118" s="48">
        <v>0.3</v>
      </c>
      <c r="K118" s="48">
        <f t="shared" si="15"/>
        <v>0.31941304897668371</v>
      </c>
      <c r="L118" s="48">
        <v>292000</v>
      </c>
      <c r="M118" s="48">
        <v>295500</v>
      </c>
      <c r="N118" s="51">
        <v>125395903</v>
      </c>
      <c r="O118" s="48">
        <f t="shared" si="16"/>
        <v>3.48060130385239</v>
      </c>
      <c r="P118" s="48">
        <f t="shared" si="21"/>
        <v>3.48060130385239</v>
      </c>
      <c r="Q118" s="49">
        <v>0.4</v>
      </c>
      <c r="R118" s="49">
        <f t="shared" si="17"/>
        <v>0.45436603882894266</v>
      </c>
      <c r="S118" s="49">
        <v>231000</v>
      </c>
      <c r="T118" s="49">
        <v>232000</v>
      </c>
      <c r="U118" s="49">
        <v>15956260</v>
      </c>
      <c r="V118" s="49">
        <f t="shared" si="18"/>
        <v>49.559764082832103</v>
      </c>
      <c r="W118" s="49">
        <f t="shared" si="22"/>
        <v>49.559764082832103</v>
      </c>
      <c r="X118" s="82">
        <f>IF(Z117&lt;&gt;(E118*G118*H118+L118*N118*O118+S118*U118*V118),1,0)</f>
        <v>0</v>
      </c>
      <c r="Y118" s="82">
        <f>IF(AND(X118=0,B118="N"),Y117,Y117*(E118*G118*I118+L118*N118*P118+S118*U118*W118)/Z117)</f>
        <v>328770311077329.94</v>
      </c>
      <c r="Z118" s="81">
        <f t="shared" si="23"/>
        <v>403777817817396</v>
      </c>
      <c r="AA118" s="80">
        <f t="shared" si="12"/>
        <v>1228.145620856938</v>
      </c>
      <c r="AB118" s="52">
        <f t="shared" si="19"/>
        <v>6.7444399607357606E-3</v>
      </c>
      <c r="AC118" s="48">
        <f>(F118-E118)/E118</f>
        <v>4.2507970244420826E-3</v>
      </c>
      <c r="AD118" s="48">
        <f>(M118-L118)/L118</f>
        <v>1.1986301369863013E-2</v>
      </c>
      <c r="AE118" s="48">
        <f>(T118-S118)/S118</f>
        <v>4.329004329004329E-3</v>
      </c>
      <c r="AF118" s="48" t="e">
        <f>(#REF!-#REF!)/#REF!</f>
        <v>#REF!</v>
      </c>
    </row>
    <row r="119" spans="1:32" x14ac:dyDescent="0.3">
      <c r="A119" s="48">
        <v>20180625</v>
      </c>
      <c r="B119" s="48" t="s">
        <v>88</v>
      </c>
      <c r="C119" s="79">
        <v>0.3</v>
      </c>
      <c r="D119" s="79">
        <f t="shared" si="13"/>
        <v>0.22435483505509213</v>
      </c>
      <c r="E119" s="49">
        <v>47250</v>
      </c>
      <c r="F119" s="49">
        <v>46650</v>
      </c>
      <c r="G119" s="49">
        <v>6419324700</v>
      </c>
      <c r="H119" s="49">
        <f t="shared" si="14"/>
        <v>0.30115081958914802</v>
      </c>
      <c r="I119" s="49">
        <f t="shared" si="20"/>
        <v>0.30115081958914802</v>
      </c>
      <c r="J119" s="48">
        <v>0.3</v>
      </c>
      <c r="K119" s="48">
        <f t="shared" si="15"/>
        <v>0.32139545369315869</v>
      </c>
      <c r="L119" s="48">
        <v>295500</v>
      </c>
      <c r="M119" s="48">
        <v>296000</v>
      </c>
      <c r="N119" s="51">
        <v>125395903</v>
      </c>
      <c r="O119" s="48">
        <f t="shared" si="16"/>
        <v>3.48060130385239</v>
      </c>
      <c r="P119" s="48">
        <f t="shared" si="21"/>
        <v>3.48060130385239</v>
      </c>
      <c r="Q119" s="49">
        <v>0.4</v>
      </c>
      <c r="R119" s="49">
        <f t="shared" si="17"/>
        <v>0.45424971125174912</v>
      </c>
      <c r="S119" s="49">
        <v>232000</v>
      </c>
      <c r="T119" s="49">
        <v>230900</v>
      </c>
      <c r="U119" s="49">
        <v>15956260</v>
      </c>
      <c r="V119" s="49">
        <f t="shared" si="18"/>
        <v>49.559764082832103</v>
      </c>
      <c r="W119" s="49">
        <f t="shared" si="22"/>
        <v>49.559764082832103</v>
      </c>
      <c r="X119" s="82">
        <f>IF(Z118&lt;&gt;(E119*G119*H119+L119*N119*O119+S119*U119*V119),1,0)</f>
        <v>0</v>
      </c>
      <c r="Y119" s="82">
        <f>IF(AND(X119=0,B119="N"),Y118,Y118*(E119*G119*I119+L119*N119*P119+S119*U119*W119)/Z118)</f>
        <v>328770311077329.94</v>
      </c>
      <c r="Z119" s="81">
        <f t="shared" si="23"/>
        <v>401966266122998.75</v>
      </c>
      <c r="AA119" s="80">
        <f t="shared" si="12"/>
        <v>1222.6355378799774</v>
      </c>
      <c r="AB119" s="52">
        <f t="shared" si="19"/>
        <v>-4.486506228077349E-3</v>
      </c>
      <c r="AC119" s="48">
        <f>(F119-E119)/E119</f>
        <v>-1.2698412698412698E-2</v>
      </c>
      <c r="AD119" s="48">
        <f>(M119-L119)/L119</f>
        <v>1.6920473773265651E-3</v>
      </c>
      <c r="AE119" s="48">
        <f>(T119-S119)/S119</f>
        <v>-4.7413793103448275E-3</v>
      </c>
      <c r="AF119" s="48" t="e">
        <f>(#REF!-#REF!)/#REF!</f>
        <v>#REF!</v>
      </c>
    </row>
    <row r="120" spans="1:32" x14ac:dyDescent="0.3">
      <c r="A120" s="48">
        <v>20180626</v>
      </c>
      <c r="B120" s="48" t="s">
        <v>88</v>
      </c>
      <c r="C120" s="79">
        <v>0.3</v>
      </c>
      <c r="D120" s="79">
        <f t="shared" si="13"/>
        <v>0.22759841999521627</v>
      </c>
      <c r="E120" s="49">
        <v>46650</v>
      </c>
      <c r="F120" s="49">
        <v>47000</v>
      </c>
      <c r="G120" s="49">
        <v>6419324700</v>
      </c>
      <c r="H120" s="49">
        <f t="shared" si="14"/>
        <v>0.30115081958914802</v>
      </c>
      <c r="I120" s="49">
        <f t="shared" si="20"/>
        <v>0.30115081958914802</v>
      </c>
      <c r="J120" s="48">
        <v>0.3</v>
      </c>
      <c r="K120" s="48">
        <f t="shared" si="15"/>
        <v>0.3290804732858667</v>
      </c>
      <c r="L120" s="48">
        <v>296000</v>
      </c>
      <c r="M120" s="48">
        <v>301000</v>
      </c>
      <c r="N120" s="51">
        <v>125395903</v>
      </c>
      <c r="O120" s="48">
        <f t="shared" si="16"/>
        <v>3.48060130385239</v>
      </c>
      <c r="P120" s="48">
        <f t="shared" si="21"/>
        <v>3.48060130385239</v>
      </c>
      <c r="Q120" s="49">
        <v>0.4</v>
      </c>
      <c r="R120" s="49">
        <f t="shared" si="17"/>
        <v>0.44332110671891706</v>
      </c>
      <c r="S120" s="49">
        <v>230900</v>
      </c>
      <c r="T120" s="49">
        <v>223800</v>
      </c>
      <c r="U120" s="49">
        <v>15956260</v>
      </c>
      <c r="V120" s="49">
        <f t="shared" si="18"/>
        <v>49.559764082832103</v>
      </c>
      <c r="W120" s="49">
        <f t="shared" si="22"/>
        <v>49.559764082832103</v>
      </c>
      <c r="X120" s="82">
        <f>IF(Z119&lt;&gt;(E120*G120*H120+L120*N120*O120+S120*U120*V120),1,0)</f>
        <v>0</v>
      </c>
      <c r="Y120" s="82">
        <f>IF(AND(X120=0,B120="N"),Y119,Y119*(E120*G120*I120+L120*N120*P120+S120*U120*W120)/Z119)</f>
        <v>328770311077329.94</v>
      </c>
      <c r="Z120" s="81">
        <f t="shared" si="23"/>
        <v>399210548336676.56</v>
      </c>
      <c r="AA120" s="80">
        <f t="shared" si="12"/>
        <v>1214.253644219044</v>
      </c>
      <c r="AB120" s="52">
        <f t="shared" si="19"/>
        <v>-6.8555946569878413E-3</v>
      </c>
      <c r="AC120" s="48">
        <f>(F120-E120)/E120</f>
        <v>7.502679528403001E-3</v>
      </c>
      <c r="AD120" s="48">
        <f>(M120-L120)/L120</f>
        <v>1.6891891891891893E-2</v>
      </c>
      <c r="AE120" s="48">
        <f>(T120-S120)/S120</f>
        <v>-3.0749242096145518E-2</v>
      </c>
      <c r="AF120" s="48" t="e">
        <f>(#REF!-#REF!)/#REF!</f>
        <v>#REF!</v>
      </c>
    </row>
    <row r="121" spans="1:32" x14ac:dyDescent="0.3">
      <c r="A121" s="48">
        <v>20180627</v>
      </c>
      <c r="B121" s="48" t="s">
        <v>88</v>
      </c>
      <c r="C121" s="79">
        <v>0.3</v>
      </c>
      <c r="D121" s="79">
        <f t="shared" si="13"/>
        <v>0.22939319928311097</v>
      </c>
      <c r="E121" s="49">
        <v>47000</v>
      </c>
      <c r="F121" s="49">
        <v>47950</v>
      </c>
      <c r="G121" s="49">
        <v>6419324700</v>
      </c>
      <c r="H121" s="49">
        <f t="shared" si="14"/>
        <v>0.30115081958914802</v>
      </c>
      <c r="I121" s="49">
        <f t="shared" si="20"/>
        <v>0.30115081958914802</v>
      </c>
      <c r="J121" s="48">
        <v>0.3</v>
      </c>
      <c r="K121" s="48">
        <f t="shared" si="15"/>
        <v>0.32618433680985998</v>
      </c>
      <c r="L121" s="48">
        <v>301000</v>
      </c>
      <c r="M121" s="48">
        <v>302000</v>
      </c>
      <c r="N121" s="51">
        <v>125395903</v>
      </c>
      <c r="O121" s="48">
        <f t="shared" si="16"/>
        <v>3.48060130385239</v>
      </c>
      <c r="P121" s="48">
        <f t="shared" si="21"/>
        <v>3.48060130385239</v>
      </c>
      <c r="Q121" s="49">
        <v>0.4</v>
      </c>
      <c r="R121" s="49">
        <f t="shared" si="17"/>
        <v>0.44442246390702894</v>
      </c>
      <c r="S121" s="49">
        <v>223800</v>
      </c>
      <c r="T121" s="49">
        <v>227100</v>
      </c>
      <c r="U121" s="49">
        <v>15956260</v>
      </c>
      <c r="V121" s="49">
        <f t="shared" si="18"/>
        <v>49.559764082832103</v>
      </c>
      <c r="W121" s="49">
        <f t="shared" si="22"/>
        <v>49.559764082832103</v>
      </c>
      <c r="X121" s="82">
        <f>IF(Z120&lt;&gt;(E121*G121*H121+L121*N121*O121+S121*U121*V121),1,0)</f>
        <v>0</v>
      </c>
      <c r="Y121" s="82">
        <f>IF(AND(X121=0,B121="N"),Y120,Y120*(E121*G121*I121+L121*N121*P121+S121*U121*W121)/Z120)</f>
        <v>328770311077329.94</v>
      </c>
      <c r="Z121" s="81">
        <f t="shared" si="23"/>
        <v>404093129118145.62</v>
      </c>
      <c r="AA121" s="80">
        <f t="shared" si="12"/>
        <v>1229.1046834307951</v>
      </c>
      <c r="AB121" s="52">
        <f t="shared" si="19"/>
        <v>1.223059060391187E-2</v>
      </c>
      <c r="AC121" s="48">
        <f>(F121-E121)/E121</f>
        <v>2.021276595744681E-2</v>
      </c>
      <c r="AD121" s="48">
        <f>(M121-L121)/L121</f>
        <v>3.3222591362126247E-3</v>
      </c>
      <c r="AE121" s="48">
        <f>(T121-S121)/S121</f>
        <v>1.4745308310991957E-2</v>
      </c>
      <c r="AF121" s="48" t="e">
        <f>(#REF!-#REF!)/#REF!</f>
        <v>#REF!</v>
      </c>
    </row>
    <row r="122" spans="1:32" x14ac:dyDescent="0.3">
      <c r="A122" s="48">
        <v>20180628</v>
      </c>
      <c r="B122" s="48" t="s">
        <v>88</v>
      </c>
      <c r="C122" s="79">
        <v>0.3</v>
      </c>
      <c r="D122" s="79">
        <f t="shared" si="13"/>
        <v>0.22588923183514667</v>
      </c>
      <c r="E122" s="49">
        <v>47950</v>
      </c>
      <c r="F122" s="49">
        <v>46800</v>
      </c>
      <c r="G122" s="49">
        <v>6419324700</v>
      </c>
      <c r="H122" s="49">
        <f t="shared" si="14"/>
        <v>0.30115081958914802</v>
      </c>
      <c r="I122" s="49">
        <f t="shared" si="20"/>
        <v>0.30115081958914802</v>
      </c>
      <c r="J122" s="48">
        <v>0.3</v>
      </c>
      <c r="K122" s="48">
        <f t="shared" si="15"/>
        <v>0.32473580217421072</v>
      </c>
      <c r="L122" s="48">
        <v>302000</v>
      </c>
      <c r="M122" s="48">
        <v>298000</v>
      </c>
      <c r="N122" s="51">
        <v>125395903</v>
      </c>
      <c r="O122" s="48">
        <f t="shared" si="16"/>
        <v>3.48060130385239</v>
      </c>
      <c r="P122" s="48">
        <f t="shared" si="21"/>
        <v>3.48060130385239</v>
      </c>
      <c r="Q122" s="49">
        <v>0.4</v>
      </c>
      <c r="R122" s="49">
        <f t="shared" si="17"/>
        <v>0.44937496599064253</v>
      </c>
      <c r="S122" s="49">
        <v>227100</v>
      </c>
      <c r="T122" s="49">
        <v>227600</v>
      </c>
      <c r="U122" s="49">
        <v>15956260</v>
      </c>
      <c r="V122" s="49">
        <f t="shared" si="18"/>
        <v>49.559764082832103</v>
      </c>
      <c r="W122" s="49">
        <f t="shared" si="22"/>
        <v>49.559764082832103</v>
      </c>
      <c r="X122" s="82">
        <f>IF(Z121&lt;&gt;(E122*G122*H122+L122*N122*O122+S122*U122*V122),1,0)</f>
        <v>0</v>
      </c>
      <c r="Y122" s="82">
        <f>IF(AND(X122=0,B122="N"),Y121,Y121*(E122*G122*I122+L122*N122*P122+S122*U122*W122)/Z121)</f>
        <v>328770311077329.94</v>
      </c>
      <c r="Z122" s="81">
        <f t="shared" si="23"/>
        <v>400519548156043.62</v>
      </c>
      <c r="AA122" s="80">
        <f t="shared" si="12"/>
        <v>1218.2351467308663</v>
      </c>
      <c r="AB122" s="52">
        <f t="shared" si="19"/>
        <v>-8.8434588578645418E-3</v>
      </c>
      <c r="AC122" s="48">
        <f>(F122-E122)/E122</f>
        <v>-2.3983315954118872E-2</v>
      </c>
      <c r="AD122" s="48">
        <f>(M122-L122)/L122</f>
        <v>-1.3245033112582781E-2</v>
      </c>
      <c r="AE122" s="48">
        <f>(T122-S122)/S122</f>
        <v>2.2016732716864818E-3</v>
      </c>
      <c r="AF122" s="48" t="e">
        <f>(#REF!-#REF!)/#REF!</f>
        <v>#REF!</v>
      </c>
    </row>
    <row r="123" spans="1:32" x14ac:dyDescent="0.3">
      <c r="A123" s="48">
        <v>20180629</v>
      </c>
      <c r="B123" s="48" t="s">
        <v>88</v>
      </c>
      <c r="C123" s="79">
        <v>0.3</v>
      </c>
      <c r="D123" s="79">
        <f t="shared" si="13"/>
        <v>0.2205200403408249</v>
      </c>
      <c r="E123" s="49">
        <v>46800</v>
      </c>
      <c r="F123" s="49">
        <v>46650</v>
      </c>
      <c r="G123" s="49">
        <v>6419324700</v>
      </c>
      <c r="H123" s="49">
        <f t="shared" si="14"/>
        <v>0.30115081958914802</v>
      </c>
      <c r="I123" s="49">
        <f t="shared" si="20"/>
        <v>0.30115081958914802</v>
      </c>
      <c r="J123" s="48">
        <v>0.3</v>
      </c>
      <c r="K123" s="48">
        <f t="shared" si="15"/>
        <v>0.32390626135582523</v>
      </c>
      <c r="L123" s="48">
        <v>298000</v>
      </c>
      <c r="M123" s="48">
        <v>303500</v>
      </c>
      <c r="N123" s="51">
        <v>125395903</v>
      </c>
      <c r="O123" s="48">
        <f t="shared" si="16"/>
        <v>3.48060130385239</v>
      </c>
      <c r="P123" s="48">
        <f t="shared" si="21"/>
        <v>3.48060130385239</v>
      </c>
      <c r="Q123" s="49">
        <v>0.4</v>
      </c>
      <c r="R123" s="49">
        <f t="shared" si="17"/>
        <v>0.45557369830334971</v>
      </c>
      <c r="S123" s="49">
        <v>227600</v>
      </c>
      <c r="T123" s="49">
        <v>235600</v>
      </c>
      <c r="U123" s="49">
        <v>15956260</v>
      </c>
      <c r="V123" s="49">
        <f t="shared" si="18"/>
        <v>49.559764082832103</v>
      </c>
      <c r="W123" s="49">
        <f t="shared" si="22"/>
        <v>49.559764082832103</v>
      </c>
      <c r="X123" s="82">
        <f>IF(Z122&lt;&gt;(E123*G123*H123+L123*N123*O123+S123*U123*V123),1,0)</f>
        <v>0</v>
      </c>
      <c r="Y123" s="82">
        <f>IF(AND(X123=0,B123="N"),Y122,Y122*(E123*G123*I123+L123*N123*P123+S123*U123*W123)/Z122)</f>
        <v>328770311077329.94</v>
      </c>
      <c r="Z123" s="81">
        <f t="shared" si="23"/>
        <v>408956370560943.75</v>
      </c>
      <c r="AA123" s="80">
        <f t="shared" si="12"/>
        <v>1243.8968993911171</v>
      </c>
      <c r="AB123" s="52">
        <f t="shared" si="19"/>
        <v>2.1064695702725494E-2</v>
      </c>
      <c r="AC123" s="48">
        <f>(F123-E123)/E123</f>
        <v>-3.205128205128205E-3</v>
      </c>
      <c r="AD123" s="48">
        <f>(M123-L123)/L123</f>
        <v>1.8456375838926176E-2</v>
      </c>
      <c r="AE123" s="48">
        <f>(T123-S123)/S123</f>
        <v>3.5149384885764502E-2</v>
      </c>
      <c r="AF123" s="48" t="e">
        <f>(#REF!-#REF!)/#REF!</f>
        <v>#REF!</v>
      </c>
    </row>
    <row r="124" spans="1:32" s="124" customFormat="1" x14ac:dyDescent="0.3">
      <c r="A124" s="116">
        <v>20180702</v>
      </c>
      <c r="B124" s="116" t="s">
        <v>89</v>
      </c>
      <c r="C124" s="117">
        <v>0.2</v>
      </c>
      <c r="D124" s="117">
        <f t="shared" si="13"/>
        <v>0.2012295980908691</v>
      </c>
      <c r="E124" s="116">
        <v>46650</v>
      </c>
      <c r="F124" s="116">
        <v>45550</v>
      </c>
      <c r="G124" s="116">
        <v>6419324700</v>
      </c>
      <c r="H124" s="116">
        <f t="shared" si="14"/>
        <v>0.30115081958914802</v>
      </c>
      <c r="I124" s="118">
        <f t="shared" si="20"/>
        <v>0.227928098803895</v>
      </c>
      <c r="J124" s="118">
        <v>0.3</v>
      </c>
      <c r="K124" s="118">
        <f t="shared" si="15"/>
        <v>0.30913372396067074</v>
      </c>
      <c r="L124" s="116">
        <v>303500</v>
      </c>
      <c r="M124" s="116">
        <v>303500</v>
      </c>
      <c r="N124" s="119">
        <v>125395903</v>
      </c>
      <c r="O124" s="116">
        <f t="shared" si="16"/>
        <v>3.48060130385239</v>
      </c>
      <c r="P124" s="118">
        <f t="shared" si="21"/>
        <v>2.6902217281479599</v>
      </c>
      <c r="Q124" s="118">
        <v>0.5</v>
      </c>
      <c r="R124" s="118">
        <f t="shared" si="17"/>
        <v>0.48963667794846005</v>
      </c>
      <c r="S124" s="116">
        <v>235600</v>
      </c>
      <c r="T124" s="116">
        <v>223900</v>
      </c>
      <c r="U124" s="116">
        <v>15956260</v>
      </c>
      <c r="V124" s="116">
        <f t="shared" si="18"/>
        <v>49.559764082832103</v>
      </c>
      <c r="W124" s="118">
        <f t="shared" si="22"/>
        <v>45.391285034054299</v>
      </c>
      <c r="X124" s="120">
        <f>IF(Z123&lt;&gt;(E124*G124*H124+L124*N124*O124+S124*U124*V124),1,0)</f>
        <v>0</v>
      </c>
      <c r="Y124" s="120">
        <f>IF(AND(X124=0,B124="N"),Y123,Y123*(E124*G124*I124+L124*N124*P124+S124*U124*W124)/Z123)</f>
        <v>274362327648340.06</v>
      </c>
      <c r="Z124" s="121">
        <f t="shared" si="23"/>
        <v>331194970544448</v>
      </c>
      <c r="AA124" s="122">
        <f t="shared" si="12"/>
        <v>1207.1444843876393</v>
      </c>
      <c r="AB124" s="123">
        <f t="shared" si="19"/>
        <v>-2.9546190702354837E-2</v>
      </c>
      <c r="AC124" s="116">
        <f>(F124-E124)/E124</f>
        <v>-2.3579849946409433E-2</v>
      </c>
      <c r="AD124" s="116">
        <f>(M124-L124)/L124</f>
        <v>0</v>
      </c>
      <c r="AE124" s="116">
        <f>(T124-S124)/S124</f>
        <v>-4.9660441426146007E-2</v>
      </c>
      <c r="AF124" s="116" t="e">
        <f>(#REF!-#REF!)/#REF!</f>
        <v>#REF!</v>
      </c>
    </row>
    <row r="125" spans="1:32" s="73" customFormat="1" x14ac:dyDescent="0.3">
      <c r="A125" s="48">
        <v>20180703</v>
      </c>
      <c r="B125" s="48" t="s">
        <v>88</v>
      </c>
      <c r="C125" s="79">
        <v>0.2</v>
      </c>
      <c r="D125" s="79">
        <f t="shared" si="13"/>
        <v>0.20429163221956675</v>
      </c>
      <c r="E125" s="49">
        <v>45550</v>
      </c>
      <c r="F125" s="49">
        <v>46150</v>
      </c>
      <c r="G125" s="49">
        <v>6419324700</v>
      </c>
      <c r="H125" s="49">
        <f t="shared" si="14"/>
        <v>0.227928098803895</v>
      </c>
      <c r="I125" s="49">
        <f t="shared" si="20"/>
        <v>0.227928098803895</v>
      </c>
      <c r="J125" s="48">
        <v>0.3</v>
      </c>
      <c r="K125" s="48">
        <f t="shared" si="15"/>
        <v>0.30924715518395485</v>
      </c>
      <c r="L125" s="48">
        <v>303500</v>
      </c>
      <c r="M125" s="48">
        <v>303000</v>
      </c>
      <c r="N125" s="51">
        <v>125395903</v>
      </c>
      <c r="O125" s="48">
        <f t="shared" si="16"/>
        <v>2.6902217281479599</v>
      </c>
      <c r="P125" s="48">
        <f t="shared" si="21"/>
        <v>2.6902217281479599</v>
      </c>
      <c r="Q125" s="49">
        <v>0.5</v>
      </c>
      <c r="R125" s="49">
        <f t="shared" si="17"/>
        <v>0.4864612125964784</v>
      </c>
      <c r="S125" s="49">
        <v>223900</v>
      </c>
      <c r="T125" s="49">
        <v>222000</v>
      </c>
      <c r="U125" s="49">
        <v>15956260</v>
      </c>
      <c r="V125" s="49">
        <f t="shared" si="18"/>
        <v>45.391285034054299</v>
      </c>
      <c r="W125" s="49">
        <f t="shared" si="22"/>
        <v>45.391285034054299</v>
      </c>
      <c r="X125" s="82">
        <f>IF(Z124&lt;&gt;(E125*G125*H125+L125*N125*O125+S125*U125*V125),1,0)</f>
        <v>0</v>
      </c>
      <c r="Y125" s="82">
        <f>IF(AND(X125=0,B125="N"),Y124,Y124*(E125*G125*I125+L125*N125*P125+S125*U125*W125)/Z124)</f>
        <v>274362327648340.06</v>
      </c>
      <c r="Z125" s="81">
        <f t="shared" si="23"/>
        <v>330528063060796.62</v>
      </c>
      <c r="AA125" s="80">
        <f t="shared" si="12"/>
        <v>1204.7137298107712</v>
      </c>
      <c r="AB125" s="52">
        <f t="shared" si="19"/>
        <v>-2.0136401303289006E-3</v>
      </c>
      <c r="AC125" s="48">
        <f>(F125-E125)/E125</f>
        <v>1.3172338090010977E-2</v>
      </c>
      <c r="AD125" s="48">
        <f>(M125-L125)/L125</f>
        <v>-1.6474464579901153E-3</v>
      </c>
      <c r="AE125" s="48">
        <f>(T125-S125)/S125</f>
        <v>-8.4859312192943279E-3</v>
      </c>
      <c r="AF125" s="48" t="e">
        <f>(#REF!-#REF!)/#REF!</f>
        <v>#REF!</v>
      </c>
    </row>
    <row r="126" spans="1:32" x14ac:dyDescent="0.3">
      <c r="A126" s="48">
        <v>20180704</v>
      </c>
      <c r="B126" s="48" t="s">
        <v>88</v>
      </c>
      <c r="C126" s="79">
        <v>0.2</v>
      </c>
      <c r="D126" s="79">
        <f t="shared" si="13"/>
        <v>0.21009975890884738</v>
      </c>
      <c r="E126" s="49">
        <v>46150</v>
      </c>
      <c r="F126" s="49">
        <v>46250</v>
      </c>
      <c r="G126" s="49">
        <v>6419324700</v>
      </c>
      <c r="H126" s="49">
        <f t="shared" si="14"/>
        <v>0.227928098803895</v>
      </c>
      <c r="I126" s="49">
        <f t="shared" si="20"/>
        <v>0.227928098803895</v>
      </c>
      <c r="J126" s="48">
        <v>0.3</v>
      </c>
      <c r="K126" s="48">
        <f t="shared" si="15"/>
        <v>0.30530687767341225</v>
      </c>
      <c r="L126" s="48">
        <v>303000</v>
      </c>
      <c r="M126" s="48">
        <v>291500</v>
      </c>
      <c r="N126" s="51">
        <v>125395903</v>
      </c>
      <c r="O126" s="48">
        <f t="shared" si="16"/>
        <v>2.6902217281479599</v>
      </c>
      <c r="P126" s="48">
        <f t="shared" si="21"/>
        <v>2.6902217281479599</v>
      </c>
      <c r="Q126" s="49">
        <v>0.5</v>
      </c>
      <c r="R126" s="49">
        <f t="shared" si="17"/>
        <v>0.4845933634177404</v>
      </c>
      <c r="S126" s="49">
        <v>222000</v>
      </c>
      <c r="T126" s="49">
        <v>215500</v>
      </c>
      <c r="U126" s="49">
        <v>15956260</v>
      </c>
      <c r="V126" s="49">
        <f t="shared" si="18"/>
        <v>45.391285034054299</v>
      </c>
      <c r="W126" s="49">
        <f t="shared" si="22"/>
        <v>45.391285034054299</v>
      </c>
      <c r="X126" s="82">
        <f>IF(Z125&lt;&gt;(E126*G126*H126+L126*N126*O126+S126*U126*V126),1,0)</f>
        <v>0</v>
      </c>
      <c r="Y126" s="82">
        <f>IF(AND(X126=0,B126="N"),Y125,Y125*(E126*G126*I126+L126*N126*P126+S126*U126*W126)/Z125)</f>
        <v>274362327648340.06</v>
      </c>
      <c r="Z126" s="81">
        <f t="shared" si="23"/>
        <v>322087147057930.25</v>
      </c>
      <c r="AA126" s="80">
        <f t="shared" si="12"/>
        <v>1173.9481503115135</v>
      </c>
      <c r="AB126" s="52">
        <f t="shared" si="19"/>
        <v>-2.5537668192832954E-2</v>
      </c>
      <c r="AC126" s="48">
        <f>(F126-E126)/E126</f>
        <v>2.1668472372697724E-3</v>
      </c>
      <c r="AD126" s="48">
        <f>(M126-L126)/L126</f>
        <v>-3.7953795379537955E-2</v>
      </c>
      <c r="AE126" s="48">
        <f>(T126-S126)/S126</f>
        <v>-2.9279279279279279E-2</v>
      </c>
      <c r="AF126" s="48" t="e">
        <f>(#REF!-#REF!)/#REF!</f>
        <v>#REF!</v>
      </c>
    </row>
    <row r="127" spans="1:32" x14ac:dyDescent="0.3">
      <c r="A127" s="48">
        <v>20180705</v>
      </c>
      <c r="B127" s="48" t="s">
        <v>88</v>
      </c>
      <c r="C127" s="79">
        <v>0.2</v>
      </c>
      <c r="D127" s="79">
        <f t="shared" si="13"/>
        <v>0.21419452827874183</v>
      </c>
      <c r="E127" s="49">
        <v>46250</v>
      </c>
      <c r="F127" s="49">
        <v>45950</v>
      </c>
      <c r="G127" s="49">
        <v>6419324700</v>
      </c>
      <c r="H127" s="49">
        <f t="shared" si="14"/>
        <v>0.227928098803895</v>
      </c>
      <c r="I127" s="49">
        <f t="shared" si="20"/>
        <v>0.227928098803895</v>
      </c>
      <c r="J127" s="48">
        <v>0.3</v>
      </c>
      <c r="K127" s="48">
        <f t="shared" si="15"/>
        <v>0.30307923100985379</v>
      </c>
      <c r="L127" s="48">
        <v>291500</v>
      </c>
      <c r="M127" s="48">
        <v>282000</v>
      </c>
      <c r="N127" s="51">
        <v>125395903</v>
      </c>
      <c r="O127" s="48">
        <f t="shared" si="16"/>
        <v>2.6902217281479599</v>
      </c>
      <c r="P127" s="48">
        <f t="shared" si="21"/>
        <v>2.6902217281479599</v>
      </c>
      <c r="Q127" s="49">
        <v>0.5</v>
      </c>
      <c r="R127" s="49">
        <f t="shared" si="17"/>
        <v>0.4827262407114043</v>
      </c>
      <c r="S127" s="49">
        <v>215500</v>
      </c>
      <c r="T127" s="49">
        <v>209200</v>
      </c>
      <c r="U127" s="49">
        <v>15956260</v>
      </c>
      <c r="V127" s="49">
        <f t="shared" si="18"/>
        <v>45.391285034054299</v>
      </c>
      <c r="W127" s="49">
        <f t="shared" si="22"/>
        <v>45.391285034054299</v>
      </c>
      <c r="X127" s="82">
        <f>IF(Z126&lt;&gt;(E127*G127*H127+L127*N127*O127+S127*U127*V127),1,0)</f>
        <v>0</v>
      </c>
      <c r="Y127" s="82">
        <f>IF(AND(X127=0,B127="N"),Y126,Y126*(E127*G127*I127+L127*N127*P127+S127*U127*W127)/Z126)</f>
        <v>274362327648340.06</v>
      </c>
      <c r="Z127" s="81">
        <f t="shared" si="23"/>
        <v>313880513860163.69</v>
      </c>
      <c r="AA127" s="80">
        <f t="shared" si="12"/>
        <v>1144.0364883566504</v>
      </c>
      <c r="AB127" s="52">
        <f t="shared" si="19"/>
        <v>-2.54795426415774E-2</v>
      </c>
      <c r="AC127" s="48">
        <f>(F127-E127)/E127</f>
        <v>-6.4864864864864862E-3</v>
      </c>
      <c r="AD127" s="48">
        <f>(M127-L127)/L127</f>
        <v>-3.2590051457975985E-2</v>
      </c>
      <c r="AE127" s="48">
        <f>(T127-S127)/S127</f>
        <v>-2.923433874709977E-2</v>
      </c>
      <c r="AF127" s="48" t="e">
        <f>(#REF!-#REF!)/#REF!</f>
        <v>#REF!</v>
      </c>
    </row>
    <row r="128" spans="1:32" x14ac:dyDescent="0.3">
      <c r="A128" s="48">
        <v>20180706</v>
      </c>
      <c r="B128" s="48" t="s">
        <v>88</v>
      </c>
      <c r="C128" s="79">
        <v>0.2</v>
      </c>
      <c r="D128" s="79">
        <f t="shared" si="13"/>
        <v>0.20491576715976725</v>
      </c>
      <c r="E128" s="49">
        <v>45950</v>
      </c>
      <c r="F128" s="49">
        <v>44900</v>
      </c>
      <c r="G128" s="49">
        <v>6419324700</v>
      </c>
      <c r="H128" s="49">
        <f t="shared" si="14"/>
        <v>0.227928098803895</v>
      </c>
      <c r="I128" s="49">
        <f t="shared" si="20"/>
        <v>0.227928098803895</v>
      </c>
      <c r="J128" s="48">
        <v>0.3</v>
      </c>
      <c r="K128" s="48">
        <f t="shared" si="15"/>
        <v>0.30462238572466438</v>
      </c>
      <c r="L128" s="48">
        <v>282000</v>
      </c>
      <c r="M128" s="48">
        <v>289500</v>
      </c>
      <c r="N128" s="51">
        <v>125395903</v>
      </c>
      <c r="O128" s="48">
        <f t="shared" si="16"/>
        <v>2.6902217281479599</v>
      </c>
      <c r="P128" s="48">
        <f t="shared" si="21"/>
        <v>2.6902217281479599</v>
      </c>
      <c r="Q128" s="49">
        <v>0.5</v>
      </c>
      <c r="R128" s="49">
        <f t="shared" si="17"/>
        <v>0.49046184711556823</v>
      </c>
      <c r="S128" s="49">
        <v>209200</v>
      </c>
      <c r="T128" s="49">
        <v>217100</v>
      </c>
      <c r="U128" s="49">
        <v>15956260</v>
      </c>
      <c r="V128" s="49">
        <f t="shared" si="18"/>
        <v>45.391285034054299</v>
      </c>
      <c r="W128" s="49">
        <f t="shared" si="22"/>
        <v>45.391285034054299</v>
      </c>
      <c r="X128" s="82">
        <f>IF(Z127&lt;&gt;(E128*G128*H128+L128*N128*O128+S128*U128*V128),1,0)</f>
        <v>0</v>
      </c>
      <c r="Y128" s="82">
        <f>IF(AND(X128=0,B128="N"),Y127,Y127*(E128*G128*I128+L128*N128*P128+S128*U128*W128)/Z127)</f>
        <v>274362327648340.06</v>
      </c>
      <c r="Z128" s="81">
        <f t="shared" si="23"/>
        <v>320596056684825.12</v>
      </c>
      <c r="AA128" s="80">
        <f t="shared" si="12"/>
        <v>1168.5134013578734</v>
      </c>
      <c r="AB128" s="52">
        <f t="shared" si="19"/>
        <v>2.139522056362279E-2</v>
      </c>
      <c r="AC128" s="48">
        <f>(F128-E128)/E128</f>
        <v>-2.2850924918389554E-2</v>
      </c>
      <c r="AD128" s="48">
        <f>(M128-L128)/L128</f>
        <v>2.6595744680851064E-2</v>
      </c>
      <c r="AE128" s="48">
        <f>(T128-S128)/S128</f>
        <v>3.7762906309751432E-2</v>
      </c>
      <c r="AF128" s="48" t="e">
        <f>(#REF!-#REF!)/#REF!</f>
        <v>#REF!</v>
      </c>
    </row>
    <row r="129" spans="1:32" x14ac:dyDescent="0.3">
      <c r="A129" s="48">
        <v>20180709</v>
      </c>
      <c r="B129" s="48" t="s">
        <v>88</v>
      </c>
      <c r="C129" s="79">
        <v>0.2</v>
      </c>
      <c r="D129" s="79">
        <f t="shared" si="13"/>
        <v>0.20330958618333578</v>
      </c>
      <c r="E129" s="49">
        <v>44900</v>
      </c>
      <c r="F129" s="49">
        <v>45600</v>
      </c>
      <c r="G129" s="49">
        <v>6419324700</v>
      </c>
      <c r="H129" s="49">
        <f t="shared" si="14"/>
        <v>0.227928098803895</v>
      </c>
      <c r="I129" s="49">
        <f t="shared" si="20"/>
        <v>0.227928098803895</v>
      </c>
      <c r="J129" s="48">
        <v>0.3</v>
      </c>
      <c r="K129" s="48">
        <f t="shared" si="15"/>
        <v>0.29194131877097673</v>
      </c>
      <c r="L129" s="48">
        <v>289500</v>
      </c>
      <c r="M129" s="48">
        <v>284000</v>
      </c>
      <c r="N129" s="51">
        <v>125395903</v>
      </c>
      <c r="O129" s="48">
        <f t="shared" si="16"/>
        <v>2.6902217281479599</v>
      </c>
      <c r="P129" s="48">
        <f t="shared" si="21"/>
        <v>2.6902217281479599</v>
      </c>
      <c r="Q129" s="49">
        <v>0.5</v>
      </c>
      <c r="R129" s="49">
        <f t="shared" si="17"/>
        <v>0.50474909504568755</v>
      </c>
      <c r="S129" s="49">
        <v>217100</v>
      </c>
      <c r="T129" s="49">
        <v>228700</v>
      </c>
      <c r="U129" s="49">
        <v>15956260</v>
      </c>
      <c r="V129" s="49">
        <f t="shared" si="18"/>
        <v>45.391285034054299</v>
      </c>
      <c r="W129" s="49">
        <f t="shared" si="22"/>
        <v>45.391285034054299</v>
      </c>
      <c r="X129" s="82">
        <f>IF(Z128&lt;&gt;(E129*G129*H129+L129*N129*O129+S129*U129*V129),1,0)</f>
        <v>0</v>
      </c>
      <c r="Y129" s="82">
        <f>IF(AND(X129=0,B129="N"),Y128,Y128*(E129*G129*I129+L129*N129*P129+S129*U129*W129)/Z128)</f>
        <v>274362327648340.06</v>
      </c>
      <c r="Z129" s="81">
        <f t="shared" si="23"/>
        <v>328166464201720.62</v>
      </c>
      <c r="AA129" s="80">
        <f t="shared" si="12"/>
        <v>1196.1061382390051</v>
      </c>
      <c r="AB129" s="52">
        <f t="shared" si="19"/>
        <v>2.3613539090837569E-2</v>
      </c>
      <c r="AC129" s="48">
        <f>(F129-E129)/E129</f>
        <v>1.5590200445434299E-2</v>
      </c>
      <c r="AD129" s="48">
        <f>(M129-L129)/L129</f>
        <v>-1.8998272884283247E-2</v>
      </c>
      <c r="AE129" s="48">
        <f>(T129-S129)/S129</f>
        <v>5.3431598341777985E-2</v>
      </c>
      <c r="AF129" s="48" t="e">
        <f>(#REF!-#REF!)/#REF!</f>
        <v>#REF!</v>
      </c>
    </row>
    <row r="130" spans="1:32" x14ac:dyDescent="0.3">
      <c r="A130" s="48">
        <v>20180710</v>
      </c>
      <c r="B130" s="48" t="s">
        <v>88</v>
      </c>
      <c r="C130" s="79">
        <v>0.2</v>
      </c>
      <c r="D130" s="79">
        <f t="shared" si="13"/>
        <v>0.20538040005676719</v>
      </c>
      <c r="E130" s="49">
        <v>45600</v>
      </c>
      <c r="F130" s="49">
        <v>46300</v>
      </c>
      <c r="G130" s="49">
        <v>6419324700</v>
      </c>
      <c r="H130" s="49">
        <f t="shared" si="14"/>
        <v>0.227928098803895</v>
      </c>
      <c r="I130" s="49">
        <f t="shared" si="20"/>
        <v>0.227928098803895</v>
      </c>
      <c r="J130" s="48">
        <v>0.3</v>
      </c>
      <c r="K130" s="48">
        <f t="shared" si="15"/>
        <v>0.28738793783157673</v>
      </c>
      <c r="L130" s="48">
        <v>284000</v>
      </c>
      <c r="M130" s="48">
        <v>281000</v>
      </c>
      <c r="N130" s="51">
        <v>125395903</v>
      </c>
      <c r="O130" s="48">
        <f t="shared" si="16"/>
        <v>2.6902217281479599</v>
      </c>
      <c r="P130" s="48">
        <f t="shared" si="21"/>
        <v>2.6902217281479599</v>
      </c>
      <c r="Q130" s="49">
        <v>0.5</v>
      </c>
      <c r="R130" s="49">
        <f t="shared" si="17"/>
        <v>0.50723166211165605</v>
      </c>
      <c r="S130" s="49">
        <v>228700</v>
      </c>
      <c r="T130" s="49">
        <v>231000</v>
      </c>
      <c r="U130" s="49">
        <v>15956260</v>
      </c>
      <c r="V130" s="49">
        <f t="shared" si="18"/>
        <v>45.391285034054299</v>
      </c>
      <c r="W130" s="49">
        <f t="shared" si="22"/>
        <v>45.391285034054299</v>
      </c>
      <c r="X130" s="82">
        <f>IF(Z129&lt;&gt;(E130*G130*H130+L130*N130*O130+S130*U130*V130),1,0)</f>
        <v>0</v>
      </c>
      <c r="Y130" s="82">
        <f>IF(AND(X130=0,B130="N"),Y129,Y129*(E130*G130*I130+L130*N130*P130+S130*U130*W130)/Z129)</f>
        <v>274362327648340.06</v>
      </c>
      <c r="Z130" s="81">
        <f t="shared" si="23"/>
        <v>329844469820436</v>
      </c>
      <c r="AA130" s="80">
        <f t="shared" si="12"/>
        <v>1202.2221587331383</v>
      </c>
      <c r="AB130" s="52">
        <f t="shared" si="19"/>
        <v>5.1132757358286233E-3</v>
      </c>
      <c r="AC130" s="48">
        <f>(F130-E130)/E130</f>
        <v>1.5350877192982455E-2</v>
      </c>
      <c r="AD130" s="48">
        <f>(M130-L130)/L130</f>
        <v>-1.0563380281690141E-2</v>
      </c>
      <c r="AE130" s="48">
        <f>(T130-S130)/S130</f>
        <v>1.0056843025797988E-2</v>
      </c>
      <c r="AF130" s="48" t="e">
        <f>(#REF!-#REF!)/#REF!</f>
        <v>#REF!</v>
      </c>
    </row>
    <row r="131" spans="1:32" x14ac:dyDescent="0.3">
      <c r="A131" s="48">
        <v>20180711</v>
      </c>
      <c r="B131" s="48" t="s">
        <v>88</v>
      </c>
      <c r="C131" s="79">
        <v>0.2</v>
      </c>
      <c r="D131" s="79">
        <f t="shared" si="13"/>
        <v>0.20709734585839856</v>
      </c>
      <c r="E131" s="49">
        <v>46300</v>
      </c>
      <c r="F131" s="49">
        <v>46000</v>
      </c>
      <c r="G131" s="49">
        <v>6419324700</v>
      </c>
      <c r="H131" s="49">
        <f t="shared" si="14"/>
        <v>0.227928098803895</v>
      </c>
      <c r="I131" s="49">
        <f t="shared" si="20"/>
        <v>0.227928098803895</v>
      </c>
      <c r="J131" s="48">
        <v>0.3</v>
      </c>
      <c r="K131" s="48">
        <f t="shared" si="15"/>
        <v>0.28700935238779846</v>
      </c>
      <c r="L131" s="48">
        <v>281000</v>
      </c>
      <c r="M131" s="48">
        <v>276500</v>
      </c>
      <c r="N131" s="51">
        <v>125395903</v>
      </c>
      <c r="O131" s="48">
        <f t="shared" si="16"/>
        <v>2.6902217281479599</v>
      </c>
      <c r="P131" s="48">
        <f t="shared" si="21"/>
        <v>2.6902217281479599</v>
      </c>
      <c r="Q131" s="49">
        <v>0.5</v>
      </c>
      <c r="R131" s="49">
        <f t="shared" si="17"/>
        <v>0.50589330175380309</v>
      </c>
      <c r="S131" s="49">
        <v>231000</v>
      </c>
      <c r="T131" s="49">
        <v>227000</v>
      </c>
      <c r="U131" s="49">
        <v>15956260</v>
      </c>
      <c r="V131" s="49">
        <f t="shared" si="18"/>
        <v>45.391285034054299</v>
      </c>
      <c r="W131" s="49">
        <f t="shared" si="22"/>
        <v>45.391285034054299</v>
      </c>
      <c r="X131" s="82">
        <f>IF(Z130&lt;&gt;(E131*G131*H131+L131*N131*O131+S131*U131*V131),1,0)</f>
        <v>0</v>
      </c>
      <c r="Y131" s="82">
        <f>IF(AND(X131=0,B131="N"),Y130,Y130*(E131*G131*I131+L131*N131*P131+S131*U131*W131)/Z130)</f>
        <v>274362327648340.06</v>
      </c>
      <c r="Z131" s="81">
        <f t="shared" si="23"/>
        <v>324990383372222.25</v>
      </c>
      <c r="AA131" s="80">
        <f t="shared" ref="AA131:AA194" si="24">Z131/Y131*1000</f>
        <v>1184.5299103482382</v>
      </c>
      <c r="AB131" s="52">
        <f t="shared" si="19"/>
        <v>-1.4716288712847834E-2</v>
      </c>
      <c r="AC131" s="48">
        <f>(F131-E131)/E131</f>
        <v>-6.4794816414686825E-3</v>
      </c>
      <c r="AD131" s="48">
        <f>(M131-L131)/L131</f>
        <v>-1.601423487544484E-2</v>
      </c>
      <c r="AE131" s="48">
        <f>(T131-S131)/S131</f>
        <v>-1.7316017316017316E-2</v>
      </c>
      <c r="AF131" s="48" t="e">
        <f>(#REF!-#REF!)/#REF!</f>
        <v>#REF!</v>
      </c>
    </row>
    <row r="132" spans="1:32" x14ac:dyDescent="0.3">
      <c r="A132" s="48">
        <v>20180712</v>
      </c>
      <c r="B132" s="48" t="s">
        <v>88</v>
      </c>
      <c r="C132" s="79">
        <v>0.2</v>
      </c>
      <c r="D132" s="79">
        <f t="shared" ref="D132:D195" si="25">F132*G132*I132/Z132</f>
        <v>0.20234522677973152</v>
      </c>
      <c r="E132" s="49">
        <v>46000</v>
      </c>
      <c r="F132" s="49">
        <v>45500</v>
      </c>
      <c r="G132" s="49">
        <v>6419324700</v>
      </c>
      <c r="H132" s="49">
        <f t="shared" ref="H132:H195" si="26">I131</f>
        <v>0.227928098803895</v>
      </c>
      <c r="I132" s="49">
        <f t="shared" si="20"/>
        <v>0.227928098803895</v>
      </c>
      <c r="J132" s="48">
        <v>0.3</v>
      </c>
      <c r="K132" s="48">
        <f t="shared" ref="K132:K195" si="27">M132*N132*P132/Z132</f>
        <v>0.2952964778135358</v>
      </c>
      <c r="L132" s="48">
        <v>276500</v>
      </c>
      <c r="M132" s="48">
        <v>288000</v>
      </c>
      <c r="N132" s="51">
        <v>125395903</v>
      </c>
      <c r="O132" s="48">
        <f t="shared" ref="O132:O195" si="28">P131</f>
        <v>2.6902217281479599</v>
      </c>
      <c r="P132" s="48">
        <f t="shared" si="21"/>
        <v>2.6902217281479599</v>
      </c>
      <c r="Q132" s="49">
        <v>0.5</v>
      </c>
      <c r="R132" s="49">
        <f t="shared" ref="R132:R195" si="29">T132*U132*W132/Z132</f>
        <v>0.50235829540673271</v>
      </c>
      <c r="S132" s="49">
        <v>227000</v>
      </c>
      <c r="T132" s="49">
        <v>228200</v>
      </c>
      <c r="U132" s="49">
        <v>15956260</v>
      </c>
      <c r="V132" s="49">
        <f t="shared" ref="V132:V195" si="30">W131</f>
        <v>45.391285034054299</v>
      </c>
      <c r="W132" s="49">
        <f t="shared" si="22"/>
        <v>45.391285034054299</v>
      </c>
      <c r="X132" s="82">
        <f>IF(Z131&lt;&gt;(E132*G132*H132+L132*N132*O132+S132*U132*V132),1,0)</f>
        <v>0</v>
      </c>
      <c r="Y132" s="82">
        <f>IF(AND(X132=0,B132="N"),Y131,Y131*(E132*G132*I132+L132*N132*P132+S132*U132*W132)/Z131)</f>
        <v>274362327648340.06</v>
      </c>
      <c r="Z132" s="81">
        <f t="shared" si="23"/>
        <v>329007383312889.62</v>
      </c>
      <c r="AA132" s="80">
        <f t="shared" si="24"/>
        <v>1199.1711330521662</v>
      </c>
      <c r="AB132" s="52">
        <f t="shared" ref="AB132:AB195" si="31">(AA132-AA131)/AA131</f>
        <v>1.2360365556006602E-2</v>
      </c>
      <c r="AC132" s="48">
        <f>(F132-E132)/E132</f>
        <v>-1.0869565217391304E-2</v>
      </c>
      <c r="AD132" s="48">
        <f>(M132-L132)/L132</f>
        <v>4.1591320072332731E-2</v>
      </c>
      <c r="AE132" s="48">
        <f>(T132-S132)/S132</f>
        <v>5.2863436123348016E-3</v>
      </c>
      <c r="AF132" s="48" t="e">
        <f>(#REF!-#REF!)/#REF!</f>
        <v>#REF!</v>
      </c>
    </row>
    <row r="133" spans="1:32" x14ac:dyDescent="0.3">
      <c r="A133" s="48">
        <v>20180713</v>
      </c>
      <c r="B133" s="48" t="s">
        <v>88</v>
      </c>
      <c r="C133" s="79">
        <v>0.2</v>
      </c>
      <c r="D133" s="79">
        <f t="shared" si="25"/>
        <v>0.20263484857413167</v>
      </c>
      <c r="E133" s="49">
        <v>45500</v>
      </c>
      <c r="F133" s="49">
        <v>46500</v>
      </c>
      <c r="G133" s="49">
        <v>6419324700</v>
      </c>
      <c r="H133" s="49">
        <f t="shared" si="26"/>
        <v>0.227928098803895</v>
      </c>
      <c r="I133" s="49">
        <f t="shared" ref="I133:I196" si="32">IF(B133="Y",ROUND(C133*(E133*G133+L133*N133+S133*U133)/(E133*G133),17),IF(X133=0,H133,ROUND(F132*G132*I132/Z132*(E133*G133+L133*N133+S133*U133)/(E133*G133),17)))</f>
        <v>0.227928098803895</v>
      </c>
      <c r="J133" s="48">
        <v>0.3</v>
      </c>
      <c r="K133" s="48">
        <f t="shared" si="27"/>
        <v>0.28935959159942293</v>
      </c>
      <c r="L133" s="48">
        <v>288000</v>
      </c>
      <c r="M133" s="48">
        <v>288000</v>
      </c>
      <c r="N133" s="51">
        <v>125395903</v>
      </c>
      <c r="O133" s="48">
        <f t="shared" si="28"/>
        <v>2.6902217281479599</v>
      </c>
      <c r="P133" s="48">
        <f t="shared" ref="P133:P196" si="33">IF(B133="Y",ROUND(J133*(E133*G133+L133*N133+S133*U133)/(L133*N133),17),IF(X133=0,O133,ROUND(M132*N132*P132/Z132*(E133*G133+L133*N133+S133*U133)/(L133*N133),17)))</f>
        <v>2.6902217281479599</v>
      </c>
      <c r="Q133" s="49">
        <v>0.5</v>
      </c>
      <c r="R133" s="49">
        <f t="shared" si="29"/>
        <v>0.50800555982644546</v>
      </c>
      <c r="S133" s="49">
        <v>228200</v>
      </c>
      <c r="T133" s="49">
        <v>235500</v>
      </c>
      <c r="U133" s="49">
        <v>15956260</v>
      </c>
      <c r="V133" s="49">
        <f t="shared" si="30"/>
        <v>45.391285034054299</v>
      </c>
      <c r="W133" s="49">
        <f t="shared" ref="W133:W196" si="34">IF(B133="Y",ROUND(Q133*(E133*G133+L133*N133+S133*U133)/(S133*U133),17),IF(X133=0,V133,ROUND(T132*U132*W132/Z132*(E133*G133+L133*N133+S133*U133)/(S133*U133),17)))</f>
        <v>45.391285034054299</v>
      </c>
      <c r="X133" s="82">
        <f>IF(Z132&lt;&gt;(E133*G133*H133+L133*N133*O133+S133*U133*V133),1,0)</f>
        <v>0</v>
      </c>
      <c r="Y133" s="82">
        <f>IF(AND(X133=0,B133="N"),Y132,Y132*(E133*G133*I133+L133*N133*P133+S133*U133*W133)/Z132)</f>
        <v>274362327648340.06</v>
      </c>
      <c r="Z133" s="81">
        <f t="shared" ref="Z133:Z196" si="35">F133*G133*I133+M133*N133*P133+T133*U133*W133</f>
        <v>335757736351249.12</v>
      </c>
      <c r="AA133" s="80">
        <f t="shared" si="24"/>
        <v>1223.7749228516598</v>
      </c>
      <c r="AB133" s="52">
        <f t="shared" si="31"/>
        <v>2.051732994678691E-2</v>
      </c>
      <c r="AC133" s="48">
        <f>(F133-E133)/E133</f>
        <v>2.197802197802198E-2</v>
      </c>
      <c r="AD133" s="48">
        <f>(M133-L133)/L133</f>
        <v>0</v>
      </c>
      <c r="AE133" s="48">
        <f>(T133-S133)/S133</f>
        <v>3.1989482909728306E-2</v>
      </c>
      <c r="AF133" s="48" t="e">
        <f>(#REF!-#REF!)/#REF!</f>
        <v>#REF!</v>
      </c>
    </row>
    <row r="134" spans="1:32" x14ac:dyDescent="0.3">
      <c r="A134" s="48">
        <v>20180716</v>
      </c>
      <c r="B134" s="48" t="s">
        <v>88</v>
      </c>
      <c r="C134" s="79">
        <v>0.2</v>
      </c>
      <c r="D134" s="79">
        <f t="shared" si="25"/>
        <v>0.19600080293417926</v>
      </c>
      <c r="E134" s="49">
        <v>46500</v>
      </c>
      <c r="F134" s="49">
        <v>46050</v>
      </c>
      <c r="G134" s="49">
        <v>6419324700</v>
      </c>
      <c r="H134" s="49">
        <f t="shared" si="26"/>
        <v>0.227928098803895</v>
      </c>
      <c r="I134" s="49">
        <f t="shared" si="32"/>
        <v>0.227928098803895</v>
      </c>
      <c r="J134" s="48">
        <v>0.3</v>
      </c>
      <c r="K134" s="48">
        <f t="shared" si="27"/>
        <v>0.28801859882200809</v>
      </c>
      <c r="L134" s="48">
        <v>288000</v>
      </c>
      <c r="M134" s="48">
        <v>293500</v>
      </c>
      <c r="N134" s="51">
        <v>125395903</v>
      </c>
      <c r="O134" s="48">
        <f t="shared" si="28"/>
        <v>2.6902217281479599</v>
      </c>
      <c r="P134" s="48">
        <f t="shared" si="33"/>
        <v>2.6902217281479599</v>
      </c>
      <c r="Q134" s="49">
        <v>0.5</v>
      </c>
      <c r="R134" s="49">
        <f t="shared" si="29"/>
        <v>0.51598059824381259</v>
      </c>
      <c r="S134" s="49">
        <v>235500</v>
      </c>
      <c r="T134" s="49">
        <v>244900</v>
      </c>
      <c r="U134" s="49">
        <v>15956260</v>
      </c>
      <c r="V134" s="49">
        <f t="shared" si="30"/>
        <v>45.391285034054299</v>
      </c>
      <c r="W134" s="49">
        <f t="shared" si="34"/>
        <v>45.391285034054299</v>
      </c>
      <c r="X134" s="82">
        <f>IF(Z133&lt;&gt;(E134*G134*H134+L134*N134*O134+S134*U134*V134),1,0)</f>
        <v>0</v>
      </c>
      <c r="Y134" s="82">
        <f>IF(AND(X134=0,B134="N"),Y133,Y133*(E134*G134*I134+L134*N134*P134+S134*U134*W134)/Z133)</f>
        <v>274362327648340.06</v>
      </c>
      <c r="Z134" s="81">
        <f t="shared" si="35"/>
        <v>343762893013459.62</v>
      </c>
      <c r="AA134" s="80">
        <f t="shared" si="24"/>
        <v>1252.9522400541546</v>
      </c>
      <c r="AB134" s="52">
        <f t="shared" si="31"/>
        <v>2.384206168770427E-2</v>
      </c>
      <c r="AC134" s="48">
        <f>(F134-E134)/E134</f>
        <v>-9.6774193548387101E-3</v>
      </c>
      <c r="AD134" s="48">
        <f>(M134-L134)/L134</f>
        <v>1.9097222222222224E-2</v>
      </c>
      <c r="AE134" s="48">
        <f>(T134-S134)/S134</f>
        <v>3.9915074309978767E-2</v>
      </c>
      <c r="AF134" s="48" t="e">
        <f>(#REF!-#REF!)/#REF!</f>
        <v>#REF!</v>
      </c>
    </row>
    <row r="135" spans="1:32" x14ac:dyDescent="0.3">
      <c r="A135" s="48">
        <v>20180717</v>
      </c>
      <c r="B135" s="48" t="s">
        <v>88</v>
      </c>
      <c r="C135" s="79">
        <v>0.2</v>
      </c>
      <c r="D135" s="79">
        <f t="shared" si="25"/>
        <v>0.19873906113073558</v>
      </c>
      <c r="E135" s="49">
        <v>46050</v>
      </c>
      <c r="F135" s="49">
        <v>45850</v>
      </c>
      <c r="G135" s="49">
        <v>6419324700</v>
      </c>
      <c r="H135" s="49">
        <f t="shared" si="26"/>
        <v>0.227928098803895</v>
      </c>
      <c r="I135" s="49">
        <f t="shared" si="32"/>
        <v>0.227928098803895</v>
      </c>
      <c r="J135" s="48">
        <v>0.3</v>
      </c>
      <c r="K135" s="48">
        <f t="shared" si="27"/>
        <v>0.29531505713424505</v>
      </c>
      <c r="L135" s="48">
        <v>293500</v>
      </c>
      <c r="M135" s="48">
        <v>295500</v>
      </c>
      <c r="N135" s="51">
        <v>125395903</v>
      </c>
      <c r="O135" s="48">
        <f t="shared" si="28"/>
        <v>2.6902217281479599</v>
      </c>
      <c r="P135" s="48">
        <f t="shared" si="33"/>
        <v>2.6902217281479599</v>
      </c>
      <c r="Q135" s="49">
        <v>0.5</v>
      </c>
      <c r="R135" s="49">
        <f t="shared" si="29"/>
        <v>0.50594588173501953</v>
      </c>
      <c r="S135" s="49">
        <v>244900</v>
      </c>
      <c r="T135" s="49">
        <v>235800</v>
      </c>
      <c r="U135" s="49">
        <v>15956260</v>
      </c>
      <c r="V135" s="49">
        <f t="shared" si="30"/>
        <v>45.391285034054299</v>
      </c>
      <c r="W135" s="49">
        <f t="shared" si="34"/>
        <v>45.391285034054299</v>
      </c>
      <c r="X135" s="82">
        <f>IF(Z134&lt;&gt;(E135*G135*H135+L135*N135*O135+S135*U135*V135),1,0)</f>
        <v>0</v>
      </c>
      <c r="Y135" s="82">
        <f>IF(AND(X135=0,B135="N"),Y134,Y134*(E135*G135*I135+L135*N135*P135+S135*U135*W135)/Z134)</f>
        <v>274362327648340.06</v>
      </c>
      <c r="Z135" s="81">
        <f t="shared" si="35"/>
        <v>337554045858096</v>
      </c>
      <c r="AA135" s="80">
        <f t="shared" si="24"/>
        <v>1230.3221391631835</v>
      </c>
      <c r="AB135" s="52">
        <f t="shared" si="31"/>
        <v>-1.8061423386731005E-2</v>
      </c>
      <c r="AC135" s="48">
        <f>(F135-E135)/E135</f>
        <v>-4.3431053203040176E-3</v>
      </c>
      <c r="AD135" s="48">
        <f>(M135-L135)/L135</f>
        <v>6.8143100511073255E-3</v>
      </c>
      <c r="AE135" s="48">
        <f>(T135-S135)/S135</f>
        <v>-3.7158023683135977E-2</v>
      </c>
      <c r="AF135" s="48" t="e">
        <f>(#REF!-#REF!)/#REF!</f>
        <v>#REF!</v>
      </c>
    </row>
    <row r="136" spans="1:32" x14ac:dyDescent="0.3">
      <c r="A136" s="48">
        <v>20180718</v>
      </c>
      <c r="B136" s="48" t="s">
        <v>88</v>
      </c>
      <c r="C136" s="79">
        <v>0.2</v>
      </c>
      <c r="D136" s="79">
        <f t="shared" si="25"/>
        <v>0.20144803272735287</v>
      </c>
      <c r="E136" s="49">
        <v>45850</v>
      </c>
      <c r="F136" s="49">
        <v>46550</v>
      </c>
      <c r="G136" s="49">
        <v>6419324700</v>
      </c>
      <c r="H136" s="49">
        <f t="shared" si="26"/>
        <v>0.227928098803895</v>
      </c>
      <c r="I136" s="49">
        <f t="shared" si="32"/>
        <v>0.227928098803895</v>
      </c>
      <c r="J136" s="48">
        <v>0.3</v>
      </c>
      <c r="K136" s="48">
        <f t="shared" si="27"/>
        <v>0.28935137793610777</v>
      </c>
      <c r="L136" s="48">
        <v>295500</v>
      </c>
      <c r="M136" s="48">
        <v>290000</v>
      </c>
      <c r="N136" s="51">
        <v>125395903</v>
      </c>
      <c r="O136" s="48">
        <f t="shared" si="28"/>
        <v>2.6902217281479599</v>
      </c>
      <c r="P136" s="48">
        <f t="shared" si="33"/>
        <v>2.6902217281479599</v>
      </c>
      <c r="Q136" s="49">
        <v>0.5</v>
      </c>
      <c r="R136" s="49">
        <f t="shared" si="29"/>
        <v>0.50920058933653944</v>
      </c>
      <c r="S136" s="49">
        <v>235800</v>
      </c>
      <c r="T136" s="49">
        <v>237700</v>
      </c>
      <c r="U136" s="49">
        <v>15956260</v>
      </c>
      <c r="V136" s="49">
        <f t="shared" si="30"/>
        <v>45.391285034054299</v>
      </c>
      <c r="W136" s="49">
        <f t="shared" si="34"/>
        <v>45.391285034054299</v>
      </c>
      <c r="X136" s="82">
        <f>IF(Z135&lt;&gt;(E136*G136*H136+L136*N136*O136+S136*U136*V136),1,0)</f>
        <v>0</v>
      </c>
      <c r="Y136" s="82">
        <f>IF(AND(X136=0,B136="N"),Y135,Y135*(E136*G136*I136+L136*N136*P136+S136*U136*W136)/Z135)</f>
        <v>274362327648340.06</v>
      </c>
      <c r="Z136" s="81">
        <f t="shared" si="35"/>
        <v>338098984461338</v>
      </c>
      <c r="AA136" s="80">
        <f t="shared" si="24"/>
        <v>1232.3083397028599</v>
      </c>
      <c r="AB136" s="52">
        <f t="shared" si="31"/>
        <v>1.6143743792397408E-3</v>
      </c>
      <c r="AC136" s="48">
        <f>(F136-E136)/E136</f>
        <v>1.5267175572519083E-2</v>
      </c>
      <c r="AD136" s="48">
        <f>(M136-L136)/L136</f>
        <v>-1.8612521150592216E-2</v>
      </c>
      <c r="AE136" s="48">
        <f>(T136-S136)/S136</f>
        <v>8.0576759966072935E-3</v>
      </c>
      <c r="AF136" s="48" t="e">
        <f>(#REF!-#REF!)/#REF!</f>
        <v>#REF!</v>
      </c>
    </row>
    <row r="137" spans="1:32" x14ac:dyDescent="0.3">
      <c r="A137" s="48">
        <v>20180719</v>
      </c>
      <c r="B137" s="48" t="s">
        <v>88</v>
      </c>
      <c r="C137" s="79">
        <v>0.2</v>
      </c>
      <c r="D137" s="79">
        <f t="shared" si="25"/>
        <v>0.20560161525120058</v>
      </c>
      <c r="E137" s="49">
        <v>46550</v>
      </c>
      <c r="F137" s="49">
        <v>46900</v>
      </c>
      <c r="G137" s="49">
        <v>6419324700</v>
      </c>
      <c r="H137" s="49">
        <f t="shared" si="26"/>
        <v>0.227928098803895</v>
      </c>
      <c r="I137" s="49">
        <f t="shared" si="32"/>
        <v>0.227928098803895</v>
      </c>
      <c r="J137" s="48">
        <v>0.3</v>
      </c>
      <c r="K137" s="48">
        <f t="shared" si="27"/>
        <v>0.29159744124854609</v>
      </c>
      <c r="L137" s="48">
        <v>290000</v>
      </c>
      <c r="M137" s="48">
        <v>288500</v>
      </c>
      <c r="N137" s="51">
        <v>125395903</v>
      </c>
      <c r="O137" s="48">
        <f t="shared" si="28"/>
        <v>2.6902217281479599</v>
      </c>
      <c r="P137" s="48">
        <f t="shared" si="33"/>
        <v>2.6902217281479599</v>
      </c>
      <c r="Q137" s="49">
        <v>0.5</v>
      </c>
      <c r="R137" s="49">
        <f t="shared" si="29"/>
        <v>0.50280094350025328</v>
      </c>
      <c r="S137" s="49">
        <v>237700</v>
      </c>
      <c r="T137" s="49">
        <v>231700</v>
      </c>
      <c r="U137" s="49">
        <v>15956260</v>
      </c>
      <c r="V137" s="49">
        <f t="shared" si="30"/>
        <v>45.391285034054299</v>
      </c>
      <c r="W137" s="49">
        <f t="shared" si="34"/>
        <v>45.391285034054299</v>
      </c>
      <c r="X137" s="82">
        <f>IF(Z136&lt;&gt;(E137*G137*H137+L137*N137*O137+S137*U137*V137),1,0)</f>
        <v>0</v>
      </c>
      <c r="Y137" s="82">
        <f>IF(AND(X137=0,B137="N"),Y136,Y136*(E137*G137*I137+L137*N137*P137+S137*U137*W137)/Z136)</f>
        <v>274362327648340.06</v>
      </c>
      <c r="Z137" s="81">
        <f t="shared" si="35"/>
        <v>333759419978672.75</v>
      </c>
      <c r="AA137" s="80">
        <f t="shared" si="24"/>
        <v>1216.4914288322559</v>
      </c>
      <c r="AB137" s="52">
        <f t="shared" si="31"/>
        <v>-1.2835189344265805E-2</v>
      </c>
      <c r="AC137" s="48">
        <f>(F137-E137)/E137</f>
        <v>7.5187969924812026E-3</v>
      </c>
      <c r="AD137" s="48">
        <f>(M137-L137)/L137</f>
        <v>-5.1724137931034482E-3</v>
      </c>
      <c r="AE137" s="48">
        <f>(T137-S137)/S137</f>
        <v>-2.5241901556583929E-2</v>
      </c>
      <c r="AF137" s="48" t="e">
        <f>(#REF!-#REF!)/#REF!</f>
        <v>#REF!</v>
      </c>
    </row>
    <row r="138" spans="1:32" x14ac:dyDescent="0.3">
      <c r="A138" s="48">
        <v>20180720</v>
      </c>
      <c r="B138" s="48" t="s">
        <v>88</v>
      </c>
      <c r="C138" s="79">
        <v>0.2</v>
      </c>
      <c r="D138" s="79">
        <f t="shared" si="25"/>
        <v>0.21149444446988036</v>
      </c>
      <c r="E138" s="49">
        <v>46900</v>
      </c>
      <c r="F138" s="49">
        <v>47450</v>
      </c>
      <c r="G138" s="49">
        <v>6419324700</v>
      </c>
      <c r="H138" s="49">
        <f t="shared" si="26"/>
        <v>0.227928098803895</v>
      </c>
      <c r="I138" s="49">
        <f t="shared" si="32"/>
        <v>0.227928098803895</v>
      </c>
      <c r="J138" s="48">
        <v>0.3</v>
      </c>
      <c r="K138" s="48">
        <f t="shared" si="27"/>
        <v>0.29339524522531485</v>
      </c>
      <c r="L138" s="48">
        <v>288500</v>
      </c>
      <c r="M138" s="48">
        <v>285500</v>
      </c>
      <c r="N138" s="51">
        <v>125395903</v>
      </c>
      <c r="O138" s="48">
        <f t="shared" si="28"/>
        <v>2.6902217281479599</v>
      </c>
      <c r="P138" s="48">
        <f t="shared" si="33"/>
        <v>2.6902217281479599</v>
      </c>
      <c r="Q138" s="49">
        <v>0.5</v>
      </c>
      <c r="R138" s="49">
        <f t="shared" si="29"/>
        <v>0.49511031030480479</v>
      </c>
      <c r="S138" s="49">
        <v>231700</v>
      </c>
      <c r="T138" s="49">
        <v>224400</v>
      </c>
      <c r="U138" s="49">
        <v>15956260</v>
      </c>
      <c r="V138" s="49">
        <f t="shared" si="30"/>
        <v>45.391285034054299</v>
      </c>
      <c r="W138" s="49">
        <f t="shared" si="34"/>
        <v>45.391285034054299</v>
      </c>
      <c r="X138" s="82">
        <f>IF(Z137&lt;&gt;(E138*G138*H138+L138*N138*O138+S138*U138*V138),1,0)</f>
        <v>0</v>
      </c>
      <c r="Y138" s="82">
        <f>IF(AND(X138=0,B138="N"),Y137,Y137*(E138*G138*I138+L138*N138*P138+S138*U138*W138)/Z137)</f>
        <v>274362327648340.06</v>
      </c>
      <c r="Z138" s="81">
        <f t="shared" si="35"/>
        <v>328264912527136.87</v>
      </c>
      <c r="AA138" s="80">
        <f t="shared" si="24"/>
        <v>1196.4649641983126</v>
      </c>
      <c r="AB138" s="52">
        <f t="shared" si="31"/>
        <v>-1.6462479027219507E-2</v>
      </c>
      <c r="AC138" s="48">
        <f>(F138-E138)/E138</f>
        <v>1.1727078891257996E-2</v>
      </c>
      <c r="AD138" s="48">
        <f>(M138-L138)/L138</f>
        <v>-1.0398613518197574E-2</v>
      </c>
      <c r="AE138" s="48">
        <f>(T138-S138)/S138</f>
        <v>-3.1506258092360809E-2</v>
      </c>
      <c r="AF138" s="48" t="e">
        <f>(#REF!-#REF!)/#REF!</f>
        <v>#REF!</v>
      </c>
    </row>
    <row r="139" spans="1:32" x14ac:dyDescent="0.3">
      <c r="A139" s="48">
        <v>20180723</v>
      </c>
      <c r="B139" s="48" t="s">
        <v>88</v>
      </c>
      <c r="C139" s="79">
        <v>0.2</v>
      </c>
      <c r="D139" s="79">
        <f t="shared" si="25"/>
        <v>0.21946384444418293</v>
      </c>
      <c r="E139" s="49">
        <v>47450</v>
      </c>
      <c r="F139" s="49">
        <v>46500</v>
      </c>
      <c r="G139" s="49">
        <v>6419324700</v>
      </c>
      <c r="H139" s="49">
        <f t="shared" si="26"/>
        <v>0.227928098803895</v>
      </c>
      <c r="I139" s="49">
        <f t="shared" si="32"/>
        <v>0.227928098803895</v>
      </c>
      <c r="J139" s="48">
        <v>0.3</v>
      </c>
      <c r="K139" s="48">
        <f t="shared" si="27"/>
        <v>0.29108379463659462</v>
      </c>
      <c r="L139" s="48">
        <v>285500</v>
      </c>
      <c r="M139" s="48">
        <v>267500</v>
      </c>
      <c r="N139" s="51">
        <v>125395903</v>
      </c>
      <c r="O139" s="48">
        <f t="shared" si="28"/>
        <v>2.6902217281479599</v>
      </c>
      <c r="P139" s="48">
        <f t="shared" si="33"/>
        <v>2.6902217281479599</v>
      </c>
      <c r="Q139" s="49">
        <v>0.5</v>
      </c>
      <c r="R139" s="49">
        <f t="shared" si="29"/>
        <v>0.48945236091922245</v>
      </c>
      <c r="S139" s="49">
        <v>224400</v>
      </c>
      <c r="T139" s="49">
        <v>209500</v>
      </c>
      <c r="U139" s="49">
        <v>15956260</v>
      </c>
      <c r="V139" s="49">
        <f t="shared" si="30"/>
        <v>45.391285034054299</v>
      </c>
      <c r="W139" s="49">
        <f t="shared" si="34"/>
        <v>45.391285034054299</v>
      </c>
      <c r="X139" s="82">
        <f>IF(Z138&lt;&gt;(E139*G139*H139+L139*N139*O139+S139*U139*V139),1,0)</f>
        <v>0</v>
      </c>
      <c r="Y139" s="82">
        <f>IF(AND(X139=0,B139="N"),Y138,Y138*(E139*G139*I139+L139*N139*P139+S139*U139*W139)/Z138)</f>
        <v>274362327648340.06</v>
      </c>
      <c r="Z139" s="81">
        <f t="shared" si="35"/>
        <v>310011055513212.31</v>
      </c>
      <c r="AA139" s="80">
        <f t="shared" si="24"/>
        <v>1129.9330275057459</v>
      </c>
      <c r="AB139" s="52">
        <f t="shared" si="31"/>
        <v>-5.560709145975383E-2</v>
      </c>
      <c r="AC139" s="48">
        <f>(F139-E139)/E139</f>
        <v>-2.0021074815595362E-2</v>
      </c>
      <c r="AD139" s="48">
        <f>(M139-L139)/L139</f>
        <v>-6.3047285464098074E-2</v>
      </c>
      <c r="AE139" s="48">
        <f>(T139-S139)/S139</f>
        <v>-6.6399286987522288E-2</v>
      </c>
      <c r="AF139" s="48" t="e">
        <f>(#REF!-#REF!)/#REF!</f>
        <v>#REF!</v>
      </c>
    </row>
    <row r="140" spans="1:32" x14ac:dyDescent="0.3">
      <c r="A140" s="48">
        <v>20180724</v>
      </c>
      <c r="B140" s="48" t="s">
        <v>88</v>
      </c>
      <c r="C140" s="79">
        <v>0.2</v>
      </c>
      <c r="D140" s="79">
        <f t="shared" si="25"/>
        <v>0.22147088338981477</v>
      </c>
      <c r="E140" s="49">
        <v>46500</v>
      </c>
      <c r="F140" s="49">
        <v>46150</v>
      </c>
      <c r="G140" s="49">
        <v>6419324700</v>
      </c>
      <c r="H140" s="49">
        <f t="shared" si="26"/>
        <v>0.227928098803895</v>
      </c>
      <c r="I140" s="49">
        <f t="shared" si="32"/>
        <v>0.227928098803895</v>
      </c>
      <c r="J140" s="48">
        <v>0.3</v>
      </c>
      <c r="K140" s="48">
        <f t="shared" si="27"/>
        <v>0.29320746168507911</v>
      </c>
      <c r="L140" s="48">
        <v>267500</v>
      </c>
      <c r="M140" s="48">
        <v>265000</v>
      </c>
      <c r="N140" s="51">
        <v>125395903</v>
      </c>
      <c r="O140" s="48">
        <f t="shared" si="28"/>
        <v>2.6902217281479599</v>
      </c>
      <c r="P140" s="48">
        <f t="shared" si="33"/>
        <v>2.6902217281479599</v>
      </c>
      <c r="Q140" s="49">
        <v>0.5</v>
      </c>
      <c r="R140" s="49">
        <f t="shared" si="29"/>
        <v>0.48532165492510621</v>
      </c>
      <c r="S140" s="49">
        <v>209500</v>
      </c>
      <c r="T140" s="49">
        <v>204300</v>
      </c>
      <c r="U140" s="49">
        <v>15956260</v>
      </c>
      <c r="V140" s="49">
        <f t="shared" si="30"/>
        <v>45.391285034054299</v>
      </c>
      <c r="W140" s="49">
        <f t="shared" si="34"/>
        <v>45.391285034054299</v>
      </c>
      <c r="X140" s="82">
        <f>IF(Z139&lt;&gt;(E140*G140*H140+L140*N140*O140+S140*U140*V140),1,0)</f>
        <v>0</v>
      </c>
      <c r="Y140" s="82">
        <f>IF(AND(X140=0,B140="N"),Y139,Y139*(E140*G140*I140+L140*N140*P140+S140*U140*W140)/Z139)</f>
        <v>274362327648340.06</v>
      </c>
      <c r="Z140" s="81">
        <f t="shared" si="35"/>
        <v>304889367232132.5</v>
      </c>
      <c r="AA140" s="80">
        <f t="shared" si="24"/>
        <v>1111.2654198754283</v>
      </c>
      <c r="AB140" s="52">
        <f t="shared" si="31"/>
        <v>-1.6520985913231687E-2</v>
      </c>
      <c r="AC140" s="48">
        <f>(F140-E140)/E140</f>
        <v>-7.526881720430108E-3</v>
      </c>
      <c r="AD140" s="48">
        <f>(M140-L140)/L140</f>
        <v>-9.3457943925233638E-3</v>
      </c>
      <c r="AE140" s="48">
        <f>(T140-S140)/S140</f>
        <v>-2.4821002386634844E-2</v>
      </c>
      <c r="AF140" s="48" t="e">
        <f>(#REF!-#REF!)/#REF!</f>
        <v>#REF!</v>
      </c>
    </row>
    <row r="141" spans="1:32" x14ac:dyDescent="0.3">
      <c r="A141" s="48">
        <v>20180725</v>
      </c>
      <c r="B141" s="48" t="s">
        <v>88</v>
      </c>
      <c r="C141" s="79">
        <v>0.2</v>
      </c>
      <c r="D141" s="79">
        <f t="shared" si="25"/>
        <v>0.2309173477924861</v>
      </c>
      <c r="E141" s="49">
        <v>46150</v>
      </c>
      <c r="F141" s="49">
        <v>46150</v>
      </c>
      <c r="G141" s="49">
        <v>6419324700</v>
      </c>
      <c r="H141" s="49">
        <f t="shared" si="26"/>
        <v>0.227928098803895</v>
      </c>
      <c r="I141" s="49">
        <f t="shared" si="32"/>
        <v>0.227928098803895</v>
      </c>
      <c r="J141" s="48">
        <v>0.3</v>
      </c>
      <c r="K141" s="48">
        <f t="shared" si="27"/>
        <v>0.28956281407105466</v>
      </c>
      <c r="L141" s="48">
        <v>265000</v>
      </c>
      <c r="M141" s="48">
        <v>251000</v>
      </c>
      <c r="N141" s="51">
        <v>125395903</v>
      </c>
      <c r="O141" s="48">
        <f t="shared" si="28"/>
        <v>2.6902217281479599</v>
      </c>
      <c r="P141" s="48">
        <f t="shared" si="33"/>
        <v>2.6902217281479599</v>
      </c>
      <c r="Q141" s="49">
        <v>0.5</v>
      </c>
      <c r="R141" s="49">
        <f t="shared" si="29"/>
        <v>0.47951983813645915</v>
      </c>
      <c r="S141" s="49">
        <v>204300</v>
      </c>
      <c r="T141" s="49">
        <v>193600</v>
      </c>
      <c r="U141" s="49">
        <v>15956260</v>
      </c>
      <c r="V141" s="49">
        <f t="shared" si="30"/>
        <v>45.391285034054299</v>
      </c>
      <c r="W141" s="49">
        <f t="shared" si="34"/>
        <v>45.391285034054299</v>
      </c>
      <c r="X141" s="82">
        <f>IF(Z140&lt;&gt;(E141*G141*H141+L141*N141*O141+S141*U141*V141),1,0)</f>
        <v>0</v>
      </c>
      <c r="Y141" s="82">
        <f>IF(AND(X141=0,B141="N"),Y140,Y140*(E141*G141*I141+L141*N141*P141+S141*U141*W141)/Z140)</f>
        <v>274362327648340.06</v>
      </c>
      <c r="Z141" s="81">
        <f t="shared" si="35"/>
        <v>292416824212542.87</v>
      </c>
      <c r="AA141" s="80">
        <f t="shared" si="24"/>
        <v>1065.8053046821499</v>
      </c>
      <c r="AB141" s="52">
        <f t="shared" si="31"/>
        <v>-4.0908422398651105E-2</v>
      </c>
      <c r="AC141" s="48">
        <f>(F141-E141)/E141</f>
        <v>0</v>
      </c>
      <c r="AD141" s="48">
        <f>(M141-L141)/L141</f>
        <v>-5.2830188679245285E-2</v>
      </c>
      <c r="AE141" s="48">
        <f>(T141-S141)/S141</f>
        <v>-5.2373959862946649E-2</v>
      </c>
      <c r="AF141" s="48" t="e">
        <f>(#REF!-#REF!)/#REF!</f>
        <v>#REF!</v>
      </c>
    </row>
    <row r="142" spans="1:32" x14ac:dyDescent="0.3">
      <c r="A142" s="48">
        <v>20180726</v>
      </c>
      <c r="B142" s="48" t="s">
        <v>88</v>
      </c>
      <c r="C142" s="79">
        <v>0.2</v>
      </c>
      <c r="D142" s="79">
        <f t="shared" si="25"/>
        <v>0.2301410368689189</v>
      </c>
      <c r="E142" s="49">
        <v>46150</v>
      </c>
      <c r="F142" s="49">
        <v>46900</v>
      </c>
      <c r="G142" s="49">
        <v>6419324700</v>
      </c>
      <c r="H142" s="49">
        <f t="shared" si="26"/>
        <v>0.227928098803895</v>
      </c>
      <c r="I142" s="49">
        <f t="shared" si="32"/>
        <v>0.227928098803895</v>
      </c>
      <c r="J142" s="48">
        <v>0.3</v>
      </c>
      <c r="K142" s="48">
        <f t="shared" si="27"/>
        <v>0.28793417938357452</v>
      </c>
      <c r="L142" s="48">
        <v>251000</v>
      </c>
      <c r="M142" s="48">
        <v>254500</v>
      </c>
      <c r="N142" s="51">
        <v>125395903</v>
      </c>
      <c r="O142" s="48">
        <f t="shared" si="28"/>
        <v>2.6902217281479599</v>
      </c>
      <c r="P142" s="48">
        <f t="shared" si="33"/>
        <v>2.6902217281479599</v>
      </c>
      <c r="Q142" s="49">
        <v>0.5</v>
      </c>
      <c r="R142" s="49">
        <f t="shared" si="29"/>
        <v>0.48192478374750658</v>
      </c>
      <c r="S142" s="49">
        <v>193600</v>
      </c>
      <c r="T142" s="49">
        <v>198400</v>
      </c>
      <c r="U142" s="49">
        <v>15956260</v>
      </c>
      <c r="V142" s="49">
        <f t="shared" si="30"/>
        <v>45.391285034054299</v>
      </c>
      <c r="W142" s="49">
        <f t="shared" si="34"/>
        <v>45.391285034054299</v>
      </c>
      <c r="X142" s="82">
        <f>IF(Z141&lt;&gt;(E142*G142*H142+L142*N142*O142+S142*U142*V142),1,0)</f>
        <v>0</v>
      </c>
      <c r="Y142" s="82">
        <f>IF(AND(X142=0,B142="N"),Y141,Y141*(E142*G142*I142+L142*N142*P142+S142*U142*W142)/Z141)</f>
        <v>274362327648340.06</v>
      </c>
      <c r="Z142" s="81">
        <f t="shared" si="35"/>
        <v>298171403007989.31</v>
      </c>
      <c r="AA142" s="80">
        <f t="shared" si="24"/>
        <v>1086.7796813204113</v>
      </c>
      <c r="AB142" s="52">
        <f t="shared" si="31"/>
        <v>1.9679369718014809E-2</v>
      </c>
      <c r="AC142" s="48">
        <f>(F142-E142)/E142</f>
        <v>1.6251354279523293E-2</v>
      </c>
      <c r="AD142" s="48">
        <f>(M142-L142)/L142</f>
        <v>1.3944223107569721E-2</v>
      </c>
      <c r="AE142" s="48">
        <f>(T142-S142)/S142</f>
        <v>2.4793388429752067E-2</v>
      </c>
      <c r="AF142" s="48" t="e">
        <f>(#REF!-#REF!)/#REF!</f>
        <v>#REF!</v>
      </c>
    </row>
    <row r="143" spans="1:32" x14ac:dyDescent="0.3">
      <c r="A143" s="48">
        <v>20180727</v>
      </c>
      <c r="B143" s="48" t="s">
        <v>88</v>
      </c>
      <c r="C143" s="79">
        <v>0.2</v>
      </c>
      <c r="D143" s="79">
        <f t="shared" si="25"/>
        <v>0.22901093522160018</v>
      </c>
      <c r="E143" s="49">
        <v>46900</v>
      </c>
      <c r="F143" s="49">
        <v>46900</v>
      </c>
      <c r="G143" s="49">
        <v>6419324700</v>
      </c>
      <c r="H143" s="49">
        <f t="shared" si="26"/>
        <v>0.227928098803895</v>
      </c>
      <c r="I143" s="49">
        <f t="shared" si="32"/>
        <v>0.227928098803895</v>
      </c>
      <c r="J143" s="48">
        <v>0.3</v>
      </c>
      <c r="K143" s="48">
        <f t="shared" si="27"/>
        <v>0.28877191889095721</v>
      </c>
      <c r="L143" s="48">
        <v>254500</v>
      </c>
      <c r="M143" s="48">
        <v>256500</v>
      </c>
      <c r="N143" s="51">
        <v>125395903</v>
      </c>
      <c r="O143" s="48">
        <f t="shared" si="28"/>
        <v>2.6902217281479599</v>
      </c>
      <c r="P143" s="48">
        <f t="shared" si="33"/>
        <v>2.6902217281479599</v>
      </c>
      <c r="Q143" s="49">
        <v>0.5</v>
      </c>
      <c r="R143" s="49">
        <f t="shared" si="29"/>
        <v>0.48221714588744252</v>
      </c>
      <c r="S143" s="49">
        <v>198400</v>
      </c>
      <c r="T143" s="49">
        <v>199500</v>
      </c>
      <c r="U143" s="49">
        <v>15956260</v>
      </c>
      <c r="V143" s="49">
        <f t="shared" si="30"/>
        <v>45.391285034054299</v>
      </c>
      <c r="W143" s="49">
        <f t="shared" si="34"/>
        <v>45.391285034054299</v>
      </c>
      <c r="X143" s="82">
        <f>IF(Z142&lt;&gt;(E143*G143*H143+L143*N143*O143+S143*U143*V143),1,0)</f>
        <v>0</v>
      </c>
      <c r="Y143" s="82">
        <f>IF(AND(X143=0,B143="N"),Y142,Y142*(E143*G143*I143+L143*N143*P143+S143*U143*W143)/Z142)</f>
        <v>274362327648340.06</v>
      </c>
      <c r="Z143" s="81">
        <f t="shared" si="35"/>
        <v>299642791234043.25</v>
      </c>
      <c r="AA143" s="80">
        <f t="shared" si="24"/>
        <v>1092.1426195877229</v>
      </c>
      <c r="AB143" s="52">
        <f t="shared" si="31"/>
        <v>4.9347060489719295E-3</v>
      </c>
      <c r="AC143" s="48">
        <f>(F143-E143)/E143</f>
        <v>0</v>
      </c>
      <c r="AD143" s="48">
        <f>(M143-L143)/L143</f>
        <v>7.8585461689587421E-3</v>
      </c>
      <c r="AE143" s="48">
        <f>(T143-S143)/S143</f>
        <v>5.5443548387096777E-3</v>
      </c>
      <c r="AF143" s="48" t="e">
        <f>(#REF!-#REF!)/#REF!</f>
        <v>#REF!</v>
      </c>
    </row>
    <row r="144" spans="1:32" x14ac:dyDescent="0.3">
      <c r="A144" s="48">
        <v>20180730</v>
      </c>
      <c r="B144" s="48" t="s">
        <v>88</v>
      </c>
      <c r="C144" s="79">
        <v>0.2</v>
      </c>
      <c r="D144" s="79">
        <f t="shared" si="25"/>
        <v>0.23114150895251684</v>
      </c>
      <c r="E144" s="49">
        <v>46900</v>
      </c>
      <c r="F144" s="49">
        <v>46500</v>
      </c>
      <c r="G144" s="49">
        <v>6419324700</v>
      </c>
      <c r="H144" s="49">
        <f t="shared" si="26"/>
        <v>0.227928098803895</v>
      </c>
      <c r="I144" s="49">
        <f t="shared" si="32"/>
        <v>0.227928098803895</v>
      </c>
      <c r="J144" s="48">
        <v>0.3</v>
      </c>
      <c r="K144" s="48">
        <f t="shared" si="27"/>
        <v>0.2956847381941653</v>
      </c>
      <c r="L144" s="48">
        <v>256500</v>
      </c>
      <c r="M144" s="48">
        <v>258000</v>
      </c>
      <c r="N144" s="51">
        <v>125395903</v>
      </c>
      <c r="O144" s="48">
        <f t="shared" si="28"/>
        <v>2.6902217281479599</v>
      </c>
      <c r="P144" s="48">
        <f t="shared" si="33"/>
        <v>2.6902217281479599</v>
      </c>
      <c r="Q144" s="49">
        <v>0.5</v>
      </c>
      <c r="R144" s="49">
        <f t="shared" si="29"/>
        <v>0.47317375285331792</v>
      </c>
      <c r="S144" s="49">
        <v>199500</v>
      </c>
      <c r="T144" s="49">
        <v>192300</v>
      </c>
      <c r="U144" s="49">
        <v>15956260</v>
      </c>
      <c r="V144" s="49">
        <f t="shared" si="30"/>
        <v>45.391285034054299</v>
      </c>
      <c r="W144" s="49">
        <f t="shared" si="34"/>
        <v>45.391285034054299</v>
      </c>
      <c r="X144" s="82">
        <f>IF(Z143&lt;&gt;(E144*G144*H144+L144*N144*O144+S144*U144*V144),1,0)</f>
        <v>0</v>
      </c>
      <c r="Y144" s="82">
        <f>IF(AND(X144=0,B144="N"),Y143,Y143*(E144*G144*I144+L144*N144*P144+S144*U144*W144)/Z143)</f>
        <v>274362327648340.06</v>
      </c>
      <c r="Z144" s="81">
        <f t="shared" si="35"/>
        <v>294348766569250</v>
      </c>
      <c r="AA144" s="80">
        <f t="shared" si="24"/>
        <v>1072.8468776753027</v>
      </c>
      <c r="AB144" s="52">
        <f t="shared" si="31"/>
        <v>-1.7667785842570862E-2</v>
      </c>
      <c r="AC144" s="48">
        <f>(F144-E144)/E144</f>
        <v>-8.5287846481876331E-3</v>
      </c>
      <c r="AD144" s="48">
        <f>(M144-L144)/L144</f>
        <v>5.8479532163742687E-3</v>
      </c>
      <c r="AE144" s="48">
        <f>(T144-S144)/S144</f>
        <v>-3.6090225563909777E-2</v>
      </c>
      <c r="AF144" s="48" t="e">
        <f>(#REF!-#REF!)/#REF!</f>
        <v>#REF!</v>
      </c>
    </row>
    <row r="145" spans="1:32" x14ac:dyDescent="0.3">
      <c r="A145" s="48">
        <v>20180731</v>
      </c>
      <c r="B145" s="48" t="s">
        <v>88</v>
      </c>
      <c r="C145" s="79">
        <v>0.2</v>
      </c>
      <c r="D145" s="79">
        <f t="shared" si="25"/>
        <v>0.22272882139755029</v>
      </c>
      <c r="E145" s="49">
        <v>46500</v>
      </c>
      <c r="F145" s="49">
        <v>46250</v>
      </c>
      <c r="G145" s="49">
        <v>6419324700</v>
      </c>
      <c r="H145" s="49">
        <f t="shared" si="26"/>
        <v>0.227928098803895</v>
      </c>
      <c r="I145" s="49">
        <f t="shared" si="32"/>
        <v>0.227928098803895</v>
      </c>
      <c r="J145" s="48">
        <v>0.3</v>
      </c>
      <c r="K145" s="48">
        <f t="shared" si="27"/>
        <v>0.30145238728600227</v>
      </c>
      <c r="L145" s="48">
        <v>258000</v>
      </c>
      <c r="M145" s="48">
        <v>271500</v>
      </c>
      <c r="N145" s="51">
        <v>125395903</v>
      </c>
      <c r="O145" s="48">
        <f t="shared" si="28"/>
        <v>2.6902217281479599</v>
      </c>
      <c r="P145" s="48">
        <f t="shared" si="33"/>
        <v>2.6902217281479599</v>
      </c>
      <c r="Q145" s="49">
        <v>0.5</v>
      </c>
      <c r="R145" s="49">
        <f t="shared" si="29"/>
        <v>0.47581879131644744</v>
      </c>
      <c r="S145" s="49">
        <v>192300</v>
      </c>
      <c r="T145" s="49">
        <v>199600</v>
      </c>
      <c r="U145" s="49">
        <v>15956260</v>
      </c>
      <c r="V145" s="49">
        <f t="shared" si="30"/>
        <v>45.391285034054299</v>
      </c>
      <c r="W145" s="49">
        <f t="shared" si="34"/>
        <v>45.391285034054299</v>
      </c>
      <c r="X145" s="82">
        <f>IF(Z144&lt;&gt;(E145*G145*H145+L145*N145*O145+S145*U145*V145),1,0)</f>
        <v>0</v>
      </c>
      <c r="Y145" s="82">
        <f>IF(AND(X145=0,B145="N"),Y144,Y144*(E145*G145*I145+L145*N145*P145+S145*U145*W145)/Z144)</f>
        <v>274362327648340.06</v>
      </c>
      <c r="Z145" s="81">
        <f t="shared" si="35"/>
        <v>303824316583277.62</v>
      </c>
      <c r="AA145" s="80">
        <f t="shared" si="24"/>
        <v>1107.3835070123039</v>
      </c>
      <c r="AB145" s="52">
        <f t="shared" si="31"/>
        <v>3.2191573705128193E-2</v>
      </c>
      <c r="AC145" s="48">
        <f>(F145-E145)/E145</f>
        <v>-5.3763440860215058E-3</v>
      </c>
      <c r="AD145" s="48">
        <f>(M145-L145)/L145</f>
        <v>5.232558139534884E-2</v>
      </c>
      <c r="AE145" s="48">
        <f>(T145-S145)/S145</f>
        <v>3.7961518460738426E-2</v>
      </c>
      <c r="AF145" s="48" t="e">
        <f>(#REF!-#REF!)/#REF!</f>
        <v>#REF!</v>
      </c>
    </row>
    <row r="146" spans="1:32" x14ac:dyDescent="0.3">
      <c r="A146" s="48">
        <v>20180801</v>
      </c>
      <c r="B146" s="48" t="s">
        <v>88</v>
      </c>
      <c r="C146" s="79">
        <v>0.2</v>
      </c>
      <c r="D146" s="79">
        <f t="shared" si="25"/>
        <v>0.21773829931432304</v>
      </c>
      <c r="E146" s="49">
        <v>46250</v>
      </c>
      <c r="F146" s="49">
        <v>46550</v>
      </c>
      <c r="G146" s="49">
        <v>6419324700</v>
      </c>
      <c r="H146" s="49">
        <f t="shared" si="26"/>
        <v>0.227928098803895</v>
      </c>
      <c r="I146" s="49">
        <f t="shared" si="32"/>
        <v>0.227928098803895</v>
      </c>
      <c r="J146" s="48">
        <v>0.3</v>
      </c>
      <c r="K146" s="48">
        <f t="shared" si="27"/>
        <v>0.30250476394890169</v>
      </c>
      <c r="L146" s="48">
        <v>271500</v>
      </c>
      <c r="M146" s="48">
        <v>280500</v>
      </c>
      <c r="N146" s="51">
        <v>125395903</v>
      </c>
      <c r="O146" s="48">
        <f t="shared" si="28"/>
        <v>2.6902217281479599</v>
      </c>
      <c r="P146" s="48">
        <f t="shared" si="33"/>
        <v>2.6902217281479599</v>
      </c>
      <c r="Q146" s="49">
        <v>0.5</v>
      </c>
      <c r="R146" s="49">
        <f t="shared" si="29"/>
        <v>0.47975693673677527</v>
      </c>
      <c r="S146" s="49">
        <v>199600</v>
      </c>
      <c r="T146" s="49">
        <v>207200</v>
      </c>
      <c r="U146" s="49">
        <v>15956260</v>
      </c>
      <c r="V146" s="49">
        <f t="shared" si="30"/>
        <v>45.391285034054299</v>
      </c>
      <c r="W146" s="49">
        <f t="shared" si="34"/>
        <v>45.391285034054299</v>
      </c>
      <c r="X146" s="82">
        <f>IF(Z145&lt;&gt;(E146*G146*H146+L146*N146*O146+S146*U146*V146),1,0)</f>
        <v>0</v>
      </c>
      <c r="Y146" s="82">
        <f>IF(AND(X146=0,B146="N"),Y145,Y145*(E146*G146*I146+L146*N146*P146+S146*U146*W146)/Z145)</f>
        <v>274362327648340.06</v>
      </c>
      <c r="Z146" s="81">
        <f t="shared" si="35"/>
        <v>312803836079067.25</v>
      </c>
      <c r="AA146" s="80">
        <f t="shared" si="24"/>
        <v>1140.1121967444417</v>
      </c>
      <c r="AB146" s="52">
        <f t="shared" si="31"/>
        <v>2.9554973073817117E-2</v>
      </c>
      <c r="AC146" s="48">
        <f>(F146-E146)/E146</f>
        <v>6.4864864864864862E-3</v>
      </c>
      <c r="AD146" s="48">
        <f>(M146-L146)/L146</f>
        <v>3.3149171270718231E-2</v>
      </c>
      <c r="AE146" s="48">
        <f>(T146-S146)/S146</f>
        <v>3.8076152304609222E-2</v>
      </c>
      <c r="AF146" s="48" t="e">
        <f>(#REF!-#REF!)/#REF!</f>
        <v>#REF!</v>
      </c>
    </row>
    <row r="147" spans="1:32" x14ac:dyDescent="0.3">
      <c r="A147" s="48">
        <v>20180802</v>
      </c>
      <c r="B147" s="48" t="s">
        <v>88</v>
      </c>
      <c r="C147" s="79">
        <v>0.2</v>
      </c>
      <c r="D147" s="79">
        <f t="shared" si="25"/>
        <v>0.21834615623085871</v>
      </c>
      <c r="E147" s="49">
        <v>46550</v>
      </c>
      <c r="F147" s="49">
        <v>45550</v>
      </c>
      <c r="G147" s="49">
        <v>6419324700</v>
      </c>
      <c r="H147" s="49">
        <f t="shared" si="26"/>
        <v>0.227928098803895</v>
      </c>
      <c r="I147" s="49">
        <f t="shared" si="32"/>
        <v>0.227928098803895</v>
      </c>
      <c r="J147" s="48">
        <v>0.3</v>
      </c>
      <c r="K147" s="48">
        <f t="shared" si="27"/>
        <v>0.31111416188771623</v>
      </c>
      <c r="L147" s="48">
        <v>280500</v>
      </c>
      <c r="M147" s="48">
        <v>281500</v>
      </c>
      <c r="N147" s="51">
        <v>125395903</v>
      </c>
      <c r="O147" s="48">
        <f t="shared" si="28"/>
        <v>2.6902217281479599</v>
      </c>
      <c r="P147" s="48">
        <f t="shared" si="33"/>
        <v>2.6902217281479599</v>
      </c>
      <c r="Q147" s="49">
        <v>0.5</v>
      </c>
      <c r="R147" s="49">
        <f t="shared" si="29"/>
        <v>0.47053968188142509</v>
      </c>
      <c r="S147" s="49">
        <v>207200</v>
      </c>
      <c r="T147" s="49">
        <v>198300</v>
      </c>
      <c r="U147" s="49">
        <v>15956260</v>
      </c>
      <c r="V147" s="49">
        <f t="shared" si="30"/>
        <v>45.391285034054299</v>
      </c>
      <c r="W147" s="49">
        <f t="shared" si="34"/>
        <v>45.391285034054299</v>
      </c>
      <c r="X147" s="82">
        <f>IF(Z146&lt;&gt;(E147*G147*H147+L147*N147*O147+S147*U147*V147),1,0)</f>
        <v>0</v>
      </c>
      <c r="Y147" s="82">
        <f>IF(AND(X147=0,B147="N"),Y146,Y146*(E147*G147*I147+L147*N147*P147+S147*U147*W147)/Z146)</f>
        <v>274362327648340.06</v>
      </c>
      <c r="Z147" s="81">
        <f t="shared" si="35"/>
        <v>305231985590399.12</v>
      </c>
      <c r="AA147" s="80">
        <f t="shared" si="24"/>
        <v>1112.5142004977658</v>
      </c>
      <c r="AB147" s="52">
        <f t="shared" si="31"/>
        <v>-2.4206386288543488E-2</v>
      </c>
      <c r="AC147" s="48">
        <f>(F147-E147)/E147</f>
        <v>-2.1482277121374866E-2</v>
      </c>
      <c r="AD147" s="48">
        <f>(M147-L147)/L147</f>
        <v>3.5650623885918001E-3</v>
      </c>
      <c r="AE147" s="48">
        <f>(T147-S147)/S147</f>
        <v>-4.2953667953667951E-2</v>
      </c>
      <c r="AF147" s="48" t="e">
        <f>(#REF!-#REF!)/#REF!</f>
        <v>#REF!</v>
      </c>
    </row>
    <row r="148" spans="1:32" x14ac:dyDescent="0.3">
      <c r="A148" s="48">
        <v>20180803</v>
      </c>
      <c r="B148" s="48" t="s">
        <v>88</v>
      </c>
      <c r="C148" s="79">
        <v>0.2</v>
      </c>
      <c r="D148" s="79">
        <f t="shared" si="25"/>
        <v>0.21455075058095174</v>
      </c>
      <c r="E148" s="49">
        <v>45550</v>
      </c>
      <c r="F148" s="49">
        <v>45750</v>
      </c>
      <c r="G148" s="49">
        <v>6419324700</v>
      </c>
      <c r="H148" s="49">
        <f t="shared" si="26"/>
        <v>0.227928098803895</v>
      </c>
      <c r="I148" s="49">
        <f t="shared" si="32"/>
        <v>0.227928098803895</v>
      </c>
      <c r="J148" s="48">
        <v>0.3</v>
      </c>
      <c r="K148" s="48">
        <f t="shared" si="27"/>
        <v>0.30328855163482749</v>
      </c>
      <c r="L148" s="48">
        <v>281500</v>
      </c>
      <c r="M148" s="48">
        <v>280500</v>
      </c>
      <c r="N148" s="51">
        <v>125395903</v>
      </c>
      <c r="O148" s="48">
        <f t="shared" si="28"/>
        <v>2.6902217281479599</v>
      </c>
      <c r="P148" s="48">
        <f t="shared" si="33"/>
        <v>2.6902217281479599</v>
      </c>
      <c r="Q148" s="49">
        <v>0.5</v>
      </c>
      <c r="R148" s="49">
        <f t="shared" si="29"/>
        <v>0.48216069778422088</v>
      </c>
      <c r="S148" s="49">
        <v>198300</v>
      </c>
      <c r="T148" s="49">
        <v>207700</v>
      </c>
      <c r="U148" s="49">
        <v>15956260</v>
      </c>
      <c r="V148" s="49">
        <f t="shared" si="30"/>
        <v>45.391285034054299</v>
      </c>
      <c r="W148" s="49">
        <f t="shared" si="34"/>
        <v>45.391285034054299</v>
      </c>
      <c r="X148" s="82">
        <f>IF(Z147&lt;&gt;(E148*G148*H148+L148*N148*O148+S148*U148*V148),1,0)</f>
        <v>0</v>
      </c>
      <c r="Y148" s="82">
        <f>IF(AND(X148=0,B148="N"),Y147,Y147*(E148*G148*I148+L148*N148*P148+S148*U148*W148)/Z147)</f>
        <v>274362327648340.06</v>
      </c>
      <c r="Z148" s="81">
        <f t="shared" si="35"/>
        <v>311995458072355.25</v>
      </c>
      <c r="AA148" s="80">
        <f t="shared" si="24"/>
        <v>1137.1658082455506</v>
      </c>
      <c r="AB148" s="52">
        <f t="shared" si="31"/>
        <v>2.2158465695768206E-2</v>
      </c>
      <c r="AC148" s="48">
        <f>(F148-E148)/E148</f>
        <v>4.3907793633369925E-3</v>
      </c>
      <c r="AD148" s="48">
        <f>(M148-L148)/L148</f>
        <v>-3.552397868561279E-3</v>
      </c>
      <c r="AE148" s="48">
        <f>(T148-S148)/S148</f>
        <v>4.7402924861321229E-2</v>
      </c>
      <c r="AF148" s="48" t="e">
        <f>(#REF!-#REF!)/#REF!</f>
        <v>#REF!</v>
      </c>
    </row>
    <row r="149" spans="1:32" x14ac:dyDescent="0.3">
      <c r="A149" s="48">
        <v>20180806</v>
      </c>
      <c r="B149" s="48" t="s">
        <v>88</v>
      </c>
      <c r="C149" s="79">
        <v>0.2</v>
      </c>
      <c r="D149" s="79">
        <f t="shared" si="25"/>
        <v>0.22090120275327049</v>
      </c>
      <c r="E149" s="49">
        <v>45750</v>
      </c>
      <c r="F149" s="49">
        <v>45800</v>
      </c>
      <c r="G149" s="49">
        <v>6419324700</v>
      </c>
      <c r="H149" s="49">
        <f t="shared" si="26"/>
        <v>0.227928098803895</v>
      </c>
      <c r="I149" s="49">
        <f t="shared" si="32"/>
        <v>0.227928098803895</v>
      </c>
      <c r="J149" s="48">
        <v>0.3</v>
      </c>
      <c r="K149" s="48">
        <f t="shared" si="27"/>
        <v>0.30469643788758977</v>
      </c>
      <c r="L149" s="48">
        <v>280500</v>
      </c>
      <c r="M149" s="48">
        <v>274000</v>
      </c>
      <c r="N149" s="51">
        <v>125395903</v>
      </c>
      <c r="O149" s="48">
        <f t="shared" si="28"/>
        <v>2.6902217281479599</v>
      </c>
      <c r="P149" s="48">
        <f t="shared" si="33"/>
        <v>2.6902217281479599</v>
      </c>
      <c r="Q149" s="49">
        <v>0.5</v>
      </c>
      <c r="R149" s="49">
        <f t="shared" si="29"/>
        <v>0.47440235935913966</v>
      </c>
      <c r="S149" s="49">
        <v>207700</v>
      </c>
      <c r="T149" s="49">
        <v>198700</v>
      </c>
      <c r="U149" s="49">
        <v>15956260</v>
      </c>
      <c r="V149" s="49">
        <f t="shared" si="30"/>
        <v>45.391285034054299</v>
      </c>
      <c r="W149" s="49">
        <f t="shared" si="34"/>
        <v>45.391285034054299</v>
      </c>
      <c r="X149" s="82">
        <f>IF(Z148&lt;&gt;(E149*G149*H149+L149*N149*O149+S149*U149*V149),1,0)</f>
        <v>0</v>
      </c>
      <c r="Y149" s="82">
        <f>IF(AND(X149=0,B149="N"),Y148,Y148*(E149*G149*I149+L149*N149*P149+S149*U149*W149)/Z148)</f>
        <v>274362327648340.06</v>
      </c>
      <c r="Z149" s="81">
        <f t="shared" si="35"/>
        <v>303357410895778.12</v>
      </c>
      <c r="AA149" s="80">
        <f t="shared" si="24"/>
        <v>1105.6817220351115</v>
      </c>
      <c r="AB149" s="52">
        <f t="shared" si="31"/>
        <v>-2.7686451687299257E-2</v>
      </c>
      <c r="AC149" s="48">
        <f>(F149-E149)/E149</f>
        <v>1.092896174863388E-3</v>
      </c>
      <c r="AD149" s="48">
        <f>(M149-L149)/L149</f>
        <v>-2.3172905525846704E-2</v>
      </c>
      <c r="AE149" s="48">
        <f>(T149-S149)/S149</f>
        <v>-4.3331728454501686E-2</v>
      </c>
      <c r="AF149" s="48" t="e">
        <f>(#REF!-#REF!)/#REF!</f>
        <v>#REF!</v>
      </c>
    </row>
    <row r="150" spans="1:32" x14ac:dyDescent="0.3">
      <c r="A150" s="48">
        <v>20180807</v>
      </c>
      <c r="B150" s="48" t="s">
        <v>88</v>
      </c>
      <c r="C150" s="79">
        <v>0.2</v>
      </c>
      <c r="D150" s="79">
        <f t="shared" si="25"/>
        <v>0.2206839241579229</v>
      </c>
      <c r="E150" s="49">
        <v>45800</v>
      </c>
      <c r="F150" s="49">
        <v>46700</v>
      </c>
      <c r="G150" s="49">
        <v>6419324700</v>
      </c>
      <c r="H150" s="49">
        <f t="shared" si="26"/>
        <v>0.227928098803895</v>
      </c>
      <c r="I150" s="49">
        <f t="shared" si="32"/>
        <v>0.227928098803895</v>
      </c>
      <c r="J150" s="48">
        <v>0.3</v>
      </c>
      <c r="K150" s="48">
        <f t="shared" si="27"/>
        <v>0.29907518347790768</v>
      </c>
      <c r="L150" s="48">
        <v>274000</v>
      </c>
      <c r="M150" s="48">
        <v>274500</v>
      </c>
      <c r="N150" s="51">
        <v>125395903</v>
      </c>
      <c r="O150" s="48">
        <f t="shared" si="28"/>
        <v>2.6902217281479599</v>
      </c>
      <c r="P150" s="48">
        <f t="shared" si="33"/>
        <v>2.6902217281479599</v>
      </c>
      <c r="Q150" s="49">
        <v>0.5</v>
      </c>
      <c r="R150" s="49">
        <f t="shared" si="29"/>
        <v>0.48024089236416945</v>
      </c>
      <c r="S150" s="49">
        <v>198700</v>
      </c>
      <c r="T150" s="49">
        <v>205300</v>
      </c>
      <c r="U150" s="49">
        <v>15956260</v>
      </c>
      <c r="V150" s="49">
        <f t="shared" si="30"/>
        <v>45.391285034054299</v>
      </c>
      <c r="W150" s="49">
        <f t="shared" si="34"/>
        <v>45.391285034054299</v>
      </c>
      <c r="X150" s="82">
        <f>IF(Z149&lt;&gt;(E150*G150*H150+L150*N150*O150+S150*U150*V150),1,0)</f>
        <v>0</v>
      </c>
      <c r="Y150" s="82">
        <f>IF(AND(X150=0,B150="N"),Y149,Y149*(E150*G150*I150+L150*N150*P150+S150*U150*W150)/Z149)</f>
        <v>274362327648340.06</v>
      </c>
      <c r="Z150" s="81">
        <f t="shared" si="35"/>
        <v>309623128276109.44</v>
      </c>
      <c r="AA150" s="80">
        <f t="shared" si="24"/>
        <v>1128.5191043901787</v>
      </c>
      <c r="AB150" s="52">
        <f t="shared" si="31"/>
        <v>2.0654571654700742E-2</v>
      </c>
      <c r="AC150" s="48">
        <f>(F150-E150)/E150</f>
        <v>1.9650655021834062E-2</v>
      </c>
      <c r="AD150" s="48">
        <f>(M150-L150)/L150</f>
        <v>1.8248175182481751E-3</v>
      </c>
      <c r="AE150" s="48">
        <f>(T150-S150)/S150</f>
        <v>3.321590337191746E-2</v>
      </c>
      <c r="AF150" s="48" t="e">
        <f>(#REF!-#REF!)/#REF!</f>
        <v>#REF!</v>
      </c>
    </row>
    <row r="151" spans="1:32" x14ac:dyDescent="0.3">
      <c r="A151" s="48">
        <v>20180808</v>
      </c>
      <c r="B151" s="48" t="s">
        <v>88</v>
      </c>
      <c r="C151" s="79">
        <v>0.2</v>
      </c>
      <c r="D151" s="79">
        <f t="shared" si="25"/>
        <v>0.22398546394522909</v>
      </c>
      <c r="E151" s="49">
        <v>46700</v>
      </c>
      <c r="F151" s="49">
        <v>46800</v>
      </c>
      <c r="G151" s="49">
        <v>6419324700</v>
      </c>
      <c r="H151" s="49">
        <f t="shared" si="26"/>
        <v>0.227928098803895</v>
      </c>
      <c r="I151" s="49">
        <f t="shared" si="32"/>
        <v>0.227928098803895</v>
      </c>
      <c r="J151" s="48">
        <v>0.3</v>
      </c>
      <c r="K151" s="48">
        <f t="shared" si="27"/>
        <v>0.30455608102906262</v>
      </c>
      <c r="L151" s="48">
        <v>274500</v>
      </c>
      <c r="M151" s="48">
        <v>276000</v>
      </c>
      <c r="N151" s="51">
        <v>125395903</v>
      </c>
      <c r="O151" s="48">
        <f t="shared" si="28"/>
        <v>2.6902217281479599</v>
      </c>
      <c r="P151" s="48">
        <f t="shared" si="33"/>
        <v>2.6902217281479599</v>
      </c>
      <c r="Q151" s="49">
        <v>0.5</v>
      </c>
      <c r="R151" s="49">
        <f t="shared" si="29"/>
        <v>0.47145845502570832</v>
      </c>
      <c r="S151" s="49">
        <v>205300</v>
      </c>
      <c r="T151" s="49">
        <v>199000</v>
      </c>
      <c r="U151" s="49">
        <v>15956260</v>
      </c>
      <c r="V151" s="49">
        <f t="shared" si="30"/>
        <v>45.391285034054299</v>
      </c>
      <c r="W151" s="49">
        <f t="shared" si="34"/>
        <v>45.391285034054299</v>
      </c>
      <c r="X151" s="82">
        <f>IF(Z150&lt;&gt;(E151*G151*H151+L151*N151*O151+S151*U151*V151),1,0)</f>
        <v>0</v>
      </c>
      <c r="Y151" s="82">
        <f>IF(AND(X151=0,B151="N"),Y150,Y150*(E151*G151*I151+L151*N151*P151+S151*U151*W151)/Z150)</f>
        <v>274362327648340.06</v>
      </c>
      <c r="Z151" s="81">
        <f t="shared" si="35"/>
        <v>305712523479717.87</v>
      </c>
      <c r="AA151" s="80">
        <f t="shared" si="24"/>
        <v>1114.265672332247</v>
      </c>
      <c r="AB151" s="52">
        <f t="shared" si="31"/>
        <v>-1.2630208919355224E-2</v>
      </c>
      <c r="AC151" s="48">
        <f>(F151-E151)/E151</f>
        <v>2.1413276231263384E-3</v>
      </c>
      <c r="AD151" s="48">
        <f>(M151-L151)/L151</f>
        <v>5.4644808743169399E-3</v>
      </c>
      <c r="AE151" s="48">
        <f>(T151-S151)/S151</f>
        <v>-3.0686799805163176E-2</v>
      </c>
      <c r="AF151" s="48" t="e">
        <f>(#REF!-#REF!)/#REF!</f>
        <v>#REF!</v>
      </c>
    </row>
    <row r="152" spans="1:32" x14ac:dyDescent="0.3">
      <c r="A152" s="48">
        <v>20180809</v>
      </c>
      <c r="B152" s="48" t="s">
        <v>88</v>
      </c>
      <c r="C152" s="79">
        <v>0.2</v>
      </c>
      <c r="D152" s="79">
        <f t="shared" si="25"/>
        <v>0.22178328706177289</v>
      </c>
      <c r="E152" s="49">
        <v>46800</v>
      </c>
      <c r="F152" s="49">
        <v>46900</v>
      </c>
      <c r="G152" s="49">
        <v>6419324700</v>
      </c>
      <c r="H152" s="49">
        <f t="shared" si="26"/>
        <v>0.227928098803895</v>
      </c>
      <c r="I152" s="49">
        <f t="shared" si="32"/>
        <v>0.227928098803895</v>
      </c>
      <c r="J152" s="48">
        <v>0.3</v>
      </c>
      <c r="K152" s="48">
        <f t="shared" si="27"/>
        <v>0.30091876236745585</v>
      </c>
      <c r="L152" s="48">
        <v>276000</v>
      </c>
      <c r="M152" s="48">
        <v>276000</v>
      </c>
      <c r="N152" s="51">
        <v>125395903</v>
      </c>
      <c r="O152" s="48">
        <f t="shared" si="28"/>
        <v>2.6902217281479599</v>
      </c>
      <c r="P152" s="48">
        <f t="shared" si="33"/>
        <v>2.6902217281479599</v>
      </c>
      <c r="Q152" s="49">
        <v>0.5</v>
      </c>
      <c r="R152" s="49">
        <f t="shared" si="29"/>
        <v>0.47729795057077135</v>
      </c>
      <c r="S152" s="49">
        <v>199000</v>
      </c>
      <c r="T152" s="49">
        <v>203900</v>
      </c>
      <c r="U152" s="49">
        <v>15956260</v>
      </c>
      <c r="V152" s="49">
        <f t="shared" si="30"/>
        <v>45.391285034054299</v>
      </c>
      <c r="W152" s="49">
        <f t="shared" si="34"/>
        <v>45.391285034054299</v>
      </c>
      <c r="X152" s="82">
        <f>IF(Z151&lt;&gt;(E152*G152*H152+L152*N152*O152+S152*U152*V152),1,0)</f>
        <v>0</v>
      </c>
      <c r="Y152" s="82">
        <f>IF(AND(X152=0,B152="N"),Y151,Y151*(E152*G152*I152+L152*N152*P152+S152*U152*W152)/Z151)</f>
        <v>274362327648340.06</v>
      </c>
      <c r="Z152" s="81">
        <f t="shared" si="35"/>
        <v>309407786141279.12</v>
      </c>
      <c r="AA152" s="80">
        <f t="shared" si="24"/>
        <v>1127.734222089915</v>
      </c>
      <c r="AB152" s="52">
        <f t="shared" si="31"/>
        <v>1.2087377446957658E-2</v>
      </c>
      <c r="AC152" s="48">
        <f>(F152-E152)/E152</f>
        <v>2.136752136752137E-3</v>
      </c>
      <c r="AD152" s="48">
        <f>(M152-L152)/L152</f>
        <v>0</v>
      </c>
      <c r="AE152" s="48">
        <f>(T152-S152)/S152</f>
        <v>2.4623115577889446E-2</v>
      </c>
      <c r="AF152" s="48" t="e">
        <f>(#REF!-#REF!)/#REF!</f>
        <v>#REF!</v>
      </c>
    </row>
    <row r="153" spans="1:32" x14ac:dyDescent="0.3">
      <c r="A153" s="48">
        <v>20180810</v>
      </c>
      <c r="B153" s="48" t="s">
        <v>88</v>
      </c>
      <c r="C153" s="79">
        <v>0.2</v>
      </c>
      <c r="D153" s="79">
        <f t="shared" si="25"/>
        <v>0.21790002184030977</v>
      </c>
      <c r="E153" s="49">
        <v>46900</v>
      </c>
      <c r="F153" s="49">
        <v>45400</v>
      </c>
      <c r="G153" s="49">
        <v>6419324700</v>
      </c>
      <c r="H153" s="49">
        <f t="shared" si="26"/>
        <v>0.227928098803895</v>
      </c>
      <c r="I153" s="49">
        <f t="shared" si="32"/>
        <v>0.227928098803895</v>
      </c>
      <c r="J153" s="48">
        <v>0.3</v>
      </c>
      <c r="K153" s="48">
        <f t="shared" si="27"/>
        <v>0.30099171165267036</v>
      </c>
      <c r="L153" s="48">
        <v>276000</v>
      </c>
      <c r="M153" s="48">
        <v>272000</v>
      </c>
      <c r="N153" s="51">
        <v>125395903</v>
      </c>
      <c r="O153" s="48">
        <f t="shared" si="28"/>
        <v>2.6902217281479599</v>
      </c>
      <c r="P153" s="48">
        <f t="shared" si="33"/>
        <v>2.6902217281479599</v>
      </c>
      <c r="Q153" s="49">
        <v>0.5</v>
      </c>
      <c r="R153" s="49">
        <f t="shared" si="29"/>
        <v>0.48110826650701993</v>
      </c>
      <c r="S153" s="49">
        <v>203900</v>
      </c>
      <c r="T153" s="49">
        <v>202500</v>
      </c>
      <c r="U153" s="49">
        <v>15956260</v>
      </c>
      <c r="V153" s="49">
        <f t="shared" si="30"/>
        <v>45.391285034054299</v>
      </c>
      <c r="W153" s="49">
        <f t="shared" si="34"/>
        <v>45.391285034054299</v>
      </c>
      <c r="X153" s="82">
        <f>IF(Z152&lt;&gt;(E153*G153*H153+L153*N153*O153+S153*U153*V153),1,0)</f>
        <v>0</v>
      </c>
      <c r="Y153" s="82">
        <f>IF(AND(X153=0,B153="N"),Y152,Y152*(E153*G153*I153+L153*N153*P153+S153*U153*W153)/Z152)</f>
        <v>274362327648340.06</v>
      </c>
      <c r="Z153" s="81">
        <f t="shared" si="35"/>
        <v>304849713094047.5</v>
      </c>
      <c r="AA153" s="80">
        <f t="shared" si="24"/>
        <v>1111.1208878676091</v>
      </c>
      <c r="AB153" s="52">
        <f t="shared" si="31"/>
        <v>-1.4731604217452997E-2</v>
      </c>
      <c r="AC153" s="48">
        <f>(F153-E153)/E153</f>
        <v>-3.1982942430703626E-2</v>
      </c>
      <c r="AD153" s="48">
        <f>(M153-L153)/L153</f>
        <v>-1.4492753623188406E-2</v>
      </c>
      <c r="AE153" s="48">
        <f>(T153-S153)/S153</f>
        <v>-6.8661108386463953E-3</v>
      </c>
      <c r="AF153" s="48" t="e">
        <f>(#REF!-#REF!)/#REF!</f>
        <v>#REF!</v>
      </c>
    </row>
    <row r="154" spans="1:32" x14ac:dyDescent="0.3">
      <c r="A154" s="48">
        <v>20180813</v>
      </c>
      <c r="B154" s="48" t="s">
        <v>88</v>
      </c>
      <c r="C154" s="79">
        <v>0.2</v>
      </c>
      <c r="D154" s="79">
        <f t="shared" si="25"/>
        <v>0.22265449959685191</v>
      </c>
      <c r="E154" s="49">
        <v>45400</v>
      </c>
      <c r="F154" s="49">
        <v>45050</v>
      </c>
      <c r="G154" s="49">
        <v>6419324700</v>
      </c>
      <c r="H154" s="49">
        <f t="shared" si="26"/>
        <v>0.227928098803895</v>
      </c>
      <c r="I154" s="49">
        <f t="shared" si="32"/>
        <v>0.227928098803895</v>
      </c>
      <c r="J154" s="48">
        <v>0.3</v>
      </c>
      <c r="K154" s="48">
        <f t="shared" si="27"/>
        <v>0.29684423587337272</v>
      </c>
      <c r="L154" s="48">
        <v>272000</v>
      </c>
      <c r="M154" s="48">
        <v>260500</v>
      </c>
      <c r="N154" s="51">
        <v>125395903</v>
      </c>
      <c r="O154" s="48">
        <f t="shared" si="28"/>
        <v>2.6902217281479599</v>
      </c>
      <c r="P154" s="48">
        <f t="shared" si="33"/>
        <v>2.6902217281479599</v>
      </c>
      <c r="Q154" s="49">
        <v>0.5</v>
      </c>
      <c r="R154" s="49">
        <f t="shared" si="29"/>
        <v>0.48050126452977532</v>
      </c>
      <c r="S154" s="49">
        <v>202500</v>
      </c>
      <c r="T154" s="49">
        <v>196400</v>
      </c>
      <c r="U154" s="49">
        <v>15956260</v>
      </c>
      <c r="V154" s="49">
        <f t="shared" si="30"/>
        <v>45.391285034054299</v>
      </c>
      <c r="W154" s="49">
        <f t="shared" si="34"/>
        <v>45.391285034054299</v>
      </c>
      <c r="X154" s="82">
        <f>IF(Z153&lt;&gt;(E154*G154*H154+L154*N154*O154+S154*U154*V154),1,0)</f>
        <v>0</v>
      </c>
      <c r="Y154" s="82">
        <f>IF(AND(X154=0,B154="N"),Y153,Y153*(E154*G154*I154+L154*N154*P154+S154*U154*W154)/Z153)</f>
        <v>274362327648340.06</v>
      </c>
      <c r="Z154" s="81">
        <f t="shared" si="35"/>
        <v>296040092135962</v>
      </c>
      <c r="AA154" s="80">
        <f t="shared" si="24"/>
        <v>1079.0114469192254</v>
      </c>
      <c r="AB154" s="52">
        <f t="shared" si="31"/>
        <v>-2.889824257557257E-2</v>
      </c>
      <c r="AC154" s="48">
        <f>(F154-E154)/E154</f>
        <v>-7.709251101321586E-3</v>
      </c>
      <c r="AD154" s="48">
        <f>(M154-L154)/L154</f>
        <v>-4.2279411764705885E-2</v>
      </c>
      <c r="AE154" s="48">
        <f>(T154-S154)/S154</f>
        <v>-3.0123456790123456E-2</v>
      </c>
      <c r="AF154" s="48" t="e">
        <f>(#REF!-#REF!)/#REF!</f>
        <v>#REF!</v>
      </c>
    </row>
    <row r="155" spans="1:32" x14ac:dyDescent="0.3">
      <c r="A155" s="48">
        <v>20180814</v>
      </c>
      <c r="B155" s="48" t="s">
        <v>88</v>
      </c>
      <c r="C155" s="79">
        <v>0.2</v>
      </c>
      <c r="D155" s="79">
        <f t="shared" si="25"/>
        <v>0.22209737070834468</v>
      </c>
      <c r="E155" s="49">
        <v>45050</v>
      </c>
      <c r="F155" s="49">
        <v>45150</v>
      </c>
      <c r="G155" s="49">
        <v>6419324700</v>
      </c>
      <c r="H155" s="49">
        <f t="shared" si="26"/>
        <v>0.227928098803895</v>
      </c>
      <c r="I155" s="49">
        <f t="shared" si="32"/>
        <v>0.227928098803895</v>
      </c>
      <c r="J155" s="48">
        <v>0.3</v>
      </c>
      <c r="K155" s="48">
        <f t="shared" si="27"/>
        <v>0.296012725474673</v>
      </c>
      <c r="L155" s="48">
        <v>260500</v>
      </c>
      <c r="M155" s="48">
        <v>261000</v>
      </c>
      <c r="N155" s="51">
        <v>125395903</v>
      </c>
      <c r="O155" s="48">
        <f t="shared" si="28"/>
        <v>2.6902217281479599</v>
      </c>
      <c r="P155" s="48">
        <f t="shared" si="33"/>
        <v>2.6902217281479599</v>
      </c>
      <c r="Q155" s="49">
        <v>0.5</v>
      </c>
      <c r="R155" s="49">
        <f t="shared" si="29"/>
        <v>0.48188990381698221</v>
      </c>
      <c r="S155" s="49">
        <v>196400</v>
      </c>
      <c r="T155" s="49">
        <v>197900</v>
      </c>
      <c r="U155" s="49">
        <v>15956260</v>
      </c>
      <c r="V155" s="49">
        <f t="shared" si="30"/>
        <v>45.391285034054299</v>
      </c>
      <c r="W155" s="49">
        <f t="shared" si="34"/>
        <v>45.391285034054299</v>
      </c>
      <c r="X155" s="82">
        <f>IF(Z154&lt;&gt;(E155*G155*H155+L155*N155*O155+S155*U155*V155),1,0)</f>
        <v>0</v>
      </c>
      <c r="Y155" s="82">
        <f>IF(AND(X155=0,B155="N"),Y154,Y154*(E155*G155*I155+L155*N155*P155+S155*U155*W155)/Z154)</f>
        <v>274362327648340.06</v>
      </c>
      <c r="Z155" s="81">
        <f t="shared" si="35"/>
        <v>297441490693451.5</v>
      </c>
      <c r="AA155" s="80">
        <f t="shared" si="24"/>
        <v>1084.1192857741491</v>
      </c>
      <c r="AB155" s="52">
        <f t="shared" si="31"/>
        <v>4.7338134081038683E-3</v>
      </c>
      <c r="AC155" s="48">
        <f>(F155-E155)/E155</f>
        <v>2.2197558268590455E-3</v>
      </c>
      <c r="AD155" s="48">
        <f>(M155-L155)/L155</f>
        <v>1.9193857965451055E-3</v>
      </c>
      <c r="AE155" s="48">
        <f>(T155-S155)/S155</f>
        <v>7.6374745417515273E-3</v>
      </c>
      <c r="AF155" s="48" t="e">
        <f>(#REF!-#REF!)/#REF!</f>
        <v>#REF!</v>
      </c>
    </row>
    <row r="156" spans="1:32" x14ac:dyDescent="0.3">
      <c r="A156" s="48">
        <v>20180816</v>
      </c>
      <c r="B156" s="48" t="s">
        <v>88</v>
      </c>
      <c r="C156" s="79">
        <v>0.2</v>
      </c>
      <c r="D156" s="79">
        <f t="shared" si="25"/>
        <v>0.22154492000179021</v>
      </c>
      <c r="E156" s="49">
        <v>45150</v>
      </c>
      <c r="F156" s="49">
        <v>44250</v>
      </c>
      <c r="G156" s="49">
        <v>6419324700</v>
      </c>
      <c r="H156" s="49">
        <f t="shared" si="26"/>
        <v>0.227928098803895</v>
      </c>
      <c r="I156" s="49">
        <f t="shared" si="32"/>
        <v>0.227928098803895</v>
      </c>
      <c r="J156" s="48">
        <v>0.3</v>
      </c>
      <c r="K156" s="48">
        <f t="shared" si="27"/>
        <v>0.29839619455779581</v>
      </c>
      <c r="L156" s="48">
        <v>261000</v>
      </c>
      <c r="M156" s="48">
        <v>258500</v>
      </c>
      <c r="N156" s="51">
        <v>125395903</v>
      </c>
      <c r="O156" s="48">
        <f t="shared" si="28"/>
        <v>2.6902217281479599</v>
      </c>
      <c r="P156" s="48">
        <f t="shared" si="33"/>
        <v>2.6902217281479599</v>
      </c>
      <c r="Q156" s="49">
        <v>0.5</v>
      </c>
      <c r="R156" s="49">
        <f t="shared" si="29"/>
        <v>0.48005888544041386</v>
      </c>
      <c r="S156" s="49">
        <v>197900</v>
      </c>
      <c r="T156" s="49">
        <v>193700</v>
      </c>
      <c r="U156" s="49">
        <v>15956260</v>
      </c>
      <c r="V156" s="49">
        <f t="shared" si="30"/>
        <v>45.391285034054299</v>
      </c>
      <c r="W156" s="49">
        <f t="shared" si="34"/>
        <v>45.391285034054299</v>
      </c>
      <c r="X156" s="82">
        <f>IF(Z155&lt;&gt;(E156*G156*H156+L156*N156*O156+S156*U156*V156),1,0)</f>
        <v>0</v>
      </c>
      <c r="Y156" s="82">
        <f>IF(AND(X156=0,B156="N"),Y155,Y155*(E156*G156*I156+L156*N156*P156+S156*U156*W156)/Z155)</f>
        <v>274362327648340.06</v>
      </c>
      <c r="Z156" s="81">
        <f t="shared" si="35"/>
        <v>292239348097147.44</v>
      </c>
      <c r="AA156" s="80">
        <f t="shared" si="24"/>
        <v>1065.1584370275534</v>
      </c>
      <c r="AB156" s="52">
        <f t="shared" si="31"/>
        <v>-1.7489633286115878E-2</v>
      </c>
      <c r="AC156" s="48">
        <f>(F156-E156)/E156</f>
        <v>-1.9933554817275746E-2</v>
      </c>
      <c r="AD156" s="48">
        <f>(M156-L156)/L156</f>
        <v>-9.5785440613026813E-3</v>
      </c>
      <c r="AE156" s="48">
        <f>(T156-S156)/S156</f>
        <v>-2.1222839818089943E-2</v>
      </c>
      <c r="AF156" s="48" t="e">
        <f>(#REF!-#REF!)/#REF!</f>
        <v>#REF!</v>
      </c>
    </row>
    <row r="157" spans="1:32" x14ac:dyDescent="0.3">
      <c r="A157" s="48">
        <v>20180817</v>
      </c>
      <c r="B157" s="48" t="s">
        <v>88</v>
      </c>
      <c r="C157" s="79">
        <v>0.2</v>
      </c>
      <c r="D157" s="79">
        <f t="shared" si="25"/>
        <v>0.21571872478259835</v>
      </c>
      <c r="E157" s="49">
        <v>44250</v>
      </c>
      <c r="F157" s="49">
        <v>44100</v>
      </c>
      <c r="G157" s="49">
        <v>6419324700</v>
      </c>
      <c r="H157" s="49">
        <f t="shared" si="26"/>
        <v>0.227928098803895</v>
      </c>
      <c r="I157" s="49">
        <f t="shared" si="32"/>
        <v>0.227928098803895</v>
      </c>
      <c r="J157" s="48">
        <v>0.3</v>
      </c>
      <c r="K157" s="48">
        <f t="shared" si="27"/>
        <v>0.2966123399815595</v>
      </c>
      <c r="L157" s="48">
        <v>258500</v>
      </c>
      <c r="M157" s="48">
        <v>263000</v>
      </c>
      <c r="N157" s="51">
        <v>125395903</v>
      </c>
      <c r="O157" s="48">
        <f t="shared" si="28"/>
        <v>2.6902217281479599</v>
      </c>
      <c r="P157" s="48">
        <f t="shared" si="33"/>
        <v>2.6902217281479599</v>
      </c>
      <c r="Q157" s="49">
        <v>0.5</v>
      </c>
      <c r="R157" s="49">
        <f t="shared" si="29"/>
        <v>0.48766893523584209</v>
      </c>
      <c r="S157" s="49">
        <v>193700</v>
      </c>
      <c r="T157" s="49">
        <v>201400</v>
      </c>
      <c r="U157" s="49">
        <v>15956260</v>
      </c>
      <c r="V157" s="49">
        <f t="shared" si="30"/>
        <v>45.391285034054299</v>
      </c>
      <c r="W157" s="49">
        <f t="shared" si="34"/>
        <v>45.391285034054299</v>
      </c>
      <c r="X157" s="82">
        <f>IF(Z156&lt;&gt;(E157*G157*H157+L157*N157*O157+S157*U157*V157),1,0)</f>
        <v>0</v>
      </c>
      <c r="Y157" s="82">
        <f>IF(AND(X157=0,B157="N"),Y156,Y156*(E157*G157*I157+L157*N157*P157+S157*U157*W157)/Z156)</f>
        <v>274362327648340.06</v>
      </c>
      <c r="Z157" s="81">
        <f t="shared" si="35"/>
        <v>299114837571075.62</v>
      </c>
      <c r="AA157" s="80">
        <f t="shared" si="24"/>
        <v>1090.2183260176366</v>
      </c>
      <c r="AB157" s="52">
        <f t="shared" si="31"/>
        <v>2.3526912165307255E-2</v>
      </c>
      <c r="AC157" s="48">
        <f>(F157-E157)/E157</f>
        <v>-3.3898305084745762E-3</v>
      </c>
      <c r="AD157" s="48">
        <f>(M157-L157)/L157</f>
        <v>1.7408123791102514E-2</v>
      </c>
      <c r="AE157" s="48">
        <f>(T157-S157)/S157</f>
        <v>3.9752194114610222E-2</v>
      </c>
      <c r="AF157" s="48" t="e">
        <f>(#REF!-#REF!)/#REF!</f>
        <v>#REF!</v>
      </c>
    </row>
    <row r="158" spans="1:32" x14ac:dyDescent="0.3">
      <c r="A158" s="48">
        <v>20180820</v>
      </c>
      <c r="B158" s="48" t="s">
        <v>88</v>
      </c>
      <c r="C158" s="79">
        <v>0.2</v>
      </c>
      <c r="D158" s="79">
        <f t="shared" si="25"/>
        <v>0.2154539663142862</v>
      </c>
      <c r="E158" s="49">
        <v>44100</v>
      </c>
      <c r="F158" s="49">
        <v>43850</v>
      </c>
      <c r="G158" s="49">
        <v>6419324700</v>
      </c>
      <c r="H158" s="49">
        <f t="shared" si="26"/>
        <v>0.227928098803895</v>
      </c>
      <c r="I158" s="49">
        <f t="shared" si="32"/>
        <v>0.227928098803895</v>
      </c>
      <c r="J158" s="48">
        <v>0.3</v>
      </c>
      <c r="K158" s="48">
        <f t="shared" si="27"/>
        <v>0.2956716023009251</v>
      </c>
      <c r="L158" s="48">
        <v>263000</v>
      </c>
      <c r="M158" s="48">
        <v>261000</v>
      </c>
      <c r="N158" s="51">
        <v>125395903</v>
      </c>
      <c r="O158" s="48">
        <f t="shared" si="28"/>
        <v>2.6902217281479599</v>
      </c>
      <c r="P158" s="48">
        <f t="shared" si="33"/>
        <v>2.6902217281479599</v>
      </c>
      <c r="Q158" s="49">
        <v>0.5</v>
      </c>
      <c r="R158" s="49">
        <f t="shared" si="29"/>
        <v>0.4888744313847887</v>
      </c>
      <c r="S158" s="49">
        <v>201400</v>
      </c>
      <c r="T158" s="49">
        <v>201000</v>
      </c>
      <c r="U158" s="49">
        <v>15956260</v>
      </c>
      <c r="V158" s="49">
        <f t="shared" si="30"/>
        <v>45.391285034054299</v>
      </c>
      <c r="W158" s="49">
        <f t="shared" si="34"/>
        <v>45.391285034054299</v>
      </c>
      <c r="X158" s="82">
        <f>IF(Z157&lt;&gt;(E158*G158*H158+L158*N158*O158+S158*U158*V158),1,0)</f>
        <v>0</v>
      </c>
      <c r="Y158" s="82">
        <f>IF(AND(X158=0,B158="N"),Y157,Y157*(E158*G158*I158+L158*N158*P158+S158*U158*W158)/Z157)</f>
        <v>274362327648340.06</v>
      </c>
      <c r="Z158" s="81">
        <f t="shared" si="35"/>
        <v>297784655828419</v>
      </c>
      <c r="AA158" s="80">
        <f t="shared" si="24"/>
        <v>1085.3700592965524</v>
      </c>
      <c r="AB158" s="52">
        <f t="shared" si="31"/>
        <v>-4.447060378074923E-3</v>
      </c>
      <c r="AC158" s="48">
        <f>(F158-E158)/E158</f>
        <v>-5.6689342403628117E-3</v>
      </c>
      <c r="AD158" s="48">
        <f>(M158-L158)/L158</f>
        <v>-7.6045627376425855E-3</v>
      </c>
      <c r="AE158" s="48">
        <f>(T158-S158)/S158</f>
        <v>-1.9860973187686196E-3</v>
      </c>
      <c r="AF158" s="48" t="e">
        <f>(#REF!-#REF!)/#REF!</f>
        <v>#REF!</v>
      </c>
    </row>
    <row r="159" spans="1:32" x14ac:dyDescent="0.3">
      <c r="A159" s="48">
        <v>20180821</v>
      </c>
      <c r="B159" s="48" t="s">
        <v>88</v>
      </c>
      <c r="C159" s="79">
        <v>0.2</v>
      </c>
      <c r="D159" s="79">
        <f t="shared" si="25"/>
        <v>0.20912869038239132</v>
      </c>
      <c r="E159" s="49">
        <v>43850</v>
      </c>
      <c r="F159" s="49">
        <v>44800</v>
      </c>
      <c r="G159" s="49">
        <v>6419324700</v>
      </c>
      <c r="H159" s="49">
        <f t="shared" si="26"/>
        <v>0.227928098803895</v>
      </c>
      <c r="I159" s="49">
        <f t="shared" si="32"/>
        <v>0.227928098803895</v>
      </c>
      <c r="J159" s="48">
        <v>0.3</v>
      </c>
      <c r="K159" s="48">
        <f t="shared" si="27"/>
        <v>0.28897755055622276</v>
      </c>
      <c r="L159" s="48">
        <v>261000</v>
      </c>
      <c r="M159" s="48">
        <v>268500</v>
      </c>
      <c r="N159" s="51">
        <v>125395903</v>
      </c>
      <c r="O159" s="48">
        <f t="shared" si="28"/>
        <v>2.6902217281479599</v>
      </c>
      <c r="P159" s="48">
        <f t="shared" si="33"/>
        <v>2.6902217281479599</v>
      </c>
      <c r="Q159" s="49">
        <v>0.5</v>
      </c>
      <c r="R159" s="49">
        <f t="shared" si="29"/>
        <v>0.501893759061386</v>
      </c>
      <c r="S159" s="49">
        <v>201000</v>
      </c>
      <c r="T159" s="49">
        <v>217200</v>
      </c>
      <c r="U159" s="49">
        <v>15956260</v>
      </c>
      <c r="V159" s="49">
        <f t="shared" si="30"/>
        <v>45.391285034054299</v>
      </c>
      <c r="W159" s="49">
        <f t="shared" si="34"/>
        <v>45.391285034054299</v>
      </c>
      <c r="X159" s="82">
        <f>IF(Z158&lt;&gt;(E159*G159*H159+L159*N159*O159+S159*U159*V159),1,0)</f>
        <v>0</v>
      </c>
      <c r="Y159" s="82">
        <f>IF(AND(X159=0,B159="N"),Y158,Y158*(E159*G159*I159+L159*N159*P159+S159*U159*W159)/Z158)</f>
        <v>274362327648340.06</v>
      </c>
      <c r="Z159" s="81">
        <f t="shared" si="35"/>
        <v>313437971311653.25</v>
      </c>
      <c r="AA159" s="80">
        <f t="shared" si="24"/>
        <v>1142.4235025203527</v>
      </c>
      <c r="AB159" s="52">
        <f t="shared" si="31"/>
        <v>5.2565890071426542E-2</v>
      </c>
      <c r="AC159" s="48">
        <f>(F159-E159)/E159</f>
        <v>2.1664766248574687E-2</v>
      </c>
      <c r="AD159" s="48">
        <f>(M159-L159)/L159</f>
        <v>2.8735632183908046E-2</v>
      </c>
      <c r="AE159" s="48">
        <f>(T159-S159)/S159</f>
        <v>8.0597014925373134E-2</v>
      </c>
      <c r="AF159" s="48" t="e">
        <f>(#REF!-#REF!)/#REF!</f>
        <v>#REF!</v>
      </c>
    </row>
    <row r="160" spans="1:32" x14ac:dyDescent="0.3">
      <c r="A160" s="48">
        <v>20180822</v>
      </c>
      <c r="B160" s="48" t="s">
        <v>88</v>
      </c>
      <c r="C160" s="79">
        <v>0.2</v>
      </c>
      <c r="D160" s="79">
        <f t="shared" si="25"/>
        <v>0.2139482570032564</v>
      </c>
      <c r="E160" s="49">
        <v>44800</v>
      </c>
      <c r="F160" s="49">
        <v>46100</v>
      </c>
      <c r="G160" s="49">
        <v>6419324700</v>
      </c>
      <c r="H160" s="49">
        <f t="shared" si="26"/>
        <v>0.227928098803895</v>
      </c>
      <c r="I160" s="49">
        <f t="shared" si="32"/>
        <v>0.227928098803895</v>
      </c>
      <c r="J160" s="48">
        <v>0.3</v>
      </c>
      <c r="K160" s="48">
        <f t="shared" si="27"/>
        <v>0.28730046512317009</v>
      </c>
      <c r="L160" s="48">
        <v>268500</v>
      </c>
      <c r="M160" s="48">
        <v>268500</v>
      </c>
      <c r="N160" s="51">
        <v>125395903</v>
      </c>
      <c r="O160" s="48">
        <f t="shared" si="28"/>
        <v>2.6902217281479599</v>
      </c>
      <c r="P160" s="48">
        <f t="shared" si="33"/>
        <v>2.6902217281479599</v>
      </c>
      <c r="Q160" s="49">
        <v>0.5</v>
      </c>
      <c r="R160" s="49">
        <f t="shared" si="29"/>
        <v>0.49875127787357365</v>
      </c>
      <c r="S160" s="49">
        <v>217200</v>
      </c>
      <c r="T160" s="49">
        <v>217100</v>
      </c>
      <c r="U160" s="49">
        <v>15956260</v>
      </c>
      <c r="V160" s="49">
        <f t="shared" si="30"/>
        <v>45.391285034054299</v>
      </c>
      <c r="W160" s="49">
        <f t="shared" si="34"/>
        <v>45.391285034054299</v>
      </c>
      <c r="X160" s="82">
        <f>IF(Z159&lt;&gt;(E160*G160*H160+L160*N160*O160+S160*U160*V160),1,0)</f>
        <v>0</v>
      </c>
      <c r="Y160" s="82">
        <f>IF(AND(X160=0,B160="N"),Y159,Y159*(E160*G160*I160+L160*N160*P160+S160*U160*W160)/Z159)</f>
        <v>274362327648340.06</v>
      </c>
      <c r="Z160" s="81">
        <f t="shared" si="35"/>
        <v>315267631613898.12</v>
      </c>
      <c r="AA160" s="80">
        <f t="shared" si="24"/>
        <v>1149.0922763200485</v>
      </c>
      <c r="AB160" s="52">
        <f t="shared" si="31"/>
        <v>5.8373919872827728E-3</v>
      </c>
      <c r="AC160" s="48">
        <f>(F160-E160)/E160</f>
        <v>2.9017857142857144E-2</v>
      </c>
      <c r="AD160" s="48">
        <f>(M160-L160)/L160</f>
        <v>0</v>
      </c>
      <c r="AE160" s="48">
        <f>(T160-S160)/S160</f>
        <v>-4.6040515653775324E-4</v>
      </c>
      <c r="AF160" s="48" t="e">
        <f>(#REF!-#REF!)/#REF!</f>
        <v>#REF!</v>
      </c>
    </row>
    <row r="161" spans="1:32" x14ac:dyDescent="0.3">
      <c r="A161" s="48">
        <v>20180823</v>
      </c>
      <c r="B161" s="48" t="s">
        <v>88</v>
      </c>
      <c r="C161" s="79">
        <v>0.2</v>
      </c>
      <c r="D161" s="79">
        <f t="shared" si="25"/>
        <v>0.21286521844051645</v>
      </c>
      <c r="E161" s="49">
        <v>46100</v>
      </c>
      <c r="F161" s="49">
        <v>46200</v>
      </c>
      <c r="G161" s="49">
        <v>6419324700</v>
      </c>
      <c r="H161" s="49">
        <f t="shared" si="26"/>
        <v>0.227928098803895</v>
      </c>
      <c r="I161" s="49">
        <f t="shared" si="32"/>
        <v>0.227928098803895</v>
      </c>
      <c r="J161" s="48">
        <v>0.3</v>
      </c>
      <c r="K161" s="48">
        <f t="shared" si="27"/>
        <v>0.29107003879292698</v>
      </c>
      <c r="L161" s="48">
        <v>268500</v>
      </c>
      <c r="M161" s="48">
        <v>274000</v>
      </c>
      <c r="N161" s="51">
        <v>125395903</v>
      </c>
      <c r="O161" s="48">
        <f t="shared" si="28"/>
        <v>2.6902217281479599</v>
      </c>
      <c r="P161" s="48">
        <f t="shared" si="33"/>
        <v>2.6902217281479599</v>
      </c>
      <c r="Q161" s="49">
        <v>0.5</v>
      </c>
      <c r="R161" s="49">
        <f t="shared" si="29"/>
        <v>0.4960647427665566</v>
      </c>
      <c r="S161" s="49">
        <v>217100</v>
      </c>
      <c r="T161" s="49">
        <v>217500</v>
      </c>
      <c r="U161" s="49">
        <v>15956260</v>
      </c>
      <c r="V161" s="49">
        <f t="shared" si="30"/>
        <v>45.391285034054299</v>
      </c>
      <c r="W161" s="49">
        <f t="shared" si="34"/>
        <v>45.391285034054299</v>
      </c>
      <c r="X161" s="82">
        <f>IF(Z160&lt;&gt;(E161*G161*H161+L161*N161*O161+S161*U161*V161),1,0)</f>
        <v>0</v>
      </c>
      <c r="Y161" s="82">
        <f>IF(AND(X161=0,B161="N"),Y160,Y160*(E161*G161*I161+L161*N161*P161+S161*U161*W161)/Z160)</f>
        <v>274362327648340.06</v>
      </c>
      <c r="Z161" s="81">
        <f t="shared" si="35"/>
        <v>317559041425433.06</v>
      </c>
      <c r="AA161" s="80">
        <f t="shared" si="24"/>
        <v>1157.4440417798894</v>
      </c>
      <c r="AB161" s="52">
        <f t="shared" si="31"/>
        <v>7.2681416731711669E-3</v>
      </c>
      <c r="AC161" s="48">
        <f>(F161-E161)/E161</f>
        <v>2.1691973969631237E-3</v>
      </c>
      <c r="AD161" s="48">
        <f>(M161-L161)/L161</f>
        <v>2.0484171322160148E-2</v>
      </c>
      <c r="AE161" s="48">
        <f>(T161-S161)/S161</f>
        <v>1.8424689083371719E-3</v>
      </c>
      <c r="AF161" s="48" t="e">
        <f>(#REF!-#REF!)/#REF!</f>
        <v>#REF!</v>
      </c>
    </row>
    <row r="162" spans="1:32" x14ac:dyDescent="0.3">
      <c r="A162" s="48">
        <v>20180824</v>
      </c>
      <c r="B162" s="48" t="s">
        <v>88</v>
      </c>
      <c r="C162" s="79">
        <v>0.2</v>
      </c>
      <c r="D162" s="79">
        <f t="shared" si="25"/>
        <v>0.20973566869424978</v>
      </c>
      <c r="E162" s="49">
        <v>46200</v>
      </c>
      <c r="F162" s="49">
        <v>46150</v>
      </c>
      <c r="G162" s="49">
        <v>6419324700</v>
      </c>
      <c r="H162" s="49">
        <f t="shared" si="26"/>
        <v>0.227928098803895</v>
      </c>
      <c r="I162" s="49">
        <f t="shared" si="32"/>
        <v>0.227928098803895</v>
      </c>
      <c r="J162" s="48">
        <v>0.3</v>
      </c>
      <c r="K162" s="48">
        <f t="shared" si="27"/>
        <v>0.29286442069092739</v>
      </c>
      <c r="L162" s="48">
        <v>274000</v>
      </c>
      <c r="M162" s="48">
        <v>279500</v>
      </c>
      <c r="N162" s="51">
        <v>125395903</v>
      </c>
      <c r="O162" s="48">
        <f t="shared" si="28"/>
        <v>2.6902217281479599</v>
      </c>
      <c r="P162" s="48">
        <f t="shared" si="33"/>
        <v>2.6902217281479599</v>
      </c>
      <c r="Q162" s="49">
        <v>0.5</v>
      </c>
      <c r="R162" s="49">
        <f t="shared" si="29"/>
        <v>0.49739991061482292</v>
      </c>
      <c r="S162" s="49">
        <v>217500</v>
      </c>
      <c r="T162" s="49">
        <v>221100</v>
      </c>
      <c r="U162" s="49">
        <v>15956260</v>
      </c>
      <c r="V162" s="49">
        <f t="shared" si="30"/>
        <v>45.391285034054299</v>
      </c>
      <c r="W162" s="49">
        <f t="shared" si="34"/>
        <v>45.391285034054299</v>
      </c>
      <c r="X162" s="82">
        <f>IF(Z161&lt;&gt;(E162*G162*H162+L162*N162*O162+S162*U162*V162),1,0)</f>
        <v>0</v>
      </c>
      <c r="Y162" s="82">
        <f>IF(AND(X162=0,B162="N"),Y161,Y161*(E162*G162*I162+L162*N162*P162+S162*U162*W162)/Z161)</f>
        <v>274362327648340.06</v>
      </c>
      <c r="Z162" s="81">
        <f t="shared" si="35"/>
        <v>321948660032156.5</v>
      </c>
      <c r="AA162" s="80">
        <f t="shared" si="24"/>
        <v>1173.4433906859456</v>
      </c>
      <c r="AB162" s="52">
        <f t="shared" si="31"/>
        <v>1.3822999927886598E-2</v>
      </c>
      <c r="AC162" s="48">
        <f>(F162-E162)/E162</f>
        <v>-1.0822510822510823E-3</v>
      </c>
      <c r="AD162" s="48">
        <f>(M162-L162)/L162</f>
        <v>2.0072992700729927E-2</v>
      </c>
      <c r="AE162" s="48">
        <f>(T162-S162)/S162</f>
        <v>1.6551724137931035E-2</v>
      </c>
      <c r="AF162" s="48" t="e">
        <f>(#REF!-#REF!)/#REF!</f>
        <v>#REF!</v>
      </c>
    </row>
    <row r="163" spans="1:32" x14ac:dyDescent="0.3">
      <c r="A163" s="48">
        <v>20180827</v>
      </c>
      <c r="B163" s="48" t="s">
        <v>88</v>
      </c>
      <c r="C163" s="79">
        <v>0.2</v>
      </c>
      <c r="D163" s="79">
        <f t="shared" si="25"/>
        <v>0.21074716963901902</v>
      </c>
      <c r="E163" s="49">
        <v>46150</v>
      </c>
      <c r="F163" s="49">
        <v>46300</v>
      </c>
      <c r="G163" s="49">
        <v>6419324700</v>
      </c>
      <c r="H163" s="49">
        <f t="shared" si="26"/>
        <v>0.227928098803895</v>
      </c>
      <c r="I163" s="49">
        <f t="shared" si="32"/>
        <v>0.227928098803895</v>
      </c>
      <c r="J163" s="48">
        <v>0.3</v>
      </c>
      <c r="K163" s="48">
        <f t="shared" si="27"/>
        <v>0.29174926280125069</v>
      </c>
      <c r="L163" s="48">
        <v>279500</v>
      </c>
      <c r="M163" s="48">
        <v>278000</v>
      </c>
      <c r="N163" s="51">
        <v>125395903</v>
      </c>
      <c r="O163" s="48">
        <f t="shared" si="28"/>
        <v>2.6902217281479599</v>
      </c>
      <c r="P163" s="48">
        <f t="shared" si="33"/>
        <v>2.6902217281479599</v>
      </c>
      <c r="Q163" s="49">
        <v>0.5</v>
      </c>
      <c r="R163" s="49">
        <f t="shared" si="29"/>
        <v>0.49750356755973041</v>
      </c>
      <c r="S163" s="49">
        <v>221100</v>
      </c>
      <c r="T163" s="49">
        <v>220800</v>
      </c>
      <c r="U163" s="49">
        <v>15956260</v>
      </c>
      <c r="V163" s="49">
        <f t="shared" si="30"/>
        <v>45.391285034054299</v>
      </c>
      <c r="W163" s="49">
        <f t="shared" si="34"/>
        <v>45.391285034054299</v>
      </c>
      <c r="X163" s="82">
        <f>IF(Z162&lt;&gt;(E163*G163*H163+L163*N163*O163+S163*U163*V163),1,0)</f>
        <v>0</v>
      </c>
      <c r="Y163" s="82">
        <f>IF(AND(X163=0,B163="N"),Y162,Y162*(E163*G163*I163+L163*N163*P163+S163*U163*W163)/Z162)</f>
        <v>274362327648340.06</v>
      </c>
      <c r="Z163" s="81">
        <f t="shared" si="35"/>
        <v>321444834985299.62</v>
      </c>
      <c r="AA163" s="80">
        <f t="shared" si="24"/>
        <v>1171.607041464187</v>
      </c>
      <c r="AB163" s="52">
        <f t="shared" si="31"/>
        <v>-1.5649235713749749E-3</v>
      </c>
      <c r="AC163" s="48">
        <f>(F163-E163)/E163</f>
        <v>3.2502708559046588E-3</v>
      </c>
      <c r="AD163" s="48">
        <f>(M163-L163)/L163</f>
        <v>-5.3667262969588547E-3</v>
      </c>
      <c r="AE163" s="48">
        <f>(T163-S163)/S163</f>
        <v>-1.3568521031207597E-3</v>
      </c>
      <c r="AF163" s="48" t="e">
        <f>(#REF!-#REF!)/#REF!</f>
        <v>#REF!</v>
      </c>
    </row>
    <row r="164" spans="1:32" x14ac:dyDescent="0.3">
      <c r="A164" s="48">
        <v>20180828</v>
      </c>
      <c r="B164" s="48" t="s">
        <v>88</v>
      </c>
      <c r="C164" s="79">
        <v>0.2</v>
      </c>
      <c r="D164" s="79">
        <f t="shared" si="25"/>
        <v>0.21356297920506356</v>
      </c>
      <c r="E164" s="49">
        <v>46300</v>
      </c>
      <c r="F164" s="49">
        <v>46550</v>
      </c>
      <c r="G164" s="49">
        <v>6419324700</v>
      </c>
      <c r="H164" s="49">
        <f t="shared" si="26"/>
        <v>0.227928098803895</v>
      </c>
      <c r="I164" s="49">
        <f t="shared" si="32"/>
        <v>0.227928098803895</v>
      </c>
      <c r="J164" s="48">
        <v>0.3</v>
      </c>
      <c r="K164" s="48">
        <f t="shared" si="27"/>
        <v>0.28453963957171269</v>
      </c>
      <c r="L164" s="48">
        <v>278000</v>
      </c>
      <c r="M164" s="48">
        <v>269000</v>
      </c>
      <c r="N164" s="51">
        <v>125395903</v>
      </c>
      <c r="O164" s="48">
        <f t="shared" si="28"/>
        <v>2.6902217281479599</v>
      </c>
      <c r="P164" s="48">
        <f t="shared" si="33"/>
        <v>2.6902217281479599</v>
      </c>
      <c r="Q164" s="49">
        <v>0.5</v>
      </c>
      <c r="R164" s="49">
        <f t="shared" si="29"/>
        <v>0.50189738122322369</v>
      </c>
      <c r="S164" s="49">
        <v>220800</v>
      </c>
      <c r="T164" s="49">
        <v>221000</v>
      </c>
      <c r="U164" s="49">
        <v>15956260</v>
      </c>
      <c r="V164" s="49">
        <f t="shared" si="30"/>
        <v>45.391285034054299</v>
      </c>
      <c r="W164" s="49">
        <f t="shared" si="34"/>
        <v>45.391285034054299</v>
      </c>
      <c r="X164" s="82">
        <f>IF(Z163&lt;&gt;(E164*G164*H164+L164*N164*O164+S164*U164*V164),1,0)</f>
        <v>0</v>
      </c>
      <c r="Y164" s="82">
        <f>IF(AND(X164=0,B164="N"),Y163,Y163*(E164*G164*I164+L164*N164*P164+S164*U164*W164)/Z163)</f>
        <v>274362327648340.06</v>
      </c>
      <c r="Z164" s="81">
        <f t="shared" si="35"/>
        <v>318919391087224.12</v>
      </c>
      <c r="AA164" s="80">
        <f t="shared" si="24"/>
        <v>1162.4022649931533</v>
      </c>
      <c r="AB164" s="52">
        <f t="shared" si="31"/>
        <v>-7.8565390487328138E-3</v>
      </c>
      <c r="AC164" s="48">
        <f>(F164-E164)/E164</f>
        <v>5.3995680345572351E-3</v>
      </c>
      <c r="AD164" s="48">
        <f>(M164-L164)/L164</f>
        <v>-3.237410071942446E-2</v>
      </c>
      <c r="AE164" s="48">
        <f>(T164-S164)/S164</f>
        <v>9.0579710144927537E-4</v>
      </c>
      <c r="AF164" s="48" t="e">
        <f>(#REF!-#REF!)/#REF!</f>
        <v>#REF!</v>
      </c>
    </row>
    <row r="165" spans="1:32" x14ac:dyDescent="0.3">
      <c r="A165" s="48">
        <v>20180829</v>
      </c>
      <c r="B165" s="48" t="s">
        <v>88</v>
      </c>
      <c r="C165" s="79">
        <v>0.2</v>
      </c>
      <c r="D165" s="79">
        <f t="shared" si="25"/>
        <v>0.21314260876612889</v>
      </c>
      <c r="E165" s="49">
        <v>46550</v>
      </c>
      <c r="F165" s="49">
        <v>46800</v>
      </c>
      <c r="G165" s="49">
        <v>6419324700</v>
      </c>
      <c r="H165" s="49">
        <f t="shared" si="26"/>
        <v>0.227928098803895</v>
      </c>
      <c r="I165" s="49">
        <f t="shared" si="32"/>
        <v>0.227928098803895</v>
      </c>
      <c r="J165" s="48">
        <v>0.3</v>
      </c>
      <c r="K165" s="48">
        <f t="shared" si="27"/>
        <v>0.28298759951889324</v>
      </c>
      <c r="L165" s="48">
        <v>269000</v>
      </c>
      <c r="M165" s="48">
        <v>269500</v>
      </c>
      <c r="N165" s="51">
        <v>125395903</v>
      </c>
      <c r="O165" s="48">
        <f t="shared" si="28"/>
        <v>2.6902217281479599</v>
      </c>
      <c r="P165" s="48">
        <f t="shared" si="33"/>
        <v>2.6902217281479599</v>
      </c>
      <c r="Q165" s="49">
        <v>0.5</v>
      </c>
      <c r="R165" s="49">
        <f t="shared" si="29"/>
        <v>0.50386979171497781</v>
      </c>
      <c r="S165" s="49">
        <v>221000</v>
      </c>
      <c r="T165" s="49">
        <v>223500</v>
      </c>
      <c r="U165" s="49">
        <v>15956260</v>
      </c>
      <c r="V165" s="49">
        <f t="shared" si="30"/>
        <v>45.391285034054299</v>
      </c>
      <c r="W165" s="49">
        <f t="shared" si="34"/>
        <v>45.391285034054299</v>
      </c>
      <c r="X165" s="82">
        <f>IF(Z164&lt;&gt;(E165*G165*H165+L165*N165*O165+S165*U165*V165),1,0)</f>
        <v>0</v>
      </c>
      <c r="Y165" s="82">
        <f>IF(AND(X165=0,B165="N"),Y164,Y164*(E165*G165*I165+L165*N165*P165+S165*U165*W165)/Z164)</f>
        <v>274362327648340.06</v>
      </c>
      <c r="Z165" s="81">
        <f t="shared" si="35"/>
        <v>321264536461622.5</v>
      </c>
      <c r="AA165" s="80">
        <f t="shared" si="24"/>
        <v>1170.9498866528013</v>
      </c>
      <c r="AB165" s="52">
        <f t="shared" si="31"/>
        <v>7.3534110497439345E-3</v>
      </c>
      <c r="AC165" s="48">
        <f>(F165-E165)/E165</f>
        <v>5.3705692803437165E-3</v>
      </c>
      <c r="AD165" s="48">
        <f>(M165-L165)/L165</f>
        <v>1.8587360594795538E-3</v>
      </c>
      <c r="AE165" s="48">
        <f>(T165-S165)/S165</f>
        <v>1.1312217194570135E-2</v>
      </c>
      <c r="AF165" s="48" t="e">
        <f>(#REF!-#REF!)/#REF!</f>
        <v>#REF!</v>
      </c>
    </row>
    <row r="166" spans="1:32" x14ac:dyDescent="0.3">
      <c r="A166" s="48">
        <v>20180830</v>
      </c>
      <c r="B166" s="48" t="s">
        <v>88</v>
      </c>
      <c r="C166" s="79">
        <v>0.2</v>
      </c>
      <c r="D166" s="79">
        <f t="shared" si="25"/>
        <v>0.21622417558888024</v>
      </c>
      <c r="E166" s="49">
        <v>46800</v>
      </c>
      <c r="F166" s="49">
        <v>47650</v>
      </c>
      <c r="G166" s="49">
        <v>6419324700</v>
      </c>
      <c r="H166" s="49">
        <f t="shared" si="26"/>
        <v>0.227928098803895</v>
      </c>
      <c r="I166" s="49">
        <f t="shared" si="32"/>
        <v>0.227928098803895</v>
      </c>
      <c r="J166" s="48">
        <v>0.3</v>
      </c>
      <c r="K166" s="48">
        <f t="shared" si="27"/>
        <v>0.27881925987928147</v>
      </c>
      <c r="L166" s="48">
        <v>269500</v>
      </c>
      <c r="M166" s="48">
        <v>266500</v>
      </c>
      <c r="N166" s="51">
        <v>125395903</v>
      </c>
      <c r="O166" s="48">
        <f t="shared" si="28"/>
        <v>2.6902217281479599</v>
      </c>
      <c r="P166" s="48">
        <f t="shared" si="33"/>
        <v>2.6902217281479599</v>
      </c>
      <c r="Q166" s="49">
        <v>0.5</v>
      </c>
      <c r="R166" s="49">
        <f t="shared" si="29"/>
        <v>0.50495656453183813</v>
      </c>
      <c r="S166" s="49">
        <v>223500</v>
      </c>
      <c r="T166" s="49">
        <v>224800</v>
      </c>
      <c r="U166" s="49">
        <v>15956260</v>
      </c>
      <c r="V166" s="49">
        <f t="shared" si="30"/>
        <v>45.391285034054299</v>
      </c>
      <c r="W166" s="49">
        <f t="shared" si="34"/>
        <v>45.391285034054299</v>
      </c>
      <c r="X166" s="82">
        <f>IF(Z165&lt;&gt;(E166*G166*H166+L166*N166*O166+S166*U166*V166),1,0)</f>
        <v>0</v>
      </c>
      <c r="Y166" s="82">
        <f>IF(AND(X166=0,B166="N"),Y165,Y165*(E166*G166*I166+L166*N166*P166+S166*U166*W166)/Z165)</f>
        <v>274362327648340.06</v>
      </c>
      <c r="Z166" s="81">
        <f t="shared" si="35"/>
        <v>322437738605771.75</v>
      </c>
      <c r="AA166" s="80">
        <f t="shared" si="24"/>
        <v>1175.2259917369254</v>
      </c>
      <c r="AB166" s="52">
        <f t="shared" si="31"/>
        <v>3.6518258662182972E-3</v>
      </c>
      <c r="AC166" s="48">
        <f>(F166-E166)/E166</f>
        <v>1.8162393162393164E-2</v>
      </c>
      <c r="AD166" s="48">
        <f>(M166-L166)/L166</f>
        <v>-1.1131725417439703E-2</v>
      </c>
      <c r="AE166" s="48">
        <f>(T166-S166)/S166</f>
        <v>5.8165548098434005E-3</v>
      </c>
      <c r="AF166" s="48" t="e">
        <f>(#REF!-#REF!)/#REF!</f>
        <v>#REF!</v>
      </c>
    </row>
    <row r="167" spans="1:32" x14ac:dyDescent="0.3">
      <c r="A167" s="48">
        <v>20180831</v>
      </c>
      <c r="B167" s="48" t="s">
        <v>88</v>
      </c>
      <c r="C167" s="79">
        <v>0.2</v>
      </c>
      <c r="D167" s="79">
        <f t="shared" si="25"/>
        <v>0.21243593874537736</v>
      </c>
      <c r="E167" s="49">
        <v>47650</v>
      </c>
      <c r="F167" s="49">
        <v>48450</v>
      </c>
      <c r="G167" s="49">
        <v>6419324700</v>
      </c>
      <c r="H167" s="49">
        <f t="shared" si="26"/>
        <v>0.227928098803895</v>
      </c>
      <c r="I167" s="49">
        <f t="shared" si="32"/>
        <v>0.227928098803895</v>
      </c>
      <c r="J167" s="48">
        <v>0.3</v>
      </c>
      <c r="K167" s="48">
        <f t="shared" si="27"/>
        <v>0.27294942558360896</v>
      </c>
      <c r="L167" s="48">
        <v>266500</v>
      </c>
      <c r="M167" s="48">
        <v>270000</v>
      </c>
      <c r="N167" s="51">
        <v>125395903</v>
      </c>
      <c r="O167" s="48">
        <f t="shared" si="28"/>
        <v>2.6902217281479599</v>
      </c>
      <c r="P167" s="48">
        <f t="shared" si="33"/>
        <v>2.6902217281479599</v>
      </c>
      <c r="Q167" s="49">
        <v>0.5</v>
      </c>
      <c r="R167" s="49">
        <f t="shared" si="29"/>
        <v>0.51461463567101351</v>
      </c>
      <c r="S167" s="49">
        <v>224800</v>
      </c>
      <c r="T167" s="49">
        <v>237100</v>
      </c>
      <c r="U167" s="49">
        <v>15956260</v>
      </c>
      <c r="V167" s="49">
        <f t="shared" si="30"/>
        <v>45.391285034054299</v>
      </c>
      <c r="W167" s="49">
        <f t="shared" si="34"/>
        <v>45.391285034054299</v>
      </c>
      <c r="X167" s="82">
        <f>IF(Z166&lt;&gt;(E167*G167*H167+L167*N167*O167+S167*U167*V167),1,0)</f>
        <v>0</v>
      </c>
      <c r="Y167" s="82">
        <f>IF(AND(X167=0,B167="N"),Y166,Y166*(E167*G167*I167+L167*N167*P167+S167*U167*W167)/Z166)</f>
        <v>274362327648340.06</v>
      </c>
      <c r="Z167" s="81">
        <f t="shared" si="35"/>
        <v>333697538217973.12</v>
      </c>
      <c r="AA167" s="80">
        <f t="shared" si="24"/>
        <v>1216.2658812462223</v>
      </c>
      <c r="AB167" s="52">
        <f t="shared" si="31"/>
        <v>3.4920849094429933E-2</v>
      </c>
      <c r="AC167" s="48">
        <f>(F167-E167)/E167</f>
        <v>1.6789087093389297E-2</v>
      </c>
      <c r="AD167" s="48">
        <f>(M167-L167)/L167</f>
        <v>1.3133208255159476E-2</v>
      </c>
      <c r="AE167" s="48">
        <f>(T167-S167)/S167</f>
        <v>5.47153024911032E-2</v>
      </c>
      <c r="AF167" s="48" t="e">
        <f>(#REF!-#REF!)/#REF!</f>
        <v>#REF!</v>
      </c>
    </row>
    <row r="168" spans="1:32" x14ac:dyDescent="0.3">
      <c r="A168" s="48">
        <v>20180903</v>
      </c>
      <c r="B168" s="48" t="s">
        <v>88</v>
      </c>
      <c r="C168" s="79">
        <v>0.2</v>
      </c>
      <c r="D168" s="79">
        <f t="shared" si="25"/>
        <v>0.21057298491100385</v>
      </c>
      <c r="E168" s="49">
        <v>48450</v>
      </c>
      <c r="F168" s="49">
        <v>47450</v>
      </c>
      <c r="G168" s="49">
        <v>6419324700</v>
      </c>
      <c r="H168" s="49">
        <f t="shared" si="26"/>
        <v>0.227928098803895</v>
      </c>
      <c r="I168" s="49">
        <f t="shared" si="32"/>
        <v>0.227928098803895</v>
      </c>
      <c r="J168" s="48">
        <v>0.3</v>
      </c>
      <c r="K168" s="48">
        <f t="shared" si="27"/>
        <v>0.27318818305663828</v>
      </c>
      <c r="L168" s="48">
        <v>270000</v>
      </c>
      <c r="M168" s="48">
        <v>267000</v>
      </c>
      <c r="N168" s="51">
        <v>125395903</v>
      </c>
      <c r="O168" s="48">
        <f t="shared" si="28"/>
        <v>2.6902217281479599</v>
      </c>
      <c r="P168" s="48">
        <f t="shared" si="33"/>
        <v>2.6902217281479599</v>
      </c>
      <c r="Q168" s="49">
        <v>0.5</v>
      </c>
      <c r="R168" s="49">
        <f t="shared" si="29"/>
        <v>0.51623883203235776</v>
      </c>
      <c r="S168" s="49">
        <v>237100</v>
      </c>
      <c r="T168" s="49">
        <v>235000</v>
      </c>
      <c r="U168" s="49">
        <v>15956260</v>
      </c>
      <c r="V168" s="49">
        <f t="shared" si="30"/>
        <v>45.391285034054299</v>
      </c>
      <c r="W168" s="49">
        <f t="shared" si="34"/>
        <v>45.391285034054299</v>
      </c>
      <c r="X168" s="82">
        <f>IF(Z167&lt;&gt;(E168*G168*H168+L168*N168*O168+S168*U168*V168),1,0)</f>
        <v>0</v>
      </c>
      <c r="Y168" s="82">
        <f>IF(AND(X168=0,B168="N"),Y167,Y167*(E168*G168*I168+L168*N168*P168+S168*U168*W168)/Z167)</f>
        <v>274362327648340.06</v>
      </c>
      <c r="Z168" s="81">
        <f t="shared" si="35"/>
        <v>329701387588834.5</v>
      </c>
      <c r="AA168" s="80">
        <f t="shared" si="24"/>
        <v>1201.7006504312226</v>
      </c>
      <c r="AB168" s="52">
        <f t="shared" si="31"/>
        <v>-1.1975367425480811E-2</v>
      </c>
      <c r="AC168" s="48">
        <f>(F168-E168)/E168</f>
        <v>-2.063983488132095E-2</v>
      </c>
      <c r="AD168" s="48">
        <f>(M168-L168)/L168</f>
        <v>-1.1111111111111112E-2</v>
      </c>
      <c r="AE168" s="48">
        <f>(T168-S168)/S168</f>
        <v>-8.8570223534373688E-3</v>
      </c>
      <c r="AF168" s="48" t="e">
        <f>(#REF!-#REF!)/#REF!</f>
        <v>#REF!</v>
      </c>
    </row>
    <row r="169" spans="1:32" x14ac:dyDescent="0.3">
      <c r="A169" s="48">
        <v>20180904</v>
      </c>
      <c r="B169" s="48" t="s">
        <v>88</v>
      </c>
      <c r="C169" s="79">
        <v>0.2</v>
      </c>
      <c r="D169" s="79">
        <f t="shared" si="25"/>
        <v>0.20715601884976212</v>
      </c>
      <c r="E169" s="49">
        <v>47450</v>
      </c>
      <c r="F169" s="49">
        <v>47650</v>
      </c>
      <c r="G169" s="49">
        <v>6419324700</v>
      </c>
      <c r="H169" s="49">
        <f t="shared" si="26"/>
        <v>0.227928098803895</v>
      </c>
      <c r="I169" s="49">
        <f t="shared" si="32"/>
        <v>0.227928098803895</v>
      </c>
      <c r="J169" s="48">
        <v>0.3</v>
      </c>
      <c r="K169" s="48">
        <f t="shared" si="27"/>
        <v>0.28065765629207923</v>
      </c>
      <c r="L169" s="48">
        <v>267000</v>
      </c>
      <c r="M169" s="48">
        <v>280000</v>
      </c>
      <c r="N169" s="51">
        <v>125395903</v>
      </c>
      <c r="O169" s="48">
        <f t="shared" si="28"/>
        <v>2.6902217281479599</v>
      </c>
      <c r="P169" s="48">
        <f t="shared" si="33"/>
        <v>2.6902217281479599</v>
      </c>
      <c r="Q169" s="49">
        <v>0.5</v>
      </c>
      <c r="R169" s="49">
        <f t="shared" si="29"/>
        <v>0.51218632485815863</v>
      </c>
      <c r="S169" s="49">
        <v>235000</v>
      </c>
      <c r="T169" s="49">
        <v>238000</v>
      </c>
      <c r="U169" s="49">
        <v>15956260</v>
      </c>
      <c r="V169" s="49">
        <f t="shared" si="30"/>
        <v>45.391285034054299</v>
      </c>
      <c r="W169" s="49">
        <f t="shared" si="34"/>
        <v>45.391285034054299</v>
      </c>
      <c r="X169" s="82">
        <f>IF(Z168&lt;&gt;(E169*G169*H169+L169*N169*O169+S169*U169*V169),1,0)</f>
        <v>0</v>
      </c>
      <c r="Y169" s="82">
        <f>IF(AND(X169=0,B169="N"),Y168,Y168*(E169*G169*I169+L169*N169*P169+S169*U169*W169)/Z168)</f>
        <v>274362327648340.06</v>
      </c>
      <c r="Z169" s="81">
        <f t="shared" si="35"/>
        <v>336552298098269.44</v>
      </c>
      <c r="AA169" s="80">
        <f t="shared" si="24"/>
        <v>1226.6709536363187</v>
      </c>
      <c r="AB169" s="52">
        <f t="shared" si="31"/>
        <v>2.0779137629771342E-2</v>
      </c>
      <c r="AC169" s="48">
        <f>(F169-E169)/E169</f>
        <v>4.2149631190727078E-3</v>
      </c>
      <c r="AD169" s="48">
        <f>(M169-L169)/L169</f>
        <v>4.8689138576779027E-2</v>
      </c>
      <c r="AE169" s="48">
        <f>(T169-S169)/S169</f>
        <v>1.276595744680851E-2</v>
      </c>
      <c r="AF169" s="48" t="e">
        <f>(#REF!-#REF!)/#REF!</f>
        <v>#REF!</v>
      </c>
    </row>
    <row r="170" spans="1:32" x14ac:dyDescent="0.3">
      <c r="A170" s="48">
        <v>20180905</v>
      </c>
      <c r="B170" s="48" t="s">
        <v>88</v>
      </c>
      <c r="C170" s="79">
        <v>0.2</v>
      </c>
      <c r="D170" s="79">
        <f t="shared" si="25"/>
        <v>0.20626794194617531</v>
      </c>
      <c r="E170" s="49">
        <v>47650</v>
      </c>
      <c r="F170" s="49">
        <v>46600</v>
      </c>
      <c r="G170" s="49">
        <v>6419324700</v>
      </c>
      <c r="H170" s="49">
        <f t="shared" si="26"/>
        <v>0.227928098803895</v>
      </c>
      <c r="I170" s="49">
        <f t="shared" si="32"/>
        <v>0.227928098803895</v>
      </c>
      <c r="J170" s="48">
        <v>0.3</v>
      </c>
      <c r="K170" s="48">
        <f t="shared" si="27"/>
        <v>0.28013822929514387</v>
      </c>
      <c r="L170" s="48">
        <v>280000</v>
      </c>
      <c r="M170" s="48">
        <v>274500</v>
      </c>
      <c r="N170" s="51">
        <v>125395903</v>
      </c>
      <c r="O170" s="48">
        <f t="shared" si="28"/>
        <v>2.6902217281479599</v>
      </c>
      <c r="P170" s="48">
        <f t="shared" si="33"/>
        <v>2.6902217281479599</v>
      </c>
      <c r="Q170" s="49">
        <v>0.5</v>
      </c>
      <c r="R170" s="49">
        <f t="shared" si="29"/>
        <v>0.51359382875868076</v>
      </c>
      <c r="S170" s="49">
        <v>238000</v>
      </c>
      <c r="T170" s="49">
        <v>234400</v>
      </c>
      <c r="U170" s="49">
        <v>15956260</v>
      </c>
      <c r="V170" s="49">
        <f t="shared" si="30"/>
        <v>45.391285034054299</v>
      </c>
      <c r="W170" s="49">
        <f t="shared" si="34"/>
        <v>45.391285034054299</v>
      </c>
      <c r="X170" s="82">
        <f>IF(Z169&lt;&gt;(E170*G170*H170+L170*N170*O170+S170*U170*V170),1,0)</f>
        <v>0</v>
      </c>
      <c r="Y170" s="82">
        <f>IF(AND(X170=0,B170="N"),Y169,Y169*(E170*G170*I170+L170*N170*P170+S170*U170*W170)/Z169)</f>
        <v>274362327648340.06</v>
      </c>
      <c r="Z170" s="81">
        <f t="shared" si="35"/>
        <v>330553220569622.5</v>
      </c>
      <c r="AA170" s="80">
        <f t="shared" si="24"/>
        <v>1204.8054242829733</v>
      </c>
      <c r="AB170" s="52">
        <f t="shared" si="31"/>
        <v>-1.7825097503554398E-2</v>
      </c>
      <c r="AC170" s="48">
        <f>(F170-E170)/E170</f>
        <v>-2.2035676810073453E-2</v>
      </c>
      <c r="AD170" s="48">
        <f>(M170-L170)/L170</f>
        <v>-1.9642857142857142E-2</v>
      </c>
      <c r="AE170" s="48">
        <f>(T170-S170)/S170</f>
        <v>-1.5126050420168067E-2</v>
      </c>
      <c r="AF170" s="48" t="e">
        <f>(#REF!-#REF!)/#REF!</f>
        <v>#REF!</v>
      </c>
    </row>
    <row r="171" spans="1:32" x14ac:dyDescent="0.3">
      <c r="A171" s="48">
        <v>20180906</v>
      </c>
      <c r="B171" s="48" t="s">
        <v>88</v>
      </c>
      <c r="C171" s="79">
        <v>0.2</v>
      </c>
      <c r="D171" s="79">
        <f t="shared" si="25"/>
        <v>0.20839850944724497</v>
      </c>
      <c r="E171" s="49">
        <v>46600</v>
      </c>
      <c r="F171" s="49">
        <v>46100</v>
      </c>
      <c r="G171" s="49">
        <v>6419324700</v>
      </c>
      <c r="H171" s="49">
        <f t="shared" si="26"/>
        <v>0.227928098803895</v>
      </c>
      <c r="I171" s="49">
        <f t="shared" si="32"/>
        <v>0.227928098803895</v>
      </c>
      <c r="J171" s="48">
        <v>0.3</v>
      </c>
      <c r="K171" s="48">
        <f t="shared" si="27"/>
        <v>0.28922836476490399</v>
      </c>
      <c r="L171" s="48">
        <v>274500</v>
      </c>
      <c r="M171" s="48">
        <v>277500</v>
      </c>
      <c r="N171" s="51">
        <v>125395903</v>
      </c>
      <c r="O171" s="48">
        <f t="shared" si="28"/>
        <v>2.6902217281479599</v>
      </c>
      <c r="P171" s="48">
        <f t="shared" si="33"/>
        <v>2.6902217281479599</v>
      </c>
      <c r="Q171" s="49">
        <v>0.5</v>
      </c>
      <c r="R171" s="49">
        <f t="shared" si="29"/>
        <v>0.50237312578785109</v>
      </c>
      <c r="S171" s="49">
        <v>234400</v>
      </c>
      <c r="T171" s="49">
        <v>224500</v>
      </c>
      <c r="U171" s="49">
        <v>15956260</v>
      </c>
      <c r="V171" s="49">
        <f t="shared" si="30"/>
        <v>45.391285034054299</v>
      </c>
      <c r="W171" s="49">
        <f t="shared" si="34"/>
        <v>45.391285034054299</v>
      </c>
      <c r="X171" s="82">
        <f>IF(Z170&lt;&gt;(E171*G171*H171+L171*N171*O171+S171*U171*V171),1,0)</f>
        <v>0</v>
      </c>
      <c r="Y171" s="82">
        <f>IF(AND(X171=0,B171="N"),Y170,Y170*(E171*G171*I171+L171*N171*P171+S171*U171*W171)/Z170)</f>
        <v>274362327648340.06</v>
      </c>
      <c r="Z171" s="81">
        <f t="shared" si="35"/>
        <v>323663352738197.5</v>
      </c>
      <c r="AA171" s="80">
        <f t="shared" si="24"/>
        <v>1179.6931288359979</v>
      </c>
      <c r="AB171" s="52">
        <f t="shared" si="31"/>
        <v>-2.0843444875690779E-2</v>
      </c>
      <c r="AC171" s="48">
        <f>(F171-E171)/E171</f>
        <v>-1.0729613733905579E-2</v>
      </c>
      <c r="AD171" s="48">
        <f>(M171-L171)/L171</f>
        <v>1.092896174863388E-2</v>
      </c>
      <c r="AE171" s="48">
        <f>(T171-S171)/S171</f>
        <v>-4.2235494880546072E-2</v>
      </c>
      <c r="AF171" s="48" t="e">
        <f>(#REF!-#REF!)/#REF!</f>
        <v>#REF!</v>
      </c>
    </row>
    <row r="172" spans="1:32" x14ac:dyDescent="0.3">
      <c r="A172" s="48">
        <v>20180907</v>
      </c>
      <c r="B172" s="48" t="s">
        <v>88</v>
      </c>
      <c r="C172" s="79">
        <v>0.2</v>
      </c>
      <c r="D172" s="79">
        <f t="shared" si="25"/>
        <v>0.20342568687950588</v>
      </c>
      <c r="E172" s="49">
        <v>46100</v>
      </c>
      <c r="F172" s="49">
        <v>44900</v>
      </c>
      <c r="G172" s="49">
        <v>6419324700</v>
      </c>
      <c r="H172" s="49">
        <f t="shared" si="26"/>
        <v>0.227928098803895</v>
      </c>
      <c r="I172" s="49">
        <f t="shared" si="32"/>
        <v>0.227928098803895</v>
      </c>
      <c r="J172" s="48">
        <v>0.3</v>
      </c>
      <c r="K172" s="48">
        <f t="shared" si="27"/>
        <v>0.29196142456863383</v>
      </c>
      <c r="L172" s="48">
        <v>277500</v>
      </c>
      <c r="M172" s="48">
        <v>279500</v>
      </c>
      <c r="N172" s="51">
        <v>125395903</v>
      </c>
      <c r="O172" s="48">
        <f t="shared" si="28"/>
        <v>2.6902217281479599</v>
      </c>
      <c r="P172" s="48">
        <f t="shared" si="33"/>
        <v>2.6902217281479599</v>
      </c>
      <c r="Q172" s="49">
        <v>0.5</v>
      </c>
      <c r="R172" s="49">
        <f t="shared" si="29"/>
        <v>0.50461288855186026</v>
      </c>
      <c r="S172" s="49">
        <v>224500</v>
      </c>
      <c r="T172" s="49">
        <v>225000</v>
      </c>
      <c r="U172" s="49">
        <v>15956260</v>
      </c>
      <c r="V172" s="49">
        <f t="shared" si="30"/>
        <v>45.391285034054299</v>
      </c>
      <c r="W172" s="49">
        <f t="shared" si="34"/>
        <v>45.391285034054299</v>
      </c>
      <c r="X172" s="82">
        <f>IF(Z171&lt;&gt;(E172*G172*H172+L172*N172*O172+S172*U172*V172),1,0)</f>
        <v>0</v>
      </c>
      <c r="Y172" s="82">
        <f>IF(AND(X172=0,B172="N"),Y171,Y171*(E172*G172*I172+L172*N172*P172+S172*U172*W172)/Z171)</f>
        <v>274362327648340.06</v>
      </c>
      <c r="Z172" s="81">
        <f t="shared" si="35"/>
        <v>322944402507437.87</v>
      </c>
      <c r="AA172" s="80">
        <f t="shared" si="24"/>
        <v>1177.0726880600284</v>
      </c>
      <c r="AB172" s="52">
        <f t="shared" si="31"/>
        <v>-2.2212901914203859E-3</v>
      </c>
      <c r="AC172" s="48">
        <f>(F172-E172)/E172</f>
        <v>-2.6030368763557483E-2</v>
      </c>
      <c r="AD172" s="48">
        <f>(M172-L172)/L172</f>
        <v>7.2072072072072073E-3</v>
      </c>
      <c r="AE172" s="48">
        <f>(T172-S172)/S172</f>
        <v>2.2271714922048997E-3</v>
      </c>
      <c r="AF172" s="48" t="e">
        <f>(#REF!-#REF!)/#REF!</f>
        <v>#REF!</v>
      </c>
    </row>
    <row r="173" spans="1:32" x14ac:dyDescent="0.3">
      <c r="A173" s="48">
        <v>20180910</v>
      </c>
      <c r="B173" s="48" t="s">
        <v>88</v>
      </c>
      <c r="C173" s="79">
        <v>0.2</v>
      </c>
      <c r="D173" s="79">
        <f t="shared" si="25"/>
        <v>0.20826915478279037</v>
      </c>
      <c r="E173" s="49">
        <v>44900</v>
      </c>
      <c r="F173" s="49">
        <v>45500</v>
      </c>
      <c r="G173" s="49">
        <v>6419324700</v>
      </c>
      <c r="H173" s="49">
        <f t="shared" si="26"/>
        <v>0.227928098803895</v>
      </c>
      <c r="I173" s="49">
        <f t="shared" si="32"/>
        <v>0.227928098803895</v>
      </c>
      <c r="J173" s="48">
        <v>0.3</v>
      </c>
      <c r="K173" s="48">
        <f t="shared" si="27"/>
        <v>0.28916673570423107</v>
      </c>
      <c r="L173" s="48">
        <v>279500</v>
      </c>
      <c r="M173" s="48">
        <v>274000</v>
      </c>
      <c r="N173" s="51">
        <v>125395903</v>
      </c>
      <c r="O173" s="48">
        <f t="shared" si="28"/>
        <v>2.6902217281479599</v>
      </c>
      <c r="P173" s="48">
        <f t="shared" si="33"/>
        <v>2.6902217281479599</v>
      </c>
      <c r="Q173" s="49">
        <v>0.5</v>
      </c>
      <c r="R173" s="49">
        <f t="shared" si="29"/>
        <v>0.50256410951297847</v>
      </c>
      <c r="S173" s="49">
        <v>225000</v>
      </c>
      <c r="T173" s="49">
        <v>221800</v>
      </c>
      <c r="U173" s="49">
        <v>15956260</v>
      </c>
      <c r="V173" s="49">
        <f t="shared" si="30"/>
        <v>45.391285034054299</v>
      </c>
      <c r="W173" s="49">
        <f t="shared" si="34"/>
        <v>45.391285034054299</v>
      </c>
      <c r="X173" s="82">
        <f>IF(Z172&lt;&gt;(E173*G173*H173+L173*N173*O173+S173*U173*V173),1,0)</f>
        <v>0</v>
      </c>
      <c r="Y173" s="82">
        <f>IF(AND(X173=0,B173="N"),Y172,Y172*(E173*G173*I173+L173*N173*P173+S173*U173*W173)/Z172)</f>
        <v>274362327648340.06</v>
      </c>
      <c r="Z173" s="81">
        <f t="shared" si="35"/>
        <v>319649223419971.12</v>
      </c>
      <c r="AA173" s="80">
        <f t="shared" si="24"/>
        <v>1165.0623690205634</v>
      </c>
      <c r="AB173" s="52">
        <f t="shared" si="31"/>
        <v>-1.0203549161657636E-2</v>
      </c>
      <c r="AC173" s="48">
        <f>(F173-E173)/E173</f>
        <v>1.3363028953229399E-2</v>
      </c>
      <c r="AD173" s="48">
        <f>(M173-L173)/L173</f>
        <v>-1.9677996422182469E-2</v>
      </c>
      <c r="AE173" s="48">
        <f>(T173-S173)/S173</f>
        <v>-1.4222222222222223E-2</v>
      </c>
      <c r="AF173" s="48" t="e">
        <f>(#REF!-#REF!)/#REF!</f>
        <v>#REF!</v>
      </c>
    </row>
    <row r="174" spans="1:32" x14ac:dyDescent="0.3">
      <c r="A174" s="48">
        <v>20180911</v>
      </c>
      <c r="B174" s="48" t="s">
        <v>88</v>
      </c>
      <c r="C174" s="79">
        <v>0.2</v>
      </c>
      <c r="D174" s="79">
        <f t="shared" si="25"/>
        <v>0.2060581619305864</v>
      </c>
      <c r="E174" s="49">
        <v>45500</v>
      </c>
      <c r="F174" s="49">
        <v>45050</v>
      </c>
      <c r="G174" s="49">
        <v>6419324700</v>
      </c>
      <c r="H174" s="49">
        <f t="shared" si="26"/>
        <v>0.227928098803895</v>
      </c>
      <c r="I174" s="49">
        <f t="shared" si="32"/>
        <v>0.227928098803895</v>
      </c>
      <c r="J174" s="48">
        <v>0.3</v>
      </c>
      <c r="K174" s="48">
        <f t="shared" si="27"/>
        <v>0.28948201484786007</v>
      </c>
      <c r="L174" s="48">
        <v>274000</v>
      </c>
      <c r="M174" s="48">
        <v>274500</v>
      </c>
      <c r="N174" s="51">
        <v>125395903</v>
      </c>
      <c r="O174" s="48">
        <f t="shared" si="28"/>
        <v>2.6902217281479599</v>
      </c>
      <c r="P174" s="48">
        <f t="shared" si="33"/>
        <v>2.6902217281479599</v>
      </c>
      <c r="Q174" s="49">
        <v>0.5</v>
      </c>
      <c r="R174" s="49">
        <f t="shared" si="29"/>
        <v>0.50445982322155347</v>
      </c>
      <c r="S174" s="49">
        <v>221800</v>
      </c>
      <c r="T174" s="49">
        <v>222800</v>
      </c>
      <c r="U174" s="49">
        <v>15956260</v>
      </c>
      <c r="V174" s="49">
        <f t="shared" si="30"/>
        <v>45.391285034054299</v>
      </c>
      <c r="W174" s="49">
        <f t="shared" si="34"/>
        <v>45.391285034054299</v>
      </c>
      <c r="X174" s="82">
        <f>IF(Z173&lt;&gt;(E174*G174*H174+L174*N174*O174+S174*U174*V174),1,0)</f>
        <v>0</v>
      </c>
      <c r="Y174" s="82">
        <f>IF(AND(X174=0,B174="N"),Y173,Y173*(E174*G174*I174+L174*N174*P174+S174*U174*W174)/Z173)</f>
        <v>274362327648340.06</v>
      </c>
      <c r="Z174" s="81">
        <f t="shared" si="35"/>
        <v>319883754943630.12</v>
      </c>
      <c r="AA174" s="80">
        <f t="shared" si="24"/>
        <v>1165.917193098159</v>
      </c>
      <c r="AB174" s="52">
        <f t="shared" si="31"/>
        <v>7.3371529312565669E-4</v>
      </c>
      <c r="AC174" s="48">
        <f>(F174-E174)/E174</f>
        <v>-9.8901098901098897E-3</v>
      </c>
      <c r="AD174" s="48">
        <f>(M174-L174)/L174</f>
        <v>1.8248175182481751E-3</v>
      </c>
      <c r="AE174" s="48">
        <f>(T174-S174)/S174</f>
        <v>4.508566275924256E-3</v>
      </c>
      <c r="AF174" s="48" t="e">
        <f>(#REF!-#REF!)/#REF!</f>
        <v>#REF!</v>
      </c>
    </row>
    <row r="175" spans="1:32" x14ac:dyDescent="0.3">
      <c r="A175" s="48">
        <v>20180912</v>
      </c>
      <c r="B175" s="48" t="s">
        <v>88</v>
      </c>
      <c r="C175" s="79">
        <v>0.2</v>
      </c>
      <c r="D175" s="79">
        <f t="shared" si="25"/>
        <v>0.19874013695234305</v>
      </c>
      <c r="E175" s="49">
        <v>45050</v>
      </c>
      <c r="F175" s="49">
        <v>44550</v>
      </c>
      <c r="G175" s="49">
        <v>6419324700</v>
      </c>
      <c r="H175" s="49">
        <f t="shared" si="26"/>
        <v>0.227928098803895</v>
      </c>
      <c r="I175" s="49">
        <f t="shared" si="32"/>
        <v>0.227928098803895</v>
      </c>
      <c r="J175" s="48">
        <v>0.3</v>
      </c>
      <c r="K175" s="48">
        <f t="shared" si="27"/>
        <v>0.29313450882417103</v>
      </c>
      <c r="L175" s="48">
        <v>274500</v>
      </c>
      <c r="M175" s="48">
        <v>285000</v>
      </c>
      <c r="N175" s="51">
        <v>125395903</v>
      </c>
      <c r="O175" s="48">
        <f t="shared" si="28"/>
        <v>2.6902217281479599</v>
      </c>
      <c r="P175" s="48">
        <f t="shared" si="33"/>
        <v>2.6902217281479599</v>
      </c>
      <c r="Q175" s="49">
        <v>0.5</v>
      </c>
      <c r="R175" s="49">
        <f t="shared" si="29"/>
        <v>0.50812535422348593</v>
      </c>
      <c r="S175" s="49">
        <v>222800</v>
      </c>
      <c r="T175" s="49">
        <v>230100</v>
      </c>
      <c r="U175" s="49">
        <v>15956260</v>
      </c>
      <c r="V175" s="49">
        <f t="shared" si="30"/>
        <v>45.391285034054299</v>
      </c>
      <c r="W175" s="49">
        <f t="shared" si="34"/>
        <v>45.391285034054299</v>
      </c>
      <c r="X175" s="82">
        <f>IF(Z174&lt;&gt;(E175*G175*H175+L175*N175*O175+S175*U175*V175),1,0)</f>
        <v>0</v>
      </c>
      <c r="Y175" s="82">
        <f>IF(AND(X175=0,B175="N"),Y174,Y174*(E175*G175*I175+L175*N175*P175+S175*U175*W175)/Z174)</f>
        <v>274362327648340.06</v>
      </c>
      <c r="Z175" s="81">
        <f t="shared" si="35"/>
        <v>327981490490424.75</v>
      </c>
      <c r="AA175" s="80">
        <f t="shared" si="24"/>
        <v>1195.4319432324187</v>
      </c>
      <c r="AB175" s="52">
        <f t="shared" si="31"/>
        <v>2.531461951927387E-2</v>
      </c>
      <c r="AC175" s="48">
        <f>(F175-E175)/E175</f>
        <v>-1.1098779134295227E-2</v>
      </c>
      <c r="AD175" s="48">
        <f>(M175-L175)/L175</f>
        <v>3.825136612021858E-2</v>
      </c>
      <c r="AE175" s="48">
        <f>(T175-S175)/S175</f>
        <v>3.2764811490125674E-2</v>
      </c>
      <c r="AF175" s="48" t="e">
        <f>(#REF!-#REF!)/#REF!</f>
        <v>#REF!</v>
      </c>
    </row>
    <row r="176" spans="1:32" x14ac:dyDescent="0.3">
      <c r="A176" s="48">
        <v>20180913</v>
      </c>
      <c r="B176" s="48" t="s">
        <v>88</v>
      </c>
      <c r="C176" s="79">
        <v>0.2</v>
      </c>
      <c r="D176" s="79">
        <f t="shared" si="25"/>
        <v>0.19430035530119211</v>
      </c>
      <c r="E176" s="49">
        <v>44550</v>
      </c>
      <c r="F176" s="49">
        <v>44050</v>
      </c>
      <c r="G176" s="49">
        <v>6419324700</v>
      </c>
      <c r="H176" s="49">
        <f t="shared" si="26"/>
        <v>0.227928098803895</v>
      </c>
      <c r="I176" s="49">
        <f t="shared" si="32"/>
        <v>0.227928098803895</v>
      </c>
      <c r="J176" s="48">
        <v>0.3</v>
      </c>
      <c r="K176" s="48">
        <f t="shared" si="27"/>
        <v>0.29848327371030492</v>
      </c>
      <c r="L176" s="48">
        <v>285000</v>
      </c>
      <c r="M176" s="48">
        <v>293500</v>
      </c>
      <c r="N176" s="51">
        <v>125395903</v>
      </c>
      <c r="O176" s="48">
        <f t="shared" si="28"/>
        <v>2.6902217281479599</v>
      </c>
      <c r="P176" s="48">
        <f t="shared" si="33"/>
        <v>2.6902217281479599</v>
      </c>
      <c r="Q176" s="49">
        <v>0.5</v>
      </c>
      <c r="R176" s="49">
        <f t="shared" si="29"/>
        <v>0.50721637098850292</v>
      </c>
      <c r="S176" s="49">
        <v>230100</v>
      </c>
      <c r="T176" s="49">
        <v>232300</v>
      </c>
      <c r="U176" s="49">
        <v>15956260</v>
      </c>
      <c r="V176" s="49">
        <f t="shared" si="30"/>
        <v>45.391285034054299</v>
      </c>
      <c r="W176" s="49">
        <f t="shared" si="34"/>
        <v>45.391285034054299</v>
      </c>
      <c r="X176" s="82">
        <f>IF(Z175&lt;&gt;(E176*G176*H176+L176*N176*O176+S176*U176*V176),1,0)</f>
        <v>0</v>
      </c>
      <c r="Y176" s="82">
        <f>IF(AND(X176=0,B176="N"),Y175,Y175*(E176*G176*I176+L176*N176*P176+S176*U176*W176)/Z175)</f>
        <v>274362327648340.06</v>
      </c>
      <c r="Z176" s="81">
        <f t="shared" si="35"/>
        <v>331710737228215.62</v>
      </c>
      <c r="AA176" s="80">
        <f t="shared" si="24"/>
        <v>1209.0243586699012</v>
      </c>
      <c r="AB176" s="52">
        <f t="shared" si="31"/>
        <v>1.1370296330486977E-2</v>
      </c>
      <c r="AC176" s="48">
        <f>(F176-E176)/E176</f>
        <v>-1.1223344556677889E-2</v>
      </c>
      <c r="AD176" s="48">
        <f>(M176-L176)/L176</f>
        <v>2.9824561403508771E-2</v>
      </c>
      <c r="AE176" s="48">
        <f>(T176-S176)/S176</f>
        <v>9.5610604085180351E-3</v>
      </c>
      <c r="AF176" s="48" t="e">
        <f>(#REF!-#REF!)/#REF!</f>
        <v>#REF!</v>
      </c>
    </row>
    <row r="177" spans="1:32" x14ac:dyDescent="0.3">
      <c r="A177" s="48">
        <v>20180914</v>
      </c>
      <c r="B177" s="48" t="s">
        <v>88</v>
      </c>
      <c r="C177" s="79">
        <v>0.2</v>
      </c>
      <c r="D177" s="79">
        <f t="shared" si="25"/>
        <v>0.19771917183371399</v>
      </c>
      <c r="E177" s="49">
        <v>44050</v>
      </c>
      <c r="F177" s="49">
        <v>45850</v>
      </c>
      <c r="G177" s="49">
        <v>6419324700</v>
      </c>
      <c r="H177" s="49">
        <f t="shared" si="26"/>
        <v>0.227928098803895</v>
      </c>
      <c r="I177" s="49">
        <f t="shared" si="32"/>
        <v>0.227928098803895</v>
      </c>
      <c r="J177" s="48">
        <v>0.3</v>
      </c>
      <c r="K177" s="48">
        <f t="shared" si="27"/>
        <v>0.28932545409176902</v>
      </c>
      <c r="L177" s="48">
        <v>293500</v>
      </c>
      <c r="M177" s="48">
        <v>291000</v>
      </c>
      <c r="N177" s="51">
        <v>125395903</v>
      </c>
      <c r="O177" s="48">
        <f t="shared" si="28"/>
        <v>2.6902217281479599</v>
      </c>
      <c r="P177" s="48">
        <f t="shared" si="33"/>
        <v>2.6902217281479599</v>
      </c>
      <c r="Q177" s="49">
        <v>0.5</v>
      </c>
      <c r="R177" s="49">
        <f t="shared" si="29"/>
        <v>0.51295537407451697</v>
      </c>
      <c r="S177" s="49">
        <v>232300</v>
      </c>
      <c r="T177" s="49">
        <v>240300</v>
      </c>
      <c r="U177" s="49">
        <v>15956260</v>
      </c>
      <c r="V177" s="49">
        <f t="shared" si="30"/>
        <v>45.391285034054299</v>
      </c>
      <c r="W177" s="49">
        <f t="shared" si="34"/>
        <v>45.391285034054299</v>
      </c>
      <c r="X177" s="82">
        <f>IF(Z176&lt;&gt;(E177*G177*H177+L177*N177*O177+S177*U177*V177),1,0)</f>
        <v>0</v>
      </c>
      <c r="Y177" s="82">
        <f>IF(AND(X177=0,B177="N"),Y176,Y176*(E177*G177*I177+L177*N177*P177+S177*U177*W177)/Z176)</f>
        <v>274362327648340.06</v>
      </c>
      <c r="Z177" s="81">
        <f t="shared" si="35"/>
        <v>339295241490993.69</v>
      </c>
      <c r="AA177" s="80">
        <f t="shared" si="24"/>
        <v>1236.6684755856147</v>
      </c>
      <c r="AB177" s="52">
        <f t="shared" si="31"/>
        <v>2.2864813862084634E-2</v>
      </c>
      <c r="AC177" s="48">
        <f>(F177-E177)/E177</f>
        <v>4.0862656072644721E-2</v>
      </c>
      <c r="AD177" s="48">
        <f>(M177-L177)/L177</f>
        <v>-8.5178875638841564E-3</v>
      </c>
      <c r="AE177" s="48">
        <f>(T177-S177)/S177</f>
        <v>3.4438226431338786E-2</v>
      </c>
      <c r="AF177" s="48" t="e">
        <f>(#REF!-#REF!)/#REF!</f>
        <v>#REF!</v>
      </c>
    </row>
    <row r="178" spans="1:32" x14ac:dyDescent="0.3">
      <c r="A178" s="48">
        <v>20180917</v>
      </c>
      <c r="B178" s="48" t="s">
        <v>88</v>
      </c>
      <c r="C178" s="79">
        <v>0.2</v>
      </c>
      <c r="D178" s="79">
        <f t="shared" si="25"/>
        <v>0.19266793946217617</v>
      </c>
      <c r="E178" s="49">
        <v>45850</v>
      </c>
      <c r="F178" s="49">
        <v>45150</v>
      </c>
      <c r="G178" s="49">
        <v>6419324700</v>
      </c>
      <c r="H178" s="49">
        <f t="shared" si="26"/>
        <v>0.227928098803895</v>
      </c>
      <c r="I178" s="49">
        <f t="shared" si="32"/>
        <v>0.227928098803895</v>
      </c>
      <c r="J178" s="48">
        <v>0.3</v>
      </c>
      <c r="K178" s="48">
        <f t="shared" si="27"/>
        <v>0.29761943562238213</v>
      </c>
      <c r="L178" s="48">
        <v>291000</v>
      </c>
      <c r="M178" s="48">
        <v>302500</v>
      </c>
      <c r="N178" s="51">
        <v>125395903</v>
      </c>
      <c r="O178" s="48">
        <f t="shared" si="28"/>
        <v>2.6902217281479599</v>
      </c>
      <c r="P178" s="48">
        <f t="shared" si="33"/>
        <v>2.6902217281479599</v>
      </c>
      <c r="Q178" s="49">
        <v>0.5</v>
      </c>
      <c r="R178" s="49">
        <f t="shared" si="29"/>
        <v>0.50971262491544178</v>
      </c>
      <c r="S178" s="49">
        <v>240300</v>
      </c>
      <c r="T178" s="49">
        <v>241300</v>
      </c>
      <c r="U178" s="49">
        <v>15956260</v>
      </c>
      <c r="V178" s="49">
        <f t="shared" si="30"/>
        <v>45.391285034054299</v>
      </c>
      <c r="W178" s="49">
        <f t="shared" si="34"/>
        <v>45.391285034054299</v>
      </c>
      <c r="X178" s="82">
        <f>IF(Z177&lt;&gt;(E178*G178*H178+L178*N178*O178+S178*U178*V178),1,0)</f>
        <v>0</v>
      </c>
      <c r="Y178" s="82">
        <f>IF(AND(X178=0,B178="N"),Y177,Y177*(E178*G178*I178+L178*N178*P178+S178*U178*W178)/Z177)</f>
        <v>274362327648340.06</v>
      </c>
      <c r="Z178" s="81">
        <f t="shared" si="35"/>
        <v>342874757507618.37</v>
      </c>
      <c r="AA178" s="80">
        <f t="shared" si="24"/>
        <v>1249.7151502049257</v>
      </c>
      <c r="AB178" s="52">
        <f t="shared" si="31"/>
        <v>1.0549856228147874E-2</v>
      </c>
      <c r="AC178" s="48">
        <f>(F178-E178)/E178</f>
        <v>-1.5267175572519083E-2</v>
      </c>
      <c r="AD178" s="48">
        <f>(M178-L178)/L178</f>
        <v>3.951890034364261E-2</v>
      </c>
      <c r="AE178" s="48">
        <f>(T178-S178)/S178</f>
        <v>4.1614648356221393E-3</v>
      </c>
      <c r="AF178" s="48" t="e">
        <f>(#REF!-#REF!)/#REF!</f>
        <v>#REF!</v>
      </c>
    </row>
    <row r="179" spans="1:32" x14ac:dyDescent="0.3">
      <c r="A179" s="48">
        <v>20180918</v>
      </c>
      <c r="B179" s="48" t="s">
        <v>88</v>
      </c>
      <c r="C179" s="79">
        <v>0.2</v>
      </c>
      <c r="D179" s="79">
        <f t="shared" si="25"/>
        <v>0.19355820113667713</v>
      </c>
      <c r="E179" s="49">
        <v>45150</v>
      </c>
      <c r="F179" s="49">
        <v>45500</v>
      </c>
      <c r="G179" s="49">
        <v>6419324700</v>
      </c>
      <c r="H179" s="49">
        <f t="shared" si="26"/>
        <v>0.227928098803895</v>
      </c>
      <c r="I179" s="49">
        <f t="shared" si="32"/>
        <v>0.227928098803895</v>
      </c>
      <c r="J179" s="48">
        <v>0.3</v>
      </c>
      <c r="K179" s="48">
        <f t="shared" si="27"/>
        <v>0.29473307058123799</v>
      </c>
      <c r="L179" s="48">
        <v>302500</v>
      </c>
      <c r="M179" s="48">
        <v>300500</v>
      </c>
      <c r="N179" s="51">
        <v>125395903</v>
      </c>
      <c r="O179" s="48">
        <f t="shared" si="28"/>
        <v>2.6902217281479599</v>
      </c>
      <c r="P179" s="48">
        <f t="shared" si="33"/>
        <v>2.6902217281479599</v>
      </c>
      <c r="Q179" s="49">
        <v>0.5</v>
      </c>
      <c r="R179" s="49">
        <f t="shared" si="29"/>
        <v>0.51170872828208491</v>
      </c>
      <c r="S179" s="49">
        <v>241300</v>
      </c>
      <c r="T179" s="49">
        <v>243000</v>
      </c>
      <c r="U179" s="49">
        <v>15956260</v>
      </c>
      <c r="V179" s="49">
        <f t="shared" si="30"/>
        <v>45.391285034054299</v>
      </c>
      <c r="W179" s="49">
        <f t="shared" si="34"/>
        <v>45.391285034054299</v>
      </c>
      <c r="X179" s="82">
        <f>IF(Z178&lt;&gt;(E179*G179*H179+L179*N179*O179+S179*U179*V179),1,0)</f>
        <v>0</v>
      </c>
      <c r="Y179" s="82">
        <f>IF(AND(X179=0,B179="N"),Y178,Y178*(E179*G179*I179+L179*N179*P179+S179*U179*W179)/Z178)</f>
        <v>274362327648340.06</v>
      </c>
      <c r="Z179" s="81">
        <f t="shared" si="35"/>
        <v>343943440255696</v>
      </c>
      <c r="AA179" s="80">
        <f t="shared" si="24"/>
        <v>1253.610301398742</v>
      </c>
      <c r="AB179" s="52">
        <f t="shared" si="31"/>
        <v>3.1168312180399663E-3</v>
      </c>
      <c r="AC179" s="48">
        <f>(F179-E179)/E179</f>
        <v>7.7519379844961239E-3</v>
      </c>
      <c r="AD179" s="48">
        <f>(M179-L179)/L179</f>
        <v>-6.6115702479338841E-3</v>
      </c>
      <c r="AE179" s="48">
        <f>(T179-S179)/S179</f>
        <v>7.0451719850808123E-3</v>
      </c>
      <c r="AF179" s="48" t="e">
        <f>(#REF!-#REF!)/#REF!</f>
        <v>#REF!</v>
      </c>
    </row>
    <row r="180" spans="1:32" x14ac:dyDescent="0.3">
      <c r="A180" s="48">
        <v>20180919</v>
      </c>
      <c r="B180" s="48" t="s">
        <v>88</v>
      </c>
      <c r="C180" s="79">
        <v>0.2</v>
      </c>
      <c r="D180" s="79">
        <f t="shared" si="25"/>
        <v>0.19473437034105065</v>
      </c>
      <c r="E180" s="49">
        <v>45500</v>
      </c>
      <c r="F180" s="49">
        <v>46150</v>
      </c>
      <c r="G180" s="49">
        <v>6419324700</v>
      </c>
      <c r="H180" s="49">
        <f t="shared" si="26"/>
        <v>0.227928098803895</v>
      </c>
      <c r="I180" s="49">
        <f t="shared" si="32"/>
        <v>0.227928098803895</v>
      </c>
      <c r="J180" s="48">
        <v>0.3</v>
      </c>
      <c r="K180" s="48">
        <f t="shared" si="27"/>
        <v>0.29769842946570912</v>
      </c>
      <c r="L180" s="48">
        <v>300500</v>
      </c>
      <c r="M180" s="48">
        <v>306000</v>
      </c>
      <c r="N180" s="51">
        <v>125395903</v>
      </c>
      <c r="O180" s="48">
        <f t="shared" si="28"/>
        <v>2.6902217281479599</v>
      </c>
      <c r="P180" s="48">
        <f t="shared" si="33"/>
        <v>2.6902217281479599</v>
      </c>
      <c r="Q180" s="49">
        <v>0.5</v>
      </c>
      <c r="R180" s="49">
        <f t="shared" si="29"/>
        <v>0.5075672001932402</v>
      </c>
      <c r="S180" s="49">
        <v>243000</v>
      </c>
      <c r="T180" s="49">
        <v>243000</v>
      </c>
      <c r="U180" s="49">
        <v>15956260</v>
      </c>
      <c r="V180" s="49">
        <f t="shared" si="30"/>
        <v>45.391285034054299</v>
      </c>
      <c r="W180" s="49">
        <f t="shared" si="34"/>
        <v>45.391285034054299</v>
      </c>
      <c r="X180" s="82">
        <f>IF(Z179&lt;&gt;(E180*G180*H180+L180*N180*O180+S180*U180*V180),1,0)</f>
        <v>0</v>
      </c>
      <c r="Y180" s="82">
        <f>IF(AND(X180=0,B180="N"),Y179,Y179*(E180*G180*I180+L180*N180*P180+S180*U180*W180)/Z179)</f>
        <v>274362327648340.06</v>
      </c>
      <c r="Z180" s="81">
        <f t="shared" si="35"/>
        <v>346749869469897.69</v>
      </c>
      <c r="AA180" s="80">
        <f t="shared" si="24"/>
        <v>1263.8392174392809</v>
      </c>
      <c r="AB180" s="52">
        <f t="shared" si="31"/>
        <v>8.1595660382862249E-3</v>
      </c>
      <c r="AC180" s="48">
        <f>(F180-E180)/E180</f>
        <v>1.4285714285714285E-2</v>
      </c>
      <c r="AD180" s="48">
        <f>(M180-L180)/L180</f>
        <v>1.8302828618968387E-2</v>
      </c>
      <c r="AE180" s="48">
        <f>(T180-S180)/S180</f>
        <v>0</v>
      </c>
      <c r="AF180" s="48" t="e">
        <f>(#REF!-#REF!)/#REF!</f>
        <v>#REF!</v>
      </c>
    </row>
    <row r="181" spans="1:32" x14ac:dyDescent="0.3">
      <c r="A181" s="48">
        <v>20180920</v>
      </c>
      <c r="B181" s="48" t="s">
        <v>88</v>
      </c>
      <c r="C181" s="79">
        <v>0.2</v>
      </c>
      <c r="D181" s="79">
        <f t="shared" si="25"/>
        <v>0.19900291094742542</v>
      </c>
      <c r="E181" s="49">
        <v>46150</v>
      </c>
      <c r="F181" s="49">
        <v>47250</v>
      </c>
      <c r="G181" s="49">
        <v>6419324700</v>
      </c>
      <c r="H181" s="49">
        <f t="shared" si="26"/>
        <v>0.227928098803895</v>
      </c>
      <c r="I181" s="49">
        <f t="shared" si="32"/>
        <v>0.227928098803895</v>
      </c>
      <c r="J181" s="48">
        <v>0.3</v>
      </c>
      <c r="K181" s="48">
        <f t="shared" si="27"/>
        <v>0.28791648109874485</v>
      </c>
      <c r="L181" s="48">
        <v>306000</v>
      </c>
      <c r="M181" s="48">
        <v>296500</v>
      </c>
      <c r="N181" s="51">
        <v>125395903</v>
      </c>
      <c r="O181" s="48">
        <f t="shared" si="28"/>
        <v>2.6902217281479599</v>
      </c>
      <c r="P181" s="48">
        <f t="shared" si="33"/>
        <v>2.6902217281479599</v>
      </c>
      <c r="Q181" s="49">
        <v>0.5</v>
      </c>
      <c r="R181" s="49">
        <f t="shared" si="29"/>
        <v>0.51308060795382993</v>
      </c>
      <c r="S181" s="49">
        <v>243000</v>
      </c>
      <c r="T181" s="49">
        <v>246100</v>
      </c>
      <c r="U181" s="49">
        <v>15956260</v>
      </c>
      <c r="V181" s="49">
        <f t="shared" si="30"/>
        <v>45.391285034054299</v>
      </c>
      <c r="W181" s="49">
        <f t="shared" si="34"/>
        <v>45.391285034054299</v>
      </c>
      <c r="X181" s="82">
        <f>IF(Z180&lt;&gt;(E181*G181*H181+L181*N181*O181+S181*U181*V181),1,0)</f>
        <v>0</v>
      </c>
      <c r="Y181" s="82">
        <f>IF(AND(X181=0,B181="N"),Y180,Y180*(E181*G181*I181+L181*N181*P181+S181*U181*W181)/Z180)</f>
        <v>274362327648340.06</v>
      </c>
      <c r="Z181" s="81">
        <f t="shared" si="35"/>
        <v>347399824906329.62</v>
      </c>
      <c r="AA181" s="80">
        <f t="shared" si="24"/>
        <v>1266.2081849356678</v>
      </c>
      <c r="AB181" s="52">
        <f t="shared" si="31"/>
        <v>1.8744215749110281E-3</v>
      </c>
      <c r="AC181" s="48">
        <f>(F181-E181)/E181</f>
        <v>2.3835319609967497E-2</v>
      </c>
      <c r="AD181" s="48">
        <f>(M181-L181)/L181</f>
        <v>-3.1045751633986929E-2</v>
      </c>
      <c r="AE181" s="48">
        <f>(T181-S181)/S181</f>
        <v>1.2757201646090535E-2</v>
      </c>
      <c r="AF181" s="48" t="e">
        <f>(#REF!-#REF!)/#REF!</f>
        <v>#REF!</v>
      </c>
    </row>
    <row r="182" spans="1:32" x14ac:dyDescent="0.3">
      <c r="A182" s="48">
        <v>20180921</v>
      </c>
      <c r="B182" s="48" t="s">
        <v>88</v>
      </c>
      <c r="C182" s="79">
        <v>0.2</v>
      </c>
      <c r="D182" s="79">
        <f t="shared" si="25"/>
        <v>0.19880669046988558</v>
      </c>
      <c r="E182" s="49">
        <v>47250</v>
      </c>
      <c r="F182" s="49">
        <v>47400</v>
      </c>
      <c r="G182" s="49">
        <v>6419324700</v>
      </c>
      <c r="H182" s="49">
        <f t="shared" si="26"/>
        <v>0.227928098803895</v>
      </c>
      <c r="I182" s="49">
        <f t="shared" si="32"/>
        <v>0.227928098803895</v>
      </c>
      <c r="J182" s="48">
        <v>0.3</v>
      </c>
      <c r="K182" s="48">
        <f t="shared" si="27"/>
        <v>0.29252449934332536</v>
      </c>
      <c r="L182" s="48">
        <v>296500</v>
      </c>
      <c r="M182" s="48">
        <v>302500</v>
      </c>
      <c r="N182" s="51">
        <v>125395903</v>
      </c>
      <c r="O182" s="48">
        <f t="shared" si="28"/>
        <v>2.6902217281479599</v>
      </c>
      <c r="P182" s="48">
        <f t="shared" si="33"/>
        <v>2.6902217281479599</v>
      </c>
      <c r="Q182" s="49">
        <v>0.5</v>
      </c>
      <c r="R182" s="49">
        <f t="shared" si="29"/>
        <v>0.508668810186789</v>
      </c>
      <c r="S182" s="49">
        <v>246100</v>
      </c>
      <c r="T182" s="49">
        <v>245000</v>
      </c>
      <c r="U182" s="49">
        <v>15956260</v>
      </c>
      <c r="V182" s="49">
        <f t="shared" si="30"/>
        <v>45.391285034054299</v>
      </c>
      <c r="W182" s="49">
        <f t="shared" si="34"/>
        <v>45.391285034054299</v>
      </c>
      <c r="X182" s="82">
        <f>IF(Z181&lt;&gt;(E182*G182*H182+L182*N182*O182+S182*U182*V182),1,0)</f>
        <v>0</v>
      </c>
      <c r="Y182" s="82">
        <f>IF(AND(X182=0,B182="N"),Y181,Y181*(E182*G182*I182+L182*N182*P182+S182*U182*W182)/Z181)</f>
        <v>274362327648340.06</v>
      </c>
      <c r="Z182" s="81">
        <f t="shared" si="35"/>
        <v>348846650614417.81</v>
      </c>
      <c r="AA182" s="80">
        <f t="shared" si="24"/>
        <v>1271.4815973625466</v>
      </c>
      <c r="AB182" s="52">
        <f t="shared" si="31"/>
        <v>4.1647277988072521E-3</v>
      </c>
      <c r="AC182" s="48">
        <f>(F182-E182)/E182</f>
        <v>3.1746031746031746E-3</v>
      </c>
      <c r="AD182" s="48">
        <f>(M182-L182)/L182</f>
        <v>2.0236087689713321E-2</v>
      </c>
      <c r="AE182" s="48">
        <f>(T182-S182)/S182</f>
        <v>-4.469727752945957E-3</v>
      </c>
      <c r="AF182" s="48" t="e">
        <f>(#REF!-#REF!)/#REF!</f>
        <v>#REF!</v>
      </c>
    </row>
    <row r="183" spans="1:32" x14ac:dyDescent="0.3">
      <c r="A183" s="48">
        <v>20180927</v>
      </c>
      <c r="B183" s="48" t="s">
        <v>88</v>
      </c>
      <c r="C183" s="79">
        <v>0.2</v>
      </c>
      <c r="D183" s="79">
        <f t="shared" si="25"/>
        <v>0.19795067689799808</v>
      </c>
      <c r="E183" s="49">
        <v>47400</v>
      </c>
      <c r="F183" s="49">
        <v>47500</v>
      </c>
      <c r="G183" s="49">
        <v>6419324700</v>
      </c>
      <c r="H183" s="49">
        <f t="shared" si="26"/>
        <v>0.227928098803895</v>
      </c>
      <c r="I183" s="49">
        <f t="shared" si="32"/>
        <v>0.227928098803895</v>
      </c>
      <c r="J183" s="48">
        <v>0.3</v>
      </c>
      <c r="K183" s="48">
        <f t="shared" si="27"/>
        <v>0.28921052169580558</v>
      </c>
      <c r="L183" s="48">
        <v>302500</v>
      </c>
      <c r="M183" s="48">
        <v>301000</v>
      </c>
      <c r="N183" s="51">
        <v>125395903</v>
      </c>
      <c r="O183" s="48">
        <f t="shared" si="28"/>
        <v>2.6902217281479599</v>
      </c>
      <c r="P183" s="48">
        <f t="shared" si="33"/>
        <v>2.6902217281479599</v>
      </c>
      <c r="Q183" s="49">
        <v>0.5</v>
      </c>
      <c r="R183" s="49">
        <f t="shared" si="29"/>
        <v>0.5128388014061962</v>
      </c>
      <c r="S183" s="49">
        <v>245000</v>
      </c>
      <c r="T183" s="49">
        <v>248600</v>
      </c>
      <c r="U183" s="49">
        <v>15956260</v>
      </c>
      <c r="V183" s="49">
        <f t="shared" si="30"/>
        <v>45.391285034054299</v>
      </c>
      <c r="W183" s="49">
        <f t="shared" si="34"/>
        <v>45.391285034054299</v>
      </c>
      <c r="X183" s="82">
        <f>IF(Z182&lt;&gt;(E183*G183*H183+L183*N183*O183+S183*U183*V183),1,0)</f>
        <v>0</v>
      </c>
      <c r="Y183" s="82">
        <f>IF(AND(X183=0,B183="N"),Y182,Y182*(E183*G183*I183+L183*N183*P183+S183*U183*W183)/Z182)</f>
        <v>274362327648340.06</v>
      </c>
      <c r="Z183" s="81">
        <f t="shared" si="35"/>
        <v>351094341412213.37</v>
      </c>
      <c r="AA183" s="80">
        <f t="shared" si="24"/>
        <v>1279.6740150937321</v>
      </c>
      <c r="AB183" s="52">
        <f t="shared" si="31"/>
        <v>6.4432059010363736E-3</v>
      </c>
      <c r="AC183" s="48">
        <f>(F183-E183)/E183</f>
        <v>2.1097046413502108E-3</v>
      </c>
      <c r="AD183" s="48">
        <f>(M183-L183)/L183</f>
        <v>-4.9586776859504135E-3</v>
      </c>
      <c r="AE183" s="48">
        <f>(T183-S183)/S183</f>
        <v>1.4693877551020407E-2</v>
      </c>
      <c r="AF183" s="48" t="e">
        <f>(#REF!-#REF!)/#REF!</f>
        <v>#REF!</v>
      </c>
    </row>
    <row r="184" spans="1:32" x14ac:dyDescent="0.3">
      <c r="A184" s="48">
        <v>20180928</v>
      </c>
      <c r="B184" s="48" t="s">
        <v>88</v>
      </c>
      <c r="C184" s="79">
        <v>0.2</v>
      </c>
      <c r="D184" s="79">
        <f t="shared" si="25"/>
        <v>0.19839793106247378</v>
      </c>
      <c r="E184" s="49">
        <v>47500</v>
      </c>
      <c r="F184" s="49">
        <v>46450</v>
      </c>
      <c r="G184" s="49">
        <v>6419324700</v>
      </c>
      <c r="H184" s="49">
        <f t="shared" si="26"/>
        <v>0.227928098803895</v>
      </c>
      <c r="I184" s="49">
        <f t="shared" si="32"/>
        <v>0.227928098803895</v>
      </c>
      <c r="J184" s="48">
        <v>0.3</v>
      </c>
      <c r="K184" s="48">
        <f t="shared" si="27"/>
        <v>0.29247724393384589</v>
      </c>
      <c r="L184" s="48">
        <v>301000</v>
      </c>
      <c r="M184" s="48">
        <v>297000</v>
      </c>
      <c r="N184" s="51">
        <v>125395903</v>
      </c>
      <c r="O184" s="48">
        <f t="shared" si="28"/>
        <v>2.6902217281479599</v>
      </c>
      <c r="P184" s="48">
        <f t="shared" si="33"/>
        <v>2.6902217281479599</v>
      </c>
      <c r="Q184" s="49">
        <v>0.5</v>
      </c>
      <c r="R184" s="49">
        <f t="shared" si="29"/>
        <v>0.50912482500368028</v>
      </c>
      <c r="S184" s="49">
        <v>248600</v>
      </c>
      <c r="T184" s="49">
        <v>240800</v>
      </c>
      <c r="U184" s="49">
        <v>15956260</v>
      </c>
      <c r="V184" s="49">
        <f t="shared" si="30"/>
        <v>45.391285034054299</v>
      </c>
      <c r="W184" s="49">
        <f t="shared" si="34"/>
        <v>45.391285034054299</v>
      </c>
      <c r="X184" s="82">
        <f>IF(Z183&lt;&gt;(E184*G184*H184+L184*N184*O184+S184*U184*V184),1,0)</f>
        <v>0</v>
      </c>
      <c r="Y184" s="82">
        <f>IF(AND(X184=0,B184="N"),Y183,Y183*(E184*G184*I184+L184*N184*P184+S184*U184*W184)/Z183)</f>
        <v>274362327648340.06</v>
      </c>
      <c r="Z184" s="81">
        <f t="shared" si="35"/>
        <v>342559322445776</v>
      </c>
      <c r="AA184" s="80">
        <f t="shared" si="24"/>
        <v>1248.5654476763532</v>
      </c>
      <c r="AB184" s="52">
        <f t="shared" si="31"/>
        <v>-2.4309759400014331E-2</v>
      </c>
      <c r="AC184" s="48">
        <f>(F184-E184)/E184</f>
        <v>-2.2105263157894735E-2</v>
      </c>
      <c r="AD184" s="48">
        <f>(M184-L184)/L184</f>
        <v>-1.3289036544850499E-2</v>
      </c>
      <c r="AE184" s="48">
        <f>(T184-S184)/S184</f>
        <v>-3.1375703942075624E-2</v>
      </c>
      <c r="AF184" s="48" t="e">
        <f>(#REF!-#REF!)/#REF!</f>
        <v>#REF!</v>
      </c>
    </row>
    <row r="185" spans="1:32" x14ac:dyDescent="0.3">
      <c r="A185" s="48">
        <v>20181001</v>
      </c>
      <c r="B185" s="48" t="s">
        <v>88</v>
      </c>
      <c r="C185" s="79">
        <v>0.2</v>
      </c>
      <c r="D185" s="79">
        <f t="shared" si="25"/>
        <v>0.198529434459188</v>
      </c>
      <c r="E185" s="49">
        <v>46450</v>
      </c>
      <c r="F185" s="49">
        <v>46350</v>
      </c>
      <c r="G185" s="49">
        <v>6419324700</v>
      </c>
      <c r="H185" s="49">
        <f t="shared" si="26"/>
        <v>0.227928098803895</v>
      </c>
      <c r="I185" s="49">
        <f t="shared" si="32"/>
        <v>0.227928098803895</v>
      </c>
      <c r="J185" s="48">
        <v>0.3</v>
      </c>
      <c r="K185" s="48">
        <f t="shared" si="27"/>
        <v>0.28836478946446414</v>
      </c>
      <c r="L185" s="48">
        <v>297000</v>
      </c>
      <c r="M185" s="48">
        <v>292000</v>
      </c>
      <c r="N185" s="51">
        <v>125395903</v>
      </c>
      <c r="O185" s="48">
        <f t="shared" si="28"/>
        <v>2.6902217281479599</v>
      </c>
      <c r="P185" s="48">
        <f t="shared" si="33"/>
        <v>2.6902217281479599</v>
      </c>
      <c r="Q185" s="49">
        <v>0.5</v>
      </c>
      <c r="R185" s="49">
        <f t="shared" si="29"/>
        <v>0.51310577607634789</v>
      </c>
      <c r="S185" s="49">
        <v>240800</v>
      </c>
      <c r="T185" s="49">
        <v>242000</v>
      </c>
      <c r="U185" s="49">
        <v>15956260</v>
      </c>
      <c r="V185" s="49">
        <f t="shared" si="30"/>
        <v>45.391285034054299</v>
      </c>
      <c r="W185" s="49">
        <f t="shared" si="34"/>
        <v>45.391285034054299</v>
      </c>
      <c r="X185" s="82">
        <f>IF(Z184&lt;&gt;(E185*G185*H185+L185*N185*O185+S185*U185*V185),1,0)</f>
        <v>0</v>
      </c>
      <c r="Y185" s="82">
        <f>IF(AND(X185=0,B185="N"),Y184,Y184*(E185*G185*I185+L185*N185*P185+S185*U185*W185)/Z184)</f>
        <v>274362327648340.06</v>
      </c>
      <c r="Z185" s="81">
        <f t="shared" si="35"/>
        <v>341595424258856.69</v>
      </c>
      <c r="AA185" s="80">
        <f t="shared" si="24"/>
        <v>1245.0522168506009</v>
      </c>
      <c r="AB185" s="52">
        <f t="shared" si="31"/>
        <v>-2.8138139112295845E-3</v>
      </c>
      <c r="AC185" s="48">
        <f>(F185-E185)/E185</f>
        <v>-2.1528525296017221E-3</v>
      </c>
      <c r="AD185" s="48">
        <f>(M185-L185)/L185</f>
        <v>-1.6835016835016835E-2</v>
      </c>
      <c r="AE185" s="48">
        <f>(T185-S185)/S185</f>
        <v>4.9833887043189366E-3</v>
      </c>
      <c r="AF185" s="48" t="e">
        <f>(#REF!-#REF!)/#REF!</f>
        <v>#REF!</v>
      </c>
    </row>
    <row r="186" spans="1:32" x14ac:dyDescent="0.3">
      <c r="A186" s="48">
        <v>20181002</v>
      </c>
      <c r="B186" s="48" t="s">
        <v>88</v>
      </c>
      <c r="C186" s="79">
        <v>0.2</v>
      </c>
      <c r="D186" s="79">
        <f t="shared" si="25"/>
        <v>0.19996097883312688</v>
      </c>
      <c r="E186" s="49">
        <v>46350</v>
      </c>
      <c r="F186" s="49">
        <v>45700</v>
      </c>
      <c r="G186" s="49">
        <v>6419324700</v>
      </c>
      <c r="H186" s="49">
        <f t="shared" si="26"/>
        <v>0.227928098803895</v>
      </c>
      <c r="I186" s="49">
        <f t="shared" si="32"/>
        <v>0.227928098803895</v>
      </c>
      <c r="J186" s="48">
        <v>0.3</v>
      </c>
      <c r="K186" s="48">
        <f t="shared" si="27"/>
        <v>0.2910442899199463</v>
      </c>
      <c r="L186" s="48">
        <v>292000</v>
      </c>
      <c r="M186" s="48">
        <v>288500</v>
      </c>
      <c r="N186" s="51">
        <v>125395903</v>
      </c>
      <c r="O186" s="48">
        <f t="shared" si="28"/>
        <v>2.6902217281479599</v>
      </c>
      <c r="P186" s="48">
        <f t="shared" si="33"/>
        <v>2.6902217281479599</v>
      </c>
      <c r="Q186" s="49">
        <v>0.5</v>
      </c>
      <c r="R186" s="49">
        <f t="shared" si="29"/>
        <v>0.50899473124692673</v>
      </c>
      <c r="S186" s="49">
        <v>242000</v>
      </c>
      <c r="T186" s="49">
        <v>235000</v>
      </c>
      <c r="U186" s="49">
        <v>15956260</v>
      </c>
      <c r="V186" s="49">
        <f t="shared" si="30"/>
        <v>45.391285034054299</v>
      </c>
      <c r="W186" s="49">
        <f t="shared" si="34"/>
        <v>45.391285034054299</v>
      </c>
      <c r="X186" s="82">
        <f>IF(Z185&lt;&gt;(E186*G186*H186+L186*N186*O186+S186*U186*V186),1,0)</f>
        <v>0</v>
      </c>
      <c r="Y186" s="82">
        <f>IF(AND(X186=0,B186="N"),Y185,Y185*(E186*G186*I186+L186*N186*P186+S186*U186*W186)/Z185)</f>
        <v>274362327648340.06</v>
      </c>
      <c r="Z186" s="81">
        <f t="shared" si="35"/>
        <v>334393754590235.37</v>
      </c>
      <c r="AA186" s="80">
        <f t="shared" si="24"/>
        <v>1218.8034613077045</v>
      </c>
      <c r="AB186" s="52">
        <f t="shared" si="31"/>
        <v>-2.1082453561099144E-2</v>
      </c>
      <c r="AC186" s="48">
        <f>(F186-E186)/E186</f>
        <v>-1.4023732470334413E-2</v>
      </c>
      <c r="AD186" s="48">
        <f>(M186-L186)/L186</f>
        <v>-1.1986301369863013E-2</v>
      </c>
      <c r="AE186" s="48">
        <f>(T186-S186)/S186</f>
        <v>-2.8925619834710745E-2</v>
      </c>
      <c r="AF186" s="48" t="e">
        <f>(#REF!-#REF!)/#REF!</f>
        <v>#REF!</v>
      </c>
    </row>
    <row r="187" spans="1:32" x14ac:dyDescent="0.3">
      <c r="A187" s="48">
        <v>20181004</v>
      </c>
      <c r="B187" s="48" t="s">
        <v>88</v>
      </c>
      <c r="C187" s="79">
        <v>0.2</v>
      </c>
      <c r="D187" s="79">
        <f t="shared" si="25"/>
        <v>0.1974624366205045</v>
      </c>
      <c r="E187" s="49">
        <v>45700</v>
      </c>
      <c r="F187" s="49">
        <v>44700</v>
      </c>
      <c r="G187" s="49">
        <v>6419324700</v>
      </c>
      <c r="H187" s="49">
        <f t="shared" si="26"/>
        <v>0.227928098803895</v>
      </c>
      <c r="I187" s="49">
        <f t="shared" si="32"/>
        <v>0.227928098803895</v>
      </c>
      <c r="J187" s="48">
        <v>0.3</v>
      </c>
      <c r="K187" s="48">
        <f t="shared" si="27"/>
        <v>0.29587435016028502</v>
      </c>
      <c r="L187" s="48">
        <v>288500</v>
      </c>
      <c r="M187" s="48">
        <v>290500</v>
      </c>
      <c r="N187" s="51">
        <v>125395903</v>
      </c>
      <c r="O187" s="48">
        <f t="shared" si="28"/>
        <v>2.6902217281479599</v>
      </c>
      <c r="P187" s="48">
        <f t="shared" si="33"/>
        <v>2.6902217281479599</v>
      </c>
      <c r="Q187" s="49">
        <v>0.5</v>
      </c>
      <c r="R187" s="49">
        <f t="shared" si="29"/>
        <v>0.50666321321921048</v>
      </c>
      <c r="S187" s="49">
        <v>235000</v>
      </c>
      <c r="T187" s="49">
        <v>231700</v>
      </c>
      <c r="U187" s="49">
        <v>15956260</v>
      </c>
      <c r="V187" s="49">
        <f t="shared" si="30"/>
        <v>45.391285034054299</v>
      </c>
      <c r="W187" s="49">
        <f t="shared" si="34"/>
        <v>45.391285034054299</v>
      </c>
      <c r="X187" s="82">
        <f>IF(Z186&lt;&gt;(E187*G187*H187+L187*N187*O187+S187*U187*V187),1,0)</f>
        <v>0</v>
      </c>
      <c r="Y187" s="82">
        <f>IF(AND(X187=0,B187="N"),Y186,Y186*(E187*G187*I187+L187*N187*P187+S187*U187*W187)/Z186)</f>
        <v>274362327648340.06</v>
      </c>
      <c r="Z187" s="81">
        <f t="shared" si="35"/>
        <v>331215187700568.44</v>
      </c>
      <c r="AA187" s="80">
        <f t="shared" si="24"/>
        <v>1207.2181721868853</v>
      </c>
      <c r="AB187" s="52">
        <f t="shared" si="31"/>
        <v>-9.5054612893770932E-3</v>
      </c>
      <c r="AC187" s="48">
        <f>(F187-E187)/E187</f>
        <v>-2.1881838074398249E-2</v>
      </c>
      <c r="AD187" s="48">
        <f>(M187-L187)/L187</f>
        <v>6.9324090121317154E-3</v>
      </c>
      <c r="AE187" s="48">
        <f>(T187-S187)/S187</f>
        <v>-1.4042553191489362E-2</v>
      </c>
      <c r="AF187" s="48" t="e">
        <f>(#REF!-#REF!)/#REF!</f>
        <v>#REF!</v>
      </c>
    </row>
    <row r="188" spans="1:32" x14ac:dyDescent="0.3">
      <c r="A188" s="48">
        <v>20181005</v>
      </c>
      <c r="B188" s="48" t="s">
        <v>88</v>
      </c>
      <c r="C188" s="79">
        <v>0.2</v>
      </c>
      <c r="D188" s="79">
        <f t="shared" si="25"/>
        <v>0.20260100747616464</v>
      </c>
      <c r="E188" s="49">
        <v>44700</v>
      </c>
      <c r="F188" s="49">
        <v>44700</v>
      </c>
      <c r="G188" s="49">
        <v>6419324700</v>
      </c>
      <c r="H188" s="49">
        <f t="shared" si="26"/>
        <v>0.227928098803895</v>
      </c>
      <c r="I188" s="49">
        <f t="shared" si="32"/>
        <v>0.227928098803895</v>
      </c>
      <c r="J188" s="48">
        <v>0.3</v>
      </c>
      <c r="K188" s="48">
        <f t="shared" si="27"/>
        <v>0.30200638995196172</v>
      </c>
      <c r="L188" s="48">
        <v>290500</v>
      </c>
      <c r="M188" s="48">
        <v>289000</v>
      </c>
      <c r="N188" s="51">
        <v>125395903</v>
      </c>
      <c r="O188" s="48">
        <f t="shared" si="28"/>
        <v>2.6902217281479599</v>
      </c>
      <c r="P188" s="48">
        <f t="shared" si="33"/>
        <v>2.6902217281479599</v>
      </c>
      <c r="Q188" s="49">
        <v>0.5</v>
      </c>
      <c r="R188" s="49">
        <f t="shared" si="29"/>
        <v>0.49539260257187379</v>
      </c>
      <c r="S188" s="49">
        <v>231700</v>
      </c>
      <c r="T188" s="49">
        <v>220800</v>
      </c>
      <c r="U188" s="49">
        <v>15956260</v>
      </c>
      <c r="V188" s="49">
        <f t="shared" si="30"/>
        <v>45.391285034054299</v>
      </c>
      <c r="W188" s="49">
        <f t="shared" si="34"/>
        <v>45.391285034054299</v>
      </c>
      <c r="X188" s="82">
        <f>IF(Z187&lt;&gt;(E188*G188*H188+L188*N188*O188+S188*U188*V188),1,0)</f>
        <v>0</v>
      </c>
      <c r="Y188" s="82">
        <f>IF(AND(X188=0,B188="N"),Y187,Y187*(E188*G188*I188+L188*N188*P188+S188*U188*W188)/Z187)</f>
        <v>274362327648340.06</v>
      </c>
      <c r="Z188" s="81">
        <f t="shared" si="35"/>
        <v>322814574437722.87</v>
      </c>
      <c r="AA188" s="80">
        <f t="shared" si="24"/>
        <v>1176.5994887296838</v>
      </c>
      <c r="AB188" s="52">
        <f t="shared" si="31"/>
        <v>-2.5363007418729915E-2</v>
      </c>
      <c r="AC188" s="48">
        <f>(F188-E188)/E188</f>
        <v>0</v>
      </c>
      <c r="AD188" s="48">
        <f>(M188-L188)/L188</f>
        <v>-5.1635111876075735E-3</v>
      </c>
      <c r="AE188" s="48">
        <f>(T188-S188)/S188</f>
        <v>-4.7043590850237377E-2</v>
      </c>
      <c r="AF188" s="48" t="e">
        <f>(#REF!-#REF!)/#REF!</f>
        <v>#REF!</v>
      </c>
    </row>
    <row r="189" spans="1:32" x14ac:dyDescent="0.3">
      <c r="A189" s="48">
        <v>20181008</v>
      </c>
      <c r="B189" s="48" t="s">
        <v>88</v>
      </c>
      <c r="C189" s="79">
        <v>0.2</v>
      </c>
      <c r="D189" s="79">
        <f t="shared" si="25"/>
        <v>0.20480439886928353</v>
      </c>
      <c r="E189" s="49">
        <v>44700</v>
      </c>
      <c r="F189" s="49">
        <v>44950</v>
      </c>
      <c r="G189" s="49">
        <v>6419324700</v>
      </c>
      <c r="H189" s="49">
        <f t="shared" si="26"/>
        <v>0.227928098803895</v>
      </c>
      <c r="I189" s="49">
        <f t="shared" si="32"/>
        <v>0.227928098803895</v>
      </c>
      <c r="J189" s="48">
        <v>0.3</v>
      </c>
      <c r="K189" s="48">
        <f t="shared" si="27"/>
        <v>0.30464341416544827</v>
      </c>
      <c r="L189" s="48">
        <v>289000</v>
      </c>
      <c r="M189" s="48">
        <v>290000</v>
      </c>
      <c r="N189" s="51">
        <v>125395903</v>
      </c>
      <c r="O189" s="48">
        <f t="shared" si="28"/>
        <v>2.6902217281479599</v>
      </c>
      <c r="P189" s="48">
        <f t="shared" si="33"/>
        <v>2.6902217281479599</v>
      </c>
      <c r="Q189" s="49">
        <v>0.5</v>
      </c>
      <c r="R189" s="49">
        <f t="shared" si="29"/>
        <v>0.4905521869652682</v>
      </c>
      <c r="S189" s="49">
        <v>220800</v>
      </c>
      <c r="T189" s="49">
        <v>217500</v>
      </c>
      <c r="U189" s="49">
        <v>15956260</v>
      </c>
      <c r="V189" s="49">
        <f t="shared" si="30"/>
        <v>45.391285034054299</v>
      </c>
      <c r="W189" s="49">
        <f t="shared" si="34"/>
        <v>45.391285034054299</v>
      </c>
      <c r="X189" s="82">
        <f>IF(Z188&lt;&gt;(E189*G189*H189+L189*N189*O189+S189*U189*V189),1,0)</f>
        <v>0</v>
      </c>
      <c r="Y189" s="82">
        <f>IF(AND(X189=0,B189="N"),Y188,Y188*(E189*G189*I189+L189*N189*P189+S189*U189*W189)/Z188)</f>
        <v>274362327648340.06</v>
      </c>
      <c r="Z189" s="81">
        <f t="shared" si="35"/>
        <v>321127595358279.56</v>
      </c>
      <c r="AA189" s="80">
        <f t="shared" si="24"/>
        <v>1170.4507616289077</v>
      </c>
      <c r="AB189" s="52">
        <f t="shared" si="31"/>
        <v>-5.225845463705402E-3</v>
      </c>
      <c r="AC189" s="48">
        <f>(F189-E189)/E189</f>
        <v>5.5928411633109623E-3</v>
      </c>
      <c r="AD189" s="48">
        <f>(M189-L189)/L189</f>
        <v>3.4602076124567475E-3</v>
      </c>
      <c r="AE189" s="48">
        <f>(T189-S189)/S189</f>
        <v>-1.4945652173913044E-2</v>
      </c>
      <c r="AF189" s="48" t="e">
        <f>(#REF!-#REF!)/#REF!</f>
        <v>#REF!</v>
      </c>
    </row>
    <row r="190" spans="1:32" x14ac:dyDescent="0.3">
      <c r="A190" s="48">
        <v>20181010</v>
      </c>
      <c r="B190" s="48" t="s">
        <v>88</v>
      </c>
      <c r="C190" s="79">
        <v>0.2</v>
      </c>
      <c r="D190" s="79">
        <f t="shared" si="25"/>
        <v>0.20589900864205488</v>
      </c>
      <c r="E190" s="49">
        <v>44950</v>
      </c>
      <c r="F190" s="49">
        <v>45300</v>
      </c>
      <c r="G190" s="49">
        <v>6419324700</v>
      </c>
      <c r="H190" s="49">
        <f t="shared" si="26"/>
        <v>0.227928098803895</v>
      </c>
      <c r="I190" s="49">
        <f t="shared" si="32"/>
        <v>0.227928098803895</v>
      </c>
      <c r="J190" s="48">
        <v>0.3</v>
      </c>
      <c r="K190" s="48">
        <f t="shared" si="27"/>
        <v>0.30023746989078903</v>
      </c>
      <c r="L190" s="48">
        <v>290000</v>
      </c>
      <c r="M190" s="48">
        <v>286500</v>
      </c>
      <c r="N190" s="51">
        <v>125395903</v>
      </c>
      <c r="O190" s="48">
        <f t="shared" si="28"/>
        <v>2.6902217281479599</v>
      </c>
      <c r="P190" s="48">
        <f t="shared" si="33"/>
        <v>2.6902217281479599</v>
      </c>
      <c r="Q190" s="49">
        <v>0.5</v>
      </c>
      <c r="R190" s="49">
        <f t="shared" si="29"/>
        <v>0.49386352146715617</v>
      </c>
      <c r="S190" s="49">
        <v>217500</v>
      </c>
      <c r="T190" s="49">
        <v>219500</v>
      </c>
      <c r="U190" s="49">
        <v>15956260</v>
      </c>
      <c r="V190" s="49">
        <f t="shared" si="30"/>
        <v>45.391285034054299</v>
      </c>
      <c r="W190" s="49">
        <f t="shared" si="34"/>
        <v>45.391285034054299</v>
      </c>
      <c r="X190" s="82">
        <f>IF(Z189&lt;&gt;(E190*G190*H190+L190*N190*O190+S190*U190*V190),1,0)</f>
        <v>0</v>
      </c>
      <c r="Y190" s="82">
        <f>IF(AND(X190=0,B190="N"),Y189,Y189*(E190*G190*I190+L190*N190*P190+S190*U190*W190)/Z189)</f>
        <v>274362327648340.06</v>
      </c>
      <c r="Z190" s="81">
        <f t="shared" si="35"/>
        <v>321907546475771.37</v>
      </c>
      <c r="AA190" s="80">
        <f t="shared" si="24"/>
        <v>1173.2935393680277</v>
      </c>
      <c r="AB190" s="52">
        <f t="shared" si="31"/>
        <v>2.4287888327431777E-3</v>
      </c>
      <c r="AC190" s="48">
        <f>(F190-E190)/E190</f>
        <v>7.7864293659621799E-3</v>
      </c>
      <c r="AD190" s="48">
        <f>(M190-L190)/L190</f>
        <v>-1.2068965517241379E-2</v>
      </c>
      <c r="AE190" s="48">
        <f>(T190-S190)/S190</f>
        <v>9.1954022988505746E-3</v>
      </c>
      <c r="AF190" s="48" t="e">
        <f>(#REF!-#REF!)/#REF!</f>
        <v>#REF!</v>
      </c>
    </row>
    <row r="191" spans="1:32" x14ac:dyDescent="0.3">
      <c r="A191" s="48">
        <v>20181011</v>
      </c>
      <c r="B191" s="48" t="s">
        <v>88</v>
      </c>
      <c r="C191" s="79">
        <v>0.2</v>
      </c>
      <c r="D191" s="79">
        <f t="shared" si="25"/>
        <v>0.20504841196962484</v>
      </c>
      <c r="E191" s="49">
        <v>45300</v>
      </c>
      <c r="F191" s="49">
        <v>43100</v>
      </c>
      <c r="G191" s="49">
        <v>6419324700</v>
      </c>
      <c r="H191" s="49">
        <f t="shared" si="26"/>
        <v>0.227928098803895</v>
      </c>
      <c r="I191" s="49">
        <f t="shared" si="32"/>
        <v>0.227928098803895</v>
      </c>
      <c r="J191" s="48">
        <v>0.3</v>
      </c>
      <c r="K191" s="48">
        <f t="shared" si="27"/>
        <v>0.29780582327497618</v>
      </c>
      <c r="L191" s="48">
        <v>286500</v>
      </c>
      <c r="M191" s="48">
        <v>271500</v>
      </c>
      <c r="N191" s="51">
        <v>125395903</v>
      </c>
      <c r="O191" s="48">
        <f t="shared" si="28"/>
        <v>2.6902217281479599</v>
      </c>
      <c r="P191" s="48">
        <f t="shared" si="33"/>
        <v>2.6902217281479599</v>
      </c>
      <c r="Q191" s="49">
        <v>0.5</v>
      </c>
      <c r="R191" s="49">
        <f t="shared" si="29"/>
        <v>0.49714576475539896</v>
      </c>
      <c r="S191" s="49">
        <v>219500</v>
      </c>
      <c r="T191" s="49">
        <v>211100</v>
      </c>
      <c r="U191" s="49">
        <v>15956260</v>
      </c>
      <c r="V191" s="49">
        <f t="shared" si="30"/>
        <v>45.391285034054299</v>
      </c>
      <c r="W191" s="49">
        <f t="shared" si="34"/>
        <v>45.391285034054299</v>
      </c>
      <c r="X191" s="82">
        <f>IF(Z190&lt;&gt;(E191*G191*H191+L191*N191*O191+S191*U191*V191),1,0)</f>
        <v>0</v>
      </c>
      <c r="Y191" s="82">
        <f>IF(AND(X191=0,B191="N"),Y190,Y190*(E191*G191*I191+L191*N191*P191+S191*U191*W191)/Z190)</f>
        <v>274362327648340.06</v>
      </c>
      <c r="Z191" s="81">
        <f t="shared" si="35"/>
        <v>307544575664659.62</v>
      </c>
      <c r="AA191" s="80">
        <f t="shared" si="24"/>
        <v>1120.9431641025092</v>
      </c>
      <c r="AB191" s="52">
        <f t="shared" si="31"/>
        <v>-4.4618310345181045E-2</v>
      </c>
      <c r="AC191" s="48">
        <f>(F191-E191)/E191</f>
        <v>-4.856512141280353E-2</v>
      </c>
      <c r="AD191" s="48">
        <f>(M191-L191)/L191</f>
        <v>-5.2356020942408377E-2</v>
      </c>
      <c r="AE191" s="48">
        <f>(T191-S191)/S191</f>
        <v>-3.826879271070615E-2</v>
      </c>
      <c r="AF191" s="48" t="e">
        <f>(#REF!-#REF!)/#REF!</f>
        <v>#REF!</v>
      </c>
    </row>
    <row r="192" spans="1:32" x14ac:dyDescent="0.3">
      <c r="A192" s="48">
        <v>20181012</v>
      </c>
      <c r="B192" s="48" t="s">
        <v>88</v>
      </c>
      <c r="C192" s="79">
        <v>0.2</v>
      </c>
      <c r="D192" s="79">
        <f t="shared" si="25"/>
        <v>0.20250313615768176</v>
      </c>
      <c r="E192" s="49">
        <v>43100</v>
      </c>
      <c r="F192" s="49">
        <v>44000</v>
      </c>
      <c r="G192" s="49">
        <v>6419324700</v>
      </c>
      <c r="H192" s="49">
        <f t="shared" si="26"/>
        <v>0.227928098803895</v>
      </c>
      <c r="I192" s="49">
        <f t="shared" si="32"/>
        <v>0.227928098803895</v>
      </c>
      <c r="J192" s="48">
        <v>0.3</v>
      </c>
      <c r="K192" s="48">
        <f t="shared" si="27"/>
        <v>0.29127662748973859</v>
      </c>
      <c r="L192" s="48">
        <v>271500</v>
      </c>
      <c r="M192" s="48">
        <v>274500</v>
      </c>
      <c r="N192" s="51">
        <v>125395903</v>
      </c>
      <c r="O192" s="48">
        <f t="shared" si="28"/>
        <v>2.6902217281479599</v>
      </c>
      <c r="P192" s="48">
        <f t="shared" si="33"/>
        <v>2.6902217281479599</v>
      </c>
      <c r="Q192" s="49">
        <v>0.5</v>
      </c>
      <c r="R192" s="49">
        <f t="shared" si="29"/>
        <v>0.50622023635257962</v>
      </c>
      <c r="S192" s="49">
        <v>211100</v>
      </c>
      <c r="T192" s="49">
        <v>222200</v>
      </c>
      <c r="U192" s="49">
        <v>15956260</v>
      </c>
      <c r="V192" s="49">
        <f t="shared" si="30"/>
        <v>45.391285034054299</v>
      </c>
      <c r="W192" s="49">
        <f t="shared" si="34"/>
        <v>45.391285034054299</v>
      </c>
      <c r="X192" s="82">
        <f>IF(Z191&lt;&gt;(E192*G192*H192+L192*N192*O192+S192*U192*V192),1,0)</f>
        <v>0</v>
      </c>
      <c r="Y192" s="82">
        <f>IF(AND(X192=0,B192="N"),Y191,Y191*(E192*G192*I192+L192*N192*P192+S192*U192*W192)/Z191)</f>
        <v>274362327648340.06</v>
      </c>
      <c r="Z192" s="81">
        <f t="shared" si="35"/>
        <v>317912888157987.94</v>
      </c>
      <c r="AA192" s="80">
        <f t="shared" si="24"/>
        <v>1158.7337477522358</v>
      </c>
      <c r="AB192" s="52">
        <f t="shared" si="31"/>
        <v>3.371320229244977E-2</v>
      </c>
      <c r="AC192" s="48">
        <f>(F192-E192)/E192</f>
        <v>2.0881670533642691E-2</v>
      </c>
      <c r="AD192" s="48">
        <f>(M192-L192)/L192</f>
        <v>1.1049723756906077E-2</v>
      </c>
      <c r="AE192" s="48">
        <f>(T192-S192)/S192</f>
        <v>5.2581714827096164E-2</v>
      </c>
      <c r="AF192" s="48" t="e">
        <f>(#REF!-#REF!)/#REF!</f>
        <v>#REF!</v>
      </c>
    </row>
    <row r="193" spans="1:32" x14ac:dyDescent="0.3">
      <c r="A193" s="48">
        <v>20181015</v>
      </c>
      <c r="B193" s="48" t="s">
        <v>88</v>
      </c>
      <c r="C193" s="79">
        <v>0.2</v>
      </c>
      <c r="D193" s="79">
        <f t="shared" si="25"/>
        <v>0.21053223711530103</v>
      </c>
      <c r="E193" s="49">
        <v>44000</v>
      </c>
      <c r="F193" s="49">
        <v>43800</v>
      </c>
      <c r="G193" s="49">
        <v>6419324700</v>
      </c>
      <c r="H193" s="49">
        <f t="shared" si="26"/>
        <v>0.227928098803895</v>
      </c>
      <c r="I193" s="49">
        <f t="shared" si="32"/>
        <v>0.227928098803895</v>
      </c>
      <c r="J193" s="48">
        <v>0.3</v>
      </c>
      <c r="K193" s="48">
        <f t="shared" si="27"/>
        <v>0.28980134698648491</v>
      </c>
      <c r="L193" s="48">
        <v>274500</v>
      </c>
      <c r="M193" s="48">
        <v>261500</v>
      </c>
      <c r="N193" s="51">
        <v>125395903</v>
      </c>
      <c r="O193" s="48">
        <f t="shared" si="28"/>
        <v>2.6902217281479599</v>
      </c>
      <c r="P193" s="48">
        <f t="shared" si="33"/>
        <v>2.6902217281479599</v>
      </c>
      <c r="Q193" s="49">
        <v>0.5</v>
      </c>
      <c r="R193" s="49">
        <f t="shared" si="29"/>
        <v>0.49966641589821403</v>
      </c>
      <c r="S193" s="49">
        <v>222200</v>
      </c>
      <c r="T193" s="49">
        <v>210000</v>
      </c>
      <c r="U193" s="49">
        <v>15956260</v>
      </c>
      <c r="V193" s="49">
        <f t="shared" si="30"/>
        <v>45.391285034054299</v>
      </c>
      <c r="W193" s="49">
        <f t="shared" si="34"/>
        <v>45.391285034054299</v>
      </c>
      <c r="X193" s="82">
        <f>IF(Z192&lt;&gt;(E193*G193*H193+L193*N193*O193+S193*U193*V193),1,0)</f>
        <v>0</v>
      </c>
      <c r="Y193" s="82">
        <f>IF(AND(X193=0,B193="N"),Y192,Y192*(E193*G193*I193+L193*N193*P193+S193*U193*W193)/Z192)</f>
        <v>274362327648340.06</v>
      </c>
      <c r="Z193" s="81">
        <f t="shared" si="35"/>
        <v>304398646307768.19</v>
      </c>
      <c r="AA193" s="80">
        <f t="shared" si="24"/>
        <v>1109.4768327593677</v>
      </c>
      <c r="AB193" s="52">
        <f t="shared" si="31"/>
        <v>-4.2509260723974707E-2</v>
      </c>
      <c r="AC193" s="48">
        <f>(F193-E193)/E193</f>
        <v>-4.5454545454545452E-3</v>
      </c>
      <c r="AD193" s="48">
        <f>(M193-L193)/L193</f>
        <v>-4.7358834244080147E-2</v>
      </c>
      <c r="AE193" s="48">
        <f>(T193-S193)/S193</f>
        <v>-5.4905490549054907E-2</v>
      </c>
      <c r="AF193" s="48" t="e">
        <f>(#REF!-#REF!)/#REF!</f>
        <v>#REF!</v>
      </c>
    </row>
    <row r="194" spans="1:32" x14ac:dyDescent="0.3">
      <c r="A194" s="48">
        <v>20181016</v>
      </c>
      <c r="B194" s="48" t="s">
        <v>88</v>
      </c>
      <c r="C194" s="79">
        <v>0.2</v>
      </c>
      <c r="D194" s="79">
        <f t="shared" si="25"/>
        <v>0.20670413088636874</v>
      </c>
      <c r="E194" s="49">
        <v>43800</v>
      </c>
      <c r="F194" s="49">
        <v>43600</v>
      </c>
      <c r="G194" s="49">
        <v>6419324700</v>
      </c>
      <c r="H194" s="49">
        <f t="shared" si="26"/>
        <v>0.227928098803895</v>
      </c>
      <c r="I194" s="49">
        <f t="shared" si="32"/>
        <v>0.227928098803895</v>
      </c>
      <c r="J194" s="48">
        <v>0.3</v>
      </c>
      <c r="K194" s="48">
        <f t="shared" si="27"/>
        <v>0.28638361685524338</v>
      </c>
      <c r="L194" s="48">
        <v>261500</v>
      </c>
      <c r="M194" s="48">
        <v>262000</v>
      </c>
      <c r="N194" s="51">
        <v>125395903</v>
      </c>
      <c r="O194" s="48">
        <f t="shared" si="28"/>
        <v>2.6902217281479599</v>
      </c>
      <c r="P194" s="48">
        <f t="shared" si="33"/>
        <v>2.6902217281479599</v>
      </c>
      <c r="Q194" s="49">
        <v>0.5</v>
      </c>
      <c r="R194" s="49">
        <f t="shared" si="29"/>
        <v>0.50691225225838787</v>
      </c>
      <c r="S194" s="49">
        <v>210000</v>
      </c>
      <c r="T194" s="49">
        <v>216000</v>
      </c>
      <c r="U194" s="49">
        <v>15956260</v>
      </c>
      <c r="V194" s="49">
        <f t="shared" si="30"/>
        <v>45.391285034054299</v>
      </c>
      <c r="W194" s="49">
        <f t="shared" si="34"/>
        <v>45.391285034054299</v>
      </c>
      <c r="X194" s="82">
        <f>IF(Z193&lt;&gt;(E194*G194*H194+L194*N194*O194+S194*U194*V194),1,0)</f>
        <v>0</v>
      </c>
      <c r="Y194" s="82">
        <f>IF(AND(X194=0,B194="N"),Y193,Y193*(E194*G194*I194+L194*N194*P194+S194*U194*W194)/Z193)</f>
        <v>274362327648340.06</v>
      </c>
      <c r="Z194" s="81">
        <f t="shared" si="35"/>
        <v>308620339678733.56</v>
      </c>
      <c r="AA194" s="80">
        <f t="shared" si="24"/>
        <v>1124.8641252027253</v>
      </c>
      <c r="AB194" s="52">
        <f t="shared" si="31"/>
        <v>1.3868962369487311E-2</v>
      </c>
      <c r="AC194" s="48">
        <f>(F194-E194)/E194</f>
        <v>-4.5662100456621002E-3</v>
      </c>
      <c r="AD194" s="48">
        <f>(M194-L194)/L194</f>
        <v>1.9120458891013384E-3</v>
      </c>
      <c r="AE194" s="48">
        <f>(T194-S194)/S194</f>
        <v>2.8571428571428571E-2</v>
      </c>
      <c r="AF194" s="48" t="e">
        <f>(#REF!-#REF!)/#REF!</f>
        <v>#REF!</v>
      </c>
    </row>
    <row r="195" spans="1:32" x14ac:dyDescent="0.3">
      <c r="A195" s="48">
        <v>20181017</v>
      </c>
      <c r="B195" s="48" t="s">
        <v>88</v>
      </c>
      <c r="C195" s="79">
        <v>0.2</v>
      </c>
      <c r="D195" s="79">
        <f t="shared" si="25"/>
        <v>0.20724879339883956</v>
      </c>
      <c r="E195" s="49">
        <v>43600</v>
      </c>
      <c r="F195" s="49">
        <v>44150</v>
      </c>
      <c r="G195" s="49">
        <v>6419324700</v>
      </c>
      <c r="H195" s="49">
        <f t="shared" si="26"/>
        <v>0.227928098803895</v>
      </c>
      <c r="I195" s="49">
        <f t="shared" si="32"/>
        <v>0.227928098803895</v>
      </c>
      <c r="J195" s="48">
        <v>0.3</v>
      </c>
      <c r="K195" s="48">
        <f t="shared" si="27"/>
        <v>0.28734923151762798</v>
      </c>
      <c r="L195" s="48">
        <v>262000</v>
      </c>
      <c r="M195" s="48">
        <v>265500</v>
      </c>
      <c r="N195" s="51">
        <v>125395903</v>
      </c>
      <c r="O195" s="48">
        <f t="shared" si="28"/>
        <v>2.6902217281479599</v>
      </c>
      <c r="P195" s="48">
        <f t="shared" si="33"/>
        <v>2.6902217281479599</v>
      </c>
      <c r="Q195" s="49">
        <v>0.5</v>
      </c>
      <c r="R195" s="49">
        <f t="shared" si="29"/>
        <v>0.50540197508353246</v>
      </c>
      <c r="S195" s="49">
        <v>216000</v>
      </c>
      <c r="T195" s="49">
        <v>217500</v>
      </c>
      <c r="U195" s="49">
        <v>15956260</v>
      </c>
      <c r="V195" s="49">
        <f t="shared" si="30"/>
        <v>45.391285034054299</v>
      </c>
      <c r="W195" s="49">
        <f t="shared" si="34"/>
        <v>45.391285034054299</v>
      </c>
      <c r="X195" s="82">
        <f>IF(Z194&lt;&gt;(E195*G195*H195+L195*N195*O195+S195*U195*V195),1,0)</f>
        <v>0</v>
      </c>
      <c r="Y195" s="82">
        <f>IF(AND(X195=0,B195="N"),Y194,Y194*(E195*G195*I195+L195*N195*P195+S195*U195*W195)/Z194)</f>
        <v>274362327648340.06</v>
      </c>
      <c r="Z195" s="81">
        <f t="shared" si="35"/>
        <v>311692181598351.19</v>
      </c>
      <c r="AA195" s="80">
        <f t="shared" ref="AA195:AA258" si="36">Z195/Y195*1000</f>
        <v>1136.0604215235342</v>
      </c>
      <c r="AB195" s="52">
        <f t="shared" si="31"/>
        <v>9.953465551931483E-3</v>
      </c>
      <c r="AC195" s="48">
        <f>(F195-E195)/E195</f>
        <v>1.261467889908257E-2</v>
      </c>
      <c r="AD195" s="48">
        <f>(M195-L195)/L195</f>
        <v>1.3358778625954198E-2</v>
      </c>
      <c r="AE195" s="48">
        <f>(T195-S195)/S195</f>
        <v>6.9444444444444441E-3</v>
      </c>
      <c r="AF195" s="48" t="e">
        <f>(#REF!-#REF!)/#REF!</f>
        <v>#REF!</v>
      </c>
    </row>
    <row r="196" spans="1:32" x14ac:dyDescent="0.3">
      <c r="A196" s="48">
        <v>20181018</v>
      </c>
      <c r="B196" s="48" t="s">
        <v>88</v>
      </c>
      <c r="C196" s="79">
        <v>0.2</v>
      </c>
      <c r="D196" s="79">
        <f t="shared" ref="D196:D259" si="37">F196*G196*I196/Z196</f>
        <v>0.20986670272895339</v>
      </c>
      <c r="E196" s="49">
        <v>44150</v>
      </c>
      <c r="F196" s="49">
        <v>44050</v>
      </c>
      <c r="G196" s="49">
        <v>6419324700</v>
      </c>
      <c r="H196" s="49">
        <f t="shared" ref="H196:H259" si="38">I195</f>
        <v>0.227928098803895</v>
      </c>
      <c r="I196" s="49">
        <f t="shared" si="32"/>
        <v>0.227928098803895</v>
      </c>
      <c r="J196" s="48">
        <v>0.3</v>
      </c>
      <c r="K196" s="48">
        <f t="shared" ref="K196:K259" si="39">M196*N196*P196/Z196</f>
        <v>0.28614724299449584</v>
      </c>
      <c r="L196" s="48">
        <v>265500</v>
      </c>
      <c r="M196" s="48">
        <v>260500</v>
      </c>
      <c r="N196" s="51">
        <v>125395903</v>
      </c>
      <c r="O196" s="48">
        <f t="shared" ref="O196:O259" si="40">P195</f>
        <v>2.6902217281479599</v>
      </c>
      <c r="P196" s="48">
        <f t="shared" si="33"/>
        <v>2.6902217281479599</v>
      </c>
      <c r="Q196" s="49">
        <v>0.5</v>
      </c>
      <c r="R196" s="49">
        <f t="shared" ref="R196:R259" si="41">T196*U196*W196/Z196</f>
        <v>0.50398605427655074</v>
      </c>
      <c r="S196" s="49">
        <v>217500</v>
      </c>
      <c r="T196" s="49">
        <v>213700</v>
      </c>
      <c r="U196" s="49">
        <v>15956260</v>
      </c>
      <c r="V196" s="49">
        <f t="shared" ref="V196:V259" si="42">W195</f>
        <v>45.391285034054299</v>
      </c>
      <c r="W196" s="49">
        <f t="shared" si="34"/>
        <v>45.391285034054299</v>
      </c>
      <c r="X196" s="82">
        <f>IF(Z195&lt;&gt;(E196*G196*H196+L196*N196*O196+S196*U196*V196),1,0)</f>
        <v>0</v>
      </c>
      <c r="Y196" s="82">
        <f>IF(AND(X196=0,B196="N"),Y195,Y195*(E196*G196*I196+L196*N196*P196+S196*U196*W196)/Z195)</f>
        <v>274362327648340.06</v>
      </c>
      <c r="Z196" s="81">
        <f t="shared" si="35"/>
        <v>307106907682744.5</v>
      </c>
      <c r="AA196" s="80">
        <f t="shared" si="36"/>
        <v>1119.3479451609492</v>
      </c>
      <c r="AB196" s="52">
        <f t="shared" ref="AB196:AB259" si="43">(AA196-AA195)/AA195</f>
        <v>-1.4710904495882735E-2</v>
      </c>
      <c r="AC196" s="48">
        <f>(F196-E196)/E196</f>
        <v>-2.2650056625141564E-3</v>
      </c>
      <c r="AD196" s="48">
        <f>(M196-L196)/L196</f>
        <v>-1.8832391713747645E-2</v>
      </c>
      <c r="AE196" s="48">
        <f>(T196-S196)/S196</f>
        <v>-1.747126436781609E-2</v>
      </c>
      <c r="AF196" s="48" t="e">
        <f>(#REF!-#REF!)/#REF!</f>
        <v>#REF!</v>
      </c>
    </row>
    <row r="197" spans="1:32" x14ac:dyDescent="0.3">
      <c r="A197" s="48">
        <v>20181019</v>
      </c>
      <c r="B197" s="48" t="s">
        <v>88</v>
      </c>
      <c r="C197" s="79">
        <v>0.2</v>
      </c>
      <c r="D197" s="79">
        <f t="shared" si="37"/>
        <v>0.2015381438711138</v>
      </c>
      <c r="E197" s="49">
        <v>44050</v>
      </c>
      <c r="F197" s="49">
        <v>43900</v>
      </c>
      <c r="G197" s="49">
        <v>6419324700</v>
      </c>
      <c r="H197" s="49">
        <f t="shared" si="38"/>
        <v>0.227928098803895</v>
      </c>
      <c r="I197" s="49">
        <f t="shared" ref="I197:I260" si="44">IF(B197="Y",ROUND(C197*(E197*G197+L197*N197+S197*U197)/(E197*G197),17),IF(X197=0,H197,ROUND(F196*G196*I196/Z196*(E197*G197+L197*N197+S197*U197)/(E197*G197),17)))</f>
        <v>0.227928098803895</v>
      </c>
      <c r="J197" s="48">
        <v>0.3</v>
      </c>
      <c r="K197" s="48">
        <f t="shared" si="39"/>
        <v>0.28896124046676858</v>
      </c>
      <c r="L197" s="48">
        <v>260500</v>
      </c>
      <c r="M197" s="48">
        <v>273000</v>
      </c>
      <c r="N197" s="51">
        <v>125395903</v>
      </c>
      <c r="O197" s="48">
        <f t="shared" si="40"/>
        <v>2.6902217281479599</v>
      </c>
      <c r="P197" s="48">
        <f t="shared" ref="P197:P260" si="45">IF(B197="Y",ROUND(J197*(E197*G197+L197*N197+S197*U197)/(L197*N197),17),IF(X197=0,O197,ROUND(M196*N196*P196/Z196*(E197*G197+L197*N197+S197*U197)/(L197*N197),17)))</f>
        <v>2.6902217281479599</v>
      </c>
      <c r="Q197" s="49">
        <v>0.5</v>
      </c>
      <c r="R197" s="49">
        <f t="shared" si="41"/>
        <v>0.50950061566211757</v>
      </c>
      <c r="S197" s="49">
        <v>213700</v>
      </c>
      <c r="T197" s="49">
        <v>224200</v>
      </c>
      <c r="U197" s="49">
        <v>15956260</v>
      </c>
      <c r="V197" s="49">
        <f t="shared" si="42"/>
        <v>45.391285034054299</v>
      </c>
      <c r="W197" s="49">
        <f t="shared" ref="W197:W260" si="46">IF(B197="Y",ROUND(Q197*(E197*G197+L197*N197+S197*U197)/(S197*U197),17),IF(X197=0,V197,ROUND(T196*U196*W196/Z196*(E197*G197+L197*N197+S197*U197)/(S197*U197),17)))</f>
        <v>45.391285034054299</v>
      </c>
      <c r="X197" s="82">
        <f>IF(Z196&lt;&gt;(E197*G197*H197+L197*N197*O197+S197*U197*V197),1,0)</f>
        <v>0</v>
      </c>
      <c r="Y197" s="82">
        <f>IF(AND(X197=0,B197="N"),Y196,Y196*(E197*G197*I197+L197*N197*P197+S197*U197*W197)/Z196)</f>
        <v>274362327648340.06</v>
      </c>
      <c r="Z197" s="81">
        <f t="shared" ref="Z197:Z260" si="47">F197*G197*I197+M197*N197*P197+T197*U197*W197</f>
        <v>318709109827708.31</v>
      </c>
      <c r="AA197" s="80">
        <f t="shared" si="36"/>
        <v>1161.635828648491</v>
      </c>
      <c r="AB197" s="52">
        <f t="shared" si="43"/>
        <v>3.7779033472439501E-2</v>
      </c>
      <c r="AC197" s="48">
        <f>(F197-E197)/E197</f>
        <v>-3.4052213393870601E-3</v>
      </c>
      <c r="AD197" s="48">
        <f>(M197-L197)/L197</f>
        <v>4.7984644913627639E-2</v>
      </c>
      <c r="AE197" s="48">
        <f>(T197-S197)/S197</f>
        <v>4.9134300421151147E-2</v>
      </c>
      <c r="AF197" s="48" t="e">
        <f>(#REF!-#REF!)/#REF!</f>
        <v>#REF!</v>
      </c>
    </row>
    <row r="198" spans="1:32" x14ac:dyDescent="0.3">
      <c r="A198" s="48">
        <v>20181022</v>
      </c>
      <c r="B198" s="48" t="s">
        <v>88</v>
      </c>
      <c r="C198" s="79">
        <v>0.2</v>
      </c>
      <c r="D198" s="79">
        <f t="shared" si="37"/>
        <v>0.20107509005773269</v>
      </c>
      <c r="E198" s="49">
        <v>43900</v>
      </c>
      <c r="F198" s="49">
        <v>43550</v>
      </c>
      <c r="G198" s="49">
        <v>6419324700</v>
      </c>
      <c r="H198" s="49">
        <f t="shared" si="38"/>
        <v>0.227928098803895</v>
      </c>
      <c r="I198" s="49">
        <f t="shared" si="44"/>
        <v>0.227928098803895</v>
      </c>
      <c r="J198" s="48">
        <v>0.3</v>
      </c>
      <c r="K198" s="48">
        <f t="shared" si="39"/>
        <v>0.28582394839335723</v>
      </c>
      <c r="L198" s="48">
        <v>273000</v>
      </c>
      <c r="M198" s="48">
        <v>268500</v>
      </c>
      <c r="N198" s="51">
        <v>125395903</v>
      </c>
      <c r="O198" s="48">
        <f t="shared" si="40"/>
        <v>2.6902217281479599</v>
      </c>
      <c r="P198" s="48">
        <f t="shared" si="45"/>
        <v>2.6902217281479599</v>
      </c>
      <c r="Q198" s="49">
        <v>0.5</v>
      </c>
      <c r="R198" s="49">
        <f t="shared" si="41"/>
        <v>0.51310096154891005</v>
      </c>
      <c r="S198" s="49">
        <v>224200</v>
      </c>
      <c r="T198" s="49">
        <v>224500</v>
      </c>
      <c r="U198" s="49">
        <v>15956260</v>
      </c>
      <c r="V198" s="49">
        <f t="shared" si="42"/>
        <v>45.391285034054299</v>
      </c>
      <c r="W198" s="49">
        <f t="shared" si="46"/>
        <v>45.391285034054299</v>
      </c>
      <c r="X198" s="82">
        <f>IF(Z197&lt;&gt;(E198*G198*H198+L198*N198*O198+S198*U198*V198),1,0)</f>
        <v>0</v>
      </c>
      <c r="Y198" s="82">
        <f>IF(AND(X198=0,B198="N"),Y197,Y197*(E198*G198*I198+L198*N198*P198+S198*U198*W198)/Z197)</f>
        <v>274362327648340.06</v>
      </c>
      <c r="Z198" s="81">
        <f t="shared" si="47"/>
        <v>316896249282442</v>
      </c>
      <c r="AA198" s="80">
        <f t="shared" si="36"/>
        <v>1155.0282868594816</v>
      </c>
      <c r="AB198" s="52">
        <f t="shared" si="43"/>
        <v>-5.6881353226656585E-3</v>
      </c>
      <c r="AC198" s="48">
        <f>(F198-E198)/E198</f>
        <v>-7.972665148063782E-3</v>
      </c>
      <c r="AD198" s="48">
        <f>(M198-L198)/L198</f>
        <v>-1.6483516483516484E-2</v>
      </c>
      <c r="AE198" s="48">
        <f>(T198-S198)/S198</f>
        <v>1.3380909901873326E-3</v>
      </c>
      <c r="AF198" s="48" t="e">
        <f>(#REF!-#REF!)/#REF!</f>
        <v>#REF!</v>
      </c>
    </row>
    <row r="199" spans="1:32" x14ac:dyDescent="0.3">
      <c r="A199" s="48">
        <v>20181023</v>
      </c>
      <c r="B199" s="48" t="s">
        <v>88</v>
      </c>
      <c r="C199" s="79">
        <v>0.2</v>
      </c>
      <c r="D199" s="79">
        <f t="shared" si="37"/>
        <v>0.20821612446374693</v>
      </c>
      <c r="E199" s="49">
        <v>43550</v>
      </c>
      <c r="F199" s="49">
        <v>43050</v>
      </c>
      <c r="G199" s="49">
        <v>6419324700</v>
      </c>
      <c r="H199" s="49">
        <f t="shared" si="38"/>
        <v>0.227928098803895</v>
      </c>
      <c r="I199" s="49">
        <f t="shared" si="44"/>
        <v>0.227928098803895</v>
      </c>
      <c r="J199" s="48">
        <v>0.3</v>
      </c>
      <c r="K199" s="48">
        <f t="shared" si="39"/>
        <v>0.27487949116711857</v>
      </c>
      <c r="L199" s="48">
        <v>268500</v>
      </c>
      <c r="M199" s="48">
        <v>246500</v>
      </c>
      <c r="N199" s="51">
        <v>125395903</v>
      </c>
      <c r="O199" s="48">
        <f t="shared" si="40"/>
        <v>2.6902217281479599</v>
      </c>
      <c r="P199" s="48">
        <f t="shared" si="45"/>
        <v>2.6902217281479599</v>
      </c>
      <c r="Q199" s="49">
        <v>0.5</v>
      </c>
      <c r="R199" s="49">
        <f t="shared" si="41"/>
        <v>0.51690438436913455</v>
      </c>
      <c r="S199" s="49">
        <v>224500</v>
      </c>
      <c r="T199" s="49">
        <v>215900</v>
      </c>
      <c r="U199" s="49">
        <v>15956260</v>
      </c>
      <c r="V199" s="49">
        <f t="shared" si="42"/>
        <v>45.391285034054299</v>
      </c>
      <c r="W199" s="49">
        <f t="shared" si="46"/>
        <v>45.391285034054299</v>
      </c>
      <c r="X199" s="82">
        <f>IF(Z198&lt;&gt;(E199*G199*H199+L199*N199*O199+S199*U199*V199),1,0)</f>
        <v>0</v>
      </c>
      <c r="Y199" s="82">
        <f>IF(AND(X199=0,B199="N"),Y198,Y198*(E199*G199*I199+L199*N199*P199+S199*U199*W199)/Z198)</f>
        <v>274362327648340.06</v>
      </c>
      <c r="Z199" s="81">
        <f t="shared" si="47"/>
        <v>302514369568692.37</v>
      </c>
      <c r="AA199" s="80">
        <f t="shared" si="36"/>
        <v>1102.6089921369808</v>
      </c>
      <c r="AB199" s="52">
        <f t="shared" si="43"/>
        <v>-4.5383559276308903E-2</v>
      </c>
      <c r="AC199" s="48">
        <f>(F199-E199)/E199</f>
        <v>-1.1481056257175661E-2</v>
      </c>
      <c r="AD199" s="48">
        <f>(M199-L199)/L199</f>
        <v>-8.1936685288640593E-2</v>
      </c>
      <c r="AE199" s="48">
        <f>(T199-S199)/S199</f>
        <v>-3.8307349665924278E-2</v>
      </c>
      <c r="AF199" s="48" t="e">
        <f>(#REF!-#REF!)/#REF!</f>
        <v>#REF!</v>
      </c>
    </row>
    <row r="200" spans="1:32" x14ac:dyDescent="0.3">
      <c r="A200" s="48">
        <v>20181024</v>
      </c>
      <c r="B200" s="48" t="s">
        <v>88</v>
      </c>
      <c r="C200" s="79">
        <v>0.2</v>
      </c>
      <c r="D200" s="79">
        <f t="shared" si="37"/>
        <v>0.21084128645321071</v>
      </c>
      <c r="E200" s="49">
        <v>43050</v>
      </c>
      <c r="F200" s="49">
        <v>42550</v>
      </c>
      <c r="G200" s="49">
        <v>6419324700</v>
      </c>
      <c r="H200" s="49">
        <f t="shared" si="38"/>
        <v>0.227928098803895</v>
      </c>
      <c r="I200" s="49">
        <f t="shared" si="44"/>
        <v>0.227928098803895</v>
      </c>
      <c r="J200" s="48">
        <v>0.3</v>
      </c>
      <c r="K200" s="48">
        <f t="shared" si="39"/>
        <v>0.25762431552851267</v>
      </c>
      <c r="L200" s="48">
        <v>246500</v>
      </c>
      <c r="M200" s="48">
        <v>225500</v>
      </c>
      <c r="N200" s="51">
        <v>125395903</v>
      </c>
      <c r="O200" s="48">
        <f t="shared" si="40"/>
        <v>2.6902217281479599</v>
      </c>
      <c r="P200" s="48">
        <f t="shared" si="45"/>
        <v>2.6902217281479599</v>
      </c>
      <c r="Q200" s="49">
        <v>0.5</v>
      </c>
      <c r="R200" s="49">
        <f t="shared" si="41"/>
        <v>0.53153439801827673</v>
      </c>
      <c r="S200" s="49">
        <v>215900</v>
      </c>
      <c r="T200" s="49">
        <v>216700</v>
      </c>
      <c r="U200" s="49">
        <v>15956260</v>
      </c>
      <c r="V200" s="49">
        <f t="shared" si="42"/>
        <v>45.391285034054299</v>
      </c>
      <c r="W200" s="49">
        <f t="shared" si="46"/>
        <v>45.391285034054299</v>
      </c>
      <c r="X200" s="82">
        <f>IF(Z199&lt;&gt;(E200*G200*H200+L200*N200*O200+S200*U200*V200),1,0)</f>
        <v>0</v>
      </c>
      <c r="Y200" s="82">
        <f>IF(AND(X200=0,B200="N"),Y199,Y199*(E200*G200*I200+L200*N200*P200+S200*U200*W200)/Z199)</f>
        <v>274362327648340.06</v>
      </c>
      <c r="Z200" s="81">
        <f t="shared" si="47"/>
        <v>295278019007746.37</v>
      </c>
      <c r="AA200" s="80">
        <f t="shared" si="36"/>
        <v>1076.23383114833</v>
      </c>
      <c r="AB200" s="52">
        <f t="shared" si="43"/>
        <v>-2.392068373896785E-2</v>
      </c>
      <c r="AC200" s="48">
        <f>(F200-E200)/E200</f>
        <v>-1.1614401858304297E-2</v>
      </c>
      <c r="AD200" s="48">
        <f>(M200-L200)/L200</f>
        <v>-8.5192697768762676E-2</v>
      </c>
      <c r="AE200" s="48">
        <f>(T200-S200)/S200</f>
        <v>3.7054191755442334E-3</v>
      </c>
      <c r="AF200" s="48" t="e">
        <f>(#REF!-#REF!)/#REF!</f>
        <v>#REF!</v>
      </c>
    </row>
    <row r="201" spans="1:32" x14ac:dyDescent="0.3">
      <c r="A201" s="48">
        <v>20181025</v>
      </c>
      <c r="B201" s="48" t="s">
        <v>88</v>
      </c>
      <c r="C201" s="79">
        <v>0.2</v>
      </c>
      <c r="D201" s="79">
        <f t="shared" si="37"/>
        <v>0.20916760591895542</v>
      </c>
      <c r="E201" s="49">
        <v>42550</v>
      </c>
      <c r="F201" s="49">
        <v>41000</v>
      </c>
      <c r="G201" s="49">
        <v>6419324700</v>
      </c>
      <c r="H201" s="49">
        <f t="shared" si="38"/>
        <v>0.227928098803895</v>
      </c>
      <c r="I201" s="49">
        <f t="shared" si="44"/>
        <v>0.227928098803895</v>
      </c>
      <c r="J201" s="48">
        <v>0.3</v>
      </c>
      <c r="K201" s="48">
        <f t="shared" si="39"/>
        <v>0.27818001466776293</v>
      </c>
      <c r="L201" s="48">
        <v>225500</v>
      </c>
      <c r="M201" s="48">
        <v>236500</v>
      </c>
      <c r="N201" s="51">
        <v>125395903</v>
      </c>
      <c r="O201" s="48">
        <f t="shared" si="40"/>
        <v>2.6902217281479599</v>
      </c>
      <c r="P201" s="48">
        <f t="shared" si="45"/>
        <v>2.6902217281479599</v>
      </c>
      <c r="Q201" s="49">
        <v>0.5</v>
      </c>
      <c r="R201" s="49">
        <f t="shared" si="41"/>
        <v>0.51265237941328157</v>
      </c>
      <c r="S201" s="49">
        <v>216700</v>
      </c>
      <c r="T201" s="49">
        <v>203000</v>
      </c>
      <c r="U201" s="49">
        <v>15956260</v>
      </c>
      <c r="V201" s="49">
        <f t="shared" si="42"/>
        <v>45.391285034054299</v>
      </c>
      <c r="W201" s="49">
        <f t="shared" si="46"/>
        <v>45.391285034054299</v>
      </c>
      <c r="X201" s="82">
        <f>IF(Z200&lt;&gt;(E201*G201*H201+L201*N201*O201+S201*U201*V201),1,0)</f>
        <v>0</v>
      </c>
      <c r="Y201" s="82">
        <f>IF(AND(X201=0,B201="N"),Y200,Y200*(E201*G201*I201+L201*N201*P201+S201*U201*W201)/Z200)</f>
        <v>274362327648340.06</v>
      </c>
      <c r="Z201" s="81">
        <f t="shared" si="47"/>
        <v>286798346187290</v>
      </c>
      <c r="AA201" s="80">
        <f t="shared" si="36"/>
        <v>1045.3269902086909</v>
      </c>
      <c r="AB201" s="52">
        <f t="shared" si="43"/>
        <v>-2.8717589101117394E-2</v>
      </c>
      <c r="AC201" s="48">
        <f>(F201-E201)/E201</f>
        <v>-3.6427732079905996E-2</v>
      </c>
      <c r="AD201" s="48">
        <f>(M201-L201)/L201</f>
        <v>4.878048780487805E-2</v>
      </c>
      <c r="AE201" s="48">
        <f>(T201-S201)/S201</f>
        <v>-6.3221042916474388E-2</v>
      </c>
      <c r="AF201" s="48" t="e">
        <f>(#REF!-#REF!)/#REF!</f>
        <v>#REF!</v>
      </c>
    </row>
    <row r="202" spans="1:32" x14ac:dyDescent="0.3">
      <c r="A202" s="48">
        <v>20181026</v>
      </c>
      <c r="B202" s="48" t="s">
        <v>88</v>
      </c>
      <c r="C202" s="79">
        <v>0.2</v>
      </c>
      <c r="D202" s="79">
        <f t="shared" si="37"/>
        <v>0.21573759242880711</v>
      </c>
      <c r="E202" s="49">
        <v>41000</v>
      </c>
      <c r="F202" s="49">
        <v>41000</v>
      </c>
      <c r="G202" s="49">
        <v>6419324700</v>
      </c>
      <c r="H202" s="49">
        <f t="shared" si="38"/>
        <v>0.227928098803895</v>
      </c>
      <c r="I202" s="49">
        <f t="shared" si="44"/>
        <v>0.227928098803895</v>
      </c>
      <c r="J202" s="48">
        <v>0.3</v>
      </c>
      <c r="K202" s="48">
        <f t="shared" si="39"/>
        <v>0.27660563915995612</v>
      </c>
      <c r="L202" s="48">
        <v>236500</v>
      </c>
      <c r="M202" s="48">
        <v>228000</v>
      </c>
      <c r="N202" s="51">
        <v>125395903</v>
      </c>
      <c r="O202" s="48">
        <f t="shared" si="40"/>
        <v>2.6902217281479599</v>
      </c>
      <c r="P202" s="48">
        <f t="shared" si="45"/>
        <v>2.6902217281479599</v>
      </c>
      <c r="Q202" s="49">
        <v>0.5</v>
      </c>
      <c r="R202" s="49">
        <f t="shared" si="41"/>
        <v>0.50765676841123675</v>
      </c>
      <c r="S202" s="49">
        <v>203000</v>
      </c>
      <c r="T202" s="49">
        <v>194900</v>
      </c>
      <c r="U202" s="49">
        <v>15956260</v>
      </c>
      <c r="V202" s="49">
        <f t="shared" si="42"/>
        <v>45.391285034054299</v>
      </c>
      <c r="W202" s="49">
        <f t="shared" si="46"/>
        <v>45.391285034054299</v>
      </c>
      <c r="X202" s="82">
        <f>IF(Z201&lt;&gt;(E202*G202*H202+L202*N202*O202+S202*U202*V202),1,0)</f>
        <v>0</v>
      </c>
      <c r="Y202" s="82">
        <f>IF(AND(X202=0,B202="N"),Y201,Y201*(E202*G202*I202+L202*N202*P202+S202*U202*W202)/Z201)</f>
        <v>274362327648340.06</v>
      </c>
      <c r="Z202" s="81">
        <f t="shared" si="47"/>
        <v>278064303852410.09</v>
      </c>
      <c r="AA202" s="80">
        <f t="shared" si="36"/>
        <v>1013.4930193798872</v>
      </c>
      <c r="AB202" s="52">
        <f t="shared" si="43"/>
        <v>-3.0453600765104404E-2</v>
      </c>
      <c r="AC202" s="48">
        <f>(F202-E202)/E202</f>
        <v>0</v>
      </c>
      <c r="AD202" s="48">
        <f>(M202-L202)/L202</f>
        <v>-3.5940803382663845E-2</v>
      </c>
      <c r="AE202" s="48">
        <f>(T202-S202)/S202</f>
        <v>-3.9901477832512314E-2</v>
      </c>
      <c r="AF202" s="48" t="e">
        <f>(#REF!-#REF!)/#REF!</f>
        <v>#REF!</v>
      </c>
    </row>
    <row r="203" spans="1:32" x14ac:dyDescent="0.3">
      <c r="A203" s="48">
        <v>20181029</v>
      </c>
      <c r="B203" s="48" t="s">
        <v>88</v>
      </c>
      <c r="C203" s="79">
        <v>0.2</v>
      </c>
      <c r="D203" s="79">
        <f t="shared" si="37"/>
        <v>0.22790401279040584</v>
      </c>
      <c r="E203" s="49">
        <v>41000</v>
      </c>
      <c r="F203" s="49">
        <v>41400</v>
      </c>
      <c r="G203" s="49">
        <v>6419324700</v>
      </c>
      <c r="H203" s="49">
        <f t="shared" si="38"/>
        <v>0.227928098803895</v>
      </c>
      <c r="I203" s="49">
        <f t="shared" si="44"/>
        <v>0.227928098803895</v>
      </c>
      <c r="J203" s="48">
        <v>0.3</v>
      </c>
      <c r="K203" s="48">
        <f t="shared" si="39"/>
        <v>0.27668928191325692</v>
      </c>
      <c r="L203" s="48">
        <v>228000</v>
      </c>
      <c r="M203" s="48">
        <v>218000</v>
      </c>
      <c r="N203" s="51">
        <v>125395903</v>
      </c>
      <c r="O203" s="48">
        <f t="shared" si="40"/>
        <v>2.6902217281479599</v>
      </c>
      <c r="P203" s="48">
        <f t="shared" si="45"/>
        <v>2.6902217281479599</v>
      </c>
      <c r="Q203" s="49">
        <v>0.5</v>
      </c>
      <c r="R203" s="49">
        <f t="shared" si="41"/>
        <v>0.49540670529633724</v>
      </c>
      <c r="S203" s="49">
        <v>194900</v>
      </c>
      <c r="T203" s="49">
        <v>181800</v>
      </c>
      <c r="U203" s="49">
        <v>15956260</v>
      </c>
      <c r="V203" s="49">
        <f t="shared" si="42"/>
        <v>45.391285034054299</v>
      </c>
      <c r="W203" s="49">
        <f t="shared" si="46"/>
        <v>45.391285034054299</v>
      </c>
      <c r="X203" s="82">
        <f>IF(Z202&lt;&gt;(E203*G203*H203+L203*N203*O203+S203*U203*V203),1,0)</f>
        <v>0</v>
      </c>
      <c r="Y203" s="82">
        <f>IF(AND(X203=0,B203="N"),Y202,Y202*(E203*G203*I203+L203*N203*P203+S203*U203*W203)/Z202)</f>
        <v>274362327648340.06</v>
      </c>
      <c r="Z203" s="81">
        <f t="shared" si="47"/>
        <v>265788129404326.12</v>
      </c>
      <c r="AA203" s="80">
        <f t="shared" si="36"/>
        <v>968.74863135363171</v>
      </c>
      <c r="AB203" s="52">
        <f t="shared" si="43"/>
        <v>-4.414868891118031E-2</v>
      </c>
      <c r="AC203" s="48">
        <f>(F203-E203)/E203</f>
        <v>9.7560975609756097E-3</v>
      </c>
      <c r="AD203" s="48">
        <f>(M203-L203)/L203</f>
        <v>-4.3859649122807015E-2</v>
      </c>
      <c r="AE203" s="48">
        <f>(T203-S203)/S203</f>
        <v>-6.7213955874807593E-2</v>
      </c>
      <c r="AF203" s="48" t="e">
        <f>(#REF!-#REF!)/#REF!</f>
        <v>#REF!</v>
      </c>
    </row>
    <row r="204" spans="1:32" x14ac:dyDescent="0.3">
      <c r="A204" s="48">
        <v>20181030</v>
      </c>
      <c r="B204" s="48" t="s">
        <v>88</v>
      </c>
      <c r="C204" s="79">
        <v>0.2</v>
      </c>
      <c r="D204" s="79">
        <f t="shared" si="37"/>
        <v>0.2245002260554752</v>
      </c>
      <c r="E204" s="49">
        <v>41400</v>
      </c>
      <c r="F204" s="49">
        <v>42350</v>
      </c>
      <c r="G204" s="49">
        <v>6419324700</v>
      </c>
      <c r="H204" s="49">
        <f t="shared" si="38"/>
        <v>0.227928098803895</v>
      </c>
      <c r="I204" s="49">
        <f t="shared" si="44"/>
        <v>0.227928098803895</v>
      </c>
      <c r="J204" s="48">
        <v>0.3</v>
      </c>
      <c r="K204" s="48">
        <f t="shared" si="39"/>
        <v>0.27560946363743616</v>
      </c>
      <c r="L204" s="48">
        <v>218000</v>
      </c>
      <c r="M204" s="48">
        <v>225500</v>
      </c>
      <c r="N204" s="51">
        <v>125395903</v>
      </c>
      <c r="O204" s="48">
        <f t="shared" si="40"/>
        <v>2.6902217281479599</v>
      </c>
      <c r="P204" s="48">
        <f t="shared" si="45"/>
        <v>2.6902217281479599</v>
      </c>
      <c r="Q204" s="49">
        <v>0.5</v>
      </c>
      <c r="R204" s="49">
        <f t="shared" si="41"/>
        <v>0.49989031030708869</v>
      </c>
      <c r="S204" s="49">
        <v>181800</v>
      </c>
      <c r="T204" s="49">
        <v>190500</v>
      </c>
      <c r="U204" s="49">
        <v>15956260</v>
      </c>
      <c r="V204" s="49">
        <f t="shared" si="42"/>
        <v>45.391285034054299</v>
      </c>
      <c r="W204" s="49">
        <f t="shared" si="46"/>
        <v>45.391285034054299</v>
      </c>
      <c r="X204" s="82">
        <f>IF(Z203&lt;&gt;(E204*G204*H204+L204*N204*O204+S204*U204*V204),1,0)</f>
        <v>0</v>
      </c>
      <c r="Y204" s="82">
        <f>IF(AND(X204=0,B204="N"),Y203,Y203*(E204*G204*I204+L204*N204*P204+S204*U204*W204)/Z203)</f>
        <v>274362327648340.06</v>
      </c>
      <c r="Z204" s="81">
        <f t="shared" si="47"/>
        <v>276009381294529.28</v>
      </c>
      <c r="AA204" s="80">
        <f t="shared" si="36"/>
        <v>1006.0032062721829</v>
      </c>
      <c r="AB204" s="52">
        <f t="shared" si="43"/>
        <v>3.8456389730837988E-2</v>
      </c>
      <c r="AC204" s="48">
        <f>(F204-E204)/E204</f>
        <v>2.2946859903381644E-2</v>
      </c>
      <c r="AD204" s="48">
        <f>(M204-L204)/L204</f>
        <v>3.4403669724770644E-2</v>
      </c>
      <c r="AE204" s="48">
        <f>(T204-S204)/S204</f>
        <v>4.7854785478547858E-2</v>
      </c>
      <c r="AF204" s="48" t="e">
        <f>(#REF!-#REF!)/#REF!</f>
        <v>#REF!</v>
      </c>
    </row>
    <row r="205" spans="1:32" x14ac:dyDescent="0.3">
      <c r="A205" s="48">
        <v>20181031</v>
      </c>
      <c r="B205" s="48" t="s">
        <v>88</v>
      </c>
      <c r="C205" s="79">
        <v>0.2</v>
      </c>
      <c r="D205" s="79">
        <f t="shared" si="37"/>
        <v>0.22947733717496741</v>
      </c>
      <c r="E205" s="49">
        <v>42350</v>
      </c>
      <c r="F205" s="49">
        <v>42400</v>
      </c>
      <c r="G205" s="49">
        <v>6419324700</v>
      </c>
      <c r="H205" s="49">
        <f t="shared" si="38"/>
        <v>0.227928098803895</v>
      </c>
      <c r="I205" s="49">
        <f t="shared" si="44"/>
        <v>0.227928098803895</v>
      </c>
      <c r="J205" s="48">
        <v>0.3</v>
      </c>
      <c r="K205" s="48">
        <f t="shared" si="39"/>
        <v>0.27140473372509299</v>
      </c>
      <c r="L205" s="48">
        <v>225500</v>
      </c>
      <c r="M205" s="48">
        <v>217500</v>
      </c>
      <c r="N205" s="51">
        <v>125395903</v>
      </c>
      <c r="O205" s="48">
        <f t="shared" si="40"/>
        <v>2.6902217281479599</v>
      </c>
      <c r="P205" s="48">
        <f t="shared" si="45"/>
        <v>2.6902217281479599</v>
      </c>
      <c r="Q205" s="49">
        <v>0.5</v>
      </c>
      <c r="R205" s="49">
        <f t="shared" si="41"/>
        <v>0.49911792909993963</v>
      </c>
      <c r="S205" s="49">
        <v>190500</v>
      </c>
      <c r="T205" s="49">
        <v>186300</v>
      </c>
      <c r="U205" s="49">
        <v>15956260</v>
      </c>
      <c r="V205" s="49">
        <f t="shared" si="42"/>
        <v>45.391285034054299</v>
      </c>
      <c r="W205" s="49">
        <f t="shared" si="46"/>
        <v>45.391285034054299</v>
      </c>
      <c r="X205" s="82">
        <f>IF(Z204&lt;&gt;(E205*G205*H205+L205*N205*O205+S205*U205*V205),1,0)</f>
        <v>0</v>
      </c>
      <c r="Y205" s="82">
        <f>IF(AND(X205=0,B205="N"),Y204,Y204*(E205*G205*I205+L205*N205*P205+S205*U205*W205)/Z204)</f>
        <v>274362327648340.06</v>
      </c>
      <c r="Z205" s="81">
        <f t="shared" si="47"/>
        <v>270341840643185</v>
      </c>
      <c r="AA205" s="80">
        <f t="shared" si="36"/>
        <v>985.34606759019687</v>
      </c>
      <c r="AB205" s="52">
        <f t="shared" si="43"/>
        <v>-2.0533869627048715E-2</v>
      </c>
      <c r="AC205" s="48">
        <f>(F205-E205)/E205</f>
        <v>1.1806375442739079E-3</v>
      </c>
      <c r="AD205" s="48">
        <f>(M205-L205)/L205</f>
        <v>-3.5476718403547672E-2</v>
      </c>
      <c r="AE205" s="48">
        <f>(T205-S205)/S205</f>
        <v>-2.2047244094488189E-2</v>
      </c>
      <c r="AF205" s="48" t="e">
        <f>(#REF!-#REF!)/#REF!</f>
        <v>#REF!</v>
      </c>
    </row>
    <row r="206" spans="1:32" x14ac:dyDescent="0.3">
      <c r="A206" s="48">
        <v>20181101</v>
      </c>
      <c r="B206" s="48" t="s">
        <v>88</v>
      </c>
      <c r="C206" s="79">
        <v>0.2</v>
      </c>
      <c r="D206" s="79">
        <f t="shared" si="37"/>
        <v>0.227604377010448</v>
      </c>
      <c r="E206" s="49">
        <v>42400</v>
      </c>
      <c r="F206" s="49">
        <v>42150</v>
      </c>
      <c r="G206" s="49">
        <v>6419324700</v>
      </c>
      <c r="H206" s="49">
        <f t="shared" si="38"/>
        <v>0.227928098803895</v>
      </c>
      <c r="I206" s="49">
        <f t="shared" si="44"/>
        <v>0.227928098803895</v>
      </c>
      <c r="J206" s="48">
        <v>0.3</v>
      </c>
      <c r="K206" s="48">
        <f t="shared" si="39"/>
        <v>0.28323612453343916</v>
      </c>
      <c r="L206" s="48">
        <v>217500</v>
      </c>
      <c r="M206" s="48">
        <v>227500</v>
      </c>
      <c r="N206" s="51">
        <v>125395903</v>
      </c>
      <c r="O206" s="48">
        <f t="shared" si="40"/>
        <v>2.6902217281479599</v>
      </c>
      <c r="P206" s="48">
        <f t="shared" si="45"/>
        <v>2.6902217281479599</v>
      </c>
      <c r="Q206" s="49">
        <v>0.5</v>
      </c>
      <c r="R206" s="49">
        <f t="shared" si="41"/>
        <v>0.48915949845611273</v>
      </c>
      <c r="S206" s="49">
        <v>186300</v>
      </c>
      <c r="T206" s="49">
        <v>183000</v>
      </c>
      <c r="U206" s="49">
        <v>15956260</v>
      </c>
      <c r="V206" s="49">
        <f t="shared" si="42"/>
        <v>45.391285034054299</v>
      </c>
      <c r="W206" s="49">
        <f t="shared" si="46"/>
        <v>45.391285034054299</v>
      </c>
      <c r="X206" s="82">
        <f>IF(Z205&lt;&gt;(E206*G206*H206+L206*N206*O206+S206*U206*V206),1,0)</f>
        <v>0</v>
      </c>
      <c r="Y206" s="82">
        <f>IF(AND(X206=0,B206="N"),Y205,Y205*(E206*G206*I206+L206*N206*P206+S206*U206*W206)/Z205)</f>
        <v>274362327648340.06</v>
      </c>
      <c r="Z206" s="81">
        <f t="shared" si="47"/>
        <v>270959374372345.69</v>
      </c>
      <c r="AA206" s="80">
        <f t="shared" si="36"/>
        <v>987.59686395299855</v>
      </c>
      <c r="AB206" s="52">
        <f t="shared" si="43"/>
        <v>2.2842698995149189E-3</v>
      </c>
      <c r="AC206" s="48">
        <f>(F206-E206)/E206</f>
        <v>-5.89622641509434E-3</v>
      </c>
      <c r="AD206" s="48">
        <f>(M206-L206)/L206</f>
        <v>4.5977011494252873E-2</v>
      </c>
      <c r="AE206" s="48">
        <f>(T206-S206)/S206</f>
        <v>-1.7713365539452495E-2</v>
      </c>
      <c r="AF206" s="48" t="e">
        <f>(#REF!-#REF!)/#REF!</f>
        <v>#REF!</v>
      </c>
    </row>
    <row r="207" spans="1:32" x14ac:dyDescent="0.3">
      <c r="A207" s="48">
        <v>20181102</v>
      </c>
      <c r="B207" s="48" t="s">
        <v>88</v>
      </c>
      <c r="C207" s="79">
        <v>0.2</v>
      </c>
      <c r="D207" s="79">
        <f t="shared" si="37"/>
        <v>0.22452140832651479</v>
      </c>
      <c r="E207" s="49">
        <v>42150</v>
      </c>
      <c r="F207" s="49">
        <v>44150</v>
      </c>
      <c r="G207" s="49">
        <v>6419324700</v>
      </c>
      <c r="H207" s="49">
        <f t="shared" si="38"/>
        <v>0.227928098803895</v>
      </c>
      <c r="I207" s="49">
        <f t="shared" si="44"/>
        <v>0.227928098803895</v>
      </c>
      <c r="J207" s="48">
        <v>0.3</v>
      </c>
      <c r="K207" s="48">
        <f t="shared" si="39"/>
        <v>0.27729523486979712</v>
      </c>
      <c r="L207" s="48">
        <v>227500</v>
      </c>
      <c r="M207" s="48">
        <v>236500</v>
      </c>
      <c r="N207" s="51">
        <v>125395903</v>
      </c>
      <c r="O207" s="48">
        <f t="shared" si="40"/>
        <v>2.6902217281479599</v>
      </c>
      <c r="P207" s="48">
        <f t="shared" si="45"/>
        <v>2.6902217281479599</v>
      </c>
      <c r="Q207" s="49">
        <v>0.5</v>
      </c>
      <c r="R207" s="49">
        <f t="shared" si="41"/>
        <v>0.49818335680368819</v>
      </c>
      <c r="S207" s="49">
        <v>183000</v>
      </c>
      <c r="T207" s="49">
        <v>197900</v>
      </c>
      <c r="U207" s="49">
        <v>15956260</v>
      </c>
      <c r="V207" s="49">
        <f t="shared" si="42"/>
        <v>45.391285034054299</v>
      </c>
      <c r="W207" s="49">
        <f t="shared" si="46"/>
        <v>45.391285034054299</v>
      </c>
      <c r="X207" s="82">
        <f>IF(Z206&lt;&gt;(E207*G207*H207+L207*N207*O207+S207*U207*V207),1,0)</f>
        <v>0</v>
      </c>
      <c r="Y207" s="82">
        <f>IF(AND(X207=0,B207="N"),Y206,Y206*(E207*G207*I207+L207*N207*P207+S207*U207*W207)/Z206)</f>
        <v>274362327648340.06</v>
      </c>
      <c r="Z207" s="81">
        <f t="shared" si="47"/>
        <v>287713448038627.87</v>
      </c>
      <c r="AA207" s="80">
        <f t="shared" si="36"/>
        <v>1048.6623674056316</v>
      </c>
      <c r="AB207" s="52">
        <f t="shared" si="43"/>
        <v>6.1832419362096366E-2</v>
      </c>
      <c r="AC207" s="48">
        <f>(F207-E207)/E207</f>
        <v>4.7449584816132859E-2</v>
      </c>
      <c r="AD207" s="48">
        <f>(M207-L207)/L207</f>
        <v>3.9560439560439559E-2</v>
      </c>
      <c r="AE207" s="48">
        <f>(T207-S207)/S207</f>
        <v>8.14207650273224E-2</v>
      </c>
      <c r="AF207" s="48" t="e">
        <f>(#REF!-#REF!)/#REF!</f>
        <v>#REF!</v>
      </c>
    </row>
    <row r="208" spans="1:32" x14ac:dyDescent="0.3">
      <c r="A208" s="48">
        <v>20181105</v>
      </c>
      <c r="B208" s="48" t="s">
        <v>88</v>
      </c>
      <c r="C208" s="79">
        <v>0.2</v>
      </c>
      <c r="D208" s="79">
        <f t="shared" si="37"/>
        <v>0.21887192790770921</v>
      </c>
      <c r="E208" s="49">
        <v>44150</v>
      </c>
      <c r="F208" s="49">
        <v>43800</v>
      </c>
      <c r="G208" s="49">
        <v>6419324700</v>
      </c>
      <c r="H208" s="49">
        <f t="shared" si="38"/>
        <v>0.227928098803895</v>
      </c>
      <c r="I208" s="49">
        <f t="shared" si="44"/>
        <v>0.227928098803895</v>
      </c>
      <c r="J208" s="48">
        <v>0.3</v>
      </c>
      <c r="K208" s="48">
        <f t="shared" si="39"/>
        <v>0.27651035914950123</v>
      </c>
      <c r="L208" s="48">
        <v>236500</v>
      </c>
      <c r="M208" s="48">
        <v>240000</v>
      </c>
      <c r="N208" s="51">
        <v>125395903</v>
      </c>
      <c r="O208" s="48">
        <f t="shared" si="40"/>
        <v>2.6902217281479599</v>
      </c>
      <c r="P208" s="48">
        <f t="shared" si="45"/>
        <v>2.6902217281479599</v>
      </c>
      <c r="Q208" s="49">
        <v>0.5</v>
      </c>
      <c r="R208" s="49">
        <f t="shared" si="41"/>
        <v>0.50461771294278956</v>
      </c>
      <c r="S208" s="49">
        <v>197900</v>
      </c>
      <c r="T208" s="49">
        <v>204000</v>
      </c>
      <c r="U208" s="49">
        <v>15956260</v>
      </c>
      <c r="V208" s="49">
        <f t="shared" si="42"/>
        <v>45.391285034054299</v>
      </c>
      <c r="W208" s="49">
        <f t="shared" si="46"/>
        <v>45.391285034054299</v>
      </c>
      <c r="X208" s="82">
        <f>IF(Z207&lt;&gt;(E208*G208*H208+L208*N208*O208+S208*U208*V208),1,0)</f>
        <v>0</v>
      </c>
      <c r="Y208" s="82">
        <f>IF(AND(X208=0,B208="N"),Y207,Y207*(E208*G208*I208+L208*N208*P208+S208*U208*W208)/Z207)</f>
        <v>274362327648340.06</v>
      </c>
      <c r="Z208" s="81">
        <f t="shared" si="47"/>
        <v>292800125601609.62</v>
      </c>
      <c r="AA208" s="80">
        <f t="shared" si="36"/>
        <v>1067.2023674361808</v>
      </c>
      <c r="AB208" s="52">
        <f t="shared" si="43"/>
        <v>1.7679665645308484E-2</v>
      </c>
      <c r="AC208" s="48">
        <f>(F208-E208)/E208</f>
        <v>-7.9275198187995465E-3</v>
      </c>
      <c r="AD208" s="48">
        <f>(M208-L208)/L208</f>
        <v>1.4799154334038054E-2</v>
      </c>
      <c r="AE208" s="48">
        <f>(T208-S208)/S208</f>
        <v>3.0823648307225872E-2</v>
      </c>
      <c r="AF208" s="48" t="e">
        <f>(#REF!-#REF!)/#REF!</f>
        <v>#REF!</v>
      </c>
    </row>
    <row r="209" spans="1:32" x14ac:dyDescent="0.3">
      <c r="A209" s="48">
        <v>20181106</v>
      </c>
      <c r="B209" s="48" t="s">
        <v>88</v>
      </c>
      <c r="C209" s="79">
        <v>0.2</v>
      </c>
      <c r="D209" s="79">
        <f t="shared" si="37"/>
        <v>0.21885770075095465</v>
      </c>
      <c r="E209" s="49">
        <v>43800</v>
      </c>
      <c r="F209" s="49">
        <v>43750</v>
      </c>
      <c r="G209" s="49">
        <v>6419324700</v>
      </c>
      <c r="H209" s="49">
        <f t="shared" si="38"/>
        <v>0.227928098803895</v>
      </c>
      <c r="I209" s="49">
        <f t="shared" si="44"/>
        <v>0.227928098803895</v>
      </c>
      <c r="J209" s="48">
        <v>0.3</v>
      </c>
      <c r="K209" s="48">
        <f t="shared" si="39"/>
        <v>0.27796174490160147</v>
      </c>
      <c r="L209" s="48">
        <v>240000</v>
      </c>
      <c r="M209" s="48">
        <v>241000</v>
      </c>
      <c r="N209" s="51">
        <v>125395903</v>
      </c>
      <c r="O209" s="48">
        <f t="shared" si="40"/>
        <v>2.6902217281479599</v>
      </c>
      <c r="P209" s="48">
        <f t="shared" si="45"/>
        <v>2.6902217281479599</v>
      </c>
      <c r="Q209" s="49">
        <v>0.5</v>
      </c>
      <c r="R209" s="49">
        <f t="shared" si="41"/>
        <v>0.50318055434744402</v>
      </c>
      <c r="S209" s="49">
        <v>204000</v>
      </c>
      <c r="T209" s="49">
        <v>203200</v>
      </c>
      <c r="U209" s="49">
        <v>15956260</v>
      </c>
      <c r="V209" s="49">
        <f t="shared" si="42"/>
        <v>45.391285034054299</v>
      </c>
      <c r="W209" s="49">
        <f t="shared" si="46"/>
        <v>45.391285034054299</v>
      </c>
      <c r="X209" s="82">
        <f>IF(Z208&lt;&gt;(E209*G209*H209+L209*N209*O209+S209*U209*V209),1,0)</f>
        <v>0</v>
      </c>
      <c r="Y209" s="82">
        <f>IF(AND(X209=0,B209="N"),Y208,Y208*(E209*G209*I209+L209*N209*P209+S209*U209*W209)/Z208)</f>
        <v>274362327648340.06</v>
      </c>
      <c r="Z209" s="81">
        <f t="shared" si="47"/>
        <v>292484891044167.12</v>
      </c>
      <c r="AA209" s="80">
        <f t="shared" si="36"/>
        <v>1066.0533957091054</v>
      </c>
      <c r="AB209" s="52">
        <f t="shared" si="43"/>
        <v>-1.076620294457964E-3</v>
      </c>
      <c r="AC209" s="48">
        <f>(F209-E209)/E209</f>
        <v>-1.1415525114155251E-3</v>
      </c>
      <c r="AD209" s="48">
        <f>(M209-L209)/L209</f>
        <v>4.1666666666666666E-3</v>
      </c>
      <c r="AE209" s="48">
        <f>(T209-S209)/S209</f>
        <v>-3.9215686274509803E-3</v>
      </c>
      <c r="AF209" s="48" t="e">
        <f>(#REF!-#REF!)/#REF!</f>
        <v>#REF!</v>
      </c>
    </row>
    <row r="210" spans="1:32" x14ac:dyDescent="0.3">
      <c r="A210" s="48">
        <v>20181107</v>
      </c>
      <c r="B210" s="48" t="s">
        <v>88</v>
      </c>
      <c r="C210" s="79">
        <v>0.2</v>
      </c>
      <c r="D210" s="79">
        <f t="shared" si="37"/>
        <v>0.22297295391814462</v>
      </c>
      <c r="E210" s="49">
        <v>43750</v>
      </c>
      <c r="F210" s="49">
        <v>44000</v>
      </c>
      <c r="G210" s="49">
        <v>6419324700</v>
      </c>
      <c r="H210" s="49">
        <f t="shared" si="38"/>
        <v>0.227928098803895</v>
      </c>
      <c r="I210" s="49">
        <f t="shared" si="44"/>
        <v>0.227928098803895</v>
      </c>
      <c r="J210" s="48">
        <v>0.3</v>
      </c>
      <c r="K210" s="48">
        <f t="shared" si="39"/>
        <v>0.27281648398783681</v>
      </c>
      <c r="L210" s="48">
        <v>241000</v>
      </c>
      <c r="M210" s="48">
        <v>233500</v>
      </c>
      <c r="N210" s="51">
        <v>125395903</v>
      </c>
      <c r="O210" s="48">
        <f t="shared" si="40"/>
        <v>2.6902217281479599</v>
      </c>
      <c r="P210" s="48">
        <f t="shared" si="45"/>
        <v>2.6902217281479599</v>
      </c>
      <c r="Q210" s="49">
        <v>0.5</v>
      </c>
      <c r="R210" s="49">
        <f t="shared" si="41"/>
        <v>0.50421056209401838</v>
      </c>
      <c r="S210" s="49">
        <v>203200</v>
      </c>
      <c r="T210" s="49">
        <v>201000</v>
      </c>
      <c r="U210" s="49">
        <v>15956260</v>
      </c>
      <c r="V210" s="49">
        <f t="shared" si="42"/>
        <v>45.391285034054299</v>
      </c>
      <c r="W210" s="49">
        <f t="shared" si="46"/>
        <v>45.391285034054299</v>
      </c>
      <c r="X210" s="82">
        <f>IF(Z209&lt;&gt;(E210*G210*H210+L210*N210*O210+S210*U210*V210),1,0)</f>
        <v>0</v>
      </c>
      <c r="Y210" s="82">
        <f>IF(AND(X210=0,B210="N"),Y209,Y209*(E210*G210*I210+L210*N210*P210+S210*U210*W210)/Z209)</f>
        <v>274362327648340.06</v>
      </c>
      <c r="Z210" s="81">
        <f t="shared" si="47"/>
        <v>288727200970628.75</v>
      </c>
      <c r="AA210" s="80">
        <f t="shared" si="36"/>
        <v>1052.3573095672984</v>
      </c>
      <c r="AB210" s="52">
        <f t="shared" si="43"/>
        <v>-1.2847467300356718E-2</v>
      </c>
      <c r="AC210" s="48">
        <f>(F210-E210)/E210</f>
        <v>5.7142857142857143E-3</v>
      </c>
      <c r="AD210" s="48">
        <f>(M210-L210)/L210</f>
        <v>-3.1120331950207469E-2</v>
      </c>
      <c r="AE210" s="48">
        <f>(T210-S210)/S210</f>
        <v>-1.0826771653543307E-2</v>
      </c>
      <c r="AF210" s="48" t="e">
        <f>(#REF!-#REF!)/#REF!</f>
        <v>#REF!</v>
      </c>
    </row>
    <row r="211" spans="1:32" x14ac:dyDescent="0.3">
      <c r="A211" s="48">
        <v>20181108</v>
      </c>
      <c r="B211" s="48" t="s">
        <v>88</v>
      </c>
      <c r="C211" s="79">
        <v>0.2</v>
      </c>
      <c r="D211" s="79">
        <f t="shared" si="37"/>
        <v>0.22093747733644514</v>
      </c>
      <c r="E211" s="49">
        <v>44000</v>
      </c>
      <c r="F211" s="49">
        <v>44050</v>
      </c>
      <c r="G211" s="49">
        <v>6419324700</v>
      </c>
      <c r="H211" s="49">
        <f t="shared" si="38"/>
        <v>0.227928098803895</v>
      </c>
      <c r="I211" s="49">
        <f t="shared" si="44"/>
        <v>0.227928098803895</v>
      </c>
      <c r="J211" s="48">
        <v>0.3</v>
      </c>
      <c r="K211" s="48">
        <f t="shared" si="39"/>
        <v>0.27580115036442632</v>
      </c>
      <c r="L211" s="48">
        <v>233500</v>
      </c>
      <c r="M211" s="48">
        <v>238500</v>
      </c>
      <c r="N211" s="51">
        <v>125395903</v>
      </c>
      <c r="O211" s="48">
        <f t="shared" si="40"/>
        <v>2.6902217281479599</v>
      </c>
      <c r="P211" s="48">
        <f t="shared" si="45"/>
        <v>2.6902217281479599</v>
      </c>
      <c r="Q211" s="49">
        <v>0.5</v>
      </c>
      <c r="R211" s="49">
        <f t="shared" si="41"/>
        <v>0.50326137229912837</v>
      </c>
      <c r="S211" s="49">
        <v>201000</v>
      </c>
      <c r="T211" s="49">
        <v>202700</v>
      </c>
      <c r="U211" s="49">
        <v>15956260</v>
      </c>
      <c r="V211" s="49">
        <f t="shared" si="42"/>
        <v>45.391285034054299</v>
      </c>
      <c r="W211" s="49">
        <f t="shared" si="46"/>
        <v>45.391285034054299</v>
      </c>
      <c r="X211" s="82">
        <f>IF(Z210&lt;&gt;(E211*G211*H211+L211*N211*O211+S211*U211*V211),1,0)</f>
        <v>0</v>
      </c>
      <c r="Y211" s="82">
        <f>IF(AND(X211=0,B211="N"),Y210,Y210*(E211*G211*I211+L211*N211*P211+S211*U211*W211)/Z210)</f>
        <v>274362327648340.06</v>
      </c>
      <c r="Z211" s="81">
        <f t="shared" si="47"/>
        <v>291718339856462.87</v>
      </c>
      <c r="AA211" s="80">
        <f t="shared" si="36"/>
        <v>1063.2594582386275</v>
      </c>
      <c r="AB211" s="52">
        <f t="shared" si="43"/>
        <v>1.0359740529394682E-2</v>
      </c>
      <c r="AC211" s="48">
        <f>(F211-E211)/E211</f>
        <v>1.1363636363636363E-3</v>
      </c>
      <c r="AD211" s="48">
        <f>(M211-L211)/L211</f>
        <v>2.1413276231263382E-2</v>
      </c>
      <c r="AE211" s="48">
        <f>(T211-S211)/S211</f>
        <v>8.4577114427860697E-3</v>
      </c>
      <c r="AF211" s="48" t="e">
        <f>(#REF!-#REF!)/#REF!</f>
        <v>#REF!</v>
      </c>
    </row>
    <row r="212" spans="1:32" x14ac:dyDescent="0.3">
      <c r="A212" s="48">
        <v>20181109</v>
      </c>
      <c r="B212" s="48" t="s">
        <v>88</v>
      </c>
      <c r="C212" s="79">
        <v>0.2</v>
      </c>
      <c r="D212" s="79">
        <f t="shared" si="37"/>
        <v>0.2294765884978823</v>
      </c>
      <c r="E212" s="49">
        <v>44050</v>
      </c>
      <c r="F212" s="49">
        <v>44300</v>
      </c>
      <c r="G212" s="49">
        <v>6419324700</v>
      </c>
      <c r="H212" s="49">
        <f t="shared" si="38"/>
        <v>0.227928098803895</v>
      </c>
      <c r="I212" s="49">
        <f t="shared" si="44"/>
        <v>0.227928098803895</v>
      </c>
      <c r="J212" s="48">
        <v>0.3</v>
      </c>
      <c r="K212" s="48">
        <f t="shared" si="39"/>
        <v>0.27409528207719336</v>
      </c>
      <c r="L212" s="48">
        <v>238500</v>
      </c>
      <c r="M212" s="48">
        <v>229500</v>
      </c>
      <c r="N212" s="51">
        <v>125395903</v>
      </c>
      <c r="O212" s="48">
        <f t="shared" si="40"/>
        <v>2.6902217281479599</v>
      </c>
      <c r="P212" s="48">
        <f t="shared" si="45"/>
        <v>2.6902217281479599</v>
      </c>
      <c r="Q212" s="49">
        <v>0.5</v>
      </c>
      <c r="R212" s="49">
        <f t="shared" si="41"/>
        <v>0.49642812942492442</v>
      </c>
      <c r="S212" s="49">
        <v>202700</v>
      </c>
      <c r="T212" s="49">
        <v>193600</v>
      </c>
      <c r="U212" s="49">
        <v>15956260</v>
      </c>
      <c r="V212" s="49">
        <f t="shared" si="42"/>
        <v>45.391285034054299</v>
      </c>
      <c r="W212" s="49">
        <f t="shared" si="46"/>
        <v>45.391285034054299</v>
      </c>
      <c r="X212" s="82">
        <f>IF(Z211&lt;&gt;(E212*G212*H212+L212*N212*O212+S212*U212*V212),1,0)</f>
        <v>0</v>
      </c>
      <c r="Y212" s="82">
        <f>IF(AND(X212=0,B212="N"),Y211,Y211*(E212*G212*I212+L212*N212*P212+S212*U212*W212)/Z211)</f>
        <v>274362327648340.06</v>
      </c>
      <c r="Z212" s="81">
        <f t="shared" si="47"/>
        <v>282457137103028.75</v>
      </c>
      <c r="AA212" s="80">
        <f t="shared" si="36"/>
        <v>1029.5040850690846</v>
      </c>
      <c r="AB212" s="52">
        <f t="shared" si="43"/>
        <v>-3.1747070677801803E-2</v>
      </c>
      <c r="AC212" s="48">
        <f>(F212-E212)/E212</f>
        <v>5.6753688989784334E-3</v>
      </c>
      <c r="AD212" s="48">
        <f>(M212-L212)/L212</f>
        <v>-3.7735849056603772E-2</v>
      </c>
      <c r="AE212" s="48">
        <f>(T212-S212)/S212</f>
        <v>-4.4893931919092252E-2</v>
      </c>
      <c r="AF212" s="48" t="e">
        <f>(#REF!-#REF!)/#REF!</f>
        <v>#REF!</v>
      </c>
    </row>
    <row r="213" spans="1:32" x14ac:dyDescent="0.3">
      <c r="A213" s="48">
        <v>20181112</v>
      </c>
      <c r="B213" s="48" t="s">
        <v>88</v>
      </c>
      <c r="C213" s="79">
        <v>0.2</v>
      </c>
      <c r="D213" s="79">
        <f t="shared" si="37"/>
        <v>0.24921369306269947</v>
      </c>
      <c r="E213" s="49">
        <v>44300</v>
      </c>
      <c r="F213" s="49">
        <v>45200</v>
      </c>
      <c r="G213" s="49">
        <v>6419324700</v>
      </c>
      <c r="H213" s="49">
        <f t="shared" si="38"/>
        <v>0.227928098803895</v>
      </c>
      <c r="I213" s="49">
        <f t="shared" si="44"/>
        <v>0.227928098803895</v>
      </c>
      <c r="J213" s="48">
        <v>0.3</v>
      </c>
      <c r="K213" s="48">
        <f t="shared" si="39"/>
        <v>0.25678464308412186</v>
      </c>
      <c r="L213" s="48">
        <v>229500</v>
      </c>
      <c r="M213" s="48">
        <v>202000</v>
      </c>
      <c r="N213" s="51">
        <v>125395903</v>
      </c>
      <c r="O213" s="48">
        <f t="shared" si="40"/>
        <v>2.6902217281479599</v>
      </c>
      <c r="P213" s="48">
        <f t="shared" si="45"/>
        <v>2.6902217281479599</v>
      </c>
      <c r="Q213" s="49">
        <v>0.5</v>
      </c>
      <c r="R213" s="49">
        <f t="shared" si="41"/>
        <v>0.49400166385317867</v>
      </c>
      <c r="S213" s="49">
        <v>193600</v>
      </c>
      <c r="T213" s="49">
        <v>181000</v>
      </c>
      <c r="U213" s="49">
        <v>15956260</v>
      </c>
      <c r="V213" s="49">
        <f t="shared" si="42"/>
        <v>45.391285034054299</v>
      </c>
      <c r="W213" s="49">
        <f t="shared" si="46"/>
        <v>45.391285034054299</v>
      </c>
      <c r="X213" s="82">
        <f>IF(Z212&lt;&gt;(E213*G213*H213+L213*N213*O213+S213*U213*V213),1,0)</f>
        <v>0</v>
      </c>
      <c r="Y213" s="82">
        <f>IF(AND(X213=0,B213="N"),Y212,Y212*(E213*G213*I213+L213*N213*P213+S213*U213*W213)/Z212)</f>
        <v>274362327648340.06</v>
      </c>
      <c r="Z213" s="81">
        <f t="shared" si="47"/>
        <v>265371173764803.16</v>
      </c>
      <c r="AA213" s="80">
        <f t="shared" si="36"/>
        <v>967.22890507380009</v>
      </c>
      <c r="AB213" s="52">
        <f t="shared" si="43"/>
        <v>-6.0490464193840979E-2</v>
      </c>
      <c r="AC213" s="48">
        <f>(F213-E213)/E213</f>
        <v>2.0316027088036117E-2</v>
      </c>
      <c r="AD213" s="48">
        <f>(M213-L213)/L213</f>
        <v>-0.11982570806100218</v>
      </c>
      <c r="AE213" s="48">
        <f>(T213-S213)/S213</f>
        <v>-6.5082644628099179E-2</v>
      </c>
      <c r="AF213" s="48" t="e">
        <f>(#REF!-#REF!)/#REF!</f>
        <v>#REF!</v>
      </c>
    </row>
    <row r="214" spans="1:32" x14ac:dyDescent="0.3">
      <c r="A214" s="48">
        <v>20181113</v>
      </c>
      <c r="B214" s="48" t="s">
        <v>88</v>
      </c>
      <c r="C214" s="79">
        <v>0.2</v>
      </c>
      <c r="D214" s="79">
        <f t="shared" si="37"/>
        <v>0.24369985258219845</v>
      </c>
      <c r="E214" s="49">
        <v>45200</v>
      </c>
      <c r="F214" s="49">
        <v>44500</v>
      </c>
      <c r="G214" s="49">
        <v>6419324700</v>
      </c>
      <c r="H214" s="49">
        <f t="shared" si="38"/>
        <v>0.227928098803895</v>
      </c>
      <c r="I214" s="49">
        <f t="shared" si="44"/>
        <v>0.227928098803895</v>
      </c>
      <c r="J214" s="48">
        <v>0.3</v>
      </c>
      <c r="K214" s="48">
        <f t="shared" si="39"/>
        <v>0.25315927552931777</v>
      </c>
      <c r="L214" s="48">
        <v>202000</v>
      </c>
      <c r="M214" s="48">
        <v>200500</v>
      </c>
      <c r="N214" s="51">
        <v>125395903</v>
      </c>
      <c r="O214" s="48">
        <f t="shared" si="40"/>
        <v>2.6902217281479599</v>
      </c>
      <c r="P214" s="48">
        <f t="shared" si="45"/>
        <v>2.6902217281479599</v>
      </c>
      <c r="Q214" s="49">
        <v>0.5</v>
      </c>
      <c r="R214" s="49">
        <f t="shared" si="41"/>
        <v>0.50314087188848367</v>
      </c>
      <c r="S214" s="49">
        <v>181000</v>
      </c>
      <c r="T214" s="49">
        <v>185600</v>
      </c>
      <c r="U214" s="49">
        <v>15956260</v>
      </c>
      <c r="V214" s="49">
        <f t="shared" si="42"/>
        <v>45.391285034054299</v>
      </c>
      <c r="W214" s="49">
        <f t="shared" si="46"/>
        <v>45.391285034054299</v>
      </c>
      <c r="X214" s="82">
        <f>IF(Z213&lt;&gt;(E214*G214*H214+L214*N214*O214+S214*U214*V214),1,0)</f>
        <v>0</v>
      </c>
      <c r="Y214" s="82">
        <f>IF(AND(X214=0,B214="N"),Y213,Y213*(E214*G214*I214+L214*N214*P214+S214*U214*W214)/Z213)</f>
        <v>274362327648340.06</v>
      </c>
      <c r="Z214" s="81">
        <f t="shared" si="47"/>
        <v>267172624128755.44</v>
      </c>
      <c r="AA214" s="80">
        <f t="shared" si="36"/>
        <v>973.79485885977795</v>
      </c>
      <c r="AB214" s="52">
        <f t="shared" si="43"/>
        <v>6.7884176656991735E-3</v>
      </c>
      <c r="AC214" s="48">
        <f>(F214-E214)/E214</f>
        <v>-1.5486725663716814E-2</v>
      </c>
      <c r="AD214" s="48">
        <f>(M214-L214)/L214</f>
        <v>-7.4257425742574254E-3</v>
      </c>
      <c r="AE214" s="48">
        <f>(T214-S214)/S214</f>
        <v>2.541436464088398E-2</v>
      </c>
      <c r="AF214" s="48" t="e">
        <f>(#REF!-#REF!)/#REF!</f>
        <v>#REF!</v>
      </c>
    </row>
    <row r="215" spans="1:32" x14ac:dyDescent="0.3">
      <c r="A215" s="48">
        <v>20181114</v>
      </c>
      <c r="B215" s="48" t="s">
        <v>88</v>
      </c>
      <c r="C215" s="79">
        <v>0.2</v>
      </c>
      <c r="D215" s="79">
        <f t="shared" si="37"/>
        <v>0.23989311773376673</v>
      </c>
      <c r="E215" s="49">
        <v>44500</v>
      </c>
      <c r="F215" s="49">
        <v>44100</v>
      </c>
      <c r="G215" s="49">
        <v>6419324700</v>
      </c>
      <c r="H215" s="49">
        <f t="shared" si="38"/>
        <v>0.227928098803895</v>
      </c>
      <c r="I215" s="49">
        <f t="shared" si="44"/>
        <v>0.227928098803895</v>
      </c>
      <c r="J215" s="48">
        <v>0.3</v>
      </c>
      <c r="K215" s="48">
        <f t="shared" si="39"/>
        <v>0.26087156641834863</v>
      </c>
      <c r="L215" s="48">
        <v>200500</v>
      </c>
      <c r="M215" s="48">
        <v>208000</v>
      </c>
      <c r="N215" s="51">
        <v>125395903</v>
      </c>
      <c r="O215" s="48">
        <f t="shared" si="40"/>
        <v>2.6902217281479599</v>
      </c>
      <c r="P215" s="48">
        <f t="shared" si="45"/>
        <v>2.6902217281479599</v>
      </c>
      <c r="Q215" s="49">
        <v>0.5</v>
      </c>
      <c r="R215" s="49">
        <f t="shared" si="41"/>
        <v>0.49923531584788461</v>
      </c>
      <c r="S215" s="49">
        <v>185600</v>
      </c>
      <c r="T215" s="49">
        <v>185400</v>
      </c>
      <c r="U215" s="49">
        <v>15956260</v>
      </c>
      <c r="V215" s="49">
        <f t="shared" si="42"/>
        <v>45.391285034054299</v>
      </c>
      <c r="W215" s="49">
        <f t="shared" si="46"/>
        <v>45.391285034054299</v>
      </c>
      <c r="X215" s="82">
        <f>IF(Z214&lt;&gt;(E215*G215*H215+L215*N215*O215+S215*U215*V215),1,0)</f>
        <v>0</v>
      </c>
      <c r="Y215" s="82">
        <f>IF(AND(X215=0,B215="N"),Y214,Y214*(E215*G215*I215+L215*N215*P215+S215*U215*W215)/Z214)</f>
        <v>274362327648340.06</v>
      </c>
      <c r="Z215" s="81">
        <f t="shared" si="47"/>
        <v>268972582181352.59</v>
      </c>
      <c r="AA215" s="80">
        <f t="shared" si="36"/>
        <v>980.35537344654801</v>
      </c>
      <c r="AB215" s="52">
        <f t="shared" si="43"/>
        <v>6.7370602001861181E-3</v>
      </c>
      <c r="AC215" s="48">
        <f>(F215-E215)/E215</f>
        <v>-8.988764044943821E-3</v>
      </c>
      <c r="AD215" s="48">
        <f>(M215-L215)/L215</f>
        <v>3.7406483790523692E-2</v>
      </c>
      <c r="AE215" s="48">
        <f>(T215-S215)/S215</f>
        <v>-1.0775862068965517E-3</v>
      </c>
      <c r="AF215" s="48" t="e">
        <f>(#REF!-#REF!)/#REF!</f>
        <v>#REF!</v>
      </c>
    </row>
    <row r="216" spans="1:32" s="47" customFormat="1" x14ac:dyDescent="0.3">
      <c r="A216" s="48">
        <v>20181115</v>
      </c>
      <c r="B216" s="48" t="s">
        <v>88</v>
      </c>
      <c r="C216" s="79">
        <v>0.2</v>
      </c>
      <c r="D216" s="79">
        <f t="shared" si="37"/>
        <v>0.23632231688828742</v>
      </c>
      <c r="E216" s="49">
        <v>44100</v>
      </c>
      <c r="F216" s="49">
        <v>44250</v>
      </c>
      <c r="G216" s="49">
        <v>6419324700</v>
      </c>
      <c r="H216" s="49">
        <f t="shared" si="38"/>
        <v>0.227928098803895</v>
      </c>
      <c r="I216" s="49">
        <f t="shared" si="44"/>
        <v>0.26451284996816199</v>
      </c>
      <c r="J216" s="48">
        <v>0.3</v>
      </c>
      <c r="K216" s="48">
        <f t="shared" si="39"/>
        <v>0.26904635569209268</v>
      </c>
      <c r="L216" s="48">
        <v>208000</v>
      </c>
      <c r="M216" s="48">
        <v>218500</v>
      </c>
      <c r="N216" s="51">
        <v>125456133</v>
      </c>
      <c r="O216" s="48">
        <f t="shared" si="40"/>
        <v>2.6902217281479599</v>
      </c>
      <c r="P216" s="48">
        <f t="shared" si="45"/>
        <v>3.1205305104364398</v>
      </c>
      <c r="Q216" s="49">
        <v>0.5</v>
      </c>
      <c r="R216" s="49">
        <f t="shared" si="41"/>
        <v>0.49463132741961979</v>
      </c>
      <c r="S216" s="49">
        <v>185400</v>
      </c>
      <c r="T216" s="49">
        <v>187100</v>
      </c>
      <c r="U216" s="49">
        <v>15956260</v>
      </c>
      <c r="V216" s="49">
        <f t="shared" si="42"/>
        <v>45.391285034054299</v>
      </c>
      <c r="W216" s="49">
        <f t="shared" si="46"/>
        <v>52.677042589668197</v>
      </c>
      <c r="X216" s="82">
        <f>IF(Z215&lt;&gt;(E216*G216*H216+L216*N216*O216+S216*U216*V216),1,0)</f>
        <v>1</v>
      </c>
      <c r="Y216" s="82">
        <f>IF(AND(X216=0,B216="N"),Y215,Y215*(E216*G216*I216+L216*N216*P216+S216*U216*W216)/Z215)</f>
        <v>318400239334251.19</v>
      </c>
      <c r="Z216" s="81">
        <f t="shared" si="47"/>
        <v>317939624970449.12</v>
      </c>
      <c r="AA216" s="80">
        <f t="shared" si="36"/>
        <v>998.55334793477175</v>
      </c>
      <c r="AB216" s="52">
        <f t="shared" si="43"/>
        <v>1.856263043088828E-2</v>
      </c>
      <c r="AC216" s="48">
        <f>(F216-E216)/E216</f>
        <v>3.4013605442176869E-3</v>
      </c>
      <c r="AD216" s="48">
        <f>(M216-L216)/L216</f>
        <v>5.0480769230769232E-2</v>
      </c>
      <c r="AE216" s="48">
        <f>(T216-S216)/S216</f>
        <v>9.1693635382955763E-3</v>
      </c>
      <c r="AF216" s="48" t="e">
        <f>(#REF!-#REF!)/#REF!</f>
        <v>#REF!</v>
      </c>
    </row>
    <row r="217" spans="1:32" x14ac:dyDescent="0.3">
      <c r="A217" s="48">
        <v>20181116</v>
      </c>
      <c r="B217" s="48" t="s">
        <v>88</v>
      </c>
      <c r="C217" s="79">
        <v>0.2</v>
      </c>
      <c r="D217" s="79">
        <f t="shared" si="37"/>
        <v>0.23170590516741296</v>
      </c>
      <c r="E217" s="49">
        <v>44250</v>
      </c>
      <c r="F217" s="49">
        <v>44000</v>
      </c>
      <c r="G217" s="49">
        <v>6419324700</v>
      </c>
      <c r="H217" s="49">
        <f t="shared" si="38"/>
        <v>0.26451284996816199</v>
      </c>
      <c r="I217" s="49">
        <f t="shared" si="44"/>
        <v>0.26451284996816199</v>
      </c>
      <c r="J217" s="48">
        <v>0.3</v>
      </c>
      <c r="K217" s="48">
        <f t="shared" si="39"/>
        <v>0.27196727871469878</v>
      </c>
      <c r="L217" s="48">
        <v>218500</v>
      </c>
      <c r="M217" s="48">
        <v>224000</v>
      </c>
      <c r="N217" s="51">
        <v>125456133</v>
      </c>
      <c r="O217" s="48">
        <f t="shared" si="40"/>
        <v>3.1205305104364398</v>
      </c>
      <c r="P217" s="48">
        <f t="shared" si="45"/>
        <v>3.1205305104364398</v>
      </c>
      <c r="Q217" s="49">
        <v>0.5</v>
      </c>
      <c r="R217" s="49">
        <f t="shared" si="41"/>
        <v>0.4963268161178882</v>
      </c>
      <c r="S217" s="49">
        <v>187100</v>
      </c>
      <c r="T217" s="49">
        <v>190400</v>
      </c>
      <c r="U217" s="49">
        <v>15956260</v>
      </c>
      <c r="V217" s="49">
        <f t="shared" si="42"/>
        <v>52.677042589668197</v>
      </c>
      <c r="W217" s="49">
        <f t="shared" si="46"/>
        <v>52.677042589668197</v>
      </c>
      <c r="X217" s="82">
        <f>IF(Z216&lt;&gt;(E217*G217*H217+L217*N217*O217+S217*U217*V217),1,0)</f>
        <v>0</v>
      </c>
      <c r="Y217" s="82">
        <f>IF(AND(X217=0,B217="N"),Y216,Y216*(E217*G217*I217+L217*N217*P217+S217*U217*W217)/Z216)</f>
        <v>318400239334251.19</v>
      </c>
      <c r="Z217" s="81">
        <f t="shared" si="47"/>
        <v>322442064140798.37</v>
      </c>
      <c r="AA217" s="80">
        <f t="shared" si="36"/>
        <v>1012.6941638454742</v>
      </c>
      <c r="AB217" s="52">
        <f t="shared" si="43"/>
        <v>1.4161302388048478E-2</v>
      </c>
      <c r="AC217" s="48">
        <f>(F217-E217)/E217</f>
        <v>-5.6497175141242938E-3</v>
      </c>
      <c r="AD217" s="48">
        <f>(M217-L217)/L217</f>
        <v>2.5171624713958809E-2</v>
      </c>
      <c r="AE217" s="48">
        <f>(T217-S217)/S217</f>
        <v>1.7637626937466594E-2</v>
      </c>
      <c r="AF217" s="48" t="e">
        <f>(#REF!-#REF!)/#REF!</f>
        <v>#REF!</v>
      </c>
    </row>
    <row r="218" spans="1:32" x14ac:dyDescent="0.3">
      <c r="A218" s="48">
        <v>20181119</v>
      </c>
      <c r="B218" s="48" t="s">
        <v>88</v>
      </c>
      <c r="C218" s="79">
        <v>0.2</v>
      </c>
      <c r="D218" s="79">
        <f t="shared" si="37"/>
        <v>0.22237240806082056</v>
      </c>
      <c r="E218" s="49">
        <v>44000</v>
      </c>
      <c r="F218" s="49">
        <v>43650</v>
      </c>
      <c r="G218" s="49">
        <v>6419324700</v>
      </c>
      <c r="H218" s="49">
        <f t="shared" si="38"/>
        <v>0.26451284996816199</v>
      </c>
      <c r="I218" s="49">
        <f t="shared" si="44"/>
        <v>0.26451284996816199</v>
      </c>
      <c r="J218" s="48">
        <v>0.3</v>
      </c>
      <c r="K218" s="48">
        <f t="shared" si="39"/>
        <v>0.26897774299297766</v>
      </c>
      <c r="L218" s="48">
        <v>224000</v>
      </c>
      <c r="M218" s="48">
        <v>229000</v>
      </c>
      <c r="N218" s="51">
        <v>125456133</v>
      </c>
      <c r="O218" s="48">
        <f t="shared" si="40"/>
        <v>3.1205305104364398</v>
      </c>
      <c r="P218" s="48">
        <f t="shared" si="45"/>
        <v>3.1205305104364398</v>
      </c>
      <c r="Q218" s="49">
        <v>0.5</v>
      </c>
      <c r="R218" s="49">
        <f t="shared" si="41"/>
        <v>0.50864984894620169</v>
      </c>
      <c r="S218" s="49">
        <v>190400</v>
      </c>
      <c r="T218" s="49">
        <v>201700</v>
      </c>
      <c r="U218" s="49">
        <v>15956260</v>
      </c>
      <c r="V218" s="49">
        <f t="shared" si="42"/>
        <v>52.677042589668197</v>
      </c>
      <c r="W218" s="49">
        <f t="shared" si="46"/>
        <v>52.677042589668197</v>
      </c>
      <c r="X218" s="82">
        <f>IF(Z217&lt;&gt;(E218*G218*H218+L218*N218*O218+S218*U218*V218),1,0)</f>
        <v>0</v>
      </c>
      <c r="Y218" s="82">
        <f>IF(AND(X218=0,B218="N"),Y217,Y217*(E218*G218*I218+L218*N218*P218+S218*U218*W218)/Z217)</f>
        <v>318400239334251.19</v>
      </c>
      <c r="Z218" s="81">
        <f t="shared" si="47"/>
        <v>333303187779381.5</v>
      </c>
      <c r="AA218" s="80">
        <f t="shared" si="36"/>
        <v>1046.8057074212356</v>
      </c>
      <c r="AB218" s="52">
        <f t="shared" si="43"/>
        <v>3.3683953945414895E-2</v>
      </c>
      <c r="AC218" s="48">
        <f>(F218-E218)/E218</f>
        <v>-7.9545454545454537E-3</v>
      </c>
      <c r="AD218" s="48">
        <f>(M218-L218)/L218</f>
        <v>2.2321428571428572E-2</v>
      </c>
      <c r="AE218" s="48">
        <f>(T218-S218)/S218</f>
        <v>5.9348739495798317E-2</v>
      </c>
      <c r="AF218" s="48" t="e">
        <f>(#REF!-#REF!)/#REF!</f>
        <v>#REF!</v>
      </c>
    </row>
    <row r="219" spans="1:32" x14ac:dyDescent="0.3">
      <c r="A219" s="48">
        <v>20181120</v>
      </c>
      <c r="B219" s="48" t="s">
        <v>88</v>
      </c>
      <c r="C219" s="79">
        <v>0.2</v>
      </c>
      <c r="D219" s="79">
        <f t="shared" si="37"/>
        <v>0.22363427315260512</v>
      </c>
      <c r="E219" s="49">
        <v>43650</v>
      </c>
      <c r="F219" s="49">
        <v>42800</v>
      </c>
      <c r="G219" s="49">
        <v>6419324700</v>
      </c>
      <c r="H219" s="49">
        <f t="shared" si="38"/>
        <v>0.26451284996816199</v>
      </c>
      <c r="I219" s="49">
        <f t="shared" si="44"/>
        <v>0.26451284996816199</v>
      </c>
      <c r="J219" s="48">
        <v>0.3</v>
      </c>
      <c r="K219" s="48">
        <f t="shared" si="39"/>
        <v>0.27406918351527132</v>
      </c>
      <c r="L219" s="48">
        <v>229000</v>
      </c>
      <c r="M219" s="48">
        <v>227500</v>
      </c>
      <c r="N219" s="51">
        <v>125456133</v>
      </c>
      <c r="O219" s="48">
        <f t="shared" si="40"/>
        <v>3.1205305104364398</v>
      </c>
      <c r="P219" s="48">
        <f t="shared" si="45"/>
        <v>3.1205305104364398</v>
      </c>
      <c r="Q219" s="49">
        <v>0.5</v>
      </c>
      <c r="R219" s="49">
        <f t="shared" si="41"/>
        <v>0.50229654333212348</v>
      </c>
      <c r="S219" s="49">
        <v>201700</v>
      </c>
      <c r="T219" s="49">
        <v>194200</v>
      </c>
      <c r="U219" s="49">
        <v>15956260</v>
      </c>
      <c r="V219" s="49">
        <f t="shared" si="42"/>
        <v>52.677042589668197</v>
      </c>
      <c r="W219" s="49">
        <f t="shared" si="46"/>
        <v>52.677042589668197</v>
      </c>
      <c r="X219" s="82">
        <f>IF(Z218&lt;&gt;(E219*G219*H219+L219*N219*O219+S219*U219*V219),1,0)</f>
        <v>0</v>
      </c>
      <c r="Y219" s="82">
        <f>IF(AND(X219=0,B219="N"),Y218,Y218*(E219*G219*I219+L219*N219*P219+S219*U219*W219)/Z218)</f>
        <v>318400239334251.19</v>
      </c>
      <c r="Z219" s="81">
        <f t="shared" si="47"/>
        <v>324968694045743.25</v>
      </c>
      <c r="AA219" s="80">
        <f t="shared" si="36"/>
        <v>1020.6295533107203</v>
      </c>
      <c r="AB219" s="52">
        <f t="shared" si="43"/>
        <v>-2.5005742636806244E-2</v>
      </c>
      <c r="AC219" s="48">
        <f>(F219-E219)/E219</f>
        <v>-1.9473081328751432E-2</v>
      </c>
      <c r="AD219" s="48">
        <f>(M219-L219)/L219</f>
        <v>-6.5502183406113534E-3</v>
      </c>
      <c r="AE219" s="48">
        <f>(T219-S219)/S219</f>
        <v>-3.7183936539414972E-2</v>
      </c>
      <c r="AF219" s="48" t="e">
        <f>(#REF!-#REF!)/#REF!</f>
        <v>#REF!</v>
      </c>
    </row>
    <row r="220" spans="1:32" x14ac:dyDescent="0.3">
      <c r="A220" s="48">
        <v>20181121</v>
      </c>
      <c r="B220" s="48" t="s">
        <v>88</v>
      </c>
      <c r="C220" s="79">
        <v>0.2</v>
      </c>
      <c r="D220" s="79">
        <f t="shared" si="37"/>
        <v>0.22325575907985529</v>
      </c>
      <c r="E220" s="49">
        <v>42800</v>
      </c>
      <c r="F220" s="49">
        <v>42100</v>
      </c>
      <c r="G220" s="49">
        <v>6419324700</v>
      </c>
      <c r="H220" s="49">
        <f t="shared" si="38"/>
        <v>0.26451284996816199</v>
      </c>
      <c r="I220" s="49">
        <f t="shared" si="44"/>
        <v>0.26451284996816199</v>
      </c>
      <c r="J220" s="48">
        <v>0.3</v>
      </c>
      <c r="K220" s="48">
        <f t="shared" si="39"/>
        <v>0.27509791872828765</v>
      </c>
      <c r="L220" s="48">
        <v>227500</v>
      </c>
      <c r="M220" s="48">
        <v>225000</v>
      </c>
      <c r="N220" s="51">
        <v>125456133</v>
      </c>
      <c r="O220" s="48">
        <f t="shared" si="40"/>
        <v>3.1205305104364398</v>
      </c>
      <c r="P220" s="48">
        <f t="shared" si="45"/>
        <v>3.1205305104364398</v>
      </c>
      <c r="Q220" s="49">
        <v>0.5</v>
      </c>
      <c r="R220" s="49">
        <f t="shared" si="41"/>
        <v>0.50164632219185701</v>
      </c>
      <c r="S220" s="49">
        <v>194200</v>
      </c>
      <c r="T220" s="49">
        <v>191100</v>
      </c>
      <c r="U220" s="49">
        <v>15956260</v>
      </c>
      <c r="V220" s="49">
        <f t="shared" si="42"/>
        <v>52.677042589668197</v>
      </c>
      <c r="W220" s="49">
        <f t="shared" si="46"/>
        <v>52.677042589668197</v>
      </c>
      <c r="X220" s="82">
        <f>IF(Z219&lt;&gt;(E220*G220*H220+L220*N220*O220+S220*U220*V220),1,0)</f>
        <v>0</v>
      </c>
      <c r="Y220" s="82">
        <f>IF(AND(X220=0,B220="N"),Y219,Y219*(E220*G220*I220+L220*N220*P220+S220*U220*W220)/Z219)</f>
        <v>318400239334251.19</v>
      </c>
      <c r="Z220" s="81">
        <f t="shared" si="47"/>
        <v>320195735487451.31</v>
      </c>
      <c r="AA220" s="80">
        <f t="shared" si="36"/>
        <v>1005.6391168453715</v>
      </c>
      <c r="AB220" s="52">
        <f t="shared" si="43"/>
        <v>-1.4687441115851288E-2</v>
      </c>
      <c r="AC220" s="48">
        <f>(F220-E220)/E220</f>
        <v>-1.6355140186915886E-2</v>
      </c>
      <c r="AD220" s="48">
        <f>(M220-L220)/L220</f>
        <v>-1.098901098901099E-2</v>
      </c>
      <c r="AE220" s="48">
        <f>(T220-S220)/S220</f>
        <v>-1.596292481977343E-2</v>
      </c>
      <c r="AF220" s="48" t="e">
        <f>(#REF!-#REF!)/#REF!</f>
        <v>#REF!</v>
      </c>
    </row>
    <row r="221" spans="1:32" x14ac:dyDescent="0.3">
      <c r="A221" s="48">
        <v>20181122</v>
      </c>
      <c r="B221" s="48" t="s">
        <v>88</v>
      </c>
      <c r="C221" s="79">
        <v>0.2</v>
      </c>
      <c r="D221" s="79">
        <f t="shared" si="37"/>
        <v>0.22301857319673785</v>
      </c>
      <c r="E221" s="49">
        <v>42100</v>
      </c>
      <c r="F221" s="49">
        <v>42450</v>
      </c>
      <c r="G221" s="49">
        <v>6419324700</v>
      </c>
      <c r="H221" s="49">
        <f t="shared" si="38"/>
        <v>0.26451284996816199</v>
      </c>
      <c r="I221" s="49">
        <f t="shared" si="44"/>
        <v>0.26451284996816199</v>
      </c>
      <c r="J221" s="48">
        <v>0.3</v>
      </c>
      <c r="K221" s="48">
        <f t="shared" si="39"/>
        <v>0.27011730820486518</v>
      </c>
      <c r="L221" s="48">
        <v>225000</v>
      </c>
      <c r="M221" s="48">
        <v>223000</v>
      </c>
      <c r="N221" s="51">
        <v>125456133</v>
      </c>
      <c r="O221" s="48">
        <f t="shared" si="40"/>
        <v>3.1205305104364398</v>
      </c>
      <c r="P221" s="48">
        <f t="shared" si="45"/>
        <v>3.1205305104364398</v>
      </c>
      <c r="Q221" s="49">
        <v>0.5</v>
      </c>
      <c r="R221" s="49">
        <f t="shared" si="41"/>
        <v>0.50686411859839697</v>
      </c>
      <c r="S221" s="49">
        <v>191100</v>
      </c>
      <c r="T221" s="49">
        <v>194900</v>
      </c>
      <c r="U221" s="49">
        <v>15956260</v>
      </c>
      <c r="V221" s="49">
        <f t="shared" si="42"/>
        <v>52.677042589668197</v>
      </c>
      <c r="W221" s="49">
        <f t="shared" si="46"/>
        <v>52.677042589668197</v>
      </c>
      <c r="X221" s="82">
        <f>IF(Z220&lt;&gt;(E221*G221*H221+L221*N221*O221+S221*U221*V221),1,0)</f>
        <v>0</v>
      </c>
      <c r="Y221" s="82">
        <f>IF(AND(X221=0,B221="N"),Y220,Y220*(E221*G221*I221+L221*N221*P221+S221*U221*W221)/Z220)</f>
        <v>318400239334251.19</v>
      </c>
      <c r="Z221" s="81">
        <f t="shared" si="47"/>
        <v>323201062593748.25</v>
      </c>
      <c r="AA221" s="80">
        <f t="shared" si="36"/>
        <v>1015.0779511646575</v>
      </c>
      <c r="AB221" s="52">
        <f t="shared" si="43"/>
        <v>9.3859060980991359E-3</v>
      </c>
      <c r="AC221" s="48">
        <f>(F221-E221)/E221</f>
        <v>8.3135391923990498E-3</v>
      </c>
      <c r="AD221" s="48">
        <f>(M221-L221)/L221</f>
        <v>-8.8888888888888889E-3</v>
      </c>
      <c r="AE221" s="48">
        <f>(T221-S221)/S221</f>
        <v>1.9884877027734171E-2</v>
      </c>
      <c r="AF221" s="48" t="e">
        <f>(#REF!-#REF!)/#REF!</f>
        <v>#REF!</v>
      </c>
    </row>
    <row r="222" spans="1:32" x14ac:dyDescent="0.3">
      <c r="A222" s="48">
        <v>20181123</v>
      </c>
      <c r="B222" s="48" t="s">
        <v>88</v>
      </c>
      <c r="C222" s="79">
        <v>0.2</v>
      </c>
      <c r="D222" s="79">
        <f t="shared" si="37"/>
        <v>0.22672560313064172</v>
      </c>
      <c r="E222" s="49">
        <v>42450</v>
      </c>
      <c r="F222" s="49">
        <v>42400</v>
      </c>
      <c r="G222" s="49">
        <v>6419324700</v>
      </c>
      <c r="H222" s="49">
        <f t="shared" si="38"/>
        <v>0.26451284996816199</v>
      </c>
      <c r="I222" s="49">
        <f t="shared" si="44"/>
        <v>0.26451284996816199</v>
      </c>
      <c r="J222" s="48">
        <v>0.3</v>
      </c>
      <c r="K222" s="48">
        <f t="shared" si="39"/>
        <v>0.27246529649946544</v>
      </c>
      <c r="L222" s="48">
        <v>223000</v>
      </c>
      <c r="M222" s="48">
        <v>221000</v>
      </c>
      <c r="N222" s="51">
        <v>125456133</v>
      </c>
      <c r="O222" s="48">
        <f t="shared" si="40"/>
        <v>3.1205305104364398</v>
      </c>
      <c r="P222" s="48">
        <f t="shared" si="45"/>
        <v>3.1205305104364398</v>
      </c>
      <c r="Q222" s="49">
        <v>0.5</v>
      </c>
      <c r="R222" s="49">
        <f t="shared" si="41"/>
        <v>0.50080910036989279</v>
      </c>
      <c r="S222" s="49">
        <v>194900</v>
      </c>
      <c r="T222" s="49">
        <v>189200</v>
      </c>
      <c r="U222" s="49">
        <v>15956260</v>
      </c>
      <c r="V222" s="49">
        <f t="shared" si="42"/>
        <v>52.677042589668197</v>
      </c>
      <c r="W222" s="49">
        <f t="shared" si="46"/>
        <v>52.677042589668197</v>
      </c>
      <c r="X222" s="82">
        <f>IF(Z221&lt;&gt;(E222*G222*H222+L222*N222*O222+S222*U222*V222),1,0)</f>
        <v>0</v>
      </c>
      <c r="Y222" s="82">
        <f>IF(AND(X222=0,B222="N"),Y221,Y221*(E222*G222*I222+L222*N222*P222+S222*U222*W222)/Z221)</f>
        <v>318400239334251.19</v>
      </c>
      <c r="Z222" s="81">
        <f t="shared" si="47"/>
        <v>317542170569415.75</v>
      </c>
      <c r="AA222" s="80">
        <f t="shared" si="36"/>
        <v>997.305062437674</v>
      </c>
      <c r="AB222" s="52">
        <f t="shared" si="43"/>
        <v>-1.7508890530615568E-2</v>
      </c>
      <c r="AC222" s="48">
        <f>(F222-E222)/E222</f>
        <v>-1.1778563015312131E-3</v>
      </c>
      <c r="AD222" s="48">
        <f>(M222-L222)/L222</f>
        <v>-8.9686098654708519E-3</v>
      </c>
      <c r="AE222" s="48">
        <f>(T222-S222)/S222</f>
        <v>-2.9245767060030785E-2</v>
      </c>
      <c r="AF222" s="48" t="e">
        <f>(#REF!-#REF!)/#REF!</f>
        <v>#REF!</v>
      </c>
    </row>
    <row r="223" spans="1:32" x14ac:dyDescent="0.3">
      <c r="A223" s="48">
        <v>20181126</v>
      </c>
      <c r="B223" s="48" t="s">
        <v>88</v>
      </c>
      <c r="C223" s="79">
        <v>0.2</v>
      </c>
      <c r="D223" s="79">
        <f t="shared" si="37"/>
        <v>0.21910346566160752</v>
      </c>
      <c r="E223" s="49">
        <v>42400</v>
      </c>
      <c r="F223" s="49">
        <v>42600</v>
      </c>
      <c r="G223" s="49">
        <v>6419324700</v>
      </c>
      <c r="H223" s="49">
        <f t="shared" si="38"/>
        <v>0.26451284996816199</v>
      </c>
      <c r="I223" s="49">
        <f t="shared" si="44"/>
        <v>0.26451284996816199</v>
      </c>
      <c r="J223" s="48">
        <v>0.3</v>
      </c>
      <c r="K223" s="48">
        <f t="shared" si="39"/>
        <v>0.28519305170706866</v>
      </c>
      <c r="L223" s="48">
        <v>221000</v>
      </c>
      <c r="M223" s="48">
        <v>240500</v>
      </c>
      <c r="N223" s="51">
        <v>125456133</v>
      </c>
      <c r="O223" s="48">
        <f t="shared" si="40"/>
        <v>3.1205305104364398</v>
      </c>
      <c r="P223" s="48">
        <f t="shared" si="45"/>
        <v>3.1205305104364398</v>
      </c>
      <c r="Q223" s="49">
        <v>0.5</v>
      </c>
      <c r="R223" s="49">
        <f t="shared" si="41"/>
        <v>0.4957034826313238</v>
      </c>
      <c r="S223" s="49">
        <v>189200</v>
      </c>
      <c r="T223" s="49">
        <v>194700</v>
      </c>
      <c r="U223" s="49">
        <v>15956260</v>
      </c>
      <c r="V223" s="49">
        <f t="shared" si="42"/>
        <v>52.677042589668197</v>
      </c>
      <c r="W223" s="49">
        <f t="shared" si="46"/>
        <v>52.677042589668197</v>
      </c>
      <c r="X223" s="82">
        <f>IF(Z222&lt;&gt;(E223*G223*H223+L223*N223*O223+S223*U223*V223),1,0)</f>
        <v>0</v>
      </c>
      <c r="Y223" s="82">
        <f>IF(AND(X223=0,B223="N"),Y222,Y222*(E223*G223*I223+L223*N223*P223+S223*U223*W223)/Z222)</f>
        <v>318400239334251.19</v>
      </c>
      <c r="Z223" s="81">
        <f t="shared" si="47"/>
        <v>330138725545007.87</v>
      </c>
      <c r="AA223" s="80">
        <f t="shared" si="36"/>
        <v>1036.867077221113</v>
      </c>
      <c r="AB223" s="52">
        <f t="shared" si="43"/>
        <v>3.9668920046128271E-2</v>
      </c>
      <c r="AC223" s="48">
        <f>(F223-E223)/E223</f>
        <v>4.7169811320754715E-3</v>
      </c>
      <c r="AD223" s="48">
        <f>(M223-L223)/L223</f>
        <v>8.8235294117647065E-2</v>
      </c>
      <c r="AE223" s="48">
        <f>(T223-S223)/S223</f>
        <v>2.9069767441860465E-2</v>
      </c>
      <c r="AF223" s="48" t="e">
        <f>(#REF!-#REF!)/#REF!</f>
        <v>#REF!</v>
      </c>
    </row>
    <row r="224" spans="1:32" x14ac:dyDescent="0.3">
      <c r="A224" s="48">
        <v>20181127</v>
      </c>
      <c r="B224" s="48" t="s">
        <v>88</v>
      </c>
      <c r="C224" s="79">
        <v>0.2</v>
      </c>
      <c r="D224" s="79">
        <f t="shared" si="37"/>
        <v>0.2170822898947313</v>
      </c>
      <c r="E224" s="49">
        <v>42600</v>
      </c>
      <c r="F224" s="49">
        <v>43050</v>
      </c>
      <c r="G224" s="49">
        <v>6419324700</v>
      </c>
      <c r="H224" s="49">
        <f t="shared" si="38"/>
        <v>0.26451284996816199</v>
      </c>
      <c r="I224" s="49">
        <f t="shared" si="44"/>
        <v>0.26451284996816199</v>
      </c>
      <c r="J224" s="48">
        <v>0.3</v>
      </c>
      <c r="K224" s="48">
        <f t="shared" si="39"/>
        <v>0.27670206935511094</v>
      </c>
      <c r="L224" s="48">
        <v>240500</v>
      </c>
      <c r="M224" s="48">
        <v>238000</v>
      </c>
      <c r="N224" s="51">
        <v>125456133</v>
      </c>
      <c r="O224" s="48">
        <f t="shared" si="40"/>
        <v>3.1205305104364398</v>
      </c>
      <c r="P224" s="48">
        <f t="shared" si="45"/>
        <v>3.1205305104364398</v>
      </c>
      <c r="Q224" s="49">
        <v>0.5</v>
      </c>
      <c r="R224" s="49">
        <f t="shared" si="41"/>
        <v>0.50621564075015779</v>
      </c>
      <c r="S224" s="49">
        <v>194700</v>
      </c>
      <c r="T224" s="49">
        <v>202800</v>
      </c>
      <c r="U224" s="49">
        <v>15956260</v>
      </c>
      <c r="V224" s="49">
        <f t="shared" si="42"/>
        <v>52.677042589668197</v>
      </c>
      <c r="W224" s="49">
        <f t="shared" si="46"/>
        <v>52.677042589668197</v>
      </c>
      <c r="X224" s="82">
        <f>IF(Z223&lt;&gt;(E224*G224*H224+L224*N224*O224+S224*U224*V224),1,0)</f>
        <v>0</v>
      </c>
      <c r="Y224" s="82">
        <f>IF(AND(X224=0,B224="N"),Y223,Y223*(E224*G224*I224+L224*N224*P224+S224*U224*W224)/Z223)</f>
        <v>318400239334251.19</v>
      </c>
      <c r="Z224" s="81">
        <f t="shared" si="47"/>
        <v>336732380119702.5</v>
      </c>
      <c r="AA224" s="80">
        <f t="shared" si="36"/>
        <v>1057.5757757713448</v>
      </c>
      <c r="AB224" s="52">
        <f t="shared" si="43"/>
        <v>1.997237544250385E-2</v>
      </c>
      <c r="AC224" s="48">
        <f>(F224-E224)/E224</f>
        <v>1.0563380281690141E-2</v>
      </c>
      <c r="AD224" s="48">
        <f>(M224-L224)/L224</f>
        <v>-1.0395010395010396E-2</v>
      </c>
      <c r="AE224" s="48">
        <f>(T224-S224)/S224</f>
        <v>4.1602465331278891E-2</v>
      </c>
      <c r="AF224" s="48" t="e">
        <f>(#REF!-#REF!)/#REF!</f>
        <v>#REF!</v>
      </c>
    </row>
    <row r="225" spans="1:32" x14ac:dyDescent="0.3">
      <c r="A225" s="48">
        <v>20181128</v>
      </c>
      <c r="B225" s="48" t="s">
        <v>88</v>
      </c>
      <c r="C225" s="79">
        <v>0.2</v>
      </c>
      <c r="D225" s="79">
        <f t="shared" si="37"/>
        <v>0.22007477180310892</v>
      </c>
      <c r="E225" s="49">
        <v>43050</v>
      </c>
      <c r="F225" s="49">
        <v>43150</v>
      </c>
      <c r="G225" s="49">
        <v>6419324700</v>
      </c>
      <c r="H225" s="49">
        <f t="shared" si="38"/>
        <v>0.26451284996816199</v>
      </c>
      <c r="I225" s="49">
        <f t="shared" si="44"/>
        <v>0.26451284996816199</v>
      </c>
      <c r="J225" s="48">
        <v>0.3</v>
      </c>
      <c r="K225" s="48">
        <f t="shared" si="39"/>
        <v>0.27751449688235252</v>
      </c>
      <c r="L225" s="48">
        <v>238000</v>
      </c>
      <c r="M225" s="48">
        <v>236000</v>
      </c>
      <c r="N225" s="51">
        <v>125456133</v>
      </c>
      <c r="O225" s="48">
        <f t="shared" si="40"/>
        <v>3.1205305104364398</v>
      </c>
      <c r="P225" s="48">
        <f t="shared" si="45"/>
        <v>3.1205305104364398</v>
      </c>
      <c r="Q225" s="49">
        <v>0.5</v>
      </c>
      <c r="R225" s="49">
        <f t="shared" si="41"/>
        <v>0.50241073131453851</v>
      </c>
      <c r="S225" s="49">
        <v>202800</v>
      </c>
      <c r="T225" s="49">
        <v>199000</v>
      </c>
      <c r="U225" s="49">
        <v>15956260</v>
      </c>
      <c r="V225" s="49">
        <f t="shared" si="42"/>
        <v>52.677042589668197</v>
      </c>
      <c r="W225" s="49">
        <f t="shared" si="46"/>
        <v>52.677042589668197</v>
      </c>
      <c r="X225" s="82">
        <f>IF(Z224&lt;&gt;(E225*G225*H225+L225*N225*O225+S225*U225*V225),1,0)</f>
        <v>0</v>
      </c>
      <c r="Y225" s="82">
        <f>IF(AND(X225=0,B225="N"),Y224,Y224*(E225*G225*I225+L225*N225*P225+S225*U225*W225)/Z224)</f>
        <v>318400239334251.19</v>
      </c>
      <c r="Z225" s="81">
        <f t="shared" si="47"/>
        <v>332925191492484.69</v>
      </c>
      <c r="AA225" s="80">
        <f t="shared" si="36"/>
        <v>1045.6185340457155</v>
      </c>
      <c r="AB225" s="52">
        <f t="shared" si="43"/>
        <v>-1.130627421652906E-2</v>
      </c>
      <c r="AC225" s="48">
        <f>(F225-E225)/E225</f>
        <v>2.3228803716608595E-3</v>
      </c>
      <c r="AD225" s="48">
        <f>(M225-L225)/L225</f>
        <v>-8.4033613445378148E-3</v>
      </c>
      <c r="AE225" s="48">
        <f>(T225-S225)/S225</f>
        <v>-1.8737672583826429E-2</v>
      </c>
      <c r="AF225" s="48" t="e">
        <f>(#REF!-#REF!)/#REF!</f>
        <v>#REF!</v>
      </c>
    </row>
    <row r="226" spans="1:32" x14ac:dyDescent="0.3">
      <c r="A226" s="48">
        <v>20181129</v>
      </c>
      <c r="B226" s="48" t="s">
        <v>88</v>
      </c>
      <c r="C226" s="79">
        <v>0.2</v>
      </c>
      <c r="D226" s="79">
        <f t="shared" si="37"/>
        <v>0.22137940197970823</v>
      </c>
      <c r="E226" s="49">
        <v>43150</v>
      </c>
      <c r="F226" s="49">
        <v>43150</v>
      </c>
      <c r="G226" s="49">
        <v>6419324700</v>
      </c>
      <c r="H226" s="49">
        <f t="shared" si="38"/>
        <v>0.26451284996816199</v>
      </c>
      <c r="I226" s="49">
        <f t="shared" si="44"/>
        <v>0.26451284996816199</v>
      </c>
      <c r="J226" s="48">
        <v>0.3</v>
      </c>
      <c r="K226" s="48">
        <f t="shared" si="39"/>
        <v>0.28034251659466286</v>
      </c>
      <c r="L226" s="48">
        <v>236000</v>
      </c>
      <c r="M226" s="48">
        <v>237000</v>
      </c>
      <c r="N226" s="51">
        <v>125456133</v>
      </c>
      <c r="O226" s="48">
        <f t="shared" si="40"/>
        <v>3.1205305104364398</v>
      </c>
      <c r="P226" s="48">
        <f t="shared" si="45"/>
        <v>3.1205305104364398</v>
      </c>
      <c r="Q226" s="49">
        <v>0.5</v>
      </c>
      <c r="R226" s="49">
        <f t="shared" si="41"/>
        <v>0.49827808142562874</v>
      </c>
      <c r="S226" s="49">
        <v>199000</v>
      </c>
      <c r="T226" s="49">
        <v>196200</v>
      </c>
      <c r="U226" s="49">
        <v>15956260</v>
      </c>
      <c r="V226" s="49">
        <f t="shared" si="42"/>
        <v>52.677042589668197</v>
      </c>
      <c r="W226" s="49">
        <f t="shared" si="46"/>
        <v>52.677042589668197</v>
      </c>
      <c r="X226" s="82">
        <f>IF(Z225&lt;&gt;(E226*G226*H226+L226*N226*O226+S226*U226*V226),1,0)</f>
        <v>0</v>
      </c>
      <c r="Y226" s="82">
        <f>IF(AND(X226=0,B226="N"),Y225,Y225*(E226*G226*I226+L226*N226*P226+S226*U226*W226)/Z225)</f>
        <v>318400239334251.19</v>
      </c>
      <c r="Z226" s="81">
        <f t="shared" si="47"/>
        <v>330963201137975.5</v>
      </c>
      <c r="AA226" s="80">
        <f t="shared" si="36"/>
        <v>1039.4565086696934</v>
      </c>
      <c r="AB226" s="52">
        <f t="shared" si="43"/>
        <v>-5.8931868318935323E-3</v>
      </c>
      <c r="AC226" s="48">
        <f>(F226-E226)/E226</f>
        <v>0</v>
      </c>
      <c r="AD226" s="48">
        <f>(M226-L226)/L226</f>
        <v>4.2372881355932203E-3</v>
      </c>
      <c r="AE226" s="48">
        <f>(T226-S226)/S226</f>
        <v>-1.407035175879397E-2</v>
      </c>
      <c r="AF226" s="48" t="e">
        <f>(#REF!-#REF!)/#REF!</f>
        <v>#REF!</v>
      </c>
    </row>
    <row r="227" spans="1:32" x14ac:dyDescent="0.3">
      <c r="A227" s="48">
        <v>20181130</v>
      </c>
      <c r="B227" s="48" t="s">
        <v>88</v>
      </c>
      <c r="C227" s="79">
        <v>0.2</v>
      </c>
      <c r="D227" s="79">
        <f t="shared" si="37"/>
        <v>0.21490725746410524</v>
      </c>
      <c r="E227" s="49">
        <v>43150</v>
      </c>
      <c r="F227" s="49">
        <v>41850</v>
      </c>
      <c r="G227" s="49">
        <v>6419324700</v>
      </c>
      <c r="H227" s="49">
        <f t="shared" si="38"/>
        <v>0.26451284996816199</v>
      </c>
      <c r="I227" s="49">
        <f t="shared" si="44"/>
        <v>0.26451284996816199</v>
      </c>
      <c r="J227" s="48">
        <v>0.3</v>
      </c>
      <c r="K227" s="48">
        <f t="shared" si="39"/>
        <v>0.28356024904049709</v>
      </c>
      <c r="L227" s="48">
        <v>237000</v>
      </c>
      <c r="M227" s="48">
        <v>239500</v>
      </c>
      <c r="N227" s="51">
        <v>125456133</v>
      </c>
      <c r="O227" s="48">
        <f t="shared" si="40"/>
        <v>3.1205305104364398</v>
      </c>
      <c r="P227" s="48">
        <f t="shared" si="45"/>
        <v>3.1205305104364398</v>
      </c>
      <c r="Q227" s="49">
        <v>0.5</v>
      </c>
      <c r="R227" s="49">
        <f t="shared" si="41"/>
        <v>0.50153249349539752</v>
      </c>
      <c r="S227" s="49">
        <v>196200</v>
      </c>
      <c r="T227" s="49">
        <v>197300</v>
      </c>
      <c r="U227" s="49">
        <v>15956260</v>
      </c>
      <c r="V227" s="49">
        <f t="shared" si="42"/>
        <v>52.677042589668197</v>
      </c>
      <c r="W227" s="49">
        <f t="shared" si="46"/>
        <v>52.677042589668197</v>
      </c>
      <c r="X227" s="82">
        <f>IF(Z226&lt;&gt;(E227*G227*H227+L227*N227*O227+S227*U227*V227),1,0)</f>
        <v>0</v>
      </c>
      <c r="Y227" s="82">
        <f>IF(AND(X227=0,B227="N"),Y226,Y226*(E227*G227*I227+L227*N227*P227+S227*U227*W227)/Z226)</f>
        <v>318400239334251.19</v>
      </c>
      <c r="Z227" s="81">
        <f t="shared" si="47"/>
        <v>330659114778547.75</v>
      </c>
      <c r="AA227" s="80">
        <f t="shared" si="36"/>
        <v>1038.5014642888739</v>
      </c>
      <c r="AB227" s="52">
        <f t="shared" si="43"/>
        <v>-9.1879205416862259E-4</v>
      </c>
      <c r="AC227" s="48">
        <f>(F227-E227)/E227</f>
        <v>-3.0127462340672075E-2</v>
      </c>
      <c r="AD227" s="48">
        <f>(M227-L227)/L227</f>
        <v>1.0548523206751054E-2</v>
      </c>
      <c r="AE227" s="48">
        <f>(T227-S227)/S227</f>
        <v>5.6065239551478085E-3</v>
      </c>
      <c r="AF227" s="48" t="e">
        <f>(#REF!-#REF!)/#REF!</f>
        <v>#REF!</v>
      </c>
    </row>
    <row r="228" spans="1:32" x14ac:dyDescent="0.3">
      <c r="A228" s="48">
        <v>20181203</v>
      </c>
      <c r="B228" s="48" t="s">
        <v>88</v>
      </c>
      <c r="C228" s="79">
        <v>0.2</v>
      </c>
      <c r="D228" s="79">
        <f t="shared" si="37"/>
        <v>0.21541919566012868</v>
      </c>
      <c r="E228" s="49">
        <v>41850</v>
      </c>
      <c r="F228" s="49">
        <v>43250</v>
      </c>
      <c r="G228" s="49">
        <v>6419324700</v>
      </c>
      <c r="H228" s="49">
        <f t="shared" si="38"/>
        <v>0.26451284996816199</v>
      </c>
      <c r="I228" s="49">
        <f t="shared" si="44"/>
        <v>0.26451284996816199</v>
      </c>
      <c r="J228" s="48">
        <v>0.3</v>
      </c>
      <c r="K228" s="48">
        <f t="shared" si="39"/>
        <v>0.27618340562602767</v>
      </c>
      <c r="L228" s="48">
        <v>239500</v>
      </c>
      <c r="M228" s="48">
        <v>240500</v>
      </c>
      <c r="N228" s="51">
        <v>125456133</v>
      </c>
      <c r="O228" s="48">
        <f t="shared" si="40"/>
        <v>3.1205305104364398</v>
      </c>
      <c r="P228" s="48">
        <f t="shared" si="45"/>
        <v>3.1205305104364398</v>
      </c>
      <c r="Q228" s="49">
        <v>0.5</v>
      </c>
      <c r="R228" s="49">
        <f t="shared" si="41"/>
        <v>0.5083973987138436</v>
      </c>
      <c r="S228" s="49">
        <v>197300</v>
      </c>
      <c r="T228" s="49">
        <v>206200</v>
      </c>
      <c r="U228" s="49">
        <v>15956260</v>
      </c>
      <c r="V228" s="49">
        <f t="shared" si="42"/>
        <v>52.677042589668197</v>
      </c>
      <c r="W228" s="49">
        <f t="shared" si="46"/>
        <v>52.677042589668197</v>
      </c>
      <c r="X228" s="82">
        <f>IF(Z227&lt;&gt;(E228*G228*H228+L228*N228*O228+S228*U228*V228),1,0)</f>
        <v>0</v>
      </c>
      <c r="Y228" s="82">
        <f>IF(AND(X228=0,B228="N"),Y227,Y227*(E228*G228*I228+L228*N228*P228+S228*U228*W228)/Z227)</f>
        <v>318400239334251.19</v>
      </c>
      <c r="Z228" s="81">
        <f t="shared" si="47"/>
        <v>340908500318638</v>
      </c>
      <c r="AA228" s="80">
        <f t="shared" si="36"/>
        <v>1070.6917213110448</v>
      </c>
      <c r="AB228" s="52">
        <f t="shared" si="43"/>
        <v>3.0996833542467475E-2</v>
      </c>
      <c r="AC228" s="48">
        <f>(F228-E228)/E228</f>
        <v>3.3452807646356032E-2</v>
      </c>
      <c r="AD228" s="48">
        <f>(M228-L228)/L228</f>
        <v>4.1753653444676405E-3</v>
      </c>
      <c r="AE228" s="48">
        <f>(T228-S228)/S228</f>
        <v>4.5108971109984797E-2</v>
      </c>
      <c r="AF228" s="48" t="e">
        <f>(#REF!-#REF!)/#REF!</f>
        <v>#REF!</v>
      </c>
    </row>
    <row r="229" spans="1:32" x14ac:dyDescent="0.3">
      <c r="A229" s="48">
        <v>20181204</v>
      </c>
      <c r="B229" s="48" t="s">
        <v>88</v>
      </c>
      <c r="C229" s="79">
        <v>0.2</v>
      </c>
      <c r="D229" s="79">
        <f t="shared" si="37"/>
        <v>0.21057626128070833</v>
      </c>
      <c r="E229" s="49">
        <v>43250</v>
      </c>
      <c r="F229" s="49">
        <v>42150</v>
      </c>
      <c r="G229" s="49">
        <v>6419324700</v>
      </c>
      <c r="H229" s="49">
        <f t="shared" si="38"/>
        <v>0.26451284996816199</v>
      </c>
      <c r="I229" s="49">
        <f t="shared" si="44"/>
        <v>0.26451284996816199</v>
      </c>
      <c r="J229" s="48">
        <v>0.3</v>
      </c>
      <c r="K229" s="48">
        <f t="shared" si="39"/>
        <v>0.28047555041237887</v>
      </c>
      <c r="L229" s="48">
        <v>240500</v>
      </c>
      <c r="M229" s="48">
        <v>243500</v>
      </c>
      <c r="N229" s="51">
        <v>125456133</v>
      </c>
      <c r="O229" s="48">
        <f t="shared" si="40"/>
        <v>3.1205305104364398</v>
      </c>
      <c r="P229" s="48">
        <f t="shared" si="45"/>
        <v>3.1205305104364398</v>
      </c>
      <c r="Q229" s="49">
        <v>0.5</v>
      </c>
      <c r="R229" s="49">
        <f t="shared" si="41"/>
        <v>0.5089481883069128</v>
      </c>
      <c r="S229" s="49">
        <v>206200</v>
      </c>
      <c r="T229" s="49">
        <v>205800</v>
      </c>
      <c r="U229" s="49">
        <v>15956260</v>
      </c>
      <c r="V229" s="49">
        <f t="shared" si="42"/>
        <v>52.677042589668197</v>
      </c>
      <c r="W229" s="49">
        <f t="shared" si="46"/>
        <v>52.677042589668197</v>
      </c>
      <c r="X229" s="82">
        <f>IF(Z228&lt;&gt;(E229*G229*H229+L229*N229*O229+S229*U229*V229),1,0)</f>
        <v>0</v>
      </c>
      <c r="Y229" s="82">
        <f>IF(AND(X229=0,B229="N"),Y228,Y228*(E229*G229*I229+L229*N229*P229+S229*U229*W229)/Z228)</f>
        <v>318400239334251.19</v>
      </c>
      <c r="Z229" s="81">
        <f t="shared" si="47"/>
        <v>339878964697450.06</v>
      </c>
      <c r="AA229" s="80">
        <f t="shared" si="36"/>
        <v>1067.458257594621</v>
      </c>
      <c r="AB229" s="52">
        <f t="shared" si="43"/>
        <v>-3.0199763872877064E-3</v>
      </c>
      <c r="AC229" s="48">
        <f>(F229-E229)/E229</f>
        <v>-2.5433526011560695E-2</v>
      </c>
      <c r="AD229" s="48">
        <f>(M229-L229)/L229</f>
        <v>1.2474012474012475E-2</v>
      </c>
      <c r="AE229" s="48">
        <f>(T229-S229)/S229</f>
        <v>-1.9398642095053346E-3</v>
      </c>
      <c r="AF229" s="48" t="e">
        <f>(#REF!-#REF!)/#REF!</f>
        <v>#REF!</v>
      </c>
    </row>
    <row r="230" spans="1:32" x14ac:dyDescent="0.3">
      <c r="A230" s="48">
        <v>20181205</v>
      </c>
      <c r="B230" s="48" t="s">
        <v>88</v>
      </c>
      <c r="C230" s="79">
        <v>0.2</v>
      </c>
      <c r="D230" s="79">
        <f t="shared" si="37"/>
        <v>0.21041611264189089</v>
      </c>
      <c r="E230" s="49">
        <v>42150</v>
      </c>
      <c r="F230" s="49">
        <v>41450</v>
      </c>
      <c r="G230" s="49">
        <v>6419324700</v>
      </c>
      <c r="H230" s="49">
        <f t="shared" si="38"/>
        <v>0.26451284996816199</v>
      </c>
      <c r="I230" s="49">
        <f t="shared" si="44"/>
        <v>0.26451284996816199</v>
      </c>
      <c r="J230" s="48">
        <v>0.3</v>
      </c>
      <c r="K230" s="48">
        <f t="shared" si="39"/>
        <v>0.2832396413115294</v>
      </c>
      <c r="L230" s="48">
        <v>243500</v>
      </c>
      <c r="M230" s="48">
        <v>242000</v>
      </c>
      <c r="N230" s="51">
        <v>125456133</v>
      </c>
      <c r="O230" s="48">
        <f t="shared" si="40"/>
        <v>3.1205305104364398</v>
      </c>
      <c r="P230" s="48">
        <f t="shared" si="45"/>
        <v>3.1205305104364398</v>
      </c>
      <c r="Q230" s="49">
        <v>0.5</v>
      </c>
      <c r="R230" s="49">
        <f t="shared" si="41"/>
        <v>0.50634424604657968</v>
      </c>
      <c r="S230" s="49">
        <v>205800</v>
      </c>
      <c r="T230" s="49">
        <v>201500</v>
      </c>
      <c r="U230" s="49">
        <v>15956260</v>
      </c>
      <c r="V230" s="49">
        <f t="shared" si="42"/>
        <v>52.677042589668197</v>
      </c>
      <c r="W230" s="49">
        <f t="shared" si="46"/>
        <v>52.677042589668197</v>
      </c>
      <c r="X230" s="82">
        <f>IF(Z229&lt;&gt;(E230*G230*H230+L230*N230*O230+S230*U230*V230),1,0)</f>
        <v>0</v>
      </c>
      <c r="Y230" s="82">
        <f>IF(AND(X230=0,B230="N"),Y229,Y229*(E230*G230*I230+L230*N230*P230+S230*U230*W230)/Z229)</f>
        <v>318400239334251.19</v>
      </c>
      <c r="Z230" s="81">
        <f t="shared" si="47"/>
        <v>334488861524795.81</v>
      </c>
      <c r="AA230" s="80">
        <f t="shared" si="36"/>
        <v>1050.5295543250363</v>
      </c>
      <c r="AB230" s="52">
        <f t="shared" si="43"/>
        <v>-1.5858890171247888E-2</v>
      </c>
      <c r="AC230" s="48">
        <f>(F230-E230)/E230</f>
        <v>-1.6607354685646499E-2</v>
      </c>
      <c r="AD230" s="48">
        <f>(M230-L230)/L230</f>
        <v>-6.1601642710472282E-3</v>
      </c>
      <c r="AE230" s="48">
        <f>(T230-S230)/S230</f>
        <v>-2.0894071914480079E-2</v>
      </c>
      <c r="AF230" s="48" t="e">
        <f>(#REF!-#REF!)/#REF!</f>
        <v>#REF!</v>
      </c>
    </row>
    <row r="231" spans="1:32" x14ac:dyDescent="0.3">
      <c r="A231" s="48">
        <v>20181206</v>
      </c>
      <c r="B231" s="48" t="s">
        <v>88</v>
      </c>
      <c r="C231" s="79">
        <v>0.2</v>
      </c>
      <c r="D231" s="79">
        <f t="shared" si="37"/>
        <v>0.21195656098931209</v>
      </c>
      <c r="E231" s="49">
        <v>41450</v>
      </c>
      <c r="F231" s="49">
        <v>40500</v>
      </c>
      <c r="G231" s="49">
        <v>6419324700</v>
      </c>
      <c r="H231" s="49">
        <f t="shared" si="38"/>
        <v>0.26451284996816199</v>
      </c>
      <c r="I231" s="49">
        <f t="shared" si="44"/>
        <v>0.26451284996816199</v>
      </c>
      <c r="J231" s="48">
        <v>0.3</v>
      </c>
      <c r="K231" s="48">
        <f t="shared" si="39"/>
        <v>0.28416263051688939</v>
      </c>
      <c r="L231" s="48">
        <v>242000</v>
      </c>
      <c r="M231" s="48">
        <v>235500</v>
      </c>
      <c r="N231" s="51">
        <v>125456133</v>
      </c>
      <c r="O231" s="48">
        <f t="shared" si="40"/>
        <v>3.1205305104364398</v>
      </c>
      <c r="P231" s="48">
        <f t="shared" si="45"/>
        <v>3.1205305104364398</v>
      </c>
      <c r="Q231" s="49">
        <v>0.5</v>
      </c>
      <c r="R231" s="49">
        <f t="shared" si="41"/>
        <v>0.50388080849379846</v>
      </c>
      <c r="S231" s="49">
        <v>201500</v>
      </c>
      <c r="T231" s="49">
        <v>194500</v>
      </c>
      <c r="U231" s="49">
        <v>15956260</v>
      </c>
      <c r="V231" s="49">
        <f t="shared" si="42"/>
        <v>52.677042589668197</v>
      </c>
      <c r="W231" s="49">
        <f t="shared" si="46"/>
        <v>52.677042589668197</v>
      </c>
      <c r="X231" s="82">
        <f>IF(Z230&lt;&gt;(E231*G231*H231+L231*N231*O231+S231*U231*V231),1,0)</f>
        <v>0</v>
      </c>
      <c r="Y231" s="82">
        <f>IF(AND(X231=0,B231="N"),Y230,Y230*(E231*G231*I231+L231*N231*P231+S231*U231*W231)/Z230)</f>
        <v>318400239334251.19</v>
      </c>
      <c r="Z231" s="81">
        <f t="shared" si="47"/>
        <v>324447384244087.31</v>
      </c>
      <c r="AA231" s="80">
        <f t="shared" si="36"/>
        <v>1018.9922750136125</v>
      </c>
      <c r="AB231" s="52">
        <f t="shared" si="43"/>
        <v>-3.0020363712362667E-2</v>
      </c>
      <c r="AC231" s="48">
        <f>(F231-E231)/E231</f>
        <v>-2.2919179734620022E-2</v>
      </c>
      <c r="AD231" s="48">
        <f>(M231-L231)/L231</f>
        <v>-2.6859504132231406E-2</v>
      </c>
      <c r="AE231" s="48">
        <f>(T231-S231)/S231</f>
        <v>-3.4739454094292806E-2</v>
      </c>
      <c r="AF231" s="48" t="e">
        <f>(#REF!-#REF!)/#REF!</f>
        <v>#REF!</v>
      </c>
    </row>
    <row r="232" spans="1:32" x14ac:dyDescent="0.3">
      <c r="A232" s="48">
        <v>20181207</v>
      </c>
      <c r="B232" s="48" t="s">
        <v>88</v>
      </c>
      <c r="C232" s="79">
        <v>0.2</v>
      </c>
      <c r="D232" s="79">
        <f t="shared" si="37"/>
        <v>0.20923437665256328</v>
      </c>
      <c r="E232" s="49">
        <v>40500</v>
      </c>
      <c r="F232" s="49">
        <v>40950</v>
      </c>
      <c r="G232" s="49">
        <v>6419324700</v>
      </c>
      <c r="H232" s="49">
        <f t="shared" si="38"/>
        <v>0.26451284996816199</v>
      </c>
      <c r="I232" s="49">
        <f t="shared" si="44"/>
        <v>0.26451284996816199</v>
      </c>
      <c r="J232" s="48">
        <v>0.3</v>
      </c>
      <c r="K232" s="48">
        <f t="shared" si="39"/>
        <v>0.28921102294859402</v>
      </c>
      <c r="L232" s="48">
        <v>235500</v>
      </c>
      <c r="M232" s="48">
        <v>245500</v>
      </c>
      <c r="N232" s="51">
        <v>125456133</v>
      </c>
      <c r="O232" s="48">
        <f t="shared" si="40"/>
        <v>3.1205305104364398</v>
      </c>
      <c r="P232" s="48">
        <f t="shared" si="45"/>
        <v>3.1205305104364398</v>
      </c>
      <c r="Q232" s="49">
        <v>0.5</v>
      </c>
      <c r="R232" s="49">
        <f t="shared" si="41"/>
        <v>0.50155460039884281</v>
      </c>
      <c r="S232" s="49">
        <v>194500</v>
      </c>
      <c r="T232" s="49">
        <v>198300</v>
      </c>
      <c r="U232" s="49">
        <v>15956260</v>
      </c>
      <c r="V232" s="49">
        <f t="shared" si="42"/>
        <v>52.677042589668197</v>
      </c>
      <c r="W232" s="49">
        <f t="shared" si="46"/>
        <v>52.677042589668197</v>
      </c>
      <c r="X232" s="82">
        <f>IF(Z231&lt;&gt;(E232*G232*H232+L232*N232*O232+S232*U232*V232),1,0)</f>
        <v>0</v>
      </c>
      <c r="Y232" s="82">
        <f>IF(AND(X232=0,B232="N"),Y231,Y231*(E232*G232*I232+L232*N232*P232+S232*U232*W232)/Z231)</f>
        <v>318400239334251.19</v>
      </c>
      <c r="Z232" s="81">
        <f t="shared" si="47"/>
        <v>332320387026485.5</v>
      </c>
      <c r="AA232" s="80">
        <f t="shared" si="36"/>
        <v>1043.7190239597187</v>
      </c>
      <c r="AB232" s="52">
        <f t="shared" si="43"/>
        <v>2.4265884592477315E-2</v>
      </c>
      <c r="AC232" s="48">
        <f>(F232-E232)/E232</f>
        <v>1.1111111111111112E-2</v>
      </c>
      <c r="AD232" s="48">
        <f>(M232-L232)/L232</f>
        <v>4.2462845010615709E-2</v>
      </c>
      <c r="AE232" s="48">
        <f>(T232-S232)/S232</f>
        <v>1.9537275064267352E-2</v>
      </c>
      <c r="AF232" s="48" t="e">
        <f>(#REF!-#REF!)/#REF!</f>
        <v>#REF!</v>
      </c>
    </row>
    <row r="233" spans="1:32" x14ac:dyDescent="0.3">
      <c r="A233" s="48">
        <v>20181210</v>
      </c>
      <c r="B233" s="48" t="s">
        <v>88</v>
      </c>
      <c r="C233" s="79">
        <v>0.2</v>
      </c>
      <c r="D233" s="79">
        <f t="shared" si="37"/>
        <v>0.20802291705805798</v>
      </c>
      <c r="E233" s="49">
        <v>40950</v>
      </c>
      <c r="F233" s="49">
        <v>40200</v>
      </c>
      <c r="G233" s="49">
        <v>6419324700</v>
      </c>
      <c r="H233" s="49">
        <f t="shared" si="38"/>
        <v>0.26451284996816199</v>
      </c>
      <c r="I233" s="49">
        <f t="shared" si="44"/>
        <v>0.26451284996816199</v>
      </c>
      <c r="J233" s="48">
        <v>0.3</v>
      </c>
      <c r="K233" s="48">
        <f t="shared" si="39"/>
        <v>0.29170790900260923</v>
      </c>
      <c r="L233" s="48">
        <v>245500</v>
      </c>
      <c r="M233" s="48">
        <v>244500</v>
      </c>
      <c r="N233" s="51">
        <v>125456133</v>
      </c>
      <c r="O233" s="48">
        <f t="shared" si="40"/>
        <v>3.1205305104364398</v>
      </c>
      <c r="P233" s="48">
        <f t="shared" si="45"/>
        <v>3.1205305104364398</v>
      </c>
      <c r="Q233" s="49">
        <v>0.5</v>
      </c>
      <c r="R233" s="49">
        <f t="shared" si="41"/>
        <v>0.50026917393933279</v>
      </c>
      <c r="S233" s="49">
        <v>198300</v>
      </c>
      <c r="T233" s="49">
        <v>195300</v>
      </c>
      <c r="U233" s="49">
        <v>15956260</v>
      </c>
      <c r="V233" s="49">
        <f t="shared" si="42"/>
        <v>52.677042589668197</v>
      </c>
      <c r="W233" s="49">
        <f t="shared" si="46"/>
        <v>52.677042589668197</v>
      </c>
      <c r="X233" s="82">
        <f>IF(Z232&lt;&gt;(E233*G233*H233+L233*N233*O233+S233*U233*V233),1,0)</f>
        <v>0</v>
      </c>
      <c r="Y233" s="82">
        <f>IF(AND(X233=0,B233="N"),Y232,Y232*(E233*G233*I233+L233*N233*P233+S233*U233*W233)/Z232)</f>
        <v>318400239334251.19</v>
      </c>
      <c r="Z233" s="81">
        <f t="shared" si="47"/>
        <v>328133816169511.19</v>
      </c>
      <c r="AA233" s="80">
        <f t="shared" si="36"/>
        <v>1030.5702560262268</v>
      </c>
      <c r="AB233" s="52">
        <f t="shared" si="43"/>
        <v>-1.2597995851035975E-2</v>
      </c>
      <c r="AC233" s="48">
        <f>(F233-E233)/E233</f>
        <v>-1.8315018315018316E-2</v>
      </c>
      <c r="AD233" s="48">
        <f>(M233-L233)/L233</f>
        <v>-4.0733197556008143E-3</v>
      </c>
      <c r="AE233" s="48">
        <f>(T233-S233)/S233</f>
        <v>-1.5128593040847202E-2</v>
      </c>
      <c r="AF233" s="48" t="e">
        <f>(#REF!-#REF!)/#REF!</f>
        <v>#REF!</v>
      </c>
    </row>
    <row r="234" spans="1:32" x14ac:dyDescent="0.3">
      <c r="A234" s="48">
        <v>20181211</v>
      </c>
      <c r="B234" s="48" t="s">
        <v>88</v>
      </c>
      <c r="C234" s="79">
        <v>0.2</v>
      </c>
      <c r="D234" s="79">
        <f t="shared" si="37"/>
        <v>0.21443939851918564</v>
      </c>
      <c r="E234" s="49">
        <v>40200</v>
      </c>
      <c r="F234" s="49">
        <v>40250</v>
      </c>
      <c r="G234" s="49">
        <v>6419324700</v>
      </c>
      <c r="H234" s="49">
        <f t="shared" si="38"/>
        <v>0.26451284996816199</v>
      </c>
      <c r="I234" s="49">
        <f t="shared" si="44"/>
        <v>0.26451284996816199</v>
      </c>
      <c r="J234" s="48">
        <v>0.3</v>
      </c>
      <c r="K234" s="48">
        <f t="shared" si="39"/>
        <v>0.27023748364350436</v>
      </c>
      <c r="L234" s="48">
        <v>244500</v>
      </c>
      <c r="M234" s="48">
        <v>220000</v>
      </c>
      <c r="N234" s="51">
        <v>125456133</v>
      </c>
      <c r="O234" s="48">
        <f t="shared" si="40"/>
        <v>3.1205305104364398</v>
      </c>
      <c r="P234" s="48">
        <f t="shared" si="45"/>
        <v>3.1205305104364398</v>
      </c>
      <c r="Q234" s="49">
        <v>0.5</v>
      </c>
      <c r="R234" s="49">
        <f t="shared" si="41"/>
        <v>0.51532311783731011</v>
      </c>
      <c r="S234" s="49">
        <v>195300</v>
      </c>
      <c r="T234" s="49">
        <v>195400</v>
      </c>
      <c r="U234" s="49">
        <v>15956260</v>
      </c>
      <c r="V234" s="49">
        <f t="shared" si="42"/>
        <v>52.677042589668197</v>
      </c>
      <c r="W234" s="49">
        <f t="shared" si="46"/>
        <v>52.677042589668197</v>
      </c>
      <c r="X234" s="82">
        <f>IF(Z233&lt;&gt;(E234*G234*H234+L234*N234*O234+S234*U234*V234),1,0)</f>
        <v>0</v>
      </c>
      <c r="Y234" s="82">
        <f>IF(AND(X234=0,B234="N"),Y233,Y233*(E234*G234*I234+L234*N234*P234+S234*U234*W234)/Z233)</f>
        <v>318400239334251.19</v>
      </c>
      <c r="Z234" s="81">
        <f t="shared" si="47"/>
        <v>318711271298510.87</v>
      </c>
      <c r="AA234" s="80">
        <f t="shared" si="36"/>
        <v>1000.9768584499496</v>
      </c>
      <c r="AB234" s="52">
        <f t="shared" si="43"/>
        <v>-2.8715555686990524E-2</v>
      </c>
      <c r="AC234" s="48">
        <f>(F234-E234)/E234</f>
        <v>1.2437810945273632E-3</v>
      </c>
      <c r="AD234" s="48">
        <f>(M234-L234)/L234</f>
        <v>-0.10020449897750511</v>
      </c>
      <c r="AE234" s="48">
        <f>(T234-S234)/S234</f>
        <v>5.1203277009728623E-4</v>
      </c>
      <c r="AF234" s="48" t="e">
        <f>(#REF!-#REF!)/#REF!</f>
        <v>#REF!</v>
      </c>
    </row>
    <row r="235" spans="1:32" s="47" customFormat="1" x14ac:dyDescent="0.3">
      <c r="A235" s="65">
        <v>20181212</v>
      </c>
      <c r="B235" s="48" t="s">
        <v>88</v>
      </c>
      <c r="C235" s="79">
        <v>0.2</v>
      </c>
      <c r="D235" s="79">
        <f t="shared" si="37"/>
        <v>0.20941247765562257</v>
      </c>
      <c r="E235" s="49">
        <v>40250</v>
      </c>
      <c r="F235" s="49">
        <v>40450</v>
      </c>
      <c r="G235" s="49">
        <v>5969782550</v>
      </c>
      <c r="H235" s="49">
        <f t="shared" si="38"/>
        <v>0.26451284996816199</v>
      </c>
      <c r="I235" s="49">
        <f t="shared" si="44"/>
        <v>0.24185362409514299</v>
      </c>
      <c r="J235" s="48">
        <v>0.3</v>
      </c>
      <c r="K235" s="48">
        <f t="shared" si="39"/>
        <v>0.27035627079011471</v>
      </c>
      <c r="L235" s="48">
        <v>220000</v>
      </c>
      <c r="M235" s="48">
        <v>226500</v>
      </c>
      <c r="N235" s="51">
        <v>125456133</v>
      </c>
      <c r="O235" s="48">
        <f t="shared" si="40"/>
        <v>3.1205305104364398</v>
      </c>
      <c r="P235" s="48">
        <f t="shared" si="45"/>
        <v>2.6534042873163202</v>
      </c>
      <c r="Q235" s="49">
        <v>0.5</v>
      </c>
      <c r="R235" s="49">
        <f t="shared" si="41"/>
        <v>0.52023125155426275</v>
      </c>
      <c r="S235" s="49">
        <v>195400</v>
      </c>
      <c r="T235" s="49">
        <v>203000</v>
      </c>
      <c r="U235" s="49">
        <v>15956260</v>
      </c>
      <c r="V235" s="49">
        <f t="shared" si="42"/>
        <v>52.677042589668197</v>
      </c>
      <c r="W235" s="49">
        <f t="shared" si="46"/>
        <v>44.791579567354198</v>
      </c>
      <c r="X235" s="82">
        <f>IF(Z234&lt;&gt;(E235*G235*H235+L235*N235*O235+S235*U235*V235),1,0)</f>
        <v>1</v>
      </c>
      <c r="Y235" s="82">
        <f>IF(AND(X235=0,B235="N"),Y234,Y234*(E235*G235*I235+L235*N235*P235+S235*U235*W235)/Z234)</f>
        <v>270737477908487.19</v>
      </c>
      <c r="Z235" s="81">
        <f t="shared" si="47"/>
        <v>278886237057419.97</v>
      </c>
      <c r="AA235" s="80">
        <f t="shared" si="36"/>
        <v>1030.0983787390055</v>
      </c>
      <c r="AB235" s="52">
        <f t="shared" si="43"/>
        <v>2.9093100448047957E-2</v>
      </c>
      <c r="AC235" s="48">
        <f>(F235-E235)/E235</f>
        <v>4.9689440993788822E-3</v>
      </c>
      <c r="AD235" s="48">
        <f>(M235-L235)/L235</f>
        <v>2.9545454545454545E-2</v>
      </c>
      <c r="AE235" s="48">
        <f>(T235-S235)/S235</f>
        <v>3.8894575230296824E-2</v>
      </c>
      <c r="AF235" s="48" t="e">
        <f>(#REF!-#REF!)/#REF!</f>
        <v>#REF!</v>
      </c>
    </row>
    <row r="236" spans="1:32" x14ac:dyDescent="0.3">
      <c r="A236" s="48">
        <v>20181213</v>
      </c>
      <c r="B236" s="48" t="s">
        <v>88</v>
      </c>
      <c r="C236" s="79">
        <v>0.2</v>
      </c>
      <c r="D236" s="79">
        <f t="shared" si="37"/>
        <v>0.20836486161143492</v>
      </c>
      <c r="E236" s="49">
        <v>40450</v>
      </c>
      <c r="F236" s="49">
        <v>40000</v>
      </c>
      <c r="G236" s="49">
        <v>5969782550</v>
      </c>
      <c r="H236" s="49">
        <f t="shared" si="38"/>
        <v>0.24185362409514299</v>
      </c>
      <c r="I236" s="49">
        <f t="shared" si="44"/>
        <v>0.24185362409514299</v>
      </c>
      <c r="J236" s="48">
        <v>0.3</v>
      </c>
      <c r="K236" s="48">
        <f t="shared" si="39"/>
        <v>0.26122092537883584</v>
      </c>
      <c r="L236" s="48">
        <v>226500</v>
      </c>
      <c r="M236" s="48">
        <v>217500</v>
      </c>
      <c r="N236" s="51">
        <v>125456133</v>
      </c>
      <c r="O236" s="48">
        <f t="shared" si="40"/>
        <v>2.6534042873163202</v>
      </c>
      <c r="P236" s="48">
        <f t="shared" si="45"/>
        <v>2.6534042873163202</v>
      </c>
      <c r="Q236" s="49">
        <v>0.5</v>
      </c>
      <c r="R236" s="49">
        <f t="shared" si="41"/>
        <v>0.53041421300972924</v>
      </c>
      <c r="S236" s="49">
        <v>203000</v>
      </c>
      <c r="T236" s="49">
        <v>205700</v>
      </c>
      <c r="U236" s="49">
        <v>15956260</v>
      </c>
      <c r="V236" s="49">
        <f t="shared" si="42"/>
        <v>44.791579567354198</v>
      </c>
      <c r="W236" s="49">
        <f t="shared" si="46"/>
        <v>44.791579567354198</v>
      </c>
      <c r="X236" s="82">
        <f>IF(Z235&lt;&gt;(E236*G236*H236+L236*N236*O236+S236*U236*V236),1,0)</f>
        <v>0</v>
      </c>
      <c r="Y236" s="82">
        <f>IF(AND(X236=0,B236="N"),Y235,Y235*(E236*G236*I236+L236*N236*P236+S236*U236*W236)/Z235)</f>
        <v>270737477908487.19</v>
      </c>
      <c r="Z236" s="81">
        <f t="shared" si="47"/>
        <v>277170254833065.12</v>
      </c>
      <c r="AA236" s="80">
        <f t="shared" si="36"/>
        <v>1023.7602011153857</v>
      </c>
      <c r="AB236" s="52">
        <f t="shared" si="43"/>
        <v>-6.1529828164361127E-3</v>
      </c>
      <c r="AC236" s="48">
        <f>(F236-E236)/E236</f>
        <v>-1.1124845488257108E-2</v>
      </c>
      <c r="AD236" s="48">
        <f>(M236-L236)/L236</f>
        <v>-3.9735099337748346E-2</v>
      </c>
      <c r="AE236" s="48">
        <f>(T236-S236)/S236</f>
        <v>1.3300492610837438E-2</v>
      </c>
      <c r="AF236" s="48" t="e">
        <f>(#REF!-#REF!)/#REF!</f>
        <v>#REF!</v>
      </c>
    </row>
    <row r="237" spans="1:32" x14ac:dyDescent="0.3">
      <c r="A237" s="48">
        <v>20181214</v>
      </c>
      <c r="B237" s="48" t="s">
        <v>88</v>
      </c>
      <c r="C237" s="79">
        <v>0.2</v>
      </c>
      <c r="D237" s="79">
        <f t="shared" si="37"/>
        <v>0.20973442456846689</v>
      </c>
      <c r="E237" s="49">
        <v>40000</v>
      </c>
      <c r="F237" s="49">
        <v>38950</v>
      </c>
      <c r="G237" s="49">
        <v>5969782550</v>
      </c>
      <c r="H237" s="49">
        <f t="shared" si="38"/>
        <v>0.24185362409514299</v>
      </c>
      <c r="I237" s="49">
        <f t="shared" si="44"/>
        <v>0.24185362409514299</v>
      </c>
      <c r="J237" s="48">
        <v>0.3</v>
      </c>
      <c r="K237" s="48">
        <f t="shared" si="39"/>
        <v>0.25823184818191736</v>
      </c>
      <c r="L237" s="48">
        <v>217500</v>
      </c>
      <c r="M237" s="48">
        <v>208000</v>
      </c>
      <c r="N237" s="51">
        <v>125456133</v>
      </c>
      <c r="O237" s="48">
        <f t="shared" si="40"/>
        <v>2.6534042873163202</v>
      </c>
      <c r="P237" s="48">
        <f t="shared" si="45"/>
        <v>2.6534042873163202</v>
      </c>
      <c r="Q237" s="49">
        <v>0.5</v>
      </c>
      <c r="R237" s="49">
        <f t="shared" si="41"/>
        <v>0.53203372724961562</v>
      </c>
      <c r="S237" s="49">
        <v>205700</v>
      </c>
      <c r="T237" s="49">
        <v>199600</v>
      </c>
      <c r="U237" s="49">
        <v>15956260</v>
      </c>
      <c r="V237" s="49">
        <f t="shared" si="42"/>
        <v>44.791579567354198</v>
      </c>
      <c r="W237" s="49">
        <f t="shared" si="46"/>
        <v>44.791579567354198</v>
      </c>
      <c r="X237" s="82">
        <f>IF(Z236&lt;&gt;(E237*G237*H237+L237*N237*O237+S237*U237*V237),1,0)</f>
        <v>0</v>
      </c>
      <c r="Y237" s="82">
        <f>IF(AND(X237=0,B237="N"),Y236,Y236*(E237*G237*I237+L237*N237*P237+S237*U237*W237)/Z236)</f>
        <v>270737477908487.19</v>
      </c>
      <c r="Z237" s="81">
        <f t="shared" si="47"/>
        <v>268132127974648.62</v>
      </c>
      <c r="AA237" s="80">
        <f t="shared" si="36"/>
        <v>990.37684049520772</v>
      </c>
      <c r="AB237" s="52">
        <f t="shared" si="43"/>
        <v>-3.2608574335871679E-2</v>
      </c>
      <c r="AC237" s="48">
        <f>(F237-E237)/E237</f>
        <v>-2.6249999999999999E-2</v>
      </c>
      <c r="AD237" s="48">
        <f>(M237-L237)/L237</f>
        <v>-4.3678160919540229E-2</v>
      </c>
      <c r="AE237" s="48">
        <f>(T237-S237)/S237</f>
        <v>-2.9654837141468156E-2</v>
      </c>
      <c r="AF237" s="48" t="e">
        <f>(#REF!-#REF!)/#REF!</f>
        <v>#REF!</v>
      </c>
    </row>
    <row r="238" spans="1:32" x14ac:dyDescent="0.3">
      <c r="A238" s="48">
        <v>20181217</v>
      </c>
      <c r="B238" s="48" t="s">
        <v>88</v>
      </c>
      <c r="C238" s="79">
        <v>0.2</v>
      </c>
      <c r="D238" s="79">
        <f t="shared" si="37"/>
        <v>0.20758469355562986</v>
      </c>
      <c r="E238" s="49">
        <v>38950</v>
      </c>
      <c r="F238" s="49">
        <v>39150</v>
      </c>
      <c r="G238" s="49">
        <v>5969782550</v>
      </c>
      <c r="H238" s="49">
        <f t="shared" si="38"/>
        <v>0.24185362409514299</v>
      </c>
      <c r="I238" s="49">
        <f t="shared" si="44"/>
        <v>0.24185362409514299</v>
      </c>
      <c r="J238" s="48">
        <v>0.3</v>
      </c>
      <c r="K238" s="48">
        <f t="shared" si="39"/>
        <v>0.26222558872065771</v>
      </c>
      <c r="L238" s="48">
        <v>208000</v>
      </c>
      <c r="M238" s="48">
        <v>214500</v>
      </c>
      <c r="N238" s="51">
        <v>125456133</v>
      </c>
      <c r="O238" s="48">
        <f t="shared" si="40"/>
        <v>2.6534042873163202</v>
      </c>
      <c r="P238" s="48">
        <f t="shared" si="45"/>
        <v>2.6534042873163202</v>
      </c>
      <c r="Q238" s="49">
        <v>0.5</v>
      </c>
      <c r="R238" s="49">
        <f t="shared" si="41"/>
        <v>0.53018971772371237</v>
      </c>
      <c r="S238" s="49">
        <v>199600</v>
      </c>
      <c r="T238" s="49">
        <v>202000</v>
      </c>
      <c r="U238" s="49">
        <v>15956260</v>
      </c>
      <c r="V238" s="49">
        <f t="shared" si="42"/>
        <v>44.791579567354198</v>
      </c>
      <c r="W238" s="49">
        <f t="shared" si="46"/>
        <v>44.791579567354198</v>
      </c>
      <c r="X238" s="82">
        <f>IF(Z237&lt;&gt;(E238*G238*H238+L238*N238*O238+S238*U238*V238),1,0)</f>
        <v>0</v>
      </c>
      <c r="Y238" s="82">
        <f>IF(AND(X238=0,B238="N"),Y237,Y237*(E238*G238*I238+L238*N238*P238+S238*U238*W238)/Z237)</f>
        <v>270737477908487.19</v>
      </c>
      <c r="Z238" s="81">
        <f t="shared" si="47"/>
        <v>272299943265753.97</v>
      </c>
      <c r="AA238" s="80">
        <f t="shared" si="36"/>
        <v>1005.7711454259572</v>
      </c>
      <c r="AB238" s="52">
        <f t="shared" si="43"/>
        <v>1.5543886227238573E-2</v>
      </c>
      <c r="AC238" s="48">
        <f>(F238-E238)/E238</f>
        <v>5.1347881899871627E-3</v>
      </c>
      <c r="AD238" s="48">
        <f>(M238-L238)/L238</f>
        <v>3.125E-2</v>
      </c>
      <c r="AE238" s="48">
        <f>(T238-S238)/S238</f>
        <v>1.2024048096192385E-2</v>
      </c>
      <c r="AF238" s="48" t="e">
        <f>(#REF!-#REF!)/#REF!</f>
        <v>#REF!</v>
      </c>
    </row>
    <row r="239" spans="1:32" x14ac:dyDescent="0.3">
      <c r="A239" s="48">
        <v>20181218</v>
      </c>
      <c r="B239" s="48" t="s">
        <v>88</v>
      </c>
      <c r="C239" s="79">
        <v>0.2</v>
      </c>
      <c r="D239" s="79">
        <f t="shared" si="37"/>
        <v>0.19876842624412591</v>
      </c>
      <c r="E239" s="49">
        <v>39150</v>
      </c>
      <c r="F239" s="49">
        <v>38900</v>
      </c>
      <c r="G239" s="49">
        <v>5969782550</v>
      </c>
      <c r="H239" s="49">
        <f t="shared" si="38"/>
        <v>0.24185362409514299</v>
      </c>
      <c r="I239" s="49">
        <f t="shared" si="44"/>
        <v>0.24185362409514299</v>
      </c>
      <c r="J239" s="48">
        <v>0.3</v>
      </c>
      <c r="K239" s="48">
        <f t="shared" si="39"/>
        <v>0.2574147632272612</v>
      </c>
      <c r="L239" s="48">
        <v>214500</v>
      </c>
      <c r="M239" s="48">
        <v>218500</v>
      </c>
      <c r="N239" s="51">
        <v>125456133</v>
      </c>
      <c r="O239" s="48">
        <f t="shared" si="40"/>
        <v>2.6534042873163202</v>
      </c>
      <c r="P239" s="48">
        <f t="shared" si="45"/>
        <v>2.6534042873163202</v>
      </c>
      <c r="Q239" s="49">
        <v>0.5</v>
      </c>
      <c r="R239" s="49">
        <f t="shared" si="41"/>
        <v>0.54381681052861286</v>
      </c>
      <c r="S239" s="49">
        <v>202000</v>
      </c>
      <c r="T239" s="49">
        <v>215000</v>
      </c>
      <c r="U239" s="49">
        <v>15956260</v>
      </c>
      <c r="V239" s="49">
        <f t="shared" si="42"/>
        <v>44.791579567354198</v>
      </c>
      <c r="W239" s="49">
        <f t="shared" si="46"/>
        <v>44.791579567354198</v>
      </c>
      <c r="X239" s="82">
        <f>IF(Z238&lt;&gt;(E239*G239*H239+L239*N239*O239+S239*U239*V239),1,0)</f>
        <v>0</v>
      </c>
      <c r="Y239" s="82">
        <f>IF(AND(X239=0,B239="N"),Y238,Y238*(E239*G239*I239+L239*N239*P239+S239*U239*W239)/Z238)</f>
        <v>270737477908487.19</v>
      </c>
      <c r="Z239" s="81">
        <f t="shared" si="47"/>
        <v>282561712406285</v>
      </c>
      <c r="AA239" s="80">
        <f t="shared" si="36"/>
        <v>1043.6741694912093</v>
      </c>
      <c r="AB239" s="52">
        <f t="shared" si="43"/>
        <v>3.7685535360233155E-2</v>
      </c>
      <c r="AC239" s="48">
        <f>(F239-E239)/E239</f>
        <v>-6.3856960408684551E-3</v>
      </c>
      <c r="AD239" s="48">
        <f>(M239-L239)/L239</f>
        <v>1.8648018648018648E-2</v>
      </c>
      <c r="AE239" s="48">
        <f>(T239-S239)/S239</f>
        <v>6.4356435643564358E-2</v>
      </c>
      <c r="AF239" s="48" t="e">
        <f>(#REF!-#REF!)/#REF!</f>
        <v>#REF!</v>
      </c>
    </row>
    <row r="240" spans="1:32" x14ac:dyDescent="0.3">
      <c r="A240" s="48">
        <v>20181219</v>
      </c>
      <c r="B240" s="48" t="s">
        <v>88</v>
      </c>
      <c r="C240" s="79">
        <v>0.2</v>
      </c>
      <c r="D240" s="79">
        <f t="shared" si="37"/>
        <v>0.19711578861526546</v>
      </c>
      <c r="E240" s="49">
        <v>38900</v>
      </c>
      <c r="F240" s="49">
        <v>39100</v>
      </c>
      <c r="G240" s="49">
        <v>5969782550</v>
      </c>
      <c r="H240" s="49">
        <f t="shared" si="38"/>
        <v>0.24185362409514299</v>
      </c>
      <c r="I240" s="49">
        <f t="shared" si="44"/>
        <v>0.24185362409514299</v>
      </c>
      <c r="J240" s="48">
        <v>0.3</v>
      </c>
      <c r="K240" s="48">
        <f t="shared" si="39"/>
        <v>0.26210506436279463</v>
      </c>
      <c r="L240" s="48">
        <v>218500</v>
      </c>
      <c r="M240" s="48">
        <v>225500</v>
      </c>
      <c r="N240" s="51">
        <v>125456133</v>
      </c>
      <c r="O240" s="48">
        <f t="shared" si="40"/>
        <v>2.6534042873163202</v>
      </c>
      <c r="P240" s="48">
        <f t="shared" si="45"/>
        <v>2.6534042873163202</v>
      </c>
      <c r="Q240" s="49">
        <v>0.5</v>
      </c>
      <c r="R240" s="49">
        <f t="shared" si="41"/>
        <v>0.54077914702193985</v>
      </c>
      <c r="S240" s="49">
        <v>215000</v>
      </c>
      <c r="T240" s="49">
        <v>216700</v>
      </c>
      <c r="U240" s="49">
        <v>15956260</v>
      </c>
      <c r="V240" s="49">
        <f t="shared" si="42"/>
        <v>44.791579567354198</v>
      </c>
      <c r="W240" s="49">
        <f t="shared" si="46"/>
        <v>44.791579567354198</v>
      </c>
      <c r="X240" s="82">
        <f>IF(Z239&lt;&gt;(E240*G240*H240+L240*N240*O240+S240*U240*V240),1,0)</f>
        <v>0</v>
      </c>
      <c r="Y240" s="82">
        <f>IF(AND(X240=0,B240="N"),Y239,Y239*(E240*G240*I240+L240*N240*P240+S240*U240*W240)/Z239)</f>
        <v>270737477908487.19</v>
      </c>
      <c r="Z240" s="81">
        <f t="shared" si="47"/>
        <v>286395676355405.37</v>
      </c>
      <c r="AA240" s="80">
        <f t="shared" si="36"/>
        <v>1057.8353561091044</v>
      </c>
      <c r="AB240" s="52">
        <f t="shared" si="43"/>
        <v>1.356858973025904E-2</v>
      </c>
      <c r="AC240" s="48">
        <f>(F240-E240)/E240</f>
        <v>5.1413881748071976E-3</v>
      </c>
      <c r="AD240" s="48">
        <f>(M240-L240)/L240</f>
        <v>3.2036613272311214E-2</v>
      </c>
      <c r="AE240" s="48">
        <f>(T240-S240)/S240</f>
        <v>7.9069767441860457E-3</v>
      </c>
      <c r="AF240" s="48" t="e">
        <f>(#REF!-#REF!)/#REF!</f>
        <v>#REF!</v>
      </c>
    </row>
    <row r="241" spans="1:32" x14ac:dyDescent="0.3">
      <c r="A241" s="48">
        <v>20181220</v>
      </c>
      <c r="B241" s="48" t="s">
        <v>88</v>
      </c>
      <c r="C241" s="79">
        <v>0.2</v>
      </c>
      <c r="D241" s="79">
        <f t="shared" si="37"/>
        <v>0.19188204585795451</v>
      </c>
      <c r="E241" s="49">
        <v>39100</v>
      </c>
      <c r="F241" s="49">
        <v>38650</v>
      </c>
      <c r="G241" s="49">
        <v>5969782550</v>
      </c>
      <c r="H241" s="49">
        <f t="shared" si="38"/>
        <v>0.24185362409514299</v>
      </c>
      <c r="I241" s="49">
        <f t="shared" si="44"/>
        <v>0.24185362409514299</v>
      </c>
      <c r="J241" s="48">
        <v>0.3</v>
      </c>
      <c r="K241" s="48">
        <f t="shared" si="39"/>
        <v>0.25639943987638014</v>
      </c>
      <c r="L241" s="48">
        <v>225500</v>
      </c>
      <c r="M241" s="48">
        <v>224000</v>
      </c>
      <c r="N241" s="51">
        <v>125456133</v>
      </c>
      <c r="O241" s="48">
        <f t="shared" si="40"/>
        <v>2.6534042873163202</v>
      </c>
      <c r="P241" s="48">
        <f t="shared" si="45"/>
        <v>2.6534042873163202</v>
      </c>
      <c r="Q241" s="49">
        <v>0.5</v>
      </c>
      <c r="R241" s="49">
        <f t="shared" si="41"/>
        <v>0.55171851426566543</v>
      </c>
      <c r="S241" s="49">
        <v>216700</v>
      </c>
      <c r="T241" s="49">
        <v>224500</v>
      </c>
      <c r="U241" s="49">
        <v>15956260</v>
      </c>
      <c r="V241" s="49">
        <f t="shared" si="42"/>
        <v>44.791579567354198</v>
      </c>
      <c r="W241" s="49">
        <f t="shared" si="46"/>
        <v>44.791579567354198</v>
      </c>
      <c r="X241" s="82">
        <f>IF(Z240&lt;&gt;(E241*G241*H241+L241*N241*O241+S241*U241*V241),1,0)</f>
        <v>0</v>
      </c>
      <c r="Y241" s="82">
        <f>IF(AND(X241=0,B241="N"),Y240,Y240*(E241*G241*I241+L241*N241*P241+S241*U241*W241)/Z240)</f>
        <v>270737477908487.19</v>
      </c>
      <c r="Z241" s="81">
        <f t="shared" si="47"/>
        <v>290821338995718.62</v>
      </c>
      <c r="AA241" s="80">
        <f t="shared" si="36"/>
        <v>1074.1820498675845</v>
      </c>
      <c r="AB241" s="52">
        <f t="shared" si="43"/>
        <v>1.5452965968736375E-2</v>
      </c>
      <c r="AC241" s="48">
        <f>(F241-E241)/E241</f>
        <v>-1.1508951406649617E-2</v>
      </c>
      <c r="AD241" s="48">
        <f>(M241-L241)/L241</f>
        <v>-6.6518847006651885E-3</v>
      </c>
      <c r="AE241" s="48">
        <f>(T241-S241)/S241</f>
        <v>3.599446239040148E-2</v>
      </c>
      <c r="AF241" s="48" t="e">
        <f>(#REF!-#REF!)/#REF!</f>
        <v>#REF!</v>
      </c>
    </row>
    <row r="242" spans="1:32" x14ac:dyDescent="0.3">
      <c r="A242" s="48">
        <v>20181221</v>
      </c>
      <c r="B242" s="48" t="s">
        <v>88</v>
      </c>
      <c r="C242" s="79">
        <v>0.2</v>
      </c>
      <c r="D242" s="79">
        <f t="shared" si="37"/>
        <v>0.19097299457153277</v>
      </c>
      <c r="E242" s="49">
        <v>38650</v>
      </c>
      <c r="F242" s="49">
        <v>38650</v>
      </c>
      <c r="G242" s="49">
        <v>5969782550</v>
      </c>
      <c r="H242" s="49">
        <f t="shared" si="38"/>
        <v>0.24185362409514299</v>
      </c>
      <c r="I242" s="49">
        <f t="shared" si="44"/>
        <v>0.24185362409514299</v>
      </c>
      <c r="J242" s="48">
        <v>0.3</v>
      </c>
      <c r="K242" s="48">
        <f t="shared" si="39"/>
        <v>0.2506278637910403</v>
      </c>
      <c r="L242" s="48">
        <v>224000</v>
      </c>
      <c r="M242" s="48">
        <v>220000</v>
      </c>
      <c r="N242" s="51">
        <v>125456133</v>
      </c>
      <c r="O242" s="48">
        <f t="shared" si="40"/>
        <v>2.6534042873163202</v>
      </c>
      <c r="P242" s="48">
        <f t="shared" si="45"/>
        <v>2.6534042873163202</v>
      </c>
      <c r="Q242" s="49">
        <v>0.5</v>
      </c>
      <c r="R242" s="49">
        <f t="shared" si="41"/>
        <v>0.55839914163742688</v>
      </c>
      <c r="S242" s="49">
        <v>224500</v>
      </c>
      <c r="T242" s="49">
        <v>228300</v>
      </c>
      <c r="U242" s="49">
        <v>15956260</v>
      </c>
      <c r="V242" s="49">
        <f t="shared" si="42"/>
        <v>44.791579567354198</v>
      </c>
      <c r="W242" s="49">
        <f t="shared" si="46"/>
        <v>44.791579567354198</v>
      </c>
      <c r="X242" s="82">
        <f>IF(Z241&lt;&gt;(E242*G242*H242+L242*N242*O242+S242*U242*V242),1,0)</f>
        <v>0</v>
      </c>
      <c r="Y242" s="82">
        <f>IF(AND(X242=0,B242="N"),Y241,Y241*(E242*G242*I242+L242*N242*P242+S242*U242*W242)/Z241)</f>
        <v>270737477908487.19</v>
      </c>
      <c r="Z242" s="81">
        <f t="shared" si="47"/>
        <v>292205678770701.44</v>
      </c>
      <c r="AA242" s="80">
        <f t="shared" si="36"/>
        <v>1079.2952679771613</v>
      </c>
      <c r="AB242" s="52">
        <f t="shared" si="43"/>
        <v>4.760103848511622E-3</v>
      </c>
      <c r="AC242" s="48">
        <f>(F242-E242)/E242</f>
        <v>0</v>
      </c>
      <c r="AD242" s="48">
        <f>(M242-L242)/L242</f>
        <v>-1.7857142857142856E-2</v>
      </c>
      <c r="AE242" s="48">
        <f>(T242-S242)/S242</f>
        <v>1.6926503340757237E-2</v>
      </c>
      <c r="AF242" s="48" t="e">
        <f>(#REF!-#REF!)/#REF!</f>
        <v>#REF!</v>
      </c>
    </row>
    <row r="243" spans="1:32" x14ac:dyDescent="0.3">
      <c r="A243" s="48">
        <v>20181224</v>
      </c>
      <c r="B243" s="48" t="s">
        <v>88</v>
      </c>
      <c r="C243" s="79">
        <v>0.2</v>
      </c>
      <c r="D243" s="79">
        <f t="shared" si="37"/>
        <v>0.19433883270681826</v>
      </c>
      <c r="E243" s="49">
        <v>38650</v>
      </c>
      <c r="F243" s="49">
        <v>38800</v>
      </c>
      <c r="G243" s="49">
        <v>5969782550</v>
      </c>
      <c r="H243" s="49">
        <f t="shared" si="38"/>
        <v>0.24185362409514299</v>
      </c>
      <c r="I243" s="49">
        <f t="shared" si="44"/>
        <v>0.24185362409514299</v>
      </c>
      <c r="J243" s="48">
        <v>0.3</v>
      </c>
      <c r="K243" s="48">
        <f t="shared" si="39"/>
        <v>0.24308836697530795</v>
      </c>
      <c r="L243" s="48">
        <v>220000</v>
      </c>
      <c r="M243" s="48">
        <v>210500</v>
      </c>
      <c r="N243" s="51">
        <v>125456133</v>
      </c>
      <c r="O243" s="48">
        <f t="shared" si="40"/>
        <v>2.6534042873163202</v>
      </c>
      <c r="P243" s="48">
        <f t="shared" si="45"/>
        <v>2.6534042873163202</v>
      </c>
      <c r="Q243" s="49">
        <v>0.5</v>
      </c>
      <c r="R243" s="49">
        <f t="shared" si="41"/>
        <v>0.56257280031787371</v>
      </c>
      <c r="S243" s="49">
        <v>228300</v>
      </c>
      <c r="T243" s="49">
        <v>226900</v>
      </c>
      <c r="U243" s="49">
        <v>15956260</v>
      </c>
      <c r="V243" s="49">
        <f t="shared" si="42"/>
        <v>44.791579567354198</v>
      </c>
      <c r="W243" s="49">
        <f t="shared" si="46"/>
        <v>44.791579567354198</v>
      </c>
      <c r="X243" s="82">
        <f>IF(Z242&lt;&gt;(E243*G243*H243+L243*N243*O243+S243*U243*V243),1,0)</f>
        <v>0</v>
      </c>
      <c r="Y243" s="82">
        <f>IF(AND(X243=0,B243="N"),Y242,Y242*(E243*G243*I243+L243*N243*P243+S243*U243*W243)/Z242)</f>
        <v>270737477908487.19</v>
      </c>
      <c r="Z243" s="81">
        <f t="shared" si="47"/>
        <v>288259246786138.62</v>
      </c>
      <c r="AA243" s="80">
        <f t="shared" si="36"/>
        <v>1064.7186677404673</v>
      </c>
      <c r="AB243" s="52">
        <f t="shared" si="43"/>
        <v>-1.3505664917825342E-2</v>
      </c>
      <c r="AC243" s="48">
        <f>(F243-E243)/E243</f>
        <v>3.8809831824062097E-3</v>
      </c>
      <c r="AD243" s="48">
        <f>(M243-L243)/L243</f>
        <v>-4.3181818181818182E-2</v>
      </c>
      <c r="AE243" s="48">
        <f>(T243-S243)/S243</f>
        <v>-6.1322820849759093E-3</v>
      </c>
      <c r="AF243" s="48" t="e">
        <f>(#REF!-#REF!)/#REF!</f>
        <v>#REF!</v>
      </c>
    </row>
    <row r="244" spans="1:32" x14ac:dyDescent="0.3">
      <c r="A244" s="48">
        <v>20181226</v>
      </c>
      <c r="B244" s="48" t="s">
        <v>88</v>
      </c>
      <c r="C244" s="79">
        <v>0.2</v>
      </c>
      <c r="D244" s="79">
        <f t="shared" si="37"/>
        <v>0.18588966273974836</v>
      </c>
      <c r="E244" s="49">
        <v>38800</v>
      </c>
      <c r="F244" s="49">
        <v>38350</v>
      </c>
      <c r="G244" s="49">
        <v>5969782550</v>
      </c>
      <c r="H244" s="49">
        <f t="shared" si="38"/>
        <v>0.24185362409514299</v>
      </c>
      <c r="I244" s="49">
        <f t="shared" si="44"/>
        <v>0.24185362409514299</v>
      </c>
      <c r="J244" s="48">
        <v>0.3</v>
      </c>
      <c r="K244" s="48">
        <f t="shared" si="39"/>
        <v>0.25480557736866077</v>
      </c>
      <c r="L244" s="48">
        <v>210500</v>
      </c>
      <c r="M244" s="48">
        <v>228000</v>
      </c>
      <c r="N244" s="51">
        <v>125456133</v>
      </c>
      <c r="O244" s="48">
        <f t="shared" si="40"/>
        <v>2.6534042873163202</v>
      </c>
      <c r="P244" s="48">
        <f t="shared" si="45"/>
        <v>2.6534042873163202</v>
      </c>
      <c r="Q244" s="49">
        <v>0.5</v>
      </c>
      <c r="R244" s="49">
        <f t="shared" si="41"/>
        <v>0.55930475989159079</v>
      </c>
      <c r="S244" s="49">
        <v>226900</v>
      </c>
      <c r="T244" s="49">
        <v>233100</v>
      </c>
      <c r="U244" s="49">
        <v>15956260</v>
      </c>
      <c r="V244" s="49">
        <f t="shared" si="42"/>
        <v>44.791579567354198</v>
      </c>
      <c r="W244" s="49">
        <f t="shared" si="46"/>
        <v>44.791579567354198</v>
      </c>
      <c r="X244" s="82">
        <f>IF(Z243&lt;&gt;(E244*G244*H244+L244*N244*O244+S244*U244*V244),1,0)</f>
        <v>0</v>
      </c>
      <c r="Y244" s="82">
        <f>IF(AND(X244=0,B244="N"),Y243,Y243*(E244*G244*I244+L244*N244*P244+S244*U244*W244)/Z243)</f>
        <v>270737477908487.19</v>
      </c>
      <c r="Z244" s="81">
        <f t="shared" si="47"/>
        <v>297866210665706.31</v>
      </c>
      <c r="AA244" s="80">
        <f t="shared" si="36"/>
        <v>1100.2030932946382</v>
      </c>
      <c r="AB244" s="52">
        <f t="shared" si="43"/>
        <v>3.3327513294639156E-2</v>
      </c>
      <c r="AC244" s="48">
        <f>(F244-E244)/E244</f>
        <v>-1.1597938144329897E-2</v>
      </c>
      <c r="AD244" s="48">
        <f>(M244-L244)/L244</f>
        <v>8.3135391923990498E-2</v>
      </c>
      <c r="AE244" s="48">
        <f>(T244-S244)/S244</f>
        <v>2.7324812692816218E-2</v>
      </c>
      <c r="AF244" s="48" t="e">
        <f>(#REF!-#REF!)/#REF!</f>
        <v>#REF!</v>
      </c>
    </row>
    <row r="245" spans="1:32" s="47" customFormat="1" x14ac:dyDescent="0.3">
      <c r="A245" s="48">
        <v>20181227</v>
      </c>
      <c r="B245" s="48" t="s">
        <v>88</v>
      </c>
      <c r="C245" s="79">
        <v>0.2</v>
      </c>
      <c r="D245" s="79">
        <f t="shared" si="37"/>
        <v>0.18113528381169239</v>
      </c>
      <c r="E245" s="49">
        <v>38350</v>
      </c>
      <c r="F245" s="49">
        <v>38250</v>
      </c>
      <c r="G245" s="49">
        <v>5969782550</v>
      </c>
      <c r="H245" s="49">
        <f t="shared" si="38"/>
        <v>0.24185362409514299</v>
      </c>
      <c r="I245" s="49">
        <f t="shared" si="44"/>
        <v>0.211727316315971</v>
      </c>
      <c r="J245" s="48">
        <v>0.3</v>
      </c>
      <c r="K245" s="48">
        <f t="shared" si="39"/>
        <v>0.24782637239106597</v>
      </c>
      <c r="L245" s="48">
        <v>224000</v>
      </c>
      <c r="M245" s="48">
        <v>223000</v>
      </c>
      <c r="N245" s="51">
        <v>125456133</v>
      </c>
      <c r="O245" s="48">
        <f t="shared" si="40"/>
        <v>2.6534042873163202</v>
      </c>
      <c r="P245" s="48">
        <f t="shared" si="45"/>
        <v>2.3643651450430299</v>
      </c>
      <c r="Q245" s="49">
        <v>0.5</v>
      </c>
      <c r="R245" s="49">
        <f t="shared" si="41"/>
        <v>0.57103834379724172</v>
      </c>
      <c r="S245" s="49">
        <v>233100</v>
      </c>
      <c r="T245" s="49">
        <v>243600</v>
      </c>
      <c r="U245" s="49">
        <v>15956260</v>
      </c>
      <c r="V245" s="49">
        <f t="shared" si="42"/>
        <v>44.791579567354198</v>
      </c>
      <c r="W245" s="49">
        <f t="shared" si="46"/>
        <v>39.2121514442075</v>
      </c>
      <c r="X245" s="82">
        <f>IF(Z244&lt;&gt;(E245*G245*H245+L245*N245*O245+S245*U245*V245),1,0)</f>
        <v>1</v>
      </c>
      <c r="Y245" s="82">
        <f>IF(AND(X245=0,B245="N"),Y244,Y244*(E245*G245*I245+L245*N245*P245+S245*U245*W245)/Z244)</f>
        <v>237013275439561.94</v>
      </c>
      <c r="Z245" s="81">
        <f t="shared" si="47"/>
        <v>266909350556405.94</v>
      </c>
      <c r="AA245" s="80">
        <f t="shared" si="36"/>
        <v>1126.1367113778715</v>
      </c>
      <c r="AB245" s="52">
        <f t="shared" si="43"/>
        <v>2.3571664396591755E-2</v>
      </c>
      <c r="AC245" s="48">
        <f>(F245-E245)/E245</f>
        <v>-2.6075619295958278E-3</v>
      </c>
      <c r="AD245" s="48">
        <f>(M245-L245)/L245</f>
        <v>-4.464285714285714E-3</v>
      </c>
      <c r="AE245" s="48">
        <f>(T245-S245)/S245</f>
        <v>4.5045045045045043E-2</v>
      </c>
      <c r="AF245" s="48" t="e">
        <f>(#REF!-#REF!)/#REF!</f>
        <v>#REF!</v>
      </c>
    </row>
    <row r="246" spans="1:32" x14ac:dyDescent="0.3">
      <c r="A246" s="48">
        <v>20181228</v>
      </c>
      <c r="B246" s="48" t="s">
        <v>88</v>
      </c>
      <c r="C246" s="79">
        <v>0.2</v>
      </c>
      <c r="D246" s="79">
        <f t="shared" si="37"/>
        <v>0.17863000883765701</v>
      </c>
      <c r="E246" s="49">
        <v>38250</v>
      </c>
      <c r="F246" s="49">
        <v>38700</v>
      </c>
      <c r="G246" s="49">
        <v>5969782550</v>
      </c>
      <c r="H246" s="49">
        <f t="shared" si="38"/>
        <v>0.211727316315971</v>
      </c>
      <c r="I246" s="49">
        <f t="shared" si="44"/>
        <v>0.211727316315971</v>
      </c>
      <c r="J246" s="48">
        <v>0.3</v>
      </c>
      <c r="K246" s="48">
        <f t="shared" si="39"/>
        <v>0.24101524301305802</v>
      </c>
      <c r="L246" s="48">
        <v>223000</v>
      </c>
      <c r="M246" s="48">
        <v>222500</v>
      </c>
      <c r="N246" s="51">
        <v>125456133</v>
      </c>
      <c r="O246" s="48">
        <f t="shared" si="40"/>
        <v>2.3643651450430299</v>
      </c>
      <c r="P246" s="48">
        <f t="shared" si="45"/>
        <v>2.3643651450430299</v>
      </c>
      <c r="Q246" s="49">
        <v>0.5</v>
      </c>
      <c r="R246" s="49">
        <f t="shared" si="41"/>
        <v>0.58035474814928489</v>
      </c>
      <c r="S246" s="49">
        <v>243600</v>
      </c>
      <c r="T246" s="49">
        <v>254000</v>
      </c>
      <c r="U246" s="49">
        <v>15956260</v>
      </c>
      <c r="V246" s="49">
        <f t="shared" si="42"/>
        <v>39.2121514442075</v>
      </c>
      <c r="W246" s="49">
        <f t="shared" si="46"/>
        <v>39.2121514442075</v>
      </c>
      <c r="X246" s="82">
        <f>IF(Z245&lt;&gt;(E246*G246*H246+L246*N246*O246+S246*U246*V246),1,0)</f>
        <v>0</v>
      </c>
      <c r="Y246" s="82">
        <f>IF(AND(X246=0,B246="N"),Y245,Y245*(E246*G246*I246+L246*N246*P246+S246*U246*W246)/Z245)</f>
        <v>237013275439561.94</v>
      </c>
      <c r="Z246" s="81">
        <f t="shared" si="47"/>
        <v>273836887769065.81</v>
      </c>
      <c r="AA246" s="80">
        <f t="shared" si="36"/>
        <v>1155.365188980285</v>
      </c>
      <c r="AB246" s="52">
        <f t="shared" si="43"/>
        <v>2.5954644144982462E-2</v>
      </c>
      <c r="AC246" s="48">
        <f>(F246-E246)/E246</f>
        <v>1.1764705882352941E-2</v>
      </c>
      <c r="AD246" s="48">
        <f>(M246-L246)/L246</f>
        <v>-2.242152466367713E-3</v>
      </c>
      <c r="AE246" s="48">
        <f>(T246-S246)/S246</f>
        <v>4.2692939244663386E-2</v>
      </c>
      <c r="AF246" s="48" t="e">
        <f>(#REF!-#REF!)/#REF!</f>
        <v>#REF!</v>
      </c>
    </row>
    <row r="247" spans="1:32" s="124" customFormat="1" x14ac:dyDescent="0.3">
      <c r="A247" s="116">
        <v>20190102</v>
      </c>
      <c r="B247" s="116" t="s">
        <v>89</v>
      </c>
      <c r="C247" s="117">
        <v>0.25</v>
      </c>
      <c r="D247" s="117">
        <f t="shared" si="37"/>
        <v>0.2495381358491898</v>
      </c>
      <c r="E247" s="116">
        <v>38700</v>
      </c>
      <c r="F247" s="116">
        <v>38750</v>
      </c>
      <c r="G247" s="116">
        <v>5969782550</v>
      </c>
      <c r="H247" s="116">
        <f t="shared" si="38"/>
        <v>0.211727316315971</v>
      </c>
      <c r="I247" s="118">
        <f t="shared" si="44"/>
        <v>0.284591610106607</v>
      </c>
      <c r="J247" s="118">
        <v>0.25</v>
      </c>
      <c r="K247" s="118">
        <f t="shared" si="39"/>
        <v>0.24025557044198612</v>
      </c>
      <c r="L247" s="116">
        <v>222500</v>
      </c>
      <c r="M247" s="116">
        <v>214500</v>
      </c>
      <c r="N247" s="119">
        <v>125456133</v>
      </c>
      <c r="O247" s="116">
        <f t="shared" si="40"/>
        <v>2.3643651450430299</v>
      </c>
      <c r="P247" s="118">
        <f t="shared" si="45"/>
        <v>2.35542704712624</v>
      </c>
      <c r="Q247" s="118">
        <v>0.5</v>
      </c>
      <c r="R247" s="118">
        <f t="shared" si="41"/>
        <v>0.51020629370882409</v>
      </c>
      <c r="S247" s="116">
        <v>254000</v>
      </c>
      <c r="T247" s="116">
        <v>260000</v>
      </c>
      <c r="U247" s="116">
        <v>15956260</v>
      </c>
      <c r="V247" s="116">
        <f t="shared" si="42"/>
        <v>39.2121514442075</v>
      </c>
      <c r="W247" s="118">
        <f t="shared" si="46"/>
        <v>32.445669845696102</v>
      </c>
      <c r="X247" s="120">
        <f>IF(Z246&lt;&gt;(E247*G247*H247+L247*N247*O247+S247*U247*V247),1,0)</f>
        <v>0</v>
      </c>
      <c r="Y247" s="120">
        <f>IF(AND(X247=0,B247="N"),Y246,Y246*(E247*G247*I247+L247*N247*P247+S247*U247*W247)/Z246)</f>
        <v>227631459581726.81</v>
      </c>
      <c r="Z247" s="121">
        <f t="shared" si="47"/>
        <v>263824658931318.44</v>
      </c>
      <c r="AA247" s="122">
        <f t="shared" si="36"/>
        <v>1158.9991094205375</v>
      </c>
      <c r="AB247" s="123">
        <f t="shared" si="43"/>
        <v>3.1452569931241926E-3</v>
      </c>
      <c r="AC247" s="116">
        <f>(F247-E247)/E247</f>
        <v>1.2919896640826874E-3</v>
      </c>
      <c r="AD247" s="116">
        <f>(M247-L247)/L247</f>
        <v>-3.5955056179775284E-2</v>
      </c>
      <c r="AE247" s="116">
        <f>(T247-S247)/S247</f>
        <v>2.3622047244094488E-2</v>
      </c>
      <c r="AF247" s="116" t="e">
        <f>(#REF!-#REF!)/#REF!</f>
        <v>#REF!</v>
      </c>
    </row>
    <row r="248" spans="1:32" x14ac:dyDescent="0.3">
      <c r="A248" s="48">
        <v>20190103</v>
      </c>
      <c r="B248" s="48" t="s">
        <v>88</v>
      </c>
      <c r="C248" s="79">
        <v>0.25</v>
      </c>
      <c r="D248" s="79">
        <f t="shared" si="37"/>
        <v>0.2503144296992677</v>
      </c>
      <c r="E248" s="49">
        <v>38750</v>
      </c>
      <c r="F248" s="49">
        <v>37600</v>
      </c>
      <c r="G248" s="49">
        <v>5969782550</v>
      </c>
      <c r="H248" s="49">
        <f t="shared" si="38"/>
        <v>0.284591610106607</v>
      </c>
      <c r="I248" s="49">
        <f t="shared" si="44"/>
        <v>0.284591610106607</v>
      </c>
      <c r="J248" s="48">
        <v>0.25</v>
      </c>
      <c r="K248" s="48">
        <f t="shared" si="39"/>
        <v>0.24374240430081598</v>
      </c>
      <c r="L248" s="48">
        <v>214500</v>
      </c>
      <c r="M248" s="48">
        <v>210500</v>
      </c>
      <c r="N248" s="51">
        <v>125456133</v>
      </c>
      <c r="O248" s="48">
        <f t="shared" si="40"/>
        <v>2.35542704712624</v>
      </c>
      <c r="P248" s="48">
        <f t="shared" si="45"/>
        <v>2.35542704712624</v>
      </c>
      <c r="Q248" s="49">
        <v>0.5</v>
      </c>
      <c r="R248" s="49">
        <f t="shared" si="41"/>
        <v>0.50594316599991629</v>
      </c>
      <c r="S248" s="49">
        <v>260000</v>
      </c>
      <c r="T248" s="49">
        <v>249400</v>
      </c>
      <c r="U248" s="49">
        <v>15956260</v>
      </c>
      <c r="V248" s="49">
        <f t="shared" si="42"/>
        <v>32.445669845696102</v>
      </c>
      <c r="W248" s="49">
        <f t="shared" si="46"/>
        <v>32.445669845696102</v>
      </c>
      <c r="X248" s="82">
        <f>IF(Z247&lt;&gt;(E248*G248*H248+L248*N248*O248+S248*U248*V248),1,0)</f>
        <v>0</v>
      </c>
      <c r="Y248" s="82">
        <f>IF(AND(X248=0,B248="N"),Y247,Y247*(E248*G248*I248+L248*N248*P248+S248*U248*W248)/Z247)</f>
        <v>227631459581726.81</v>
      </c>
      <c r="Z248" s="81">
        <f t="shared" si="47"/>
        <v>255201112957979.59</v>
      </c>
      <c r="AA248" s="80">
        <f t="shared" si="36"/>
        <v>1121.1153037761653</v>
      </c>
      <c r="AB248" s="52">
        <f t="shared" si="43"/>
        <v>-3.2686656388642828E-2</v>
      </c>
      <c r="AC248" s="48">
        <f>(F248-E248)/E248</f>
        <v>-2.9677419354838711E-2</v>
      </c>
      <c r="AD248" s="48">
        <f>(M248-L248)/L248</f>
        <v>-1.8648018648018648E-2</v>
      </c>
      <c r="AE248" s="48">
        <f>(T248-S248)/S248</f>
        <v>-4.0769230769230766E-2</v>
      </c>
      <c r="AF248" s="48" t="e">
        <f>(#REF!-#REF!)/#REF!</f>
        <v>#REF!</v>
      </c>
    </row>
    <row r="249" spans="1:32" x14ac:dyDescent="0.3">
      <c r="A249" s="48">
        <v>20190104</v>
      </c>
      <c r="B249" s="48" t="s">
        <v>88</v>
      </c>
      <c r="C249" s="79">
        <v>0.25</v>
      </c>
      <c r="D249" s="79">
        <f t="shared" si="37"/>
        <v>0.24448981739742326</v>
      </c>
      <c r="E249" s="49">
        <v>37600</v>
      </c>
      <c r="F249" s="49">
        <v>37450</v>
      </c>
      <c r="G249" s="49">
        <v>5969782550</v>
      </c>
      <c r="H249" s="49">
        <f t="shared" si="38"/>
        <v>0.284591610106607</v>
      </c>
      <c r="I249" s="49">
        <f t="shared" si="44"/>
        <v>0.284591610106607</v>
      </c>
      <c r="J249" s="48">
        <v>0.25</v>
      </c>
      <c r="K249" s="48">
        <f t="shared" si="39"/>
        <v>0.24981159062380204</v>
      </c>
      <c r="L249" s="48">
        <v>210500</v>
      </c>
      <c r="M249" s="48">
        <v>220000</v>
      </c>
      <c r="N249" s="51">
        <v>125456133</v>
      </c>
      <c r="O249" s="48">
        <f t="shared" si="40"/>
        <v>2.35542704712624</v>
      </c>
      <c r="P249" s="48">
        <f t="shared" si="45"/>
        <v>2.35542704712624</v>
      </c>
      <c r="Q249" s="49">
        <v>0.5</v>
      </c>
      <c r="R249" s="49">
        <f t="shared" si="41"/>
        <v>0.50569859197877476</v>
      </c>
      <c r="S249" s="49">
        <v>249400</v>
      </c>
      <c r="T249" s="49">
        <v>254200</v>
      </c>
      <c r="U249" s="49">
        <v>15956260</v>
      </c>
      <c r="V249" s="49">
        <f t="shared" si="42"/>
        <v>32.445669845696102</v>
      </c>
      <c r="W249" s="49">
        <f t="shared" si="46"/>
        <v>32.445669845696102</v>
      </c>
      <c r="X249" s="82">
        <f>IF(Z248&lt;&gt;(E249*G249*H249+L249*N249*O249+S249*U249*V249),1,0)</f>
        <v>0</v>
      </c>
      <c r="Y249" s="82">
        <f>IF(AND(X249=0,B249="N"),Y248,Y248*(E249*G249*I249+L249*N249*P249+S249*U249*W249)/Z248)</f>
        <v>227631459581726.81</v>
      </c>
      <c r="Z249" s="81">
        <f t="shared" si="47"/>
        <v>260238562169182.62</v>
      </c>
      <c r="AA249" s="80">
        <f t="shared" si="36"/>
        <v>1143.2451500656871</v>
      </c>
      <c r="AB249" s="52">
        <f t="shared" si="43"/>
        <v>1.9739134962285795E-2</v>
      </c>
      <c r="AC249" s="48">
        <f>(F249-E249)/E249</f>
        <v>-3.9893617021276593E-3</v>
      </c>
      <c r="AD249" s="48">
        <f>(M249-L249)/L249</f>
        <v>4.5130641330166268E-2</v>
      </c>
      <c r="AE249" s="48">
        <f>(T249-S249)/S249</f>
        <v>1.9246190858059342E-2</v>
      </c>
      <c r="AF249" s="48" t="e">
        <f>(#REF!-#REF!)/#REF!</f>
        <v>#REF!</v>
      </c>
    </row>
    <row r="250" spans="1:32" x14ac:dyDescent="0.3">
      <c r="A250" s="48">
        <v>20190107</v>
      </c>
      <c r="B250" s="48" t="s">
        <v>88</v>
      </c>
      <c r="C250" s="79">
        <v>0.25</v>
      </c>
      <c r="D250" s="79">
        <f t="shared" si="37"/>
        <v>0.2513849651213324</v>
      </c>
      <c r="E250" s="49">
        <v>37450</v>
      </c>
      <c r="F250" s="49">
        <v>38750</v>
      </c>
      <c r="G250" s="49">
        <v>5969782550</v>
      </c>
      <c r="H250" s="49">
        <f t="shared" si="38"/>
        <v>0.284591610106607</v>
      </c>
      <c r="I250" s="49">
        <f t="shared" si="44"/>
        <v>0.284591610106607</v>
      </c>
      <c r="J250" s="48">
        <v>0.25</v>
      </c>
      <c r="K250" s="48">
        <f t="shared" si="39"/>
        <v>0.2437262428929019</v>
      </c>
      <c r="L250" s="48">
        <v>220000</v>
      </c>
      <c r="M250" s="48">
        <v>216000</v>
      </c>
      <c r="N250" s="51">
        <v>125456133</v>
      </c>
      <c r="O250" s="48">
        <f t="shared" si="40"/>
        <v>2.35542704712624</v>
      </c>
      <c r="P250" s="48">
        <f t="shared" si="45"/>
        <v>2.35542704712624</v>
      </c>
      <c r="Q250" s="49">
        <v>0.5</v>
      </c>
      <c r="R250" s="49">
        <f t="shared" si="41"/>
        <v>0.50488879198576564</v>
      </c>
      <c r="S250" s="49">
        <v>254200</v>
      </c>
      <c r="T250" s="49">
        <v>255400</v>
      </c>
      <c r="U250" s="49">
        <v>15956260</v>
      </c>
      <c r="V250" s="49">
        <f t="shared" si="42"/>
        <v>32.445669845696102</v>
      </c>
      <c r="W250" s="49">
        <f t="shared" si="46"/>
        <v>32.445669845696102</v>
      </c>
      <c r="X250" s="82">
        <f>IF(Z249&lt;&gt;(E250*G250*H250+L250*N250*O250+S250*U250*V250),1,0)</f>
        <v>0</v>
      </c>
      <c r="Y250" s="82">
        <f>IF(AND(X250=0,B250="N"),Y249,Y249*(E250*G250*I250+L250*N250*P250+S250*U250*W250)/Z249)</f>
        <v>227631459581726.81</v>
      </c>
      <c r="Z250" s="81">
        <f t="shared" si="47"/>
        <v>261886439982574.94</v>
      </c>
      <c r="AA250" s="80">
        <f t="shared" si="36"/>
        <v>1150.4843858743941</v>
      </c>
      <c r="AB250" s="52">
        <f t="shared" si="43"/>
        <v>6.3321815170535077E-3</v>
      </c>
      <c r="AC250" s="48">
        <f>(F250-E250)/E250</f>
        <v>3.4712950600801068E-2</v>
      </c>
      <c r="AD250" s="48">
        <f>(M250-L250)/L250</f>
        <v>-1.8181818181818181E-2</v>
      </c>
      <c r="AE250" s="48">
        <f>(T250-S250)/S250</f>
        <v>4.7206923682140047E-3</v>
      </c>
      <c r="AF250" s="48" t="e">
        <f>(#REF!-#REF!)/#REF!</f>
        <v>#REF!</v>
      </c>
    </row>
    <row r="251" spans="1:32" x14ac:dyDescent="0.3">
      <c r="A251" s="48">
        <v>20190108</v>
      </c>
      <c r="B251" s="48" t="s">
        <v>88</v>
      </c>
      <c r="C251" s="79">
        <v>0.25</v>
      </c>
      <c r="D251" s="79">
        <f t="shared" si="37"/>
        <v>0.24675844838709285</v>
      </c>
      <c r="E251" s="49">
        <v>38750</v>
      </c>
      <c r="F251" s="49">
        <v>38100</v>
      </c>
      <c r="G251" s="49">
        <v>5969782550</v>
      </c>
      <c r="H251" s="49">
        <f t="shared" si="38"/>
        <v>0.284591610106607</v>
      </c>
      <c r="I251" s="49">
        <f t="shared" si="44"/>
        <v>0.284591610106607</v>
      </c>
      <c r="J251" s="48">
        <v>0.25</v>
      </c>
      <c r="K251" s="48">
        <f t="shared" si="39"/>
        <v>0.24050598270381693</v>
      </c>
      <c r="L251" s="48">
        <v>216000</v>
      </c>
      <c r="M251" s="48">
        <v>213500</v>
      </c>
      <c r="N251" s="51">
        <v>125456133</v>
      </c>
      <c r="O251" s="48">
        <f t="shared" si="40"/>
        <v>2.35542704712624</v>
      </c>
      <c r="P251" s="48">
        <f t="shared" si="45"/>
        <v>2.35542704712624</v>
      </c>
      <c r="Q251" s="49">
        <v>0.5</v>
      </c>
      <c r="R251" s="49">
        <f t="shared" si="41"/>
        <v>0.51273556890909011</v>
      </c>
      <c r="S251" s="49">
        <v>255400</v>
      </c>
      <c r="T251" s="49">
        <v>259800</v>
      </c>
      <c r="U251" s="49">
        <v>15956260</v>
      </c>
      <c r="V251" s="49">
        <f t="shared" si="42"/>
        <v>32.445669845696102</v>
      </c>
      <c r="W251" s="49">
        <f t="shared" si="46"/>
        <v>32.445669845696102</v>
      </c>
      <c r="X251" s="82">
        <f>IF(Z250&lt;&gt;(E251*G251*H251+L251*N251*O251+S251*U251*V251),1,0)</f>
        <v>0</v>
      </c>
      <c r="Y251" s="82">
        <f>IF(AND(X251=0,B251="N"),Y250,Y250*(E251*G251*I251+L251*N251*P251+S251*U251*W251)/Z250)</f>
        <v>227631459581726.81</v>
      </c>
      <c r="Z251" s="81">
        <f t="shared" si="47"/>
        <v>262321296335506.94</v>
      </c>
      <c r="AA251" s="80">
        <f t="shared" si="36"/>
        <v>1152.3947384844028</v>
      </c>
      <c r="AB251" s="52">
        <f t="shared" si="43"/>
        <v>1.6604767813139395E-3</v>
      </c>
      <c r="AC251" s="48">
        <f>(F251-E251)/E251</f>
        <v>-1.6774193548387096E-2</v>
      </c>
      <c r="AD251" s="48">
        <f>(M251-L251)/L251</f>
        <v>-1.1574074074074073E-2</v>
      </c>
      <c r="AE251" s="48">
        <f>(T251-S251)/S251</f>
        <v>1.7227877838684416E-2</v>
      </c>
      <c r="AF251" s="48" t="e">
        <f>(#REF!-#REF!)/#REF!</f>
        <v>#REF!</v>
      </c>
    </row>
    <row r="252" spans="1:32" x14ac:dyDescent="0.3">
      <c r="A252" s="48">
        <v>20190109</v>
      </c>
      <c r="B252" s="48" t="s">
        <v>88</v>
      </c>
      <c r="C252" s="79">
        <v>0.25</v>
      </c>
      <c r="D252" s="79">
        <f t="shared" si="37"/>
        <v>0.26210773658207254</v>
      </c>
      <c r="E252" s="49">
        <v>38100</v>
      </c>
      <c r="F252" s="49">
        <v>39600</v>
      </c>
      <c r="G252" s="49">
        <v>5969782550</v>
      </c>
      <c r="H252" s="49">
        <f t="shared" si="38"/>
        <v>0.284591610106607</v>
      </c>
      <c r="I252" s="49">
        <f t="shared" si="44"/>
        <v>0.284591610106607</v>
      </c>
      <c r="J252" s="48">
        <v>0.25</v>
      </c>
      <c r="K252" s="48">
        <f t="shared" si="39"/>
        <v>0.24636520858306721</v>
      </c>
      <c r="L252" s="48">
        <v>213500</v>
      </c>
      <c r="M252" s="48">
        <v>214000</v>
      </c>
      <c r="N252" s="51">
        <v>125456133</v>
      </c>
      <c r="O252" s="48">
        <f t="shared" si="40"/>
        <v>2.35542704712624</v>
      </c>
      <c r="P252" s="48">
        <f t="shared" si="45"/>
        <v>2.35542704712624</v>
      </c>
      <c r="Q252" s="49">
        <v>0.5</v>
      </c>
      <c r="R252" s="49">
        <f t="shared" si="41"/>
        <v>0.49152705483486026</v>
      </c>
      <c r="S252" s="49">
        <v>259800</v>
      </c>
      <c r="T252" s="49">
        <v>243700</v>
      </c>
      <c r="U252" s="49">
        <v>15956260</v>
      </c>
      <c r="V252" s="49">
        <f t="shared" si="42"/>
        <v>32.445669845696102</v>
      </c>
      <c r="W252" s="49">
        <f t="shared" si="46"/>
        <v>32.445669845696102</v>
      </c>
      <c r="X252" s="82">
        <f>IF(Z251&lt;&gt;(E252*G252*H252+L252*N252*O252+S252*U252*V252),1,0)</f>
        <v>0</v>
      </c>
      <c r="Y252" s="82">
        <f>IF(AND(X252=0,B252="N"),Y251,Y251*(E252*G252*I252+L252*N252*P252+S252*U252*W252)/Z251)</f>
        <v>227631459581726.81</v>
      </c>
      <c r="Z252" s="81">
        <f t="shared" si="47"/>
        <v>256682316904484.59</v>
      </c>
      <c r="AA252" s="80">
        <f t="shared" si="36"/>
        <v>1127.6223303059198</v>
      </c>
      <c r="AB252" s="52">
        <f t="shared" si="43"/>
        <v>-2.149646067549987E-2</v>
      </c>
      <c r="AC252" s="48">
        <f>(F252-E252)/E252</f>
        <v>3.937007874015748E-2</v>
      </c>
      <c r="AD252" s="48">
        <f>(M252-L252)/L252</f>
        <v>2.34192037470726E-3</v>
      </c>
      <c r="AE252" s="48">
        <f>(T252-S252)/S252</f>
        <v>-6.19707467282525E-2</v>
      </c>
      <c r="AF252" s="48" t="e">
        <f>(#REF!-#REF!)/#REF!</f>
        <v>#REF!</v>
      </c>
    </row>
    <row r="253" spans="1:32" x14ac:dyDescent="0.3">
      <c r="A253" s="48">
        <v>20190110</v>
      </c>
      <c r="B253" s="48" t="s">
        <v>88</v>
      </c>
      <c r="C253" s="79">
        <v>0.25</v>
      </c>
      <c r="D253" s="79">
        <f t="shared" si="37"/>
        <v>0.25941148827676302</v>
      </c>
      <c r="E253" s="49">
        <v>39600</v>
      </c>
      <c r="F253" s="49">
        <v>39800</v>
      </c>
      <c r="G253" s="49">
        <v>5969782550</v>
      </c>
      <c r="H253" s="49">
        <f t="shared" si="38"/>
        <v>0.284591610106607</v>
      </c>
      <c r="I253" s="49">
        <f t="shared" si="44"/>
        <v>0.284591610106607</v>
      </c>
      <c r="J253" s="48">
        <v>0.25</v>
      </c>
      <c r="K253" s="48">
        <f t="shared" si="39"/>
        <v>0.24543979731254811</v>
      </c>
      <c r="L253" s="48">
        <v>214000</v>
      </c>
      <c r="M253" s="48">
        <v>216500</v>
      </c>
      <c r="N253" s="51">
        <v>125456133</v>
      </c>
      <c r="O253" s="48">
        <f t="shared" si="40"/>
        <v>2.35542704712624</v>
      </c>
      <c r="P253" s="48">
        <f t="shared" si="45"/>
        <v>2.35542704712624</v>
      </c>
      <c r="Q253" s="49">
        <v>0.5</v>
      </c>
      <c r="R253" s="49">
        <f t="shared" si="41"/>
        <v>0.49514871441068881</v>
      </c>
      <c r="S253" s="49">
        <v>243700</v>
      </c>
      <c r="T253" s="49">
        <v>249300</v>
      </c>
      <c r="U253" s="49">
        <v>15956260</v>
      </c>
      <c r="V253" s="49">
        <f t="shared" si="42"/>
        <v>32.445669845696102</v>
      </c>
      <c r="W253" s="49">
        <f t="shared" si="46"/>
        <v>32.445669845696102</v>
      </c>
      <c r="X253" s="82">
        <f>IF(Z252&lt;&gt;(E253*G253*H253+L253*N253*O253+S253*U253*V253),1,0)</f>
        <v>0</v>
      </c>
      <c r="Y253" s="82">
        <f>IF(AND(X253=0,B253="N"),Y252,Y252*(E253*G253*I253+L253*N253*P253+S253*U253*W253)/Z252)</f>
        <v>227631459581726.81</v>
      </c>
      <c r="Z253" s="81">
        <f t="shared" si="47"/>
        <v>260660048478322.62</v>
      </c>
      <c r="AA253" s="80">
        <f t="shared" si="36"/>
        <v>1145.0967671923991</v>
      </c>
      <c r="AB253" s="52">
        <f t="shared" si="43"/>
        <v>1.5496710571294267E-2</v>
      </c>
      <c r="AC253" s="48">
        <f>(F253-E253)/E253</f>
        <v>5.0505050505050509E-3</v>
      </c>
      <c r="AD253" s="48">
        <f>(M253-L253)/L253</f>
        <v>1.1682242990654205E-2</v>
      </c>
      <c r="AE253" s="48">
        <f>(T253-S253)/S253</f>
        <v>2.2979072630283134E-2</v>
      </c>
      <c r="AF253" s="48" t="e">
        <f>(#REF!-#REF!)/#REF!</f>
        <v>#REF!</v>
      </c>
    </row>
    <row r="254" spans="1:32" x14ac:dyDescent="0.3">
      <c r="A254" s="48">
        <v>20190111</v>
      </c>
      <c r="B254" s="48" t="s">
        <v>88</v>
      </c>
      <c r="C254" s="79">
        <v>0.25</v>
      </c>
      <c r="D254" s="79">
        <f t="shared" si="37"/>
        <v>0.26308718236516476</v>
      </c>
      <c r="E254" s="49">
        <v>39800</v>
      </c>
      <c r="F254" s="49">
        <v>40500</v>
      </c>
      <c r="G254" s="49">
        <v>5969782550</v>
      </c>
      <c r="H254" s="49">
        <f t="shared" si="38"/>
        <v>0.284591610106607</v>
      </c>
      <c r="I254" s="49">
        <f t="shared" si="44"/>
        <v>0.284591610106607</v>
      </c>
      <c r="J254" s="48">
        <v>0.25</v>
      </c>
      <c r="K254" s="48">
        <f t="shared" si="39"/>
        <v>0.24461524336863899</v>
      </c>
      <c r="L254" s="48">
        <v>216500</v>
      </c>
      <c r="M254" s="48">
        <v>216500</v>
      </c>
      <c r="N254" s="51">
        <v>125456133</v>
      </c>
      <c r="O254" s="48">
        <f t="shared" si="40"/>
        <v>2.35542704712624</v>
      </c>
      <c r="P254" s="48">
        <f t="shared" si="45"/>
        <v>2.35542704712624</v>
      </c>
      <c r="Q254" s="49">
        <v>0.5</v>
      </c>
      <c r="R254" s="49">
        <f t="shared" si="41"/>
        <v>0.49229757426619625</v>
      </c>
      <c r="S254" s="49">
        <v>249300</v>
      </c>
      <c r="T254" s="49">
        <v>248700</v>
      </c>
      <c r="U254" s="49">
        <v>15956260</v>
      </c>
      <c r="V254" s="49">
        <f t="shared" si="42"/>
        <v>32.445669845696102</v>
      </c>
      <c r="W254" s="49">
        <f t="shared" si="46"/>
        <v>32.445669845696102</v>
      </c>
      <c r="X254" s="82">
        <f>IF(Z253&lt;&gt;(E254*G254*H254+L254*N254*O254+S254*U254*V254),1,0)</f>
        <v>0</v>
      </c>
      <c r="Y254" s="82">
        <f>IF(AND(X254=0,B254="N"),Y253,Y253*(E254*G254*I254+L254*N254*P254+S254*U254*W254)/Z253)</f>
        <v>227631459581726.81</v>
      </c>
      <c r="Z254" s="81">
        <f t="shared" si="47"/>
        <v>261538686571486.94</v>
      </c>
      <c r="AA254" s="80">
        <f t="shared" si="36"/>
        <v>1148.9566822268976</v>
      </c>
      <c r="AB254" s="52">
        <f t="shared" si="43"/>
        <v>3.3708199560832019E-3</v>
      </c>
      <c r="AC254" s="48">
        <f>(F254-E254)/E254</f>
        <v>1.7587939698492462E-2</v>
      </c>
      <c r="AD254" s="48">
        <f>(M254-L254)/L254</f>
        <v>0</v>
      </c>
      <c r="AE254" s="48">
        <f>(T254-S254)/S254</f>
        <v>-2.4067388688327317E-3</v>
      </c>
      <c r="AF254" s="48" t="e">
        <f>(#REF!-#REF!)/#REF!</f>
        <v>#REF!</v>
      </c>
    </row>
    <row r="255" spans="1:32" x14ac:dyDescent="0.3">
      <c r="A255" s="48">
        <v>20190114</v>
      </c>
      <c r="B255" s="48" t="s">
        <v>88</v>
      </c>
      <c r="C255" s="79">
        <v>0.25</v>
      </c>
      <c r="D255" s="79">
        <f t="shared" si="37"/>
        <v>0.26515876176812392</v>
      </c>
      <c r="E255" s="49">
        <v>40500</v>
      </c>
      <c r="F255" s="49">
        <v>40050</v>
      </c>
      <c r="G255" s="49">
        <v>5969782550</v>
      </c>
      <c r="H255" s="49">
        <f t="shared" si="38"/>
        <v>0.284591610106607</v>
      </c>
      <c r="I255" s="49">
        <f t="shared" si="44"/>
        <v>0.284591610106607</v>
      </c>
      <c r="J255" s="48">
        <v>0.25</v>
      </c>
      <c r="K255" s="48">
        <f t="shared" si="39"/>
        <v>0.24297795182650522</v>
      </c>
      <c r="L255" s="48">
        <v>216500</v>
      </c>
      <c r="M255" s="48">
        <v>211000</v>
      </c>
      <c r="N255" s="51">
        <v>125456133</v>
      </c>
      <c r="O255" s="48">
        <f t="shared" si="40"/>
        <v>2.35542704712624</v>
      </c>
      <c r="P255" s="48">
        <f t="shared" si="45"/>
        <v>2.35542704712624</v>
      </c>
      <c r="Q255" s="49">
        <v>0.5</v>
      </c>
      <c r="R255" s="49">
        <f t="shared" si="41"/>
        <v>0.4918632864053708</v>
      </c>
      <c r="S255" s="49">
        <v>248700</v>
      </c>
      <c r="T255" s="49">
        <v>243800</v>
      </c>
      <c r="U255" s="49">
        <v>15956260</v>
      </c>
      <c r="V255" s="49">
        <f t="shared" si="42"/>
        <v>32.445669845696102</v>
      </c>
      <c r="W255" s="49">
        <f t="shared" si="46"/>
        <v>32.445669845696102</v>
      </c>
      <c r="X255" s="82">
        <f>IF(Z254&lt;&gt;(E255*G255*H255+L255*N255*O255+S255*U255*V255),1,0)</f>
        <v>0</v>
      </c>
      <c r="Y255" s="82">
        <f>IF(AND(X255=0,B255="N"),Y254,Y254*(E255*G255*I255+L255*N255*P255+S255*U255*W255)/Z254)</f>
        <v>227631459581726.81</v>
      </c>
      <c r="Z255" s="81">
        <f t="shared" si="47"/>
        <v>256612107264740.47</v>
      </c>
      <c r="AA255" s="80">
        <f t="shared" si="36"/>
        <v>1127.3138947325895</v>
      </c>
      <c r="AB255" s="52">
        <f t="shared" si="43"/>
        <v>-1.8836904671079711E-2</v>
      </c>
      <c r="AC255" s="48">
        <f>(F255-E255)/E255</f>
        <v>-1.1111111111111112E-2</v>
      </c>
      <c r="AD255" s="48">
        <f>(M255-L255)/L255</f>
        <v>-2.5404157043879907E-2</v>
      </c>
      <c r="AE255" s="48">
        <f>(T255-S255)/S255</f>
        <v>-1.9702452754322478E-2</v>
      </c>
      <c r="AF255" s="48" t="e">
        <f>(#REF!-#REF!)/#REF!</f>
        <v>#REF!</v>
      </c>
    </row>
    <row r="256" spans="1:32" x14ac:dyDescent="0.3">
      <c r="A256" s="48">
        <v>20190115</v>
      </c>
      <c r="B256" s="48" t="s">
        <v>88</v>
      </c>
      <c r="C256" s="79">
        <v>0.25</v>
      </c>
      <c r="D256" s="79">
        <f t="shared" si="37"/>
        <v>0.26952867593294505</v>
      </c>
      <c r="E256" s="49">
        <v>40050</v>
      </c>
      <c r="F256" s="49">
        <v>41100</v>
      </c>
      <c r="G256" s="49">
        <v>5969782550</v>
      </c>
      <c r="H256" s="49">
        <f t="shared" si="38"/>
        <v>0.284591610106607</v>
      </c>
      <c r="I256" s="49">
        <f t="shared" si="44"/>
        <v>0.284591610106607</v>
      </c>
      <c r="J256" s="48">
        <v>0.25</v>
      </c>
      <c r="K256" s="48">
        <f t="shared" si="39"/>
        <v>0.23668035210481736</v>
      </c>
      <c r="L256" s="48">
        <v>211000</v>
      </c>
      <c r="M256" s="48">
        <v>207500</v>
      </c>
      <c r="N256" s="51">
        <v>125456133</v>
      </c>
      <c r="O256" s="48">
        <f t="shared" si="40"/>
        <v>2.35542704712624</v>
      </c>
      <c r="P256" s="48">
        <f t="shared" si="45"/>
        <v>2.35542704712624</v>
      </c>
      <c r="Q256" s="49">
        <v>0.5</v>
      </c>
      <c r="R256" s="49">
        <f t="shared" si="41"/>
        <v>0.49379097196223759</v>
      </c>
      <c r="S256" s="49">
        <v>243800</v>
      </c>
      <c r="T256" s="49">
        <v>247100</v>
      </c>
      <c r="U256" s="49">
        <v>15956260</v>
      </c>
      <c r="V256" s="49">
        <f t="shared" si="42"/>
        <v>32.445669845696102</v>
      </c>
      <c r="W256" s="49">
        <f t="shared" si="46"/>
        <v>32.445669845696102</v>
      </c>
      <c r="X256" s="82">
        <f>IF(Z255&lt;&gt;(E256*G256*H256+L256*N256*O256+S256*U256*V256),1,0)</f>
        <v>0</v>
      </c>
      <c r="Y256" s="82">
        <f>IF(AND(X256=0,B256="N"),Y255,Y255*(E256*G256*I256+L256*N256*P256+S256*U256*W256)/Z255)</f>
        <v>227631459581726.81</v>
      </c>
      <c r="Z256" s="81">
        <f t="shared" si="47"/>
        <v>259070193197865.5</v>
      </c>
      <c r="AA256" s="80">
        <f t="shared" si="36"/>
        <v>1138.1124281938332</v>
      </c>
      <c r="AB256" s="52">
        <f t="shared" si="43"/>
        <v>9.5789943792055389E-3</v>
      </c>
      <c r="AC256" s="48">
        <f>(F256-E256)/E256</f>
        <v>2.6217228464419477E-2</v>
      </c>
      <c r="AD256" s="48">
        <f>(M256-L256)/L256</f>
        <v>-1.6587677725118485E-2</v>
      </c>
      <c r="AE256" s="48">
        <f>(T256-S256)/S256</f>
        <v>1.3535684987694831E-2</v>
      </c>
      <c r="AF256" s="48" t="e">
        <f>(#REF!-#REF!)/#REF!</f>
        <v>#REF!</v>
      </c>
    </row>
    <row r="257" spans="1:32" x14ac:dyDescent="0.3">
      <c r="A257" s="48">
        <v>20190116</v>
      </c>
      <c r="B257" s="48" t="s">
        <v>88</v>
      </c>
      <c r="C257" s="79">
        <v>0.25</v>
      </c>
      <c r="D257" s="79">
        <f t="shared" si="37"/>
        <v>0.27176459926690683</v>
      </c>
      <c r="E257" s="49">
        <v>41100</v>
      </c>
      <c r="F257" s="49">
        <v>41450</v>
      </c>
      <c r="G257" s="49">
        <v>5969782550</v>
      </c>
      <c r="H257" s="49">
        <f t="shared" si="38"/>
        <v>0.284591610106607</v>
      </c>
      <c r="I257" s="49">
        <f t="shared" si="44"/>
        <v>0.284591610106607</v>
      </c>
      <c r="J257" s="48">
        <v>0.25</v>
      </c>
      <c r="K257" s="48">
        <f t="shared" si="39"/>
        <v>0.23035660436254474</v>
      </c>
      <c r="L257" s="48">
        <v>207500</v>
      </c>
      <c r="M257" s="48">
        <v>202000</v>
      </c>
      <c r="N257" s="51">
        <v>125456133</v>
      </c>
      <c r="O257" s="48">
        <f t="shared" si="40"/>
        <v>2.35542704712624</v>
      </c>
      <c r="P257" s="48">
        <f t="shared" si="45"/>
        <v>2.35542704712624</v>
      </c>
      <c r="Q257" s="49">
        <v>0.5</v>
      </c>
      <c r="R257" s="49">
        <f t="shared" si="41"/>
        <v>0.49787879637054844</v>
      </c>
      <c r="S257" s="49">
        <v>247100</v>
      </c>
      <c r="T257" s="49">
        <v>249200</v>
      </c>
      <c r="U257" s="49">
        <v>15956260</v>
      </c>
      <c r="V257" s="49">
        <f t="shared" si="42"/>
        <v>32.445669845696102</v>
      </c>
      <c r="W257" s="49">
        <f t="shared" si="46"/>
        <v>32.445669845696102</v>
      </c>
      <c r="X257" s="82">
        <f>IF(Z256&lt;&gt;(E257*G257*H257+L257*N257*O257+S257*U257*V257),1,0)</f>
        <v>0</v>
      </c>
      <c r="Y257" s="82">
        <f>IF(AND(X257=0,B257="N"),Y256,Y256*(E257*G257*I257+L257*N257*P257+S257*U257*W257)/Z256)</f>
        <v>227631459581726.81</v>
      </c>
      <c r="Z257" s="81">
        <f t="shared" si="47"/>
        <v>259126754720956.28</v>
      </c>
      <c r="AA257" s="80">
        <f t="shared" si="36"/>
        <v>1138.3609066914657</v>
      </c>
      <c r="AB257" s="52">
        <f t="shared" si="43"/>
        <v>2.1832508939985485E-4</v>
      </c>
      <c r="AC257" s="48">
        <f>(F257-E257)/E257</f>
        <v>8.5158150851581509E-3</v>
      </c>
      <c r="AD257" s="48">
        <f>(M257-L257)/L257</f>
        <v>-2.6506024096385541E-2</v>
      </c>
      <c r="AE257" s="48">
        <f>(T257-S257)/S257</f>
        <v>8.4985835694051E-3</v>
      </c>
      <c r="AF257" s="48" t="e">
        <f>(#REF!-#REF!)/#REF!</f>
        <v>#REF!</v>
      </c>
    </row>
    <row r="258" spans="1:32" x14ac:dyDescent="0.3">
      <c r="A258" s="48">
        <v>20190117</v>
      </c>
      <c r="B258" s="48" t="s">
        <v>88</v>
      </c>
      <c r="C258" s="79">
        <v>0.25</v>
      </c>
      <c r="D258" s="79">
        <f t="shared" si="37"/>
        <v>0.27295379200387282</v>
      </c>
      <c r="E258" s="49">
        <v>41450</v>
      </c>
      <c r="F258" s="49">
        <v>41950</v>
      </c>
      <c r="G258" s="49">
        <v>5969782550</v>
      </c>
      <c r="H258" s="49">
        <f t="shared" si="38"/>
        <v>0.284591610106607</v>
      </c>
      <c r="I258" s="49">
        <f t="shared" si="44"/>
        <v>0.284591610106607</v>
      </c>
      <c r="J258" s="48">
        <v>0.25</v>
      </c>
      <c r="K258" s="48">
        <f t="shared" si="39"/>
        <v>0.22125081461156249</v>
      </c>
      <c r="L258" s="48">
        <v>202000</v>
      </c>
      <c r="M258" s="48">
        <v>195500</v>
      </c>
      <c r="N258" s="51">
        <v>125456133</v>
      </c>
      <c r="O258" s="48">
        <f t="shared" si="40"/>
        <v>2.35542704712624</v>
      </c>
      <c r="P258" s="48">
        <f t="shared" si="45"/>
        <v>2.35542704712624</v>
      </c>
      <c r="Q258" s="49">
        <v>0.5</v>
      </c>
      <c r="R258" s="49">
        <f t="shared" si="41"/>
        <v>0.5057953933845647</v>
      </c>
      <c r="S258" s="49">
        <v>249200</v>
      </c>
      <c r="T258" s="49">
        <v>255100</v>
      </c>
      <c r="U258" s="49">
        <v>15956260</v>
      </c>
      <c r="V258" s="49">
        <f t="shared" si="42"/>
        <v>32.445669845696102</v>
      </c>
      <c r="W258" s="49">
        <f t="shared" si="46"/>
        <v>32.445669845696102</v>
      </c>
      <c r="X258" s="82">
        <f>IF(Z257&lt;&gt;(E258*G258*H258+L258*N258*O258+S258*U258*V258),1,0)</f>
        <v>0</v>
      </c>
      <c r="Y258" s="82">
        <f>IF(AND(X258=0,B258="N"),Y257,Y257*(E258*G258*I258+L258*N258*P258+S258*U258*W258)/Z257)</f>
        <v>227631459581726.81</v>
      </c>
      <c r="Z258" s="81">
        <f t="shared" si="47"/>
        <v>261109959846276.56</v>
      </c>
      <c r="AA258" s="80">
        <f t="shared" si="36"/>
        <v>1147.0732574753356</v>
      </c>
      <c r="AB258" s="52">
        <f t="shared" si="43"/>
        <v>7.6534170601408333E-3</v>
      </c>
      <c r="AC258" s="48">
        <f>(F258-E258)/E258</f>
        <v>1.2062726176115802E-2</v>
      </c>
      <c r="AD258" s="48">
        <f>(M258-L258)/L258</f>
        <v>-3.2178217821782179E-2</v>
      </c>
      <c r="AE258" s="48">
        <f>(T258-S258)/S258</f>
        <v>2.3675762439807384E-2</v>
      </c>
      <c r="AF258" s="48" t="e">
        <f>(#REF!-#REF!)/#REF!</f>
        <v>#REF!</v>
      </c>
    </row>
    <row r="259" spans="1:32" x14ac:dyDescent="0.3">
      <c r="A259" s="48">
        <v>20190118</v>
      </c>
      <c r="B259" s="48" t="s">
        <v>88</v>
      </c>
      <c r="C259" s="79">
        <v>0.25</v>
      </c>
      <c r="D259" s="79">
        <f t="shared" si="37"/>
        <v>0.26978155677539223</v>
      </c>
      <c r="E259" s="49">
        <v>41950</v>
      </c>
      <c r="F259" s="49">
        <v>42300</v>
      </c>
      <c r="G259" s="49">
        <v>5969782550</v>
      </c>
      <c r="H259" s="49">
        <f t="shared" si="38"/>
        <v>0.284591610106607</v>
      </c>
      <c r="I259" s="49">
        <f t="shared" si="44"/>
        <v>0.284591610106607</v>
      </c>
      <c r="J259" s="48">
        <v>0.25</v>
      </c>
      <c r="K259" s="48">
        <f t="shared" si="39"/>
        <v>0.22297126418452895</v>
      </c>
      <c r="L259" s="48">
        <v>195500</v>
      </c>
      <c r="M259" s="48">
        <v>201000</v>
      </c>
      <c r="N259" s="51">
        <v>125456133</v>
      </c>
      <c r="O259" s="48">
        <f t="shared" si="40"/>
        <v>2.35542704712624</v>
      </c>
      <c r="P259" s="48">
        <f t="shared" si="45"/>
        <v>2.35542704712624</v>
      </c>
      <c r="Q259" s="49">
        <v>0.5</v>
      </c>
      <c r="R259" s="49">
        <f t="shared" si="41"/>
        <v>0.50724717904007877</v>
      </c>
      <c r="S259" s="49">
        <v>255100</v>
      </c>
      <c r="T259" s="49">
        <v>261000</v>
      </c>
      <c r="U259" s="49">
        <v>15956260</v>
      </c>
      <c r="V259" s="49">
        <f t="shared" si="42"/>
        <v>32.445669845696102</v>
      </c>
      <c r="W259" s="49">
        <f t="shared" si="46"/>
        <v>32.445669845696102</v>
      </c>
      <c r="X259" s="82">
        <f>IF(Z258&lt;&gt;(E259*G259*H259+L259*N259*O259+S259*U259*V259),1,0)</f>
        <v>0</v>
      </c>
      <c r="Y259" s="82">
        <f>IF(AND(X259=0,B259="N"),Y258,Y258*(E259*G259*I259+L259*N259*P259+S259*U259*W259)/Z258)</f>
        <v>227631459581726.81</v>
      </c>
      <c r="Z259" s="81">
        <f t="shared" si="47"/>
        <v>266384355694166.06</v>
      </c>
      <c r="AA259" s="80">
        <f t="shared" ref="AA259:AA322" si="48">Z259/Y259*1000</f>
        <v>1170.2440259516316</v>
      </c>
      <c r="AB259" s="52">
        <f t="shared" si="43"/>
        <v>2.0199902948913599E-2</v>
      </c>
      <c r="AC259" s="48">
        <f>(F259-E259)/E259</f>
        <v>8.3432657926102508E-3</v>
      </c>
      <c r="AD259" s="48">
        <f>(M259-L259)/L259</f>
        <v>2.8132992327365727E-2</v>
      </c>
      <c r="AE259" s="48">
        <f>(T259-S259)/S259</f>
        <v>2.3128185025480204E-2</v>
      </c>
      <c r="AF259" s="48" t="e">
        <f>(#REF!-#REF!)/#REF!</f>
        <v>#REF!</v>
      </c>
    </row>
    <row r="260" spans="1:32" x14ac:dyDescent="0.3">
      <c r="A260" s="48">
        <v>20190121</v>
      </c>
      <c r="B260" s="48" t="s">
        <v>88</v>
      </c>
      <c r="C260" s="79">
        <v>0.25</v>
      </c>
      <c r="D260" s="79">
        <f t="shared" ref="D260:D323" si="49">F260*G260*I260/Z260</f>
        <v>0.27491461987082361</v>
      </c>
      <c r="E260" s="49">
        <v>42300</v>
      </c>
      <c r="F260" s="49">
        <v>42750</v>
      </c>
      <c r="G260" s="49">
        <v>5969782550</v>
      </c>
      <c r="H260" s="49">
        <f t="shared" ref="H260:H323" si="50">I259</f>
        <v>0.284591610106607</v>
      </c>
      <c r="I260" s="49">
        <f t="shared" si="44"/>
        <v>0.284591610106607</v>
      </c>
      <c r="J260" s="48">
        <v>0.25</v>
      </c>
      <c r="K260" s="48">
        <f t="shared" ref="K260:K323" si="51">M260*N260*P260/Z260</f>
        <v>0.22146640554277364</v>
      </c>
      <c r="L260" s="48">
        <v>201000</v>
      </c>
      <c r="M260" s="48">
        <v>198000</v>
      </c>
      <c r="N260" s="51">
        <v>125456133</v>
      </c>
      <c r="O260" s="48">
        <f t="shared" ref="O260:O323" si="52">P259</f>
        <v>2.35542704712624</v>
      </c>
      <c r="P260" s="48">
        <f t="shared" si="45"/>
        <v>2.35542704712624</v>
      </c>
      <c r="Q260" s="49">
        <v>0.5</v>
      </c>
      <c r="R260" s="49">
        <f t="shared" ref="R260:R323" si="53">T260*U260*W260/Z260</f>
        <v>0.50361897458640281</v>
      </c>
      <c r="S260" s="49">
        <v>261000</v>
      </c>
      <c r="T260" s="49">
        <v>257000</v>
      </c>
      <c r="U260" s="49">
        <v>15956260</v>
      </c>
      <c r="V260" s="49">
        <f t="shared" ref="V260:V323" si="54">W259</f>
        <v>32.445669845696102</v>
      </c>
      <c r="W260" s="49">
        <f t="shared" si="46"/>
        <v>32.445669845696102</v>
      </c>
      <c r="X260" s="82">
        <f>IF(Z259&lt;&gt;(E260*G260*H260+L260*N260*O260+S260*U260*V260),1,0)</f>
        <v>0</v>
      </c>
      <c r="Y260" s="82">
        <f>IF(AND(X260=0,B260="N"),Y259,Y259*(E260*G260*I260+L260*N260*P260+S260*U260*W260)/Z259)</f>
        <v>227631459581726.81</v>
      </c>
      <c r="Z260" s="81">
        <f t="shared" si="47"/>
        <v>264191528724300.37</v>
      </c>
      <c r="AA260" s="80">
        <f t="shared" si="48"/>
        <v>1160.6107925932238</v>
      </c>
      <c r="AB260" s="52">
        <f t="shared" ref="AB260:AB323" si="55">(AA260-AA259)/AA259</f>
        <v>-8.2318158817979211E-3</v>
      </c>
      <c r="AC260" s="48">
        <f>(F260-E260)/E260</f>
        <v>1.0638297872340425E-2</v>
      </c>
      <c r="AD260" s="48">
        <f>(M260-L260)/L260</f>
        <v>-1.4925373134328358E-2</v>
      </c>
      <c r="AE260" s="48">
        <f>(T260-S260)/S260</f>
        <v>-1.532567049808429E-2</v>
      </c>
      <c r="AF260" s="48" t="e">
        <f>(#REF!-#REF!)/#REF!</f>
        <v>#REF!</v>
      </c>
    </row>
    <row r="261" spans="1:32" x14ac:dyDescent="0.3">
      <c r="A261" s="48">
        <v>20190122</v>
      </c>
      <c r="B261" s="48" t="s">
        <v>88</v>
      </c>
      <c r="C261" s="79">
        <v>0.25</v>
      </c>
      <c r="D261" s="79">
        <f t="shared" si="49"/>
        <v>0.27144309918272291</v>
      </c>
      <c r="E261" s="49">
        <v>42750</v>
      </c>
      <c r="F261" s="49">
        <v>42150</v>
      </c>
      <c r="G261" s="49">
        <v>5969782550</v>
      </c>
      <c r="H261" s="49">
        <f t="shared" si="50"/>
        <v>0.284591610106607</v>
      </c>
      <c r="I261" s="49">
        <f t="shared" ref="I261:I324" si="56">IF(B261="Y",ROUND(C261*(E261*G261+L261*N261+S261*U261)/(E261*G261),17),IF(X261=0,H261,ROUND(F260*G260*I260/Z260*(E261*G261+L261*N261+S261*U261)/(E261*G261),17)))</f>
        <v>0.284591610106607</v>
      </c>
      <c r="J261" s="48">
        <v>0.25</v>
      </c>
      <c r="K261" s="48">
        <f t="shared" si="51"/>
        <v>0.22402277448644062</v>
      </c>
      <c r="L261" s="48">
        <v>198000</v>
      </c>
      <c r="M261" s="48">
        <v>200000</v>
      </c>
      <c r="N261" s="51">
        <v>125456133</v>
      </c>
      <c r="O261" s="48">
        <f t="shared" si="52"/>
        <v>2.35542704712624</v>
      </c>
      <c r="P261" s="48">
        <f t="shared" ref="P261:P324" si="57">IF(B261="Y",ROUND(J261*(E261*G261+L261*N261+S261*U261)/(L261*N261),17),IF(X261=0,O261,ROUND(M260*N260*P260/Z260*(E261*G261+L261*N261+S261*U261)/(L261*N261),17)))</f>
        <v>2.35542704712624</v>
      </c>
      <c r="Q261" s="49">
        <v>0.5</v>
      </c>
      <c r="R261" s="49">
        <f t="shared" si="53"/>
        <v>0.50453412633083639</v>
      </c>
      <c r="S261" s="49">
        <v>257000</v>
      </c>
      <c r="T261" s="49">
        <v>257100</v>
      </c>
      <c r="U261" s="49">
        <v>15956260</v>
      </c>
      <c r="V261" s="49">
        <f t="shared" si="54"/>
        <v>32.445669845696102</v>
      </c>
      <c r="W261" s="49">
        <f t="shared" ref="W261:W324" si="58">IF(B261="Y",ROUND(Q261*(E261*G261+L261*N261+S261*U261)/(S261*U261),17),IF(X261=0,V261,ROUND(T260*U260*W260/Z260*(E261*G261+L261*N261+S261*U261)/(S261*U261),17)))</f>
        <v>32.445669845696102</v>
      </c>
      <c r="X261" s="82">
        <f>IF(Z260&lt;&gt;(E261*G261*H261+L261*N261*O261+S261*U261*V261),1,0)</f>
        <v>0</v>
      </c>
      <c r="Y261" s="82">
        <f>IF(AND(X261=0,B261="N"),Y260,Y260*(E261*G261*I261+L261*N261*P261+S261*U261*W261)/Z260)</f>
        <v>227631459581726.81</v>
      </c>
      <c r="Z261" s="81">
        <f t="shared" ref="Z261:Z324" si="59">F261*G261*I261+M261*N261*P261+T261*U261*W261</f>
        <v>263814935399751.22</v>
      </c>
      <c r="AA261" s="80">
        <f t="shared" si="48"/>
        <v>1158.9563933057038</v>
      </c>
      <c r="AB261" s="52">
        <f t="shared" si="55"/>
        <v>-1.4254557152819601E-3</v>
      </c>
      <c r="AC261" s="48">
        <f>(F261-E261)/E261</f>
        <v>-1.4035087719298246E-2</v>
      </c>
      <c r="AD261" s="48">
        <f>(M261-L261)/L261</f>
        <v>1.0101010101010102E-2</v>
      </c>
      <c r="AE261" s="48">
        <f>(T261-S261)/S261</f>
        <v>3.8910505836575878E-4</v>
      </c>
      <c r="AF261" s="48" t="e">
        <f>(#REF!-#REF!)/#REF!</f>
        <v>#REF!</v>
      </c>
    </row>
    <row r="262" spans="1:32" x14ac:dyDescent="0.3">
      <c r="A262" s="48">
        <v>20190123</v>
      </c>
      <c r="B262" s="48" t="s">
        <v>88</v>
      </c>
      <c r="C262" s="79">
        <v>0.25</v>
      </c>
      <c r="D262" s="79">
        <f t="shared" si="49"/>
        <v>0.27353260316516298</v>
      </c>
      <c r="E262" s="49">
        <v>42150</v>
      </c>
      <c r="F262" s="49">
        <v>42000</v>
      </c>
      <c r="G262" s="49">
        <v>5969782550</v>
      </c>
      <c r="H262" s="49">
        <f t="shared" si="50"/>
        <v>0.284591610106607</v>
      </c>
      <c r="I262" s="49">
        <f t="shared" si="56"/>
        <v>0.284591610106607</v>
      </c>
      <c r="J262" s="48">
        <v>0.25</v>
      </c>
      <c r="K262" s="48">
        <f t="shared" si="51"/>
        <v>0.22655348833583286</v>
      </c>
      <c r="L262" s="48">
        <v>200000</v>
      </c>
      <c r="M262" s="48">
        <v>200000</v>
      </c>
      <c r="N262" s="51">
        <v>125456133</v>
      </c>
      <c r="O262" s="48">
        <f t="shared" si="52"/>
        <v>2.35542704712624</v>
      </c>
      <c r="P262" s="48">
        <f t="shared" si="57"/>
        <v>2.35542704712624</v>
      </c>
      <c r="Q262" s="49">
        <v>0.5</v>
      </c>
      <c r="R262" s="49">
        <f t="shared" si="53"/>
        <v>0.49991390849900424</v>
      </c>
      <c r="S262" s="49">
        <v>257100</v>
      </c>
      <c r="T262" s="49">
        <v>251900</v>
      </c>
      <c r="U262" s="49">
        <v>15956260</v>
      </c>
      <c r="V262" s="49">
        <f t="shared" si="54"/>
        <v>32.445669845696102</v>
      </c>
      <c r="W262" s="49">
        <f t="shared" si="58"/>
        <v>32.445669845696102</v>
      </c>
      <c r="X262" s="82">
        <f>IF(Z261&lt;&gt;(E262*G262*H262+L262*N262*O262+S262*U262*V262),1,0)</f>
        <v>0</v>
      </c>
      <c r="Y262" s="82">
        <f>IF(AND(X262=0,B262="N"),Y261,Y261*(E262*G262*I262+L262*N262*P262+S262*U262*W262)/Z261)</f>
        <v>227631459581726.81</v>
      </c>
      <c r="Z262" s="81">
        <f t="shared" si="59"/>
        <v>260867992867120.75</v>
      </c>
      <c r="AA262" s="80">
        <f t="shared" si="48"/>
        <v>1146.0102805933157</v>
      </c>
      <c r="AB262" s="52">
        <f t="shared" si="55"/>
        <v>-1.1170491648492355E-2</v>
      </c>
      <c r="AC262" s="48">
        <f>(F262-E262)/E262</f>
        <v>-3.5587188612099642E-3</v>
      </c>
      <c r="AD262" s="48">
        <f>(M262-L262)/L262</f>
        <v>0</v>
      </c>
      <c r="AE262" s="48">
        <f>(T262-S262)/S262</f>
        <v>-2.0225593154414623E-2</v>
      </c>
      <c r="AF262" s="48" t="e">
        <f>(#REF!-#REF!)/#REF!</f>
        <v>#REF!</v>
      </c>
    </row>
    <row r="263" spans="1:32" x14ac:dyDescent="0.3">
      <c r="A263" s="48">
        <v>20190124</v>
      </c>
      <c r="B263" s="48" t="s">
        <v>88</v>
      </c>
      <c r="C263" s="79">
        <v>0.25</v>
      </c>
      <c r="D263" s="79">
        <f t="shared" si="49"/>
        <v>0.27079839304765679</v>
      </c>
      <c r="E263" s="49">
        <v>42000</v>
      </c>
      <c r="F263" s="49">
        <v>43050</v>
      </c>
      <c r="G263" s="49">
        <v>5969782550</v>
      </c>
      <c r="H263" s="49">
        <f t="shared" si="50"/>
        <v>0.284591610106607</v>
      </c>
      <c r="I263" s="49">
        <f t="shared" si="56"/>
        <v>0.284591610106607</v>
      </c>
      <c r="J263" s="48">
        <v>0.25</v>
      </c>
      <c r="K263" s="48">
        <f t="shared" si="51"/>
        <v>0.22757115396796665</v>
      </c>
      <c r="L263" s="48">
        <v>200000</v>
      </c>
      <c r="M263" s="48">
        <v>208000</v>
      </c>
      <c r="N263" s="51">
        <v>125456133</v>
      </c>
      <c r="O263" s="48">
        <f t="shared" si="52"/>
        <v>2.35542704712624</v>
      </c>
      <c r="P263" s="48">
        <f t="shared" si="57"/>
        <v>2.35542704712624</v>
      </c>
      <c r="Q263" s="49">
        <v>0.5</v>
      </c>
      <c r="R263" s="49">
        <f t="shared" si="53"/>
        <v>0.50163045298437647</v>
      </c>
      <c r="S263" s="49">
        <v>251900</v>
      </c>
      <c r="T263" s="49">
        <v>261700</v>
      </c>
      <c r="U263" s="49">
        <v>15956260</v>
      </c>
      <c r="V263" s="49">
        <f t="shared" si="54"/>
        <v>32.445669845696102</v>
      </c>
      <c r="W263" s="49">
        <f t="shared" si="58"/>
        <v>32.445669845696102</v>
      </c>
      <c r="X263" s="82">
        <f>IF(Z262&lt;&gt;(E263*G263*H263+L263*N263*O263+S263*U263*V263),1,0)</f>
        <v>0</v>
      </c>
      <c r="Y263" s="82">
        <f>IF(AND(X263=0,B263="N"),Y262,Y262*(E263*G263*I263+L263*N263*P263+S263*U263*W263)/Z262)</f>
        <v>227631459581726.81</v>
      </c>
      <c r="Z263" s="81">
        <f t="shared" si="59"/>
        <v>270089485678109.12</v>
      </c>
      <c r="AA263" s="80">
        <f t="shared" si="48"/>
        <v>1186.520906092677</v>
      </c>
      <c r="AB263" s="52">
        <f t="shared" si="55"/>
        <v>3.5349268837612954E-2</v>
      </c>
      <c r="AC263" s="48">
        <f>(F263-E263)/E263</f>
        <v>2.5000000000000001E-2</v>
      </c>
      <c r="AD263" s="48">
        <f>(M263-L263)/L263</f>
        <v>0.04</v>
      </c>
      <c r="AE263" s="48">
        <f>(T263-S263)/S263</f>
        <v>3.8904327113934101E-2</v>
      </c>
      <c r="AF263" s="48" t="e">
        <f>(#REF!-#REF!)/#REF!</f>
        <v>#REF!</v>
      </c>
    </row>
    <row r="264" spans="1:32" x14ac:dyDescent="0.3">
      <c r="A264" s="48">
        <v>20190125</v>
      </c>
      <c r="B264" s="48" t="s">
        <v>88</v>
      </c>
      <c r="C264" s="79">
        <v>0.25</v>
      </c>
      <c r="D264" s="79">
        <f t="shared" si="49"/>
        <v>0.27910363682273076</v>
      </c>
      <c r="E264" s="49">
        <v>43050</v>
      </c>
      <c r="F264" s="49">
        <v>44750</v>
      </c>
      <c r="G264" s="49">
        <v>5969782550</v>
      </c>
      <c r="H264" s="49">
        <f t="shared" si="50"/>
        <v>0.284591610106607</v>
      </c>
      <c r="I264" s="49">
        <f t="shared" si="56"/>
        <v>0.284591610106607</v>
      </c>
      <c r="J264" s="48">
        <v>0.25</v>
      </c>
      <c r="K264" s="48">
        <f t="shared" si="51"/>
        <v>0.22618274210942391</v>
      </c>
      <c r="L264" s="48">
        <v>208000</v>
      </c>
      <c r="M264" s="48">
        <v>208500</v>
      </c>
      <c r="N264" s="51">
        <v>125456133</v>
      </c>
      <c r="O264" s="48">
        <f t="shared" si="52"/>
        <v>2.35542704712624</v>
      </c>
      <c r="P264" s="48">
        <f t="shared" si="57"/>
        <v>2.35542704712624</v>
      </c>
      <c r="Q264" s="49">
        <v>0.5</v>
      </c>
      <c r="R264" s="49">
        <f t="shared" si="53"/>
        <v>0.49471362106784528</v>
      </c>
      <c r="S264" s="49">
        <v>261700</v>
      </c>
      <c r="T264" s="49">
        <v>260300</v>
      </c>
      <c r="U264" s="49">
        <v>15956260</v>
      </c>
      <c r="V264" s="49">
        <f t="shared" si="54"/>
        <v>32.445669845696102</v>
      </c>
      <c r="W264" s="49">
        <f t="shared" si="58"/>
        <v>32.445669845696102</v>
      </c>
      <c r="X264" s="82">
        <f>IF(Z263&lt;&gt;(E264*G264*H264+L264*N264*O264+S264*U264*V264),1,0)</f>
        <v>0</v>
      </c>
      <c r="Y264" s="82">
        <f>IF(AND(X264=0,B264="N"),Y263,Y263*(E264*G264*I264+L264*N264*P264+S264*U264*W264)/Z263)</f>
        <v>227631459581726.81</v>
      </c>
      <c r="Z264" s="81">
        <f t="shared" si="59"/>
        <v>272400655948466.62</v>
      </c>
      <c r="AA264" s="80">
        <f t="shared" si="48"/>
        <v>1196.6740293674841</v>
      </c>
      <c r="AB264" s="52">
        <f t="shared" si="55"/>
        <v>8.5570538392300485E-3</v>
      </c>
      <c r="AC264" s="48">
        <f>(F264-E264)/E264</f>
        <v>3.9488966318234613E-2</v>
      </c>
      <c r="AD264" s="48">
        <f>(M264-L264)/L264</f>
        <v>2.403846153846154E-3</v>
      </c>
      <c r="AE264" s="48">
        <f>(T264-S264)/S264</f>
        <v>-5.349636988918609E-3</v>
      </c>
      <c r="AF264" s="48" t="e">
        <f>(#REF!-#REF!)/#REF!</f>
        <v>#REF!</v>
      </c>
    </row>
    <row r="265" spans="1:32" x14ac:dyDescent="0.3">
      <c r="A265" s="48">
        <v>20190128</v>
      </c>
      <c r="B265" s="48" t="s">
        <v>88</v>
      </c>
      <c r="C265" s="79">
        <v>0.25</v>
      </c>
      <c r="D265" s="79">
        <f t="shared" si="49"/>
        <v>0.27842865042654574</v>
      </c>
      <c r="E265" s="49">
        <v>44750</v>
      </c>
      <c r="F265" s="49">
        <v>45050</v>
      </c>
      <c r="G265" s="49">
        <v>5969782550</v>
      </c>
      <c r="H265" s="49">
        <f t="shared" si="50"/>
        <v>0.284591610106607</v>
      </c>
      <c r="I265" s="49">
        <f t="shared" si="56"/>
        <v>0.284591610106607</v>
      </c>
      <c r="J265" s="48">
        <v>0.25</v>
      </c>
      <c r="K265" s="48">
        <f t="shared" si="51"/>
        <v>0.22682061936555301</v>
      </c>
      <c r="L265" s="48">
        <v>208500</v>
      </c>
      <c r="M265" s="48">
        <v>211000</v>
      </c>
      <c r="N265" s="51">
        <v>125456133</v>
      </c>
      <c r="O265" s="48">
        <f t="shared" si="52"/>
        <v>2.35542704712624</v>
      </c>
      <c r="P265" s="48">
        <f t="shared" si="57"/>
        <v>2.35542704712624</v>
      </c>
      <c r="Q265" s="49">
        <v>0.5</v>
      </c>
      <c r="R265" s="49">
        <f t="shared" si="53"/>
        <v>0.49475073020790128</v>
      </c>
      <c r="S265" s="49">
        <v>260300</v>
      </c>
      <c r="T265" s="49">
        <v>262700</v>
      </c>
      <c r="U265" s="49">
        <v>15956260</v>
      </c>
      <c r="V265" s="49">
        <f t="shared" si="54"/>
        <v>32.445669845696102</v>
      </c>
      <c r="W265" s="49">
        <f t="shared" si="58"/>
        <v>32.445669845696102</v>
      </c>
      <c r="X265" s="82">
        <f>IF(Z264&lt;&gt;(E265*G265*H265+L265*N265*O265+S265*U265*V265),1,0)</f>
        <v>0</v>
      </c>
      <c r="Y265" s="82">
        <f>IF(AND(X265=0,B265="N"),Y264,Y264*(E265*G265*I265+L265*N265*P265+S265*U265*W265)/Z264)</f>
        <v>227631459581726.81</v>
      </c>
      <c r="Z265" s="81">
        <f t="shared" si="59"/>
        <v>274891605584511.03</v>
      </c>
      <c r="AA265" s="80">
        <f t="shared" si="48"/>
        <v>1207.6169352409586</v>
      </c>
      <c r="AB265" s="52">
        <f t="shared" si="55"/>
        <v>9.1444333251374244E-3</v>
      </c>
      <c r="AC265" s="48">
        <f>(F265-E265)/E265</f>
        <v>6.7039106145251395E-3</v>
      </c>
      <c r="AD265" s="48">
        <f>(M265-L265)/L265</f>
        <v>1.1990407673860911E-2</v>
      </c>
      <c r="AE265" s="48">
        <f>(T265-S265)/S265</f>
        <v>9.2201306185170952E-3</v>
      </c>
      <c r="AF265" s="48" t="e">
        <f>(#REF!-#REF!)/#REF!</f>
        <v>#REF!</v>
      </c>
    </row>
    <row r="266" spans="1:32" x14ac:dyDescent="0.3">
      <c r="A266" s="48">
        <v>20190129</v>
      </c>
      <c r="B266" s="48" t="s">
        <v>88</v>
      </c>
      <c r="C266" s="79">
        <v>0.25</v>
      </c>
      <c r="D266" s="79">
        <f t="shared" si="49"/>
        <v>0.27683483725487285</v>
      </c>
      <c r="E266" s="49">
        <v>45050</v>
      </c>
      <c r="F266" s="49">
        <v>45500</v>
      </c>
      <c r="G266" s="49">
        <v>5969782550</v>
      </c>
      <c r="H266" s="49">
        <f t="shared" si="50"/>
        <v>0.284591610106607</v>
      </c>
      <c r="I266" s="49">
        <f t="shared" si="56"/>
        <v>0.284591610106607</v>
      </c>
      <c r="J266" s="48">
        <v>0.25</v>
      </c>
      <c r="K266" s="48">
        <f t="shared" si="51"/>
        <v>0.22276265973292803</v>
      </c>
      <c r="L266" s="48">
        <v>211000</v>
      </c>
      <c r="M266" s="48">
        <v>210500</v>
      </c>
      <c r="N266" s="51">
        <v>125456133</v>
      </c>
      <c r="O266" s="48">
        <f t="shared" si="52"/>
        <v>2.35542704712624</v>
      </c>
      <c r="P266" s="48">
        <f t="shared" si="57"/>
        <v>2.35542704712624</v>
      </c>
      <c r="Q266" s="49">
        <v>0.5</v>
      </c>
      <c r="R266" s="49">
        <f t="shared" si="53"/>
        <v>0.50040250301219913</v>
      </c>
      <c r="S266" s="49">
        <v>262700</v>
      </c>
      <c r="T266" s="49">
        <v>269900</v>
      </c>
      <c r="U266" s="49">
        <v>15956260</v>
      </c>
      <c r="V266" s="49">
        <f t="shared" si="54"/>
        <v>32.445669845696102</v>
      </c>
      <c r="W266" s="49">
        <f t="shared" si="58"/>
        <v>32.445669845696102</v>
      </c>
      <c r="X266" s="82">
        <f>IF(Z265&lt;&gt;(E266*G266*H266+L266*N266*O266+S266*U266*V266),1,0)</f>
        <v>0</v>
      </c>
      <c r="Y266" s="82">
        <f>IF(AND(X266=0,B266="N"),Y265,Y265*(E266*G266*I266+L266*N266*P266+S266*U266*W266)/Z265)</f>
        <v>227631459581726.81</v>
      </c>
      <c r="Z266" s="81">
        <f t="shared" si="59"/>
        <v>279235904828924.91</v>
      </c>
      <c r="AA266" s="80">
        <f t="shared" si="48"/>
        <v>1226.701728056488</v>
      </c>
      <c r="AB266" s="52">
        <f t="shared" si="55"/>
        <v>1.5803681000648953E-2</v>
      </c>
      <c r="AC266" s="48">
        <f>(F266-E266)/E266</f>
        <v>9.9889012208657056E-3</v>
      </c>
      <c r="AD266" s="48">
        <f>(M266-L266)/L266</f>
        <v>-2.3696682464454978E-3</v>
      </c>
      <c r="AE266" s="48">
        <f>(T266-S266)/S266</f>
        <v>2.7407689379520365E-2</v>
      </c>
      <c r="AF266" s="48" t="e">
        <f>(#REF!-#REF!)/#REF!</f>
        <v>#REF!</v>
      </c>
    </row>
    <row r="267" spans="1:32" x14ac:dyDescent="0.3">
      <c r="A267" s="48">
        <v>20190130</v>
      </c>
      <c r="B267" s="48" t="s">
        <v>88</v>
      </c>
      <c r="C267" s="79">
        <v>0.25</v>
      </c>
      <c r="D267" s="79">
        <f t="shared" si="49"/>
        <v>0.27761551695567432</v>
      </c>
      <c r="E267" s="49">
        <v>45500</v>
      </c>
      <c r="F267" s="49">
        <v>46400</v>
      </c>
      <c r="G267" s="49">
        <v>5969782550</v>
      </c>
      <c r="H267" s="49">
        <f t="shared" si="50"/>
        <v>0.284591610106607</v>
      </c>
      <c r="I267" s="49">
        <f t="shared" si="56"/>
        <v>0.284591610106607</v>
      </c>
      <c r="J267" s="48">
        <v>0.25</v>
      </c>
      <c r="K267" s="48">
        <f t="shared" si="51"/>
        <v>0.22374078930934568</v>
      </c>
      <c r="L267" s="48">
        <v>210500</v>
      </c>
      <c r="M267" s="48">
        <v>215000</v>
      </c>
      <c r="N267" s="51">
        <v>125456133</v>
      </c>
      <c r="O267" s="48">
        <f t="shared" si="52"/>
        <v>2.35542704712624</v>
      </c>
      <c r="P267" s="48">
        <f t="shared" si="57"/>
        <v>2.35542704712624</v>
      </c>
      <c r="Q267" s="49">
        <v>0.5</v>
      </c>
      <c r="R267" s="49">
        <f t="shared" si="53"/>
        <v>0.49864369373497996</v>
      </c>
      <c r="S267" s="49">
        <v>269900</v>
      </c>
      <c r="T267" s="49">
        <v>273500</v>
      </c>
      <c r="U267" s="49">
        <v>15956260</v>
      </c>
      <c r="V267" s="49">
        <f t="shared" si="54"/>
        <v>32.445669845696102</v>
      </c>
      <c r="W267" s="49">
        <f t="shared" si="58"/>
        <v>32.445669845696102</v>
      </c>
      <c r="X267" s="82">
        <f>IF(Z266&lt;&gt;(E267*G267*H267+L267*N267*O267+S267*U267*V267),1,0)</f>
        <v>0</v>
      </c>
      <c r="Y267" s="82">
        <f>IF(AND(X267=0,B267="N"),Y266,Y266*(E267*G267*I267+L267*N267*P267+S267*U267*W267)/Z266)</f>
        <v>227631459581726.81</v>
      </c>
      <c r="Z267" s="81">
        <f t="shared" si="59"/>
        <v>283958483872214.44</v>
      </c>
      <c r="AA267" s="80">
        <f t="shared" si="48"/>
        <v>1247.4483289523716</v>
      </c>
      <c r="AB267" s="52">
        <f t="shared" si="55"/>
        <v>1.6912506456441746E-2</v>
      </c>
      <c r="AC267" s="48">
        <f>(F267-E267)/E267</f>
        <v>1.9780219780219779E-2</v>
      </c>
      <c r="AD267" s="48">
        <f>(M267-L267)/L267</f>
        <v>2.1377672209026127E-2</v>
      </c>
      <c r="AE267" s="48">
        <f>(T267-S267)/S267</f>
        <v>1.333827343460541E-2</v>
      </c>
      <c r="AF267" s="48" t="e">
        <f>(#REF!-#REF!)/#REF!</f>
        <v>#REF!</v>
      </c>
    </row>
    <row r="268" spans="1:32" x14ac:dyDescent="0.3">
      <c r="A268" s="48">
        <v>20190131</v>
      </c>
      <c r="B268" s="48" t="s">
        <v>88</v>
      </c>
      <c r="C268" s="79">
        <v>0.25</v>
      </c>
      <c r="D268" s="79">
        <f t="shared" si="49"/>
        <v>0.27413913442093335</v>
      </c>
      <c r="E268" s="49">
        <v>46400</v>
      </c>
      <c r="F268" s="49">
        <v>46150</v>
      </c>
      <c r="G268" s="49">
        <v>5969782550</v>
      </c>
      <c r="H268" s="49">
        <f t="shared" si="50"/>
        <v>0.284591610106607</v>
      </c>
      <c r="I268" s="49">
        <f t="shared" si="56"/>
        <v>0.284591610106607</v>
      </c>
      <c r="J268" s="48">
        <v>0.25</v>
      </c>
      <c r="K268" s="48">
        <f t="shared" si="51"/>
        <v>0.22626865555238609</v>
      </c>
      <c r="L268" s="48">
        <v>215000</v>
      </c>
      <c r="M268" s="48">
        <v>219000</v>
      </c>
      <c r="N268" s="51">
        <v>125456133</v>
      </c>
      <c r="O268" s="48">
        <f t="shared" si="52"/>
        <v>2.35542704712624</v>
      </c>
      <c r="P268" s="48">
        <f t="shared" si="57"/>
        <v>2.35542704712624</v>
      </c>
      <c r="Q268" s="49">
        <v>0.5</v>
      </c>
      <c r="R268" s="49">
        <f t="shared" si="53"/>
        <v>0.49959221002668047</v>
      </c>
      <c r="S268" s="49">
        <v>273500</v>
      </c>
      <c r="T268" s="49">
        <v>276000</v>
      </c>
      <c r="U268" s="49">
        <v>15956260</v>
      </c>
      <c r="V268" s="49">
        <f t="shared" si="54"/>
        <v>32.445669845696102</v>
      </c>
      <c r="W268" s="49">
        <f t="shared" si="58"/>
        <v>32.445669845696102</v>
      </c>
      <c r="X268" s="82">
        <f>IF(Z267&lt;&gt;(E268*G268*H268+L268*N268*O268+S268*U268*V268),1,0)</f>
        <v>0</v>
      </c>
      <c r="Y268" s="82">
        <f>IF(AND(X268=0,B268="N"),Y267,Y267*(E268*G268*I268+L268*N268*P268+S268*U268*W268)/Z267)</f>
        <v>227631459581726.81</v>
      </c>
      <c r="Z268" s="81">
        <f t="shared" si="59"/>
        <v>286010036300656.25</v>
      </c>
      <c r="AA268" s="80">
        <f t="shared" si="48"/>
        <v>1256.4609339420842</v>
      </c>
      <c r="AB268" s="52">
        <f t="shared" si="55"/>
        <v>7.2248323081097387E-3</v>
      </c>
      <c r="AC268" s="48">
        <f>(F268-E268)/E268</f>
        <v>-5.387931034482759E-3</v>
      </c>
      <c r="AD268" s="48">
        <f>(M268-L268)/L268</f>
        <v>1.8604651162790697E-2</v>
      </c>
      <c r="AE268" s="48">
        <f>(T268-S268)/S268</f>
        <v>9.140767824497258E-3</v>
      </c>
      <c r="AF268" s="48" t="e">
        <f>(#REF!-#REF!)/#REF!</f>
        <v>#REF!</v>
      </c>
    </row>
    <row r="269" spans="1:32" x14ac:dyDescent="0.3">
      <c r="A269" s="48">
        <v>20190201</v>
      </c>
      <c r="B269" s="48" t="s">
        <v>88</v>
      </c>
      <c r="C269" s="79">
        <v>0.25</v>
      </c>
      <c r="D269" s="79">
        <f t="shared" si="49"/>
        <v>0.27518381649914897</v>
      </c>
      <c r="E269" s="49">
        <v>46150</v>
      </c>
      <c r="F269" s="49">
        <v>46350</v>
      </c>
      <c r="G269" s="49">
        <v>5969782550</v>
      </c>
      <c r="H269" s="49">
        <f t="shared" si="50"/>
        <v>0.284591610106607</v>
      </c>
      <c r="I269" s="49">
        <f t="shared" si="56"/>
        <v>0.284591610106607</v>
      </c>
      <c r="J269" s="48">
        <v>0.25</v>
      </c>
      <c r="K269" s="48">
        <f t="shared" si="51"/>
        <v>0.22150391024150951</v>
      </c>
      <c r="L269" s="48">
        <v>219000</v>
      </c>
      <c r="M269" s="48">
        <v>214500</v>
      </c>
      <c r="N269" s="51">
        <v>125456133</v>
      </c>
      <c r="O269" s="48">
        <f t="shared" si="52"/>
        <v>2.35542704712624</v>
      </c>
      <c r="P269" s="48">
        <f t="shared" si="57"/>
        <v>2.35542704712624</v>
      </c>
      <c r="Q269" s="49">
        <v>0.5</v>
      </c>
      <c r="R269" s="49">
        <f t="shared" si="53"/>
        <v>0.50331227325934147</v>
      </c>
      <c r="S269" s="49">
        <v>276000</v>
      </c>
      <c r="T269" s="49">
        <v>278200</v>
      </c>
      <c r="U269" s="49">
        <v>15956260</v>
      </c>
      <c r="V269" s="49">
        <f t="shared" si="54"/>
        <v>32.445669845696102</v>
      </c>
      <c r="W269" s="49">
        <f t="shared" si="58"/>
        <v>32.445669845696102</v>
      </c>
      <c r="X269" s="82">
        <f>IF(Z268&lt;&gt;(E269*G269*H269+L269*N269*O269+S269*U269*V269),1,0)</f>
        <v>0</v>
      </c>
      <c r="Y269" s="82">
        <f>IF(AND(X269=0,B269="N"),Y268,Y268*(E269*G269*I269+L269*N269*P269+S269*U269*W269)/Z268)</f>
        <v>227631459581726.81</v>
      </c>
      <c r="Z269" s="81">
        <f t="shared" si="59"/>
        <v>286159029242852.69</v>
      </c>
      <c r="AA269" s="80">
        <f t="shared" si="48"/>
        <v>1257.1154697539189</v>
      </c>
      <c r="AB269" s="52">
        <f t="shared" si="55"/>
        <v>5.2093606267651681E-4</v>
      </c>
      <c r="AC269" s="48">
        <f>(F269-E269)/E269</f>
        <v>4.3336944745395447E-3</v>
      </c>
      <c r="AD269" s="48">
        <f>(M269-L269)/L269</f>
        <v>-2.0547945205479451E-2</v>
      </c>
      <c r="AE269" s="48">
        <f>(T269-S269)/S269</f>
        <v>7.9710144927536229E-3</v>
      </c>
      <c r="AF269" s="48" t="e">
        <f>(#REF!-#REF!)/#REF!</f>
        <v>#REF!</v>
      </c>
    </row>
    <row r="270" spans="1:32" x14ac:dyDescent="0.3">
      <c r="A270" s="48">
        <v>20190207</v>
      </c>
      <c r="B270" s="48" t="s">
        <v>88</v>
      </c>
      <c r="C270" s="79">
        <v>0.25</v>
      </c>
      <c r="D270" s="79">
        <f t="shared" si="49"/>
        <v>0.26983983454009469</v>
      </c>
      <c r="E270" s="49">
        <v>46350</v>
      </c>
      <c r="F270" s="49">
        <v>46200</v>
      </c>
      <c r="G270" s="49">
        <v>5969782550</v>
      </c>
      <c r="H270" s="49">
        <f t="shared" si="50"/>
        <v>0.284591610106607</v>
      </c>
      <c r="I270" s="49">
        <f t="shared" si="56"/>
        <v>0.284591610106607</v>
      </c>
      <c r="J270" s="48">
        <v>0.25</v>
      </c>
      <c r="K270" s="48">
        <f t="shared" si="51"/>
        <v>0.21739963438826332</v>
      </c>
      <c r="L270" s="48">
        <v>214500</v>
      </c>
      <c r="M270" s="48">
        <v>214000</v>
      </c>
      <c r="N270" s="51">
        <v>125456133</v>
      </c>
      <c r="O270" s="48">
        <f t="shared" si="52"/>
        <v>2.35542704712624</v>
      </c>
      <c r="P270" s="48">
        <f t="shared" si="57"/>
        <v>2.35542704712624</v>
      </c>
      <c r="Q270" s="49">
        <v>0.5</v>
      </c>
      <c r="R270" s="49">
        <f t="shared" si="53"/>
        <v>0.51276053107164199</v>
      </c>
      <c r="S270" s="49">
        <v>278200</v>
      </c>
      <c r="T270" s="49">
        <v>288100</v>
      </c>
      <c r="U270" s="49">
        <v>15956260</v>
      </c>
      <c r="V270" s="49">
        <f t="shared" si="54"/>
        <v>32.445669845696102</v>
      </c>
      <c r="W270" s="49">
        <f t="shared" si="58"/>
        <v>32.445669845696102</v>
      </c>
      <c r="X270" s="82">
        <f>IF(Z269&lt;&gt;(E270*G270*H270+L270*N270*O270+S270*U270*V270),1,0)</f>
        <v>0</v>
      </c>
      <c r="Y270" s="82">
        <f>IF(AND(X270=0,B270="N"),Y269,Y269*(E270*G270*I270+L270*N270*P270+S270*U270*W270)/Z269)</f>
        <v>227631459581726.81</v>
      </c>
      <c r="Z270" s="81">
        <f t="shared" si="59"/>
        <v>290881779639148.69</v>
      </c>
      <c r="AA270" s="80">
        <f t="shared" si="48"/>
        <v>1277.8628234148498</v>
      </c>
      <c r="AB270" s="52">
        <f t="shared" si="55"/>
        <v>1.650393632097473E-2</v>
      </c>
      <c r="AC270" s="48">
        <f>(F270-E270)/E270</f>
        <v>-3.2362459546925568E-3</v>
      </c>
      <c r="AD270" s="48">
        <f>(M270-L270)/L270</f>
        <v>-2.331002331002331E-3</v>
      </c>
      <c r="AE270" s="48">
        <f>(T270-S270)/S270</f>
        <v>3.5585909417685122E-2</v>
      </c>
      <c r="AF270" s="48" t="e">
        <f>(#REF!-#REF!)/#REF!</f>
        <v>#REF!</v>
      </c>
    </row>
    <row r="271" spans="1:32" x14ac:dyDescent="0.3">
      <c r="A271" s="48">
        <v>20190208</v>
      </c>
      <c r="B271" s="48" t="s">
        <v>88</v>
      </c>
      <c r="C271" s="79">
        <v>0.25</v>
      </c>
      <c r="D271" s="79">
        <f t="shared" si="49"/>
        <v>0.26303150113142509</v>
      </c>
      <c r="E271" s="49">
        <v>46200</v>
      </c>
      <c r="F271" s="49">
        <v>44800</v>
      </c>
      <c r="G271" s="49">
        <v>5969782550</v>
      </c>
      <c r="H271" s="49">
        <f t="shared" si="50"/>
        <v>0.284591610106607</v>
      </c>
      <c r="I271" s="49">
        <f t="shared" si="56"/>
        <v>0.284591610106607</v>
      </c>
      <c r="J271" s="48">
        <v>0.25</v>
      </c>
      <c r="K271" s="48">
        <f t="shared" si="51"/>
        <v>0.21955794594342082</v>
      </c>
      <c r="L271" s="48">
        <v>214000</v>
      </c>
      <c r="M271" s="48">
        <v>215000</v>
      </c>
      <c r="N271" s="51">
        <v>125456133</v>
      </c>
      <c r="O271" s="48">
        <f t="shared" si="52"/>
        <v>2.35542704712624</v>
      </c>
      <c r="P271" s="48">
        <f t="shared" si="57"/>
        <v>2.35542704712624</v>
      </c>
      <c r="Q271" s="49">
        <v>0.5</v>
      </c>
      <c r="R271" s="49">
        <f t="shared" si="53"/>
        <v>0.51741055292515425</v>
      </c>
      <c r="S271" s="49">
        <v>288100</v>
      </c>
      <c r="T271" s="49">
        <v>289200</v>
      </c>
      <c r="U271" s="49">
        <v>15956260</v>
      </c>
      <c r="V271" s="49">
        <f t="shared" si="54"/>
        <v>32.445669845696102</v>
      </c>
      <c r="W271" s="49">
        <f t="shared" si="58"/>
        <v>32.445669845696102</v>
      </c>
      <c r="X271" s="82">
        <f>IF(Z270&lt;&gt;(E271*G271*H271+L271*N271*O271+S271*U271*V271),1,0)</f>
        <v>0</v>
      </c>
      <c r="Y271" s="82">
        <f>IF(AND(X271=0,B271="N"),Y270,Y270*(E271*G271*I271+L271*N271*P271+S271*U271*W271)/Z270)</f>
        <v>227631459581726.81</v>
      </c>
      <c r="Z271" s="81">
        <f t="shared" si="59"/>
        <v>289368235067322.87</v>
      </c>
      <c r="AA271" s="80">
        <f t="shared" si="48"/>
        <v>1271.2137223872196</v>
      </c>
      <c r="AB271" s="52">
        <f t="shared" si="55"/>
        <v>-5.2032979642225715E-3</v>
      </c>
      <c r="AC271" s="48">
        <f>(F271-E271)/E271</f>
        <v>-3.0303030303030304E-2</v>
      </c>
      <c r="AD271" s="48">
        <f>(M271-L271)/L271</f>
        <v>4.6728971962616819E-3</v>
      </c>
      <c r="AE271" s="48">
        <f>(T271-S271)/S271</f>
        <v>3.8181187087816732E-3</v>
      </c>
      <c r="AF271" s="48" t="e">
        <f>(#REF!-#REF!)/#REF!</f>
        <v>#REF!</v>
      </c>
    </row>
    <row r="272" spans="1:32" x14ac:dyDescent="0.3">
      <c r="A272" s="48">
        <v>20190211</v>
      </c>
      <c r="B272" s="48" t="s">
        <v>88</v>
      </c>
      <c r="C272" s="79">
        <v>0.25</v>
      </c>
      <c r="D272" s="79">
        <f t="shared" si="49"/>
        <v>0.26338500554266631</v>
      </c>
      <c r="E272" s="49">
        <v>44800</v>
      </c>
      <c r="F272" s="49">
        <v>45000</v>
      </c>
      <c r="G272" s="49">
        <v>5969782550</v>
      </c>
      <c r="H272" s="49">
        <f t="shared" si="50"/>
        <v>0.284591610106607</v>
      </c>
      <c r="I272" s="49">
        <f t="shared" si="56"/>
        <v>0.284591610106607</v>
      </c>
      <c r="J272" s="48">
        <v>0.25</v>
      </c>
      <c r="K272" s="48">
        <f t="shared" si="51"/>
        <v>0.21938491270661692</v>
      </c>
      <c r="L272" s="48">
        <v>215000</v>
      </c>
      <c r="M272" s="48">
        <v>215500</v>
      </c>
      <c r="N272" s="51">
        <v>125456133</v>
      </c>
      <c r="O272" s="48">
        <f t="shared" si="52"/>
        <v>2.35542704712624</v>
      </c>
      <c r="P272" s="48">
        <f t="shared" si="57"/>
        <v>2.35542704712624</v>
      </c>
      <c r="Q272" s="49">
        <v>0.5</v>
      </c>
      <c r="R272" s="49">
        <f t="shared" si="53"/>
        <v>0.51723008175071683</v>
      </c>
      <c r="S272" s="49">
        <v>289200</v>
      </c>
      <c r="T272" s="49">
        <v>290000</v>
      </c>
      <c r="U272" s="49">
        <v>15956260</v>
      </c>
      <c r="V272" s="49">
        <f t="shared" si="54"/>
        <v>32.445669845696102</v>
      </c>
      <c r="W272" s="49">
        <f t="shared" si="58"/>
        <v>32.445669845696102</v>
      </c>
      <c r="X272" s="82">
        <f>IF(Z271&lt;&gt;(E272*G272*H272+L272*N272*O272+S272*U272*V272),1,0)</f>
        <v>0</v>
      </c>
      <c r="Y272" s="82">
        <f>IF(AND(X272=0,B272="N"),Y271,Y271*(E272*G272*I272+L272*N272*P272+S272*U272*W272)/Z271)</f>
        <v>227631459581726.81</v>
      </c>
      <c r="Z272" s="81">
        <f t="shared" si="59"/>
        <v>290269945692494.75</v>
      </c>
      <c r="AA272" s="80">
        <f t="shared" si="48"/>
        <v>1275.1749965750178</v>
      </c>
      <c r="AB272" s="52">
        <f t="shared" si="55"/>
        <v>3.116135483779434E-3</v>
      </c>
      <c r="AC272" s="48">
        <f>(F272-E272)/E272</f>
        <v>4.464285714285714E-3</v>
      </c>
      <c r="AD272" s="48">
        <f>(M272-L272)/L272</f>
        <v>2.3255813953488372E-3</v>
      </c>
      <c r="AE272" s="48">
        <f>(T272-S272)/S272</f>
        <v>2.7662517289073307E-3</v>
      </c>
      <c r="AF272" s="48" t="e">
        <f>(#REF!-#REF!)/#REF!</f>
        <v>#REF!</v>
      </c>
    </row>
    <row r="273" spans="1:32" x14ac:dyDescent="0.3">
      <c r="A273" s="48">
        <v>20190212</v>
      </c>
      <c r="B273" s="48" t="s">
        <v>88</v>
      </c>
      <c r="C273" s="79">
        <v>0.25</v>
      </c>
      <c r="D273" s="79">
        <f t="shared" si="49"/>
        <v>0.27391116314321684</v>
      </c>
      <c r="E273" s="49">
        <v>45000</v>
      </c>
      <c r="F273" s="49">
        <v>46050</v>
      </c>
      <c r="G273" s="49">
        <v>5969782550</v>
      </c>
      <c r="H273" s="49">
        <f t="shared" si="50"/>
        <v>0.284591610106607</v>
      </c>
      <c r="I273" s="49">
        <f t="shared" si="56"/>
        <v>0.284591610106607</v>
      </c>
      <c r="J273" s="48">
        <v>0.25</v>
      </c>
      <c r="K273" s="48">
        <f t="shared" si="51"/>
        <v>0.21984671550454693</v>
      </c>
      <c r="L273" s="48">
        <v>215500</v>
      </c>
      <c r="M273" s="48">
        <v>212500</v>
      </c>
      <c r="N273" s="51">
        <v>125456133</v>
      </c>
      <c r="O273" s="48">
        <f t="shared" si="52"/>
        <v>2.35542704712624</v>
      </c>
      <c r="P273" s="48">
        <f t="shared" si="57"/>
        <v>2.35542704712624</v>
      </c>
      <c r="Q273" s="49">
        <v>0.5</v>
      </c>
      <c r="R273" s="49">
        <f t="shared" si="53"/>
        <v>0.50624212135223623</v>
      </c>
      <c r="S273" s="49">
        <v>290000</v>
      </c>
      <c r="T273" s="49">
        <v>279300</v>
      </c>
      <c r="U273" s="49">
        <v>15956260</v>
      </c>
      <c r="V273" s="49">
        <f t="shared" si="54"/>
        <v>32.445669845696102</v>
      </c>
      <c r="W273" s="49">
        <f t="shared" si="58"/>
        <v>32.445669845696102</v>
      </c>
      <c r="X273" s="82">
        <f>IF(Z272&lt;&gt;(E273*G273*H273+L273*N273*O273+S273*U273*V273),1,0)</f>
        <v>0</v>
      </c>
      <c r="Y273" s="82">
        <f>IF(AND(X273=0,B273="N"),Y272,Y272*(E273*G273*I273+L273*N273*P273+S273*U273*W273)/Z272)</f>
        <v>227631459581726.81</v>
      </c>
      <c r="Z273" s="81">
        <f t="shared" si="59"/>
        <v>285627821395018.62</v>
      </c>
      <c r="AA273" s="80">
        <f t="shared" si="48"/>
        <v>1254.7818386784509</v>
      </c>
      <c r="AB273" s="52">
        <f t="shared" si="55"/>
        <v>-1.5992438646727475E-2</v>
      </c>
      <c r="AC273" s="48">
        <f>(F273-E273)/E273</f>
        <v>2.3333333333333334E-2</v>
      </c>
      <c r="AD273" s="48">
        <f>(M273-L273)/L273</f>
        <v>-1.3921113689095127E-2</v>
      </c>
      <c r="AE273" s="48">
        <f>(T273-S273)/S273</f>
        <v>-3.689655172413793E-2</v>
      </c>
      <c r="AF273" s="48" t="e">
        <f>(#REF!-#REF!)/#REF!</f>
        <v>#REF!</v>
      </c>
    </row>
    <row r="274" spans="1:32" x14ac:dyDescent="0.3">
      <c r="A274" s="48">
        <v>20190213</v>
      </c>
      <c r="B274" s="48" t="s">
        <v>88</v>
      </c>
      <c r="C274" s="79">
        <v>0.25</v>
      </c>
      <c r="D274" s="79">
        <f t="shared" si="49"/>
        <v>0.27306767887092115</v>
      </c>
      <c r="E274" s="49">
        <v>46050</v>
      </c>
      <c r="F274" s="49">
        <v>46200</v>
      </c>
      <c r="G274" s="49">
        <v>5969782550</v>
      </c>
      <c r="H274" s="49">
        <f t="shared" si="50"/>
        <v>0.284591610106607</v>
      </c>
      <c r="I274" s="49">
        <f t="shared" si="56"/>
        <v>0.284591610106607</v>
      </c>
      <c r="J274" s="48">
        <v>0.25</v>
      </c>
      <c r="K274" s="48">
        <f t="shared" si="51"/>
        <v>0.21794410861701266</v>
      </c>
      <c r="L274" s="48">
        <v>212500</v>
      </c>
      <c r="M274" s="48">
        <v>212000</v>
      </c>
      <c r="N274" s="51">
        <v>125456133</v>
      </c>
      <c r="O274" s="48">
        <f t="shared" si="52"/>
        <v>2.35542704712624</v>
      </c>
      <c r="P274" s="48">
        <f t="shared" si="57"/>
        <v>2.35542704712624</v>
      </c>
      <c r="Q274" s="49">
        <v>0.5</v>
      </c>
      <c r="R274" s="49">
        <f t="shared" si="53"/>
        <v>0.50898821251206605</v>
      </c>
      <c r="S274" s="49">
        <v>279300</v>
      </c>
      <c r="T274" s="49">
        <v>282600</v>
      </c>
      <c r="U274" s="49">
        <v>15956260</v>
      </c>
      <c r="V274" s="49">
        <f t="shared" si="54"/>
        <v>32.445669845696102</v>
      </c>
      <c r="W274" s="49">
        <f t="shared" si="58"/>
        <v>32.445669845696102</v>
      </c>
      <c r="X274" s="82">
        <f>IF(Z273&lt;&gt;(E274*G274*H274+L274*N274*O274+S274*U274*V274),1,0)</f>
        <v>0</v>
      </c>
      <c r="Y274" s="82">
        <f>IF(AND(X274=0,B274="N"),Y273,Y273*(E274*G274*I274+L274*N274*P274+S274*U274*W274)/Z273)</f>
        <v>227631459581726.81</v>
      </c>
      <c r="Z274" s="81">
        <f t="shared" si="59"/>
        <v>287443360609730.12</v>
      </c>
      <c r="AA274" s="80">
        <f t="shared" si="48"/>
        <v>1262.7576220699361</v>
      </c>
      <c r="AB274" s="52">
        <f t="shared" si="55"/>
        <v>6.3563108308018245E-3</v>
      </c>
      <c r="AC274" s="48">
        <f>(F274-E274)/E274</f>
        <v>3.2573289902280132E-3</v>
      </c>
      <c r="AD274" s="48">
        <f>(M274-L274)/L274</f>
        <v>-2.352941176470588E-3</v>
      </c>
      <c r="AE274" s="48">
        <f>(T274-S274)/S274</f>
        <v>1.1815252416756176E-2</v>
      </c>
      <c r="AF274" s="48" t="e">
        <f>(#REF!-#REF!)/#REF!</f>
        <v>#REF!</v>
      </c>
    </row>
    <row r="275" spans="1:32" s="47" customFormat="1" x14ac:dyDescent="0.3">
      <c r="A275" s="48">
        <v>20190214</v>
      </c>
      <c r="B275" s="48" t="s">
        <v>88</v>
      </c>
      <c r="C275" s="79">
        <v>0.25</v>
      </c>
      <c r="D275" s="79">
        <f t="shared" si="49"/>
        <v>0.28048639496599026</v>
      </c>
      <c r="E275" s="49">
        <v>46200</v>
      </c>
      <c r="F275" s="49">
        <v>47500</v>
      </c>
      <c r="G275" s="49">
        <v>5969782550</v>
      </c>
      <c r="H275" s="49">
        <f t="shared" si="50"/>
        <v>0.284591610106607</v>
      </c>
      <c r="I275" s="49">
        <f t="shared" si="56"/>
        <v>0.284591610106607</v>
      </c>
      <c r="J275" s="48">
        <v>0.25</v>
      </c>
      <c r="K275" s="48">
        <f t="shared" si="51"/>
        <v>0.21568425139099698</v>
      </c>
      <c r="L275" s="48">
        <v>212000</v>
      </c>
      <c r="M275" s="48">
        <v>210000</v>
      </c>
      <c r="N275" s="51">
        <v>125456133</v>
      </c>
      <c r="O275" s="48">
        <f t="shared" si="52"/>
        <v>2.35542704712624</v>
      </c>
      <c r="P275" s="48">
        <f t="shared" si="57"/>
        <v>2.35542704712624</v>
      </c>
      <c r="Q275" s="49">
        <v>0.5</v>
      </c>
      <c r="R275" s="49">
        <f t="shared" si="53"/>
        <v>0.50382935364301273</v>
      </c>
      <c r="S275" s="49">
        <v>282600</v>
      </c>
      <c r="T275" s="49">
        <v>280000</v>
      </c>
      <c r="U275" s="49">
        <v>15956260</v>
      </c>
      <c r="V275" s="49">
        <f t="shared" si="54"/>
        <v>32.445669845696102</v>
      </c>
      <c r="W275" s="49">
        <f t="shared" si="58"/>
        <v>32.445669845696102</v>
      </c>
      <c r="X275" s="82">
        <f>IF(Z274&lt;&gt;(E275*G275*H275+L275*N275*O275+S275*U275*V275),1,0)</f>
        <v>0</v>
      </c>
      <c r="Y275" s="82">
        <f>IF(AND(X275=0,B275="N"),Y274,Y274*(E275*G275*I275+L275*N275*P275+S275*U275*W275)/Z274)</f>
        <v>227631459581726.81</v>
      </c>
      <c r="Z275" s="81">
        <f t="shared" si="59"/>
        <v>287714940093972.62</v>
      </c>
      <c r="AA275" s="80">
        <f t="shared" si="48"/>
        <v>1263.9506886378945</v>
      </c>
      <c r="AB275" s="52">
        <f t="shared" si="55"/>
        <v>9.4481042688353972E-4</v>
      </c>
      <c r="AC275" s="48">
        <f>(F275-E275)/E275</f>
        <v>2.813852813852814E-2</v>
      </c>
      <c r="AD275" s="48">
        <f>(M275-L275)/L275</f>
        <v>-9.433962264150943E-3</v>
      </c>
      <c r="AE275" s="48">
        <f>(T275-S275)/S275</f>
        <v>-9.200283085633405E-3</v>
      </c>
      <c r="AF275" s="48" t="e">
        <f>(#REF!-#REF!)/#REF!</f>
        <v>#REF!</v>
      </c>
    </row>
    <row r="276" spans="1:32" x14ac:dyDescent="0.3">
      <c r="A276" s="48">
        <v>20190215</v>
      </c>
      <c r="B276" s="48" t="s">
        <v>88</v>
      </c>
      <c r="C276" s="79">
        <v>0.25</v>
      </c>
      <c r="D276" s="79">
        <f t="shared" si="49"/>
        <v>0.27209249909661126</v>
      </c>
      <c r="E276" s="49">
        <v>47500</v>
      </c>
      <c r="F276" s="49">
        <v>46050</v>
      </c>
      <c r="G276" s="49">
        <v>5969782550</v>
      </c>
      <c r="H276" s="49">
        <f t="shared" si="50"/>
        <v>0.284591610106607</v>
      </c>
      <c r="I276" s="49">
        <f t="shared" si="56"/>
        <v>0.284591610106607</v>
      </c>
      <c r="J276" s="48">
        <v>0.25</v>
      </c>
      <c r="K276" s="48">
        <f t="shared" si="51"/>
        <v>0.21530390760415641</v>
      </c>
      <c r="L276" s="48">
        <v>210000</v>
      </c>
      <c r="M276" s="48">
        <v>209500</v>
      </c>
      <c r="N276" s="51">
        <v>125456133</v>
      </c>
      <c r="O276" s="48">
        <f t="shared" si="52"/>
        <v>2.35542704712624</v>
      </c>
      <c r="P276" s="48">
        <f t="shared" si="57"/>
        <v>2.35542704712624</v>
      </c>
      <c r="Q276" s="49">
        <v>0.5</v>
      </c>
      <c r="R276" s="49">
        <f t="shared" si="53"/>
        <v>0.51260359329923222</v>
      </c>
      <c r="S276" s="49">
        <v>280000</v>
      </c>
      <c r="T276" s="49">
        <v>284700</v>
      </c>
      <c r="U276" s="49">
        <v>15956260</v>
      </c>
      <c r="V276" s="49">
        <f t="shared" si="54"/>
        <v>32.445669845696102</v>
      </c>
      <c r="W276" s="49">
        <f t="shared" si="58"/>
        <v>32.445669845696102</v>
      </c>
      <c r="X276" s="82">
        <f>IF(Z275&lt;&gt;(E276*G276*H276+L276*N276*O276+S276*U276*V276),1,0)</f>
        <v>0</v>
      </c>
      <c r="Y276" s="82">
        <f>IF(AND(X276=0,B276="N"),Y275,Y275*(E276*G276*I276+L276*N276*P276+S276*U276*W276)/Z275)</f>
        <v>227631459581726.81</v>
      </c>
      <c r="Z276" s="81">
        <f t="shared" si="59"/>
        <v>287536955425563.69</v>
      </c>
      <c r="AA276" s="80">
        <f t="shared" si="48"/>
        <v>1263.1687902626172</v>
      </c>
      <c r="AB276" s="52">
        <f t="shared" si="55"/>
        <v>-6.1861462025853981E-4</v>
      </c>
      <c r="AC276" s="48">
        <f>(F276-E276)/E276</f>
        <v>-3.0526315789473683E-2</v>
      </c>
      <c r="AD276" s="48">
        <f>(M276-L276)/L276</f>
        <v>-2.3809523809523812E-3</v>
      </c>
      <c r="AE276" s="48">
        <f>(T276-S276)/S276</f>
        <v>1.6785714285714286E-2</v>
      </c>
      <c r="AF276" s="48" t="e">
        <f>(#REF!-#REF!)/#REF!</f>
        <v>#REF!</v>
      </c>
    </row>
    <row r="277" spans="1:32" x14ac:dyDescent="0.3">
      <c r="A277" s="48">
        <v>20190218</v>
      </c>
      <c r="B277" s="48" t="s">
        <v>88</v>
      </c>
      <c r="C277" s="79">
        <v>0.25</v>
      </c>
      <c r="D277" s="79">
        <f t="shared" si="49"/>
        <v>0.27499934396524084</v>
      </c>
      <c r="E277" s="49">
        <v>46050</v>
      </c>
      <c r="F277" s="49">
        <v>46200</v>
      </c>
      <c r="G277" s="49">
        <v>5969782550</v>
      </c>
      <c r="H277" s="49">
        <f t="shared" si="50"/>
        <v>0.284591610106607</v>
      </c>
      <c r="I277" s="49">
        <f t="shared" si="56"/>
        <v>0.284591610106607</v>
      </c>
      <c r="J277" s="48">
        <v>0.25</v>
      </c>
      <c r="K277" s="48">
        <f t="shared" si="51"/>
        <v>0.21948583273781977</v>
      </c>
      <c r="L277" s="48">
        <v>209500</v>
      </c>
      <c r="M277" s="48">
        <v>212000</v>
      </c>
      <c r="N277" s="51">
        <v>125456133</v>
      </c>
      <c r="O277" s="48">
        <f t="shared" si="52"/>
        <v>2.35542704712624</v>
      </c>
      <c r="P277" s="48">
        <f t="shared" si="57"/>
        <v>2.35542704712624</v>
      </c>
      <c r="Q277" s="49">
        <v>0.5</v>
      </c>
      <c r="R277" s="49">
        <f t="shared" si="53"/>
        <v>0.50551482329693931</v>
      </c>
      <c r="S277" s="49">
        <v>284700</v>
      </c>
      <c r="T277" s="49">
        <v>278700</v>
      </c>
      <c r="U277" s="49">
        <v>15956260</v>
      </c>
      <c r="V277" s="49">
        <f t="shared" si="54"/>
        <v>32.445669845696102</v>
      </c>
      <c r="W277" s="49">
        <f t="shared" si="58"/>
        <v>32.445669845696102</v>
      </c>
      <c r="X277" s="82">
        <f>IF(Z276&lt;&gt;(E277*G277*H277+L277*N277*O277+S277*U277*V277),1,0)</f>
        <v>0</v>
      </c>
      <c r="Y277" s="82">
        <f>IF(AND(X277=0,B277="N"),Y276,Y276*(E277*G277*I277+L277*N277*P277+S277*U277*W277)/Z276)</f>
        <v>227631459581726.81</v>
      </c>
      <c r="Z277" s="81">
        <f t="shared" si="59"/>
        <v>285424285588395</v>
      </c>
      <c r="AA277" s="80">
        <f t="shared" si="48"/>
        <v>1253.8876924694971</v>
      </c>
      <c r="AB277" s="52">
        <f t="shared" si="55"/>
        <v>-7.3474723763484948E-3</v>
      </c>
      <c r="AC277" s="48">
        <f>(F277-E277)/E277</f>
        <v>3.2573289902280132E-3</v>
      </c>
      <c r="AD277" s="48">
        <f>(M277-L277)/L277</f>
        <v>1.1933174224343675E-2</v>
      </c>
      <c r="AE277" s="48">
        <f>(T277-S277)/S277</f>
        <v>-2.107481559536354E-2</v>
      </c>
      <c r="AF277" s="48" t="e">
        <f>(#REF!-#REF!)/#REF!</f>
        <v>#REF!</v>
      </c>
    </row>
    <row r="278" spans="1:32" x14ac:dyDescent="0.3">
      <c r="A278" s="48">
        <v>20190219</v>
      </c>
      <c r="B278" s="48" t="s">
        <v>88</v>
      </c>
      <c r="C278" s="79">
        <v>0.25</v>
      </c>
      <c r="D278" s="79">
        <f t="shared" si="49"/>
        <v>0.26840336927608027</v>
      </c>
      <c r="E278" s="49">
        <v>46200</v>
      </c>
      <c r="F278" s="49">
        <v>45950</v>
      </c>
      <c r="G278" s="49">
        <v>5969782550</v>
      </c>
      <c r="H278" s="49">
        <f t="shared" si="50"/>
        <v>0.284591610106607</v>
      </c>
      <c r="I278" s="49">
        <f t="shared" si="56"/>
        <v>0.284591610106607</v>
      </c>
      <c r="J278" s="48">
        <v>0.25</v>
      </c>
      <c r="K278" s="48">
        <f t="shared" si="51"/>
        <v>0.21843481400756781</v>
      </c>
      <c r="L278" s="48">
        <v>212000</v>
      </c>
      <c r="M278" s="48">
        <v>215000</v>
      </c>
      <c r="N278" s="51">
        <v>125456133</v>
      </c>
      <c r="O278" s="48">
        <f t="shared" si="52"/>
        <v>2.35542704712624</v>
      </c>
      <c r="P278" s="48">
        <f t="shared" si="57"/>
        <v>2.35542704712624</v>
      </c>
      <c r="Q278" s="49">
        <v>0.5</v>
      </c>
      <c r="R278" s="49">
        <f t="shared" si="53"/>
        <v>0.51316181671635186</v>
      </c>
      <c r="S278" s="49">
        <v>278700</v>
      </c>
      <c r="T278" s="49">
        <v>288300</v>
      </c>
      <c r="U278" s="49">
        <v>15956260</v>
      </c>
      <c r="V278" s="49">
        <f t="shared" si="54"/>
        <v>32.445669845696102</v>
      </c>
      <c r="W278" s="49">
        <f t="shared" si="58"/>
        <v>32.445669845696102</v>
      </c>
      <c r="X278" s="82">
        <f>IF(Z277&lt;&gt;(E278*G278*H278+L278*N278*O278+S278*U278*V278),1,0)</f>
        <v>0</v>
      </c>
      <c r="Y278" s="82">
        <f>IF(AND(X278=0,B278="N"),Y277,Y277*(E278*G278*I278+L278*N278*P278+S278*U278*W278)/Z277)</f>
        <v>227631459581726.81</v>
      </c>
      <c r="Z278" s="81">
        <f t="shared" si="59"/>
        <v>290856087209858.5</v>
      </c>
      <c r="AA278" s="80">
        <f t="shared" si="48"/>
        <v>1277.7499548801691</v>
      </c>
      <c r="AB278" s="52">
        <f t="shared" si="55"/>
        <v>1.903062176459832E-2</v>
      </c>
      <c r="AC278" s="48">
        <f>(F278-E278)/E278</f>
        <v>-5.411255411255411E-3</v>
      </c>
      <c r="AD278" s="48">
        <f>(M278-L278)/L278</f>
        <v>1.4150943396226415E-2</v>
      </c>
      <c r="AE278" s="48">
        <f>(T278-S278)/S278</f>
        <v>3.4445640473627553E-2</v>
      </c>
      <c r="AF278" s="48" t="e">
        <f>(#REF!-#REF!)/#REF!</f>
        <v>#REF!</v>
      </c>
    </row>
    <row r="279" spans="1:32" s="73" customFormat="1" x14ac:dyDescent="0.3">
      <c r="A279" s="48">
        <v>20190220</v>
      </c>
      <c r="B279" s="48" t="s">
        <v>88</v>
      </c>
      <c r="C279" s="79">
        <v>0.25</v>
      </c>
      <c r="D279" s="79">
        <f t="shared" si="49"/>
        <v>0.27174618399626804</v>
      </c>
      <c r="E279" s="49">
        <v>45950</v>
      </c>
      <c r="F279" s="49">
        <v>46900</v>
      </c>
      <c r="G279" s="49">
        <v>5969782550</v>
      </c>
      <c r="H279" s="49">
        <f t="shared" si="50"/>
        <v>0.284591610106607</v>
      </c>
      <c r="I279" s="49">
        <f t="shared" si="56"/>
        <v>0.29929771677029099</v>
      </c>
      <c r="J279" s="48">
        <v>0.25</v>
      </c>
      <c r="K279" s="48">
        <f t="shared" si="51"/>
        <v>0.2151639163374103</v>
      </c>
      <c r="L279" s="48">
        <v>215000</v>
      </c>
      <c r="M279" s="48">
        <v>213500</v>
      </c>
      <c r="N279" s="51">
        <v>125461438</v>
      </c>
      <c r="O279" s="48">
        <f t="shared" si="52"/>
        <v>2.35542704712624</v>
      </c>
      <c r="P279" s="48">
        <f t="shared" si="57"/>
        <v>2.4770376326489298</v>
      </c>
      <c r="Q279" s="49">
        <v>0.5</v>
      </c>
      <c r="R279" s="49">
        <f t="shared" si="53"/>
        <v>0.51308989966632168</v>
      </c>
      <c r="S279" s="49">
        <v>288300</v>
      </c>
      <c r="T279" s="49">
        <v>290600</v>
      </c>
      <c r="U279" s="49">
        <v>15956260</v>
      </c>
      <c r="V279" s="49">
        <f t="shared" si="54"/>
        <v>32.445669845696102</v>
      </c>
      <c r="W279" s="49">
        <f t="shared" si="58"/>
        <v>34.122281047785798</v>
      </c>
      <c r="X279" s="82">
        <f>IF(Z278&lt;&gt;(E279*G279*H279+L279*N279*O279+S279*U279*V279),1,0)</f>
        <v>1</v>
      </c>
      <c r="Y279" s="82">
        <f>IF(AND(X279=0,B279="N"),Y278,Y278*(E279*G279*I279+L279*N279*P279+S279*U279*W279)/Z278)</f>
        <v>239394183448972.72</v>
      </c>
      <c r="Z279" s="81">
        <f t="shared" si="59"/>
        <v>308369420390770.62</v>
      </c>
      <c r="AA279" s="80">
        <f t="shared" si="48"/>
        <v>1288.1241137443931</v>
      </c>
      <c r="AB279" s="52">
        <f t="shared" si="55"/>
        <v>8.1190837257332695E-3</v>
      </c>
      <c r="AC279" s="48">
        <f>(F279-E279)/E279</f>
        <v>2.0674646354733407E-2</v>
      </c>
      <c r="AD279" s="48">
        <f>(M279-L279)/L279</f>
        <v>-6.9767441860465115E-3</v>
      </c>
      <c r="AE279" s="48">
        <f>(T279-S279)/S279</f>
        <v>7.9778009018383628E-3</v>
      </c>
      <c r="AF279" s="48" t="e">
        <f>(#REF!-#REF!)/#REF!</f>
        <v>#REF!</v>
      </c>
    </row>
    <row r="280" spans="1:32" x14ac:dyDescent="0.3">
      <c r="A280" s="48">
        <v>20190221</v>
      </c>
      <c r="B280" s="48" t="s">
        <v>88</v>
      </c>
      <c r="C280" s="79">
        <v>0.25</v>
      </c>
      <c r="D280" s="79">
        <f t="shared" si="49"/>
        <v>0.27527315100810662</v>
      </c>
      <c r="E280" s="49">
        <v>46900</v>
      </c>
      <c r="F280" s="49">
        <v>46950</v>
      </c>
      <c r="G280" s="49">
        <v>5969782550</v>
      </c>
      <c r="H280" s="49">
        <f t="shared" si="50"/>
        <v>0.29929771677029099</v>
      </c>
      <c r="I280" s="49">
        <f t="shared" si="56"/>
        <v>0.29929771677029099</v>
      </c>
      <c r="J280" s="48">
        <v>0.25</v>
      </c>
      <c r="K280" s="48">
        <f t="shared" si="51"/>
        <v>0.21160567382300982</v>
      </c>
      <c r="L280" s="48">
        <v>213500</v>
      </c>
      <c r="M280" s="48">
        <v>207500</v>
      </c>
      <c r="N280" s="51">
        <v>125461438</v>
      </c>
      <c r="O280" s="48">
        <f t="shared" si="52"/>
        <v>2.4770376326489298</v>
      </c>
      <c r="P280" s="48">
        <f t="shared" si="57"/>
        <v>2.4770376326489298</v>
      </c>
      <c r="Q280" s="49">
        <v>0.5</v>
      </c>
      <c r="R280" s="49">
        <f t="shared" si="53"/>
        <v>0.51312117516888367</v>
      </c>
      <c r="S280" s="49">
        <v>290600</v>
      </c>
      <c r="T280" s="49">
        <v>287200</v>
      </c>
      <c r="U280" s="49">
        <v>15956260</v>
      </c>
      <c r="V280" s="49">
        <f t="shared" si="54"/>
        <v>34.122281047785798</v>
      </c>
      <c r="W280" s="49">
        <f t="shared" si="58"/>
        <v>34.122281047785798</v>
      </c>
      <c r="X280" s="82">
        <f>IF(Z279&lt;&gt;(E280*G280*H280+L280*N280*O280+S280*U280*V280),1,0)</f>
        <v>0</v>
      </c>
      <c r="Y280" s="82">
        <f>IF(AND(X280=0,B280="N"),Y279,Y279*(E280*G280*I280+L280*N280*P280+S280*U280*W280)/Z279)</f>
        <v>239394183448972.72</v>
      </c>
      <c r="Z280" s="81">
        <f t="shared" si="59"/>
        <v>304742943725027.37</v>
      </c>
      <c r="AA280" s="80">
        <f t="shared" si="48"/>
        <v>1272.9755557740352</v>
      </c>
      <c r="AB280" s="52">
        <f t="shared" si="55"/>
        <v>-1.1760169543230694E-2</v>
      </c>
      <c r="AC280" s="48">
        <f>(F280-E280)/E280</f>
        <v>1.0660980810234541E-3</v>
      </c>
      <c r="AD280" s="48">
        <f>(M280-L280)/L280</f>
        <v>-2.8103044496487119E-2</v>
      </c>
      <c r="AE280" s="48">
        <f>(T280-S280)/S280</f>
        <v>-1.1699931176875429E-2</v>
      </c>
      <c r="AF280" s="48" t="e">
        <f>(#REF!-#REF!)/#REF!</f>
        <v>#REF!</v>
      </c>
    </row>
    <row r="281" spans="1:32" x14ac:dyDescent="0.3">
      <c r="A281" s="48">
        <v>20190222</v>
      </c>
      <c r="B281" s="48" t="s">
        <v>88</v>
      </c>
      <c r="C281" s="79">
        <v>0.25</v>
      </c>
      <c r="D281" s="79">
        <f t="shared" si="49"/>
        <v>0.27611478941363854</v>
      </c>
      <c r="E281" s="49">
        <v>46950</v>
      </c>
      <c r="F281" s="49">
        <v>47150</v>
      </c>
      <c r="G281" s="49">
        <v>5969782550</v>
      </c>
      <c r="H281" s="49">
        <f t="shared" si="50"/>
        <v>0.29929771677029099</v>
      </c>
      <c r="I281" s="49">
        <f t="shared" si="56"/>
        <v>0.29929771677029099</v>
      </c>
      <c r="J281" s="48">
        <v>0.25</v>
      </c>
      <c r="K281" s="48">
        <f t="shared" si="51"/>
        <v>0.21084303897565387</v>
      </c>
      <c r="L281" s="48">
        <v>207500</v>
      </c>
      <c r="M281" s="48">
        <v>207000</v>
      </c>
      <c r="N281" s="51">
        <v>125461438</v>
      </c>
      <c r="O281" s="48">
        <f t="shared" si="52"/>
        <v>2.4770376326489298</v>
      </c>
      <c r="P281" s="48">
        <f t="shared" si="57"/>
        <v>2.4770376326489298</v>
      </c>
      <c r="Q281" s="49">
        <v>0.5</v>
      </c>
      <c r="R281" s="49">
        <f t="shared" si="53"/>
        <v>0.51304217161070764</v>
      </c>
      <c r="S281" s="49">
        <v>287200</v>
      </c>
      <c r="T281" s="49">
        <v>287500</v>
      </c>
      <c r="U281" s="49">
        <v>15956260</v>
      </c>
      <c r="V281" s="49">
        <f t="shared" si="54"/>
        <v>34.122281047785798</v>
      </c>
      <c r="W281" s="49">
        <f t="shared" si="58"/>
        <v>34.122281047785798</v>
      </c>
      <c r="X281" s="82">
        <f>IF(Z280&lt;&gt;(E281*G281*H281+L281*N281*O281+S281*U281*V281),1,0)</f>
        <v>0</v>
      </c>
      <c r="Y281" s="82">
        <f>IF(AND(X281=0,B281="N"),Y280,Y280*(E281*G281*I281+L281*N281*P281+S281*U281*W281)/Z280)</f>
        <v>239394183448972.72</v>
      </c>
      <c r="Z281" s="81">
        <f t="shared" si="59"/>
        <v>305108245027164.75</v>
      </c>
      <c r="AA281" s="80">
        <f t="shared" si="48"/>
        <v>1274.5014963665526</v>
      </c>
      <c r="AB281" s="52">
        <f t="shared" si="55"/>
        <v>1.1987194770519544E-3</v>
      </c>
      <c r="AC281" s="48">
        <f>(F281-E281)/E281</f>
        <v>4.2598509052183178E-3</v>
      </c>
      <c r="AD281" s="48">
        <f>(M281-L281)/L281</f>
        <v>-2.4096385542168677E-3</v>
      </c>
      <c r="AE281" s="48">
        <f>(T281-S281)/S281</f>
        <v>1.0445682451253482E-3</v>
      </c>
      <c r="AF281" s="48" t="e">
        <f>(#REF!-#REF!)/#REF!</f>
        <v>#REF!</v>
      </c>
    </row>
    <row r="282" spans="1:32" x14ac:dyDescent="0.3">
      <c r="A282" s="48">
        <v>20190225</v>
      </c>
      <c r="B282" s="48" t="s">
        <v>88</v>
      </c>
      <c r="C282" s="79">
        <v>0.25</v>
      </c>
      <c r="D282" s="79">
        <f t="shared" si="49"/>
        <v>0.28006274696004518</v>
      </c>
      <c r="E282" s="49">
        <v>47150</v>
      </c>
      <c r="F282" s="49">
        <v>47350</v>
      </c>
      <c r="G282" s="49">
        <v>5969782550</v>
      </c>
      <c r="H282" s="49">
        <f t="shared" si="50"/>
        <v>0.29929771677029099</v>
      </c>
      <c r="I282" s="49">
        <f t="shared" si="56"/>
        <v>0.29929771677029099</v>
      </c>
      <c r="J282" s="48">
        <v>0.25</v>
      </c>
      <c r="K282" s="48">
        <f t="shared" si="51"/>
        <v>0.20986812284329329</v>
      </c>
      <c r="L282" s="48">
        <v>207000</v>
      </c>
      <c r="M282" s="48">
        <v>204000</v>
      </c>
      <c r="N282" s="51">
        <v>125461438</v>
      </c>
      <c r="O282" s="48">
        <f t="shared" si="52"/>
        <v>2.4770376326489298</v>
      </c>
      <c r="P282" s="48">
        <f t="shared" si="57"/>
        <v>2.4770376326489298</v>
      </c>
      <c r="Q282" s="49">
        <v>0.5</v>
      </c>
      <c r="R282" s="49">
        <f t="shared" si="53"/>
        <v>0.51006913019666145</v>
      </c>
      <c r="S282" s="49">
        <v>287500</v>
      </c>
      <c r="T282" s="49">
        <v>283000</v>
      </c>
      <c r="U282" s="49">
        <v>15956260</v>
      </c>
      <c r="V282" s="49">
        <f t="shared" si="54"/>
        <v>34.122281047785798</v>
      </c>
      <c r="W282" s="49">
        <f t="shared" si="58"/>
        <v>34.122281047785798</v>
      </c>
      <c r="X282" s="82">
        <f>IF(Z281&lt;&gt;(E282*G282*H282+L282*N282*O282+S282*U282*V282),1,0)</f>
        <v>0</v>
      </c>
      <c r="Y282" s="82">
        <f>IF(AND(X282=0,B282="N"),Y281,Y281*(E282*G282*I282+L282*N282*P282+S282*U282*W282)/Z281)</f>
        <v>239394183448972.72</v>
      </c>
      <c r="Z282" s="81">
        <f t="shared" si="59"/>
        <v>302083187427552.12</v>
      </c>
      <c r="AA282" s="80">
        <f t="shared" si="48"/>
        <v>1261.8651926935463</v>
      </c>
      <c r="AB282" s="52">
        <f t="shared" si="55"/>
        <v>-9.9147028928807442E-3</v>
      </c>
      <c r="AC282" s="48">
        <f>(F282-E282)/E282</f>
        <v>4.2417815482502655E-3</v>
      </c>
      <c r="AD282" s="48">
        <f>(M282-L282)/L282</f>
        <v>-1.4492753623188406E-2</v>
      </c>
      <c r="AE282" s="48">
        <f>(T282-S282)/S282</f>
        <v>-1.5652173913043479E-2</v>
      </c>
      <c r="AF282" s="48" t="e">
        <f>(#REF!-#REF!)/#REF!</f>
        <v>#REF!</v>
      </c>
    </row>
    <row r="283" spans="1:32" x14ac:dyDescent="0.3">
      <c r="A283" s="48">
        <v>20190226</v>
      </c>
      <c r="B283" s="48" t="s">
        <v>88</v>
      </c>
      <c r="C283" s="79">
        <v>0.25</v>
      </c>
      <c r="D283" s="79">
        <f t="shared" si="49"/>
        <v>0.27810970039481381</v>
      </c>
      <c r="E283" s="49">
        <v>47350</v>
      </c>
      <c r="F283" s="49">
        <v>46750</v>
      </c>
      <c r="G283" s="49">
        <v>5969782550</v>
      </c>
      <c r="H283" s="49">
        <f t="shared" si="50"/>
        <v>0.29929771677029099</v>
      </c>
      <c r="I283" s="49">
        <f t="shared" si="56"/>
        <v>0.29929771677029099</v>
      </c>
      <c r="J283" s="48">
        <v>0.25</v>
      </c>
      <c r="K283" s="48">
        <f t="shared" si="51"/>
        <v>0.21159664823693919</v>
      </c>
      <c r="L283" s="48">
        <v>204000</v>
      </c>
      <c r="M283" s="48">
        <v>204500</v>
      </c>
      <c r="N283" s="51">
        <v>125461438</v>
      </c>
      <c r="O283" s="48">
        <f t="shared" si="52"/>
        <v>2.4770376326489298</v>
      </c>
      <c r="P283" s="48">
        <f t="shared" si="57"/>
        <v>2.4770376326489298</v>
      </c>
      <c r="Q283" s="49">
        <v>0.5</v>
      </c>
      <c r="R283" s="49">
        <f t="shared" si="53"/>
        <v>0.51029365136824689</v>
      </c>
      <c r="S283" s="49">
        <v>283000</v>
      </c>
      <c r="T283" s="49">
        <v>281500</v>
      </c>
      <c r="U283" s="49">
        <v>15956260</v>
      </c>
      <c r="V283" s="49">
        <f t="shared" si="54"/>
        <v>34.122281047785798</v>
      </c>
      <c r="W283" s="49">
        <f t="shared" si="58"/>
        <v>34.122281047785798</v>
      </c>
      <c r="X283" s="82">
        <f>IF(Z282&lt;&gt;(E283*G283*H283+L283*N283*O283+S283*U283*V283),1,0)</f>
        <v>0</v>
      </c>
      <c r="Y283" s="82">
        <f>IF(AND(X283=0,B283="N"),Y282,Y282*(E283*G283*I283+L283*N283*P283+S283*U283*W283)/Z282)</f>
        <v>239394183448972.72</v>
      </c>
      <c r="Z283" s="81">
        <f t="shared" si="59"/>
        <v>300349832424852.87</v>
      </c>
      <c r="AA283" s="80">
        <f t="shared" si="48"/>
        <v>1254.6246032283946</v>
      </c>
      <c r="AB283" s="52">
        <f t="shared" si="55"/>
        <v>-5.7380055390038607E-3</v>
      </c>
      <c r="AC283" s="48">
        <f>(F283-E283)/E283</f>
        <v>-1.2671594508975714E-2</v>
      </c>
      <c r="AD283" s="48">
        <f>(M283-L283)/L283</f>
        <v>2.4509803921568627E-3</v>
      </c>
      <c r="AE283" s="48">
        <f>(T283-S283)/S283</f>
        <v>-5.3003533568904597E-3</v>
      </c>
      <c r="AF283" s="48" t="e">
        <f>(#REF!-#REF!)/#REF!</f>
        <v>#REF!</v>
      </c>
    </row>
    <row r="284" spans="1:32" x14ac:dyDescent="0.3">
      <c r="A284" s="48">
        <v>20190227</v>
      </c>
      <c r="B284" s="48" t="s">
        <v>88</v>
      </c>
      <c r="C284" s="79">
        <v>0.25</v>
      </c>
      <c r="D284" s="79">
        <f t="shared" si="49"/>
        <v>0.28082897363894538</v>
      </c>
      <c r="E284" s="49">
        <v>46750</v>
      </c>
      <c r="F284" s="49">
        <v>46750</v>
      </c>
      <c r="G284" s="49">
        <v>5969782550</v>
      </c>
      <c r="H284" s="49">
        <f t="shared" si="50"/>
        <v>0.29929771677029099</v>
      </c>
      <c r="I284" s="49">
        <f t="shared" si="56"/>
        <v>0.29929771677029099</v>
      </c>
      <c r="J284" s="48">
        <v>0.25</v>
      </c>
      <c r="K284" s="48">
        <f t="shared" si="51"/>
        <v>0.2115759379116747</v>
      </c>
      <c r="L284" s="48">
        <v>204500</v>
      </c>
      <c r="M284" s="48">
        <v>202500</v>
      </c>
      <c r="N284" s="51">
        <v>125461438</v>
      </c>
      <c r="O284" s="48">
        <f t="shared" si="52"/>
        <v>2.4770376326489298</v>
      </c>
      <c r="P284" s="48">
        <f t="shared" si="57"/>
        <v>2.4770376326489298</v>
      </c>
      <c r="Q284" s="49">
        <v>0.5</v>
      </c>
      <c r="R284" s="49">
        <f t="shared" si="53"/>
        <v>0.50759508844937995</v>
      </c>
      <c r="S284" s="49">
        <v>281500</v>
      </c>
      <c r="T284" s="49">
        <v>277300</v>
      </c>
      <c r="U284" s="49">
        <v>15956260</v>
      </c>
      <c r="V284" s="49">
        <f t="shared" si="54"/>
        <v>34.122281047785798</v>
      </c>
      <c r="W284" s="49">
        <f t="shared" si="58"/>
        <v>34.122281047785798</v>
      </c>
      <c r="X284" s="82">
        <f>IF(Z283&lt;&gt;(E284*G284*H284+L284*N284*O284+S284*U284*V284),1,0)</f>
        <v>0</v>
      </c>
      <c r="Y284" s="82">
        <f>IF(AND(X284=0,B284="N"),Y283,Y283*(E284*G284*I284+L284*N284*P284+S284*U284*W284)/Z283)</f>
        <v>239394183448972.72</v>
      </c>
      <c r="Z284" s="81">
        <f t="shared" si="59"/>
        <v>297441538267703.87</v>
      </c>
      <c r="AA284" s="80">
        <f t="shared" si="48"/>
        <v>1242.476045083627</v>
      </c>
      <c r="AB284" s="52">
        <f t="shared" si="55"/>
        <v>-9.6830224064687817E-3</v>
      </c>
      <c r="AC284" s="48">
        <f>(F284-E284)/E284</f>
        <v>0</v>
      </c>
      <c r="AD284" s="48">
        <f>(M284-L284)/L284</f>
        <v>-9.7799511002444987E-3</v>
      </c>
      <c r="AE284" s="48">
        <f>(T284-S284)/S284</f>
        <v>-1.4920071047957371E-2</v>
      </c>
      <c r="AF284" s="48" t="e">
        <f>(#REF!-#REF!)/#REF!</f>
        <v>#REF!</v>
      </c>
    </row>
    <row r="285" spans="1:32" x14ac:dyDescent="0.3">
      <c r="A285" s="48">
        <v>20190228</v>
      </c>
      <c r="B285" s="48" t="s">
        <v>88</v>
      </c>
      <c r="C285" s="79">
        <v>0.25</v>
      </c>
      <c r="D285" s="79">
        <f t="shared" si="49"/>
        <v>0.27280152836623156</v>
      </c>
      <c r="E285" s="49">
        <v>46750</v>
      </c>
      <c r="F285" s="49">
        <v>45100</v>
      </c>
      <c r="G285" s="49">
        <v>5969782550</v>
      </c>
      <c r="H285" s="49">
        <f t="shared" si="50"/>
        <v>0.29929771677029099</v>
      </c>
      <c r="I285" s="49">
        <f t="shared" si="56"/>
        <v>0.29929771677029099</v>
      </c>
      <c r="J285" s="48">
        <v>0.25</v>
      </c>
      <c r="K285" s="48">
        <f t="shared" si="51"/>
        <v>0.21515156986667411</v>
      </c>
      <c r="L285" s="48">
        <v>202500</v>
      </c>
      <c r="M285" s="48">
        <v>204500</v>
      </c>
      <c r="N285" s="51">
        <v>125461438</v>
      </c>
      <c r="O285" s="48">
        <f t="shared" si="52"/>
        <v>2.4770376326489298</v>
      </c>
      <c r="P285" s="48">
        <f t="shared" si="57"/>
        <v>2.4770376326489298</v>
      </c>
      <c r="Q285" s="49">
        <v>0.5</v>
      </c>
      <c r="R285" s="49">
        <f t="shared" si="53"/>
        <v>0.51204690176709444</v>
      </c>
      <c r="S285" s="49">
        <v>277300</v>
      </c>
      <c r="T285" s="49">
        <v>277800</v>
      </c>
      <c r="U285" s="49">
        <v>15956260</v>
      </c>
      <c r="V285" s="49">
        <f t="shared" si="54"/>
        <v>34.122281047785798</v>
      </c>
      <c r="W285" s="49">
        <f t="shared" si="58"/>
        <v>34.122281047785798</v>
      </c>
      <c r="X285" s="82">
        <f>IF(Z284&lt;&gt;(E285*G285*H285+L285*N285*O285+S285*U285*V285),1,0)</f>
        <v>0</v>
      </c>
      <c r="Y285" s="82">
        <f>IF(AND(X285=0,B285="N"),Y284,Y284*(E285*G285*I285+L285*N285*P285+S285*U285*W285)/Z284)</f>
        <v>239394183448972.72</v>
      </c>
      <c r="Z285" s="81">
        <f t="shared" si="59"/>
        <v>295387190895274.37</v>
      </c>
      <c r="AA285" s="80">
        <f t="shared" si="48"/>
        <v>1233.8946027827642</v>
      </c>
      <c r="AB285" s="52">
        <f t="shared" si="55"/>
        <v>-6.9067265600965605E-3</v>
      </c>
      <c r="AC285" s="48">
        <f>(F285-E285)/E285</f>
        <v>-3.5294117647058823E-2</v>
      </c>
      <c r="AD285" s="48">
        <f>(M285-L285)/L285</f>
        <v>9.876543209876543E-3</v>
      </c>
      <c r="AE285" s="48">
        <f>(T285-S285)/S285</f>
        <v>1.8031013342949874E-3</v>
      </c>
      <c r="AF285" s="48" t="e">
        <f>(#REF!-#REF!)/#REF!</f>
        <v>#REF!</v>
      </c>
    </row>
    <row r="286" spans="1:32" x14ac:dyDescent="0.3">
      <c r="A286" s="48">
        <v>20190304</v>
      </c>
      <c r="B286" s="48" t="s">
        <v>88</v>
      </c>
      <c r="C286" s="79">
        <v>0.25</v>
      </c>
      <c r="D286" s="79">
        <f t="shared" si="49"/>
        <v>0.26451614236315873</v>
      </c>
      <c r="E286" s="49">
        <v>45100</v>
      </c>
      <c r="F286" s="49">
        <v>44850</v>
      </c>
      <c r="G286" s="49">
        <v>5969782550</v>
      </c>
      <c r="H286" s="49">
        <f t="shared" si="50"/>
        <v>0.29929771677029099</v>
      </c>
      <c r="I286" s="49">
        <f t="shared" si="56"/>
        <v>0.29929771677029099</v>
      </c>
      <c r="J286" s="48">
        <v>0.25</v>
      </c>
      <c r="K286" s="48">
        <f t="shared" si="51"/>
        <v>0.21285741507514455</v>
      </c>
      <c r="L286" s="48">
        <v>204500</v>
      </c>
      <c r="M286" s="48">
        <v>207500</v>
      </c>
      <c r="N286" s="51">
        <v>125461438</v>
      </c>
      <c r="O286" s="48">
        <f t="shared" si="52"/>
        <v>2.4770376326489298</v>
      </c>
      <c r="P286" s="48">
        <f t="shared" si="57"/>
        <v>2.4770376326489298</v>
      </c>
      <c r="Q286" s="49">
        <v>0.5</v>
      </c>
      <c r="R286" s="49">
        <f t="shared" si="53"/>
        <v>0.52262644256169677</v>
      </c>
      <c r="S286" s="49">
        <v>277800</v>
      </c>
      <c r="T286" s="49">
        <v>290800</v>
      </c>
      <c r="U286" s="49">
        <v>15956260</v>
      </c>
      <c r="V286" s="49">
        <f t="shared" si="54"/>
        <v>34.122281047785798</v>
      </c>
      <c r="W286" s="49">
        <f t="shared" si="58"/>
        <v>34.122281047785798</v>
      </c>
      <c r="X286" s="82">
        <f>IF(Z285&lt;&gt;(E286*G286*H286+L286*N286*O286+S286*U286*V286),1,0)</f>
        <v>0</v>
      </c>
      <c r="Y286" s="82">
        <f>IF(AND(X286=0,B286="N"),Y285,Y285*(E286*G286*I286+L286*N286*P286+S286*U286*W286)/Z285)</f>
        <v>239394183448972.72</v>
      </c>
      <c r="Z286" s="81">
        <f t="shared" si="59"/>
        <v>302950855280173.69</v>
      </c>
      <c r="AA286" s="80">
        <f t="shared" si="48"/>
        <v>1265.489624332281</v>
      </c>
      <c r="AB286" s="52">
        <f t="shared" si="55"/>
        <v>2.5605932207063323E-2</v>
      </c>
      <c r="AC286" s="48">
        <f>(F286-E286)/E286</f>
        <v>-5.5432372505543242E-3</v>
      </c>
      <c r="AD286" s="48">
        <f>(M286-L286)/L286</f>
        <v>1.4669926650366748E-2</v>
      </c>
      <c r="AE286" s="48">
        <f>(T286-S286)/S286</f>
        <v>4.679625629949604E-2</v>
      </c>
      <c r="AF286" s="48" t="e">
        <f>(#REF!-#REF!)/#REF!</f>
        <v>#REF!</v>
      </c>
    </row>
    <row r="287" spans="1:32" x14ac:dyDescent="0.3">
      <c r="A287" s="48">
        <v>20190305</v>
      </c>
      <c r="B287" s="48" t="s">
        <v>88</v>
      </c>
      <c r="C287" s="79">
        <v>0.25</v>
      </c>
      <c r="D287" s="79">
        <f t="shared" si="49"/>
        <v>0.25789160444738174</v>
      </c>
      <c r="E287" s="49">
        <v>44850</v>
      </c>
      <c r="F287" s="49">
        <v>44250</v>
      </c>
      <c r="G287" s="49">
        <v>5969782550</v>
      </c>
      <c r="H287" s="49">
        <f t="shared" si="50"/>
        <v>0.29929771677029099</v>
      </c>
      <c r="I287" s="49">
        <f t="shared" si="56"/>
        <v>0.29929771677029099</v>
      </c>
      <c r="J287" s="48">
        <v>0.25</v>
      </c>
      <c r="K287" s="48">
        <f t="shared" si="51"/>
        <v>0.21287476105822309</v>
      </c>
      <c r="L287" s="48">
        <v>207500</v>
      </c>
      <c r="M287" s="48">
        <v>210000</v>
      </c>
      <c r="N287" s="51">
        <v>125461438</v>
      </c>
      <c r="O287" s="48">
        <f t="shared" si="52"/>
        <v>2.4770376326489298</v>
      </c>
      <c r="P287" s="48">
        <f t="shared" si="57"/>
        <v>2.4770376326489298</v>
      </c>
      <c r="Q287" s="49">
        <v>0.5</v>
      </c>
      <c r="R287" s="49">
        <f t="shared" si="53"/>
        <v>0.52923363449439509</v>
      </c>
      <c r="S287" s="49">
        <v>290800</v>
      </c>
      <c r="T287" s="49">
        <v>298000</v>
      </c>
      <c r="U287" s="49">
        <v>15956260</v>
      </c>
      <c r="V287" s="49">
        <f t="shared" si="54"/>
        <v>34.122281047785798</v>
      </c>
      <c r="W287" s="49">
        <f t="shared" si="58"/>
        <v>34.122281047785798</v>
      </c>
      <c r="X287" s="82">
        <f>IF(Z286&lt;&gt;(E287*G287*H287+L287*N287*O287+S287*U287*V287),1,0)</f>
        <v>0</v>
      </c>
      <c r="Y287" s="82">
        <f>IF(AND(X287=0,B287="N"),Y286,Y286*(E287*G287*I287+L287*N287*P287+S287*U287*W287)/Z286)</f>
        <v>239394183448972.72</v>
      </c>
      <c r="Z287" s="81">
        <f t="shared" si="59"/>
        <v>306575882381485.37</v>
      </c>
      <c r="AA287" s="80">
        <f t="shared" si="48"/>
        <v>1280.6321271662498</v>
      </c>
      <c r="AB287" s="52">
        <f t="shared" si="55"/>
        <v>1.1965726579511518E-2</v>
      </c>
      <c r="AC287" s="48">
        <f>(F287-E287)/E287</f>
        <v>-1.3377926421404682E-2</v>
      </c>
      <c r="AD287" s="48">
        <f>(M287-L287)/L287</f>
        <v>1.2048192771084338E-2</v>
      </c>
      <c r="AE287" s="48">
        <f>(T287-S287)/S287</f>
        <v>2.4759284731774415E-2</v>
      </c>
      <c r="AF287" s="48" t="e">
        <f>(#REF!-#REF!)/#REF!</f>
        <v>#REF!</v>
      </c>
    </row>
    <row r="288" spans="1:32" x14ac:dyDescent="0.3">
      <c r="A288" s="48">
        <v>20190306</v>
      </c>
      <c r="B288" s="48" t="s">
        <v>88</v>
      </c>
      <c r="C288" s="79">
        <v>0.25</v>
      </c>
      <c r="D288" s="79">
        <f t="shared" si="49"/>
        <v>0.25673078160010093</v>
      </c>
      <c r="E288" s="49">
        <v>44250</v>
      </c>
      <c r="F288" s="49">
        <v>44000</v>
      </c>
      <c r="G288" s="49">
        <v>5969782550</v>
      </c>
      <c r="H288" s="49">
        <f t="shared" si="50"/>
        <v>0.29929771677029099</v>
      </c>
      <c r="I288" s="49">
        <f t="shared" si="56"/>
        <v>0.29929771677029099</v>
      </c>
      <c r="J288" s="48">
        <v>0.25</v>
      </c>
      <c r="K288" s="48">
        <f t="shared" si="51"/>
        <v>0.21413549982757307</v>
      </c>
      <c r="L288" s="48">
        <v>210000</v>
      </c>
      <c r="M288" s="48">
        <v>211000</v>
      </c>
      <c r="N288" s="51">
        <v>125461438</v>
      </c>
      <c r="O288" s="48">
        <f t="shared" si="52"/>
        <v>2.4770376326489298</v>
      </c>
      <c r="P288" s="48">
        <f t="shared" si="57"/>
        <v>2.4770376326489298</v>
      </c>
      <c r="Q288" s="49">
        <v>0.5</v>
      </c>
      <c r="R288" s="49">
        <f t="shared" si="53"/>
        <v>0.52913371857232583</v>
      </c>
      <c r="S288" s="49">
        <v>298000</v>
      </c>
      <c r="T288" s="49">
        <v>297600</v>
      </c>
      <c r="U288" s="49">
        <v>15956260</v>
      </c>
      <c r="V288" s="49">
        <f t="shared" si="54"/>
        <v>34.122281047785798</v>
      </c>
      <c r="W288" s="49">
        <f t="shared" si="58"/>
        <v>34.122281047785798</v>
      </c>
      <c r="X288" s="82">
        <f>IF(Z287&lt;&gt;(E288*G288*H288+L288*N288*O288+S288*U288*V288),1,0)</f>
        <v>0</v>
      </c>
      <c r="Y288" s="82">
        <f>IF(AND(X288=0,B288="N"),Y287,Y287*(E288*G288*I288+L288*N288*P288+S288*U288*W288)/Z287)</f>
        <v>239394183448972.72</v>
      </c>
      <c r="Z288" s="81">
        <f t="shared" si="59"/>
        <v>306222183917873.5</v>
      </c>
      <c r="AA288" s="80">
        <f t="shared" si="48"/>
        <v>1279.1546540776556</v>
      </c>
      <c r="AB288" s="52">
        <f t="shared" si="55"/>
        <v>-1.1537060934614896E-3</v>
      </c>
      <c r="AC288" s="48">
        <f>(F288-E288)/E288</f>
        <v>-5.6497175141242938E-3</v>
      </c>
      <c r="AD288" s="48">
        <f>(M288-L288)/L288</f>
        <v>4.7619047619047623E-3</v>
      </c>
      <c r="AE288" s="48">
        <f>(T288-S288)/S288</f>
        <v>-1.3422818791946308E-3</v>
      </c>
      <c r="AF288" s="48" t="e">
        <f>(#REF!-#REF!)/#REF!</f>
        <v>#REF!</v>
      </c>
    </row>
    <row r="289" spans="1:32" x14ac:dyDescent="0.3">
      <c r="A289" s="48">
        <v>20190307</v>
      </c>
      <c r="B289" s="48" t="s">
        <v>88</v>
      </c>
      <c r="C289" s="79">
        <v>0.25</v>
      </c>
      <c r="D289" s="79">
        <f t="shared" si="49"/>
        <v>0.26617439517349356</v>
      </c>
      <c r="E289" s="49">
        <v>44000</v>
      </c>
      <c r="F289" s="49">
        <v>44450</v>
      </c>
      <c r="G289" s="49">
        <v>5969782550</v>
      </c>
      <c r="H289" s="49">
        <f t="shared" si="50"/>
        <v>0.29929771677029099</v>
      </c>
      <c r="I289" s="49">
        <f t="shared" si="56"/>
        <v>0.29929771677029099</v>
      </c>
      <c r="J289" s="48">
        <v>0.25</v>
      </c>
      <c r="K289" s="48">
        <f t="shared" si="51"/>
        <v>0.21559853513432195</v>
      </c>
      <c r="L289" s="48">
        <v>211000</v>
      </c>
      <c r="M289" s="48">
        <v>207000</v>
      </c>
      <c r="N289" s="51">
        <v>125461438</v>
      </c>
      <c r="O289" s="48">
        <f t="shared" si="52"/>
        <v>2.4770376326489298</v>
      </c>
      <c r="P289" s="48">
        <f t="shared" si="57"/>
        <v>2.4770376326489298</v>
      </c>
      <c r="Q289" s="49">
        <v>0.5</v>
      </c>
      <c r="R289" s="49">
        <f t="shared" si="53"/>
        <v>0.51822706969218457</v>
      </c>
      <c r="S289" s="49">
        <v>297600</v>
      </c>
      <c r="T289" s="49">
        <v>284000</v>
      </c>
      <c r="U289" s="49">
        <v>15956260</v>
      </c>
      <c r="V289" s="49">
        <f t="shared" si="54"/>
        <v>34.122281047785798</v>
      </c>
      <c r="W289" s="49">
        <f t="shared" si="58"/>
        <v>34.122281047785798</v>
      </c>
      <c r="X289" s="82">
        <f>IF(Z288&lt;&gt;(E289*G289*H289+L289*N289*O289+S289*U289*V289),1,0)</f>
        <v>0</v>
      </c>
      <c r="Y289" s="82">
        <f>IF(AND(X289=0,B289="N"),Y288,Y288*(E289*G289*I289+L289*N289*P289+S289*U289*W289)/Z288)</f>
        <v>239394183448972.72</v>
      </c>
      <c r="Z289" s="81">
        <f t="shared" si="59"/>
        <v>298378416894053</v>
      </c>
      <c r="AA289" s="80">
        <f t="shared" si="48"/>
        <v>1246.3895847229426</v>
      </c>
      <c r="AB289" s="52">
        <f t="shared" si="55"/>
        <v>-2.5614627011882694E-2</v>
      </c>
      <c r="AC289" s="48">
        <f>(F289-E289)/E289</f>
        <v>1.0227272727272727E-2</v>
      </c>
      <c r="AD289" s="48">
        <f>(M289-L289)/L289</f>
        <v>-1.8957345971563982E-2</v>
      </c>
      <c r="AE289" s="48">
        <f>(T289-S289)/S289</f>
        <v>-4.5698924731182797E-2</v>
      </c>
      <c r="AF289" s="48" t="e">
        <f>(#REF!-#REF!)/#REF!</f>
        <v>#REF!</v>
      </c>
    </row>
    <row r="290" spans="1:32" x14ac:dyDescent="0.3">
      <c r="A290" s="48">
        <v>20190308</v>
      </c>
      <c r="B290" s="48" t="s">
        <v>88</v>
      </c>
      <c r="C290" s="79">
        <v>0.25</v>
      </c>
      <c r="D290" s="79">
        <f t="shared" si="49"/>
        <v>0.26479651228886986</v>
      </c>
      <c r="E290" s="49">
        <v>44450</v>
      </c>
      <c r="F290" s="49">
        <v>43800</v>
      </c>
      <c r="G290" s="49">
        <v>5969782550</v>
      </c>
      <c r="H290" s="49">
        <f t="shared" si="50"/>
        <v>0.29929771677029099</v>
      </c>
      <c r="I290" s="49">
        <f t="shared" si="56"/>
        <v>0.29929771677029099</v>
      </c>
      <c r="J290" s="48">
        <v>0.25</v>
      </c>
      <c r="K290" s="48">
        <f t="shared" si="51"/>
        <v>0.21661389926318039</v>
      </c>
      <c r="L290" s="48">
        <v>207000</v>
      </c>
      <c r="M290" s="48">
        <v>206000</v>
      </c>
      <c r="N290" s="51">
        <v>125461438</v>
      </c>
      <c r="O290" s="48">
        <f t="shared" si="52"/>
        <v>2.4770376326489298</v>
      </c>
      <c r="P290" s="48">
        <f t="shared" si="57"/>
        <v>2.4770376326489298</v>
      </c>
      <c r="Q290" s="49">
        <v>0.5</v>
      </c>
      <c r="R290" s="49">
        <f t="shared" si="53"/>
        <v>0.51858958844794967</v>
      </c>
      <c r="S290" s="49">
        <v>284000</v>
      </c>
      <c r="T290" s="49">
        <v>281500</v>
      </c>
      <c r="U290" s="49">
        <v>15956260</v>
      </c>
      <c r="V290" s="49">
        <f t="shared" si="54"/>
        <v>34.122281047785798</v>
      </c>
      <c r="W290" s="49">
        <f t="shared" si="58"/>
        <v>34.122281047785798</v>
      </c>
      <c r="X290" s="82">
        <f>IF(Z289&lt;&gt;(E290*G290*H290+L290*N290*O290+S290*U290*V290),1,0)</f>
        <v>0</v>
      </c>
      <c r="Y290" s="82">
        <f>IF(AND(X290=0,B290="N"),Y289,Y289*(E290*G290*I290+L290*N290*P290+S290*U290*W290)/Z289)</f>
        <v>239394183448972.72</v>
      </c>
      <c r="Z290" s="81">
        <f t="shared" si="59"/>
        <v>295545101733762.37</v>
      </c>
      <c r="AA290" s="80">
        <f t="shared" si="48"/>
        <v>1234.5542296634719</v>
      </c>
      <c r="AB290" s="52">
        <f t="shared" si="55"/>
        <v>-9.4957108150911865E-3</v>
      </c>
      <c r="AC290" s="48">
        <f>(F290-E290)/E290</f>
        <v>-1.4623172103487065E-2</v>
      </c>
      <c r="AD290" s="48">
        <f>(M290-L290)/L290</f>
        <v>-4.830917874396135E-3</v>
      </c>
      <c r="AE290" s="48">
        <f>(T290-S290)/S290</f>
        <v>-8.8028169014084511E-3</v>
      </c>
      <c r="AF290" s="48" t="e">
        <f>(#REF!-#REF!)/#REF!</f>
        <v>#REF!</v>
      </c>
    </row>
    <row r="291" spans="1:32" x14ac:dyDescent="0.3">
      <c r="A291" s="48">
        <v>20190311</v>
      </c>
      <c r="B291" s="48" t="s">
        <v>88</v>
      </c>
      <c r="C291" s="79">
        <v>0.25</v>
      </c>
      <c r="D291" s="79">
        <f t="shared" si="49"/>
        <v>0.26122507464894201</v>
      </c>
      <c r="E291" s="49">
        <v>43800</v>
      </c>
      <c r="F291" s="49">
        <v>43650</v>
      </c>
      <c r="G291" s="49">
        <v>5969782550</v>
      </c>
      <c r="H291" s="49">
        <f t="shared" si="50"/>
        <v>0.29929771677029099</v>
      </c>
      <c r="I291" s="49">
        <f t="shared" si="56"/>
        <v>0.29929771677029099</v>
      </c>
      <c r="J291" s="48">
        <v>0.25</v>
      </c>
      <c r="K291" s="48">
        <f t="shared" si="51"/>
        <v>0.21338575540650243</v>
      </c>
      <c r="L291" s="48">
        <v>206000</v>
      </c>
      <c r="M291" s="48">
        <v>205000</v>
      </c>
      <c r="N291" s="51">
        <v>125461438</v>
      </c>
      <c r="O291" s="48">
        <f t="shared" si="52"/>
        <v>2.4770376326489298</v>
      </c>
      <c r="P291" s="48">
        <f t="shared" si="57"/>
        <v>2.4770376326489298</v>
      </c>
      <c r="Q291" s="49">
        <v>0.5</v>
      </c>
      <c r="R291" s="49">
        <f t="shared" si="53"/>
        <v>0.52538916994455565</v>
      </c>
      <c r="S291" s="49">
        <v>281500</v>
      </c>
      <c r="T291" s="49">
        <v>288100</v>
      </c>
      <c r="U291" s="49">
        <v>15956260</v>
      </c>
      <c r="V291" s="49">
        <f t="shared" si="54"/>
        <v>34.122281047785798</v>
      </c>
      <c r="W291" s="49">
        <f t="shared" si="58"/>
        <v>34.122281047785798</v>
      </c>
      <c r="X291" s="82">
        <f>IF(Z290&lt;&gt;(E291*G291*H291+L291*N291*O291+S291*U291*V291),1,0)</f>
        <v>0</v>
      </c>
      <c r="Y291" s="82">
        <f>IF(AND(X291=0,B291="N"),Y290,Y290*(E291*G291*I291+L291*N291*P291+S291*U291*W291)/Z290)</f>
        <v>239394183448972.72</v>
      </c>
      <c r="Z291" s="81">
        <f t="shared" si="59"/>
        <v>298559780009429.75</v>
      </c>
      <c r="AA291" s="80">
        <f t="shared" si="48"/>
        <v>1247.1471767110343</v>
      </c>
      <c r="AB291" s="52">
        <f t="shared" si="55"/>
        <v>1.0200400067476233E-2</v>
      </c>
      <c r="AC291" s="48">
        <f>(F291-E291)/E291</f>
        <v>-3.4246575342465752E-3</v>
      </c>
      <c r="AD291" s="48">
        <f>(M291-L291)/L291</f>
        <v>-4.8543689320388345E-3</v>
      </c>
      <c r="AE291" s="48">
        <f>(T291-S291)/S291</f>
        <v>2.3445825932504442E-2</v>
      </c>
      <c r="AF291" s="48" t="e">
        <f>(#REF!-#REF!)/#REF!</f>
        <v>#REF!</v>
      </c>
    </row>
    <row r="292" spans="1:32" x14ac:dyDescent="0.3">
      <c r="A292" s="48">
        <v>20190312</v>
      </c>
      <c r="B292" s="48" t="s">
        <v>88</v>
      </c>
      <c r="C292" s="79">
        <v>0.25</v>
      </c>
      <c r="D292" s="79">
        <f t="shared" si="49"/>
        <v>0.25827713195964358</v>
      </c>
      <c r="E292" s="49">
        <v>43650</v>
      </c>
      <c r="F292" s="49">
        <v>44650</v>
      </c>
      <c r="G292" s="49">
        <v>5969782550</v>
      </c>
      <c r="H292" s="49">
        <f t="shared" si="50"/>
        <v>0.29929771677029099</v>
      </c>
      <c r="I292" s="49">
        <f t="shared" si="56"/>
        <v>0.29929771677029099</v>
      </c>
      <c r="J292" s="48">
        <v>0.25</v>
      </c>
      <c r="K292" s="48">
        <f t="shared" si="51"/>
        <v>0.21027697838913711</v>
      </c>
      <c r="L292" s="48">
        <v>205000</v>
      </c>
      <c r="M292" s="48">
        <v>209000</v>
      </c>
      <c r="N292" s="51">
        <v>125461438</v>
      </c>
      <c r="O292" s="48">
        <f t="shared" si="52"/>
        <v>2.4770376326489298</v>
      </c>
      <c r="P292" s="48">
        <f t="shared" si="57"/>
        <v>2.4770376326489298</v>
      </c>
      <c r="Q292" s="49">
        <v>0.5</v>
      </c>
      <c r="R292" s="49">
        <f t="shared" si="53"/>
        <v>0.53144588965121931</v>
      </c>
      <c r="S292" s="49">
        <v>288100</v>
      </c>
      <c r="T292" s="49">
        <v>301500</v>
      </c>
      <c r="U292" s="49">
        <v>15956260</v>
      </c>
      <c r="V292" s="49">
        <f t="shared" si="54"/>
        <v>34.122281047785798</v>
      </c>
      <c r="W292" s="49">
        <f t="shared" si="58"/>
        <v>34.122281047785798</v>
      </c>
      <c r="X292" s="82">
        <f>IF(Z291&lt;&gt;(E292*G292*H292+L292*N292*O292+S292*U292*V292),1,0)</f>
        <v>0</v>
      </c>
      <c r="Y292" s="82">
        <f>IF(AND(X292=0,B292="N"),Y291,Y291*(E292*G292*I292+L292*N292*P292+S292*U292*W292)/Z291)</f>
        <v>239394183448972.72</v>
      </c>
      <c r="Z292" s="81">
        <f t="shared" si="59"/>
        <v>308885430551515.56</v>
      </c>
      <c r="AA292" s="80">
        <f t="shared" si="48"/>
        <v>1290.2795970285345</v>
      </c>
      <c r="AB292" s="52">
        <f t="shared" si="55"/>
        <v>3.4584867867198027E-2</v>
      </c>
      <c r="AC292" s="48">
        <f>(F292-E292)/E292</f>
        <v>2.2909507445589918E-2</v>
      </c>
      <c r="AD292" s="48">
        <f>(M292-L292)/L292</f>
        <v>1.9512195121951219E-2</v>
      </c>
      <c r="AE292" s="48">
        <f>(T292-S292)/S292</f>
        <v>4.6511627906976744E-2</v>
      </c>
      <c r="AF292" s="48" t="e">
        <f>(#REF!-#REF!)/#REF!</f>
        <v>#REF!</v>
      </c>
    </row>
    <row r="293" spans="1:32" x14ac:dyDescent="0.3">
      <c r="A293" s="48">
        <v>20190313</v>
      </c>
      <c r="B293" s="48" t="s">
        <v>88</v>
      </c>
      <c r="C293" s="79">
        <v>0.25</v>
      </c>
      <c r="D293" s="79">
        <f t="shared" si="49"/>
        <v>0.25046269646638303</v>
      </c>
      <c r="E293" s="49">
        <v>44650</v>
      </c>
      <c r="F293" s="49">
        <v>43850</v>
      </c>
      <c r="G293" s="49">
        <v>5969782550</v>
      </c>
      <c r="H293" s="49">
        <f t="shared" si="50"/>
        <v>0.29929771677029099</v>
      </c>
      <c r="I293" s="49">
        <f t="shared" si="56"/>
        <v>0.29929771677029099</v>
      </c>
      <c r="J293" s="48">
        <v>0.25</v>
      </c>
      <c r="K293" s="48">
        <f t="shared" si="51"/>
        <v>0.20614485729431734</v>
      </c>
      <c r="L293" s="48">
        <v>209000</v>
      </c>
      <c r="M293" s="48">
        <v>207500</v>
      </c>
      <c r="N293" s="51">
        <v>125461438</v>
      </c>
      <c r="O293" s="48">
        <f t="shared" si="52"/>
        <v>2.4770376326489298</v>
      </c>
      <c r="P293" s="48">
        <f t="shared" si="57"/>
        <v>2.4770376326489298</v>
      </c>
      <c r="Q293" s="49">
        <v>0.5</v>
      </c>
      <c r="R293" s="49">
        <f t="shared" si="53"/>
        <v>0.54339244623929961</v>
      </c>
      <c r="S293" s="49">
        <v>301500</v>
      </c>
      <c r="T293" s="49">
        <v>312200</v>
      </c>
      <c r="U293" s="49">
        <v>15956260</v>
      </c>
      <c r="V293" s="49">
        <f t="shared" si="54"/>
        <v>34.122281047785798</v>
      </c>
      <c r="W293" s="49">
        <f t="shared" si="58"/>
        <v>34.122281047785798</v>
      </c>
      <c r="X293" s="82">
        <f>IF(Z292&lt;&gt;(E293*G293*H293+L293*N293*O293+S293*U293*V293),1,0)</f>
        <v>0</v>
      </c>
      <c r="Y293" s="82">
        <f>IF(AND(X293=0,B293="N"),Y292,Y292*(E293*G293*I293+L293*N293*P293+S293*U293*W293)/Z292)</f>
        <v>239394183448972.72</v>
      </c>
      <c r="Z293" s="81">
        <f t="shared" si="59"/>
        <v>312815642340642.56</v>
      </c>
      <c r="AA293" s="80">
        <f t="shared" si="48"/>
        <v>1306.69692067652</v>
      </c>
      <c r="AB293" s="52">
        <f t="shared" si="55"/>
        <v>1.2723849687923471E-2</v>
      </c>
      <c r="AC293" s="48">
        <f>(F293-E293)/E293</f>
        <v>-1.7917133258678612E-2</v>
      </c>
      <c r="AD293" s="48">
        <f>(M293-L293)/L293</f>
        <v>-7.1770334928229667E-3</v>
      </c>
      <c r="AE293" s="48">
        <f>(T293-S293)/S293</f>
        <v>3.5489220563847429E-2</v>
      </c>
      <c r="AF293" s="48" t="e">
        <f>(#REF!-#REF!)/#REF!</f>
        <v>#REF!</v>
      </c>
    </row>
    <row r="294" spans="1:32" x14ac:dyDescent="0.3">
      <c r="A294" s="48">
        <v>20190314</v>
      </c>
      <c r="B294" s="48" t="s">
        <v>88</v>
      </c>
      <c r="C294" s="79">
        <v>0.25</v>
      </c>
      <c r="D294" s="79">
        <f t="shared" si="49"/>
        <v>0.2532200214725574</v>
      </c>
      <c r="E294" s="49">
        <v>43850</v>
      </c>
      <c r="F294" s="49">
        <v>43850</v>
      </c>
      <c r="G294" s="49">
        <v>5969782550</v>
      </c>
      <c r="H294" s="49">
        <f t="shared" si="50"/>
        <v>0.29929771677029099</v>
      </c>
      <c r="I294" s="49">
        <f t="shared" si="56"/>
        <v>0.29929771677029099</v>
      </c>
      <c r="J294" s="48">
        <v>0.25</v>
      </c>
      <c r="K294" s="48">
        <f t="shared" si="51"/>
        <v>0.20690768120979525</v>
      </c>
      <c r="L294" s="48">
        <v>207500</v>
      </c>
      <c r="M294" s="48">
        <v>206000</v>
      </c>
      <c r="N294" s="51">
        <v>125461438</v>
      </c>
      <c r="O294" s="48">
        <f t="shared" si="52"/>
        <v>2.4770376326489298</v>
      </c>
      <c r="P294" s="48">
        <f t="shared" si="57"/>
        <v>2.4770376326489298</v>
      </c>
      <c r="Q294" s="49">
        <v>0.5</v>
      </c>
      <c r="R294" s="49">
        <f t="shared" si="53"/>
        <v>0.53987229731764741</v>
      </c>
      <c r="S294" s="49">
        <v>312200</v>
      </c>
      <c r="T294" s="49">
        <v>306800</v>
      </c>
      <c r="U294" s="49">
        <v>15956260</v>
      </c>
      <c r="V294" s="49">
        <f t="shared" si="54"/>
        <v>34.122281047785798</v>
      </c>
      <c r="W294" s="49">
        <f t="shared" si="58"/>
        <v>34.122281047785798</v>
      </c>
      <c r="X294" s="82">
        <f>IF(Z293&lt;&gt;(E294*G294*H294+L294*N294*O294+S294*U294*V294),1,0)</f>
        <v>0</v>
      </c>
      <c r="Y294" s="82">
        <f>IF(AND(X294=0,B294="N"),Y293,Y293*(E294*G294*I294+L294*N294*P294+S294*U294*W294)/Z293)</f>
        <v>239394183448972.72</v>
      </c>
      <c r="Z294" s="81">
        <f t="shared" si="59"/>
        <v>309409377749349.87</v>
      </c>
      <c r="AA294" s="80">
        <f t="shared" si="48"/>
        <v>1292.468234990768</v>
      </c>
      <c r="AB294" s="52">
        <f t="shared" si="55"/>
        <v>-1.0889048149271935E-2</v>
      </c>
      <c r="AC294" s="48">
        <f>(F294-E294)/E294</f>
        <v>0</v>
      </c>
      <c r="AD294" s="48">
        <f>(M294-L294)/L294</f>
        <v>-7.2289156626506026E-3</v>
      </c>
      <c r="AE294" s="48">
        <f>(T294-S294)/S294</f>
        <v>-1.729660474055093E-2</v>
      </c>
      <c r="AF294" s="48" t="e">
        <f>(#REF!-#REF!)/#REF!</f>
        <v>#REF!</v>
      </c>
    </row>
    <row r="295" spans="1:32" x14ac:dyDescent="0.3">
      <c r="A295" s="48">
        <v>20190315</v>
      </c>
      <c r="B295" s="48" t="s">
        <v>88</v>
      </c>
      <c r="C295" s="79">
        <v>0.25</v>
      </c>
      <c r="D295" s="79">
        <f t="shared" si="49"/>
        <v>0.25608102384186038</v>
      </c>
      <c r="E295" s="49">
        <v>43850</v>
      </c>
      <c r="F295" s="49">
        <v>44200</v>
      </c>
      <c r="G295" s="49">
        <v>5969782550</v>
      </c>
      <c r="H295" s="49">
        <f t="shared" si="50"/>
        <v>0.29929771677029099</v>
      </c>
      <c r="I295" s="49">
        <f t="shared" si="56"/>
        <v>0.29929771677029099</v>
      </c>
      <c r="J295" s="48">
        <v>0.25</v>
      </c>
      <c r="K295" s="48">
        <f t="shared" si="51"/>
        <v>0.20456537001413755</v>
      </c>
      <c r="L295" s="48">
        <v>206000</v>
      </c>
      <c r="M295" s="48">
        <v>203000</v>
      </c>
      <c r="N295" s="51">
        <v>125461438</v>
      </c>
      <c r="O295" s="48">
        <f t="shared" si="52"/>
        <v>2.4770376326489298</v>
      </c>
      <c r="P295" s="48">
        <f t="shared" si="57"/>
        <v>2.4770376326489298</v>
      </c>
      <c r="Q295" s="49">
        <v>0.5</v>
      </c>
      <c r="R295" s="49">
        <f t="shared" si="53"/>
        <v>0.53935360614400207</v>
      </c>
      <c r="S295" s="49">
        <v>306800</v>
      </c>
      <c r="T295" s="49">
        <v>305500</v>
      </c>
      <c r="U295" s="49">
        <v>15956260</v>
      </c>
      <c r="V295" s="49">
        <f t="shared" si="54"/>
        <v>34.122281047785798</v>
      </c>
      <c r="W295" s="49">
        <f t="shared" si="58"/>
        <v>34.122281047785798</v>
      </c>
      <c r="X295" s="82">
        <f>IF(Z294&lt;&gt;(E295*G295*H295+L295*N295*O295+S295*U295*V295),1,0)</f>
        <v>0</v>
      </c>
      <c r="Y295" s="82">
        <f>IF(AND(X295=0,B295="N"),Y294,Y294*(E295*G295*I295+L295*N295*P295+S295*U295*W295)/Z294)</f>
        <v>239394183448972.72</v>
      </c>
      <c r="Z295" s="81">
        <f t="shared" si="59"/>
        <v>308394616254974.69</v>
      </c>
      <c r="AA295" s="80">
        <f t="shared" si="48"/>
        <v>1288.2293621837705</v>
      </c>
      <c r="AB295" s="52">
        <f t="shared" si="55"/>
        <v>-3.279672716310729E-3</v>
      </c>
      <c r="AC295" s="48">
        <f>(F295-E295)/E295</f>
        <v>7.98175598631699E-3</v>
      </c>
      <c r="AD295" s="48">
        <f>(M295-L295)/L295</f>
        <v>-1.4563106796116505E-2</v>
      </c>
      <c r="AE295" s="48">
        <f>(T295-S295)/S295</f>
        <v>-4.2372881355932203E-3</v>
      </c>
      <c r="AF295" s="48" t="e">
        <f>(#REF!-#REF!)/#REF!</f>
        <v>#REF!</v>
      </c>
    </row>
    <row r="296" spans="1:32" x14ac:dyDescent="0.3">
      <c r="A296" s="48">
        <v>20190318</v>
      </c>
      <c r="B296" s="48" t="s">
        <v>88</v>
      </c>
      <c r="C296" s="79">
        <v>0.25</v>
      </c>
      <c r="D296" s="79">
        <f t="shared" si="49"/>
        <v>0.25721778771240544</v>
      </c>
      <c r="E296" s="49">
        <v>44200</v>
      </c>
      <c r="F296" s="49">
        <v>43700</v>
      </c>
      <c r="G296" s="49">
        <v>5969782550</v>
      </c>
      <c r="H296" s="49">
        <f t="shared" si="50"/>
        <v>0.29929771677029099</v>
      </c>
      <c r="I296" s="49">
        <f t="shared" si="56"/>
        <v>0.29929771677029099</v>
      </c>
      <c r="J296" s="48">
        <v>0.25</v>
      </c>
      <c r="K296" s="48">
        <f t="shared" si="51"/>
        <v>0.20577687555894222</v>
      </c>
      <c r="L296" s="48">
        <v>203000</v>
      </c>
      <c r="M296" s="48">
        <v>201000</v>
      </c>
      <c r="N296" s="51">
        <v>125461438</v>
      </c>
      <c r="O296" s="48">
        <f t="shared" si="52"/>
        <v>2.4770376326489298</v>
      </c>
      <c r="P296" s="48">
        <f t="shared" si="57"/>
        <v>2.4770376326489298</v>
      </c>
      <c r="Q296" s="49">
        <v>0.5</v>
      </c>
      <c r="R296" s="49">
        <f t="shared" si="53"/>
        <v>0.53700533672865225</v>
      </c>
      <c r="S296" s="49">
        <v>305500</v>
      </c>
      <c r="T296" s="49">
        <v>299400</v>
      </c>
      <c r="U296" s="49">
        <v>15956260</v>
      </c>
      <c r="V296" s="49">
        <f t="shared" si="54"/>
        <v>34.122281047785798</v>
      </c>
      <c r="W296" s="49">
        <f t="shared" si="58"/>
        <v>34.122281047785798</v>
      </c>
      <c r="X296" s="82">
        <f>IF(Z295&lt;&gt;(E296*G296*H296+L296*N296*O296+S296*U296*V296),1,0)</f>
        <v>0</v>
      </c>
      <c r="Y296" s="82">
        <f>IF(AND(X296=0,B296="N"),Y295,Y295*(E296*G296*I296+L296*N296*P296+S296*U296*W296)/Z295)</f>
        <v>239394183448972.72</v>
      </c>
      <c r="Z296" s="81">
        <f t="shared" si="59"/>
        <v>303558469376846.69</v>
      </c>
      <c r="AA296" s="80">
        <f t="shared" si="48"/>
        <v>1268.0277565789343</v>
      </c>
      <c r="AB296" s="52">
        <f t="shared" si="55"/>
        <v>-1.568168386613315E-2</v>
      </c>
      <c r="AC296" s="48">
        <f>(F296-E296)/E296</f>
        <v>-1.1312217194570135E-2</v>
      </c>
      <c r="AD296" s="48">
        <f>(M296-L296)/L296</f>
        <v>-9.852216748768473E-3</v>
      </c>
      <c r="AE296" s="48">
        <f>(T296-S296)/S296</f>
        <v>-1.9967266775777415E-2</v>
      </c>
      <c r="AF296" s="48" t="e">
        <f>(#REF!-#REF!)/#REF!</f>
        <v>#REF!</v>
      </c>
    </row>
    <row r="297" spans="1:32" x14ac:dyDescent="0.3">
      <c r="A297" s="48">
        <v>20190319</v>
      </c>
      <c r="B297" s="48" t="s">
        <v>88</v>
      </c>
      <c r="C297" s="79">
        <v>0.25</v>
      </c>
      <c r="D297" s="79">
        <f t="shared" si="49"/>
        <v>0.26206225322951798</v>
      </c>
      <c r="E297" s="49">
        <v>43700</v>
      </c>
      <c r="F297" s="49">
        <v>43900</v>
      </c>
      <c r="G297" s="49">
        <v>5969782550</v>
      </c>
      <c r="H297" s="49">
        <f t="shared" si="50"/>
        <v>0.29929771677029099</v>
      </c>
      <c r="I297" s="49">
        <f t="shared" si="56"/>
        <v>0.29929771677029099</v>
      </c>
      <c r="J297" s="48">
        <v>0.25</v>
      </c>
      <c r="K297" s="48">
        <f t="shared" si="51"/>
        <v>0.21077395178996317</v>
      </c>
      <c r="L297" s="48">
        <v>201000</v>
      </c>
      <c r="M297" s="48">
        <v>203000</v>
      </c>
      <c r="N297" s="51">
        <v>125461438</v>
      </c>
      <c r="O297" s="48">
        <f t="shared" si="52"/>
        <v>2.4770376326489298</v>
      </c>
      <c r="P297" s="48">
        <f t="shared" si="57"/>
        <v>2.4770376326489298</v>
      </c>
      <c r="Q297" s="49">
        <v>0.5</v>
      </c>
      <c r="R297" s="49">
        <f t="shared" si="53"/>
        <v>0.5271637949805188</v>
      </c>
      <c r="S297" s="49">
        <v>299400</v>
      </c>
      <c r="T297" s="49">
        <v>289800</v>
      </c>
      <c r="U297" s="49">
        <v>15956260</v>
      </c>
      <c r="V297" s="49">
        <f t="shared" si="54"/>
        <v>34.122281047785798</v>
      </c>
      <c r="W297" s="49">
        <f t="shared" si="58"/>
        <v>34.122281047785798</v>
      </c>
      <c r="X297" s="82">
        <f>IF(Z296&lt;&gt;(E297*G297*H297+L297*N297*O297+S297*U297*V297),1,0)</f>
        <v>0</v>
      </c>
      <c r="Y297" s="82">
        <f>IF(AND(X297=0,B297="N"),Y296,Y296*(E297*G297*I297+L297*N297*P297+S297*U297*W297)/Z296)</f>
        <v>239394183448972.72</v>
      </c>
      <c r="Z297" s="81">
        <f t="shared" si="59"/>
        <v>299310508954318.44</v>
      </c>
      <c r="AA297" s="80">
        <f t="shared" si="48"/>
        <v>1250.2831298660897</v>
      </c>
      <c r="AB297" s="52">
        <f t="shared" si="55"/>
        <v>-1.3993878778110166E-2</v>
      </c>
      <c r="AC297" s="48">
        <f>(F297-E297)/E297</f>
        <v>4.5766590389016018E-3</v>
      </c>
      <c r="AD297" s="48">
        <f>(M297-L297)/L297</f>
        <v>9.9502487562189053E-3</v>
      </c>
      <c r="AE297" s="48">
        <f>(T297-S297)/S297</f>
        <v>-3.2064128256513023E-2</v>
      </c>
      <c r="AF297" s="48" t="e">
        <f>(#REF!-#REF!)/#REF!</f>
        <v>#REF!</v>
      </c>
    </row>
    <row r="298" spans="1:32" x14ac:dyDescent="0.3">
      <c r="A298" s="48">
        <v>20190320</v>
      </c>
      <c r="B298" s="48" t="s">
        <v>88</v>
      </c>
      <c r="C298" s="79">
        <v>0.25</v>
      </c>
      <c r="D298" s="79">
        <f t="shared" si="49"/>
        <v>0.26094003244039304</v>
      </c>
      <c r="E298" s="49">
        <v>43900</v>
      </c>
      <c r="F298" s="49">
        <v>44050</v>
      </c>
      <c r="G298" s="49">
        <v>5969782550</v>
      </c>
      <c r="H298" s="49">
        <f t="shared" si="50"/>
        <v>0.29929771677029099</v>
      </c>
      <c r="I298" s="49">
        <f t="shared" si="56"/>
        <v>0.29929771677029099</v>
      </c>
      <c r="J298" s="48">
        <v>0.25</v>
      </c>
      <c r="K298" s="48">
        <f t="shared" si="51"/>
        <v>0.20709604564211576</v>
      </c>
      <c r="L298" s="48">
        <v>203000</v>
      </c>
      <c r="M298" s="48">
        <v>201000</v>
      </c>
      <c r="N298" s="51">
        <v>125461438</v>
      </c>
      <c r="O298" s="48">
        <f t="shared" si="52"/>
        <v>2.4770376326489298</v>
      </c>
      <c r="P298" s="48">
        <f t="shared" si="57"/>
        <v>2.4770376326489298</v>
      </c>
      <c r="Q298" s="49">
        <v>0.5</v>
      </c>
      <c r="R298" s="49">
        <f t="shared" si="53"/>
        <v>0.53196392191749109</v>
      </c>
      <c r="S298" s="49">
        <v>289800</v>
      </c>
      <c r="T298" s="49">
        <v>294700</v>
      </c>
      <c r="U298" s="49">
        <v>15956260</v>
      </c>
      <c r="V298" s="49">
        <f t="shared" si="54"/>
        <v>34.122281047785798</v>
      </c>
      <c r="W298" s="49">
        <f t="shared" si="58"/>
        <v>34.122281047785798</v>
      </c>
      <c r="X298" s="82">
        <f>IF(Z297&lt;&gt;(E298*G298*H298+L298*N298*O298+S298*U298*V298),1,0)</f>
        <v>0</v>
      </c>
      <c r="Y298" s="82">
        <f>IF(AND(X298=0,B298="N"),Y297,Y297*(E298*G298*I298+L298*N298*P298+S298*U298*W298)/Z297)</f>
        <v>239394183448972.72</v>
      </c>
      <c r="Z298" s="81">
        <f t="shared" si="59"/>
        <v>301624848432737</v>
      </c>
      <c r="AA298" s="80">
        <f t="shared" si="48"/>
        <v>1259.9506140341493</v>
      </c>
      <c r="AB298" s="52">
        <f t="shared" si="55"/>
        <v>7.7322359529038024E-3</v>
      </c>
      <c r="AC298" s="48">
        <f>(F298-E298)/E298</f>
        <v>3.4168564920273349E-3</v>
      </c>
      <c r="AD298" s="48">
        <f>(M298-L298)/L298</f>
        <v>-9.852216748768473E-3</v>
      </c>
      <c r="AE298" s="48">
        <f>(T298-S298)/S298</f>
        <v>1.6908212560386472E-2</v>
      </c>
      <c r="AF298" s="48" t="e">
        <f>(#REF!-#REF!)/#REF!</f>
        <v>#REF!</v>
      </c>
    </row>
    <row r="299" spans="1:32" x14ac:dyDescent="0.3">
      <c r="A299" s="48">
        <v>20190321</v>
      </c>
      <c r="B299" s="48" t="s">
        <v>88</v>
      </c>
      <c r="C299" s="79">
        <v>0.25</v>
      </c>
      <c r="D299" s="79">
        <f t="shared" si="49"/>
        <v>0.2747161454953031</v>
      </c>
      <c r="E299" s="49">
        <v>44050</v>
      </c>
      <c r="F299" s="49">
        <v>45850</v>
      </c>
      <c r="G299" s="49">
        <v>5969782550</v>
      </c>
      <c r="H299" s="49">
        <f t="shared" si="50"/>
        <v>0.29929771677029099</v>
      </c>
      <c r="I299" s="49">
        <f t="shared" si="56"/>
        <v>0.29929771677029099</v>
      </c>
      <c r="J299" s="48">
        <v>0.25</v>
      </c>
      <c r="K299" s="48">
        <f t="shared" si="51"/>
        <v>0.20894893936495182</v>
      </c>
      <c r="L299" s="48">
        <v>201000</v>
      </c>
      <c r="M299" s="48">
        <v>200500</v>
      </c>
      <c r="N299" s="51">
        <v>125461438</v>
      </c>
      <c r="O299" s="48">
        <f t="shared" si="52"/>
        <v>2.4770376326489298</v>
      </c>
      <c r="P299" s="48">
        <f t="shared" si="57"/>
        <v>2.4770376326489298</v>
      </c>
      <c r="Q299" s="49">
        <v>0.5</v>
      </c>
      <c r="R299" s="49">
        <f t="shared" si="53"/>
        <v>0.51633491513974494</v>
      </c>
      <c r="S299" s="49">
        <v>294700</v>
      </c>
      <c r="T299" s="49">
        <v>282800</v>
      </c>
      <c r="U299" s="49">
        <v>15956260</v>
      </c>
      <c r="V299" s="49">
        <f t="shared" si="54"/>
        <v>34.122281047785798</v>
      </c>
      <c r="W299" s="49">
        <f t="shared" si="58"/>
        <v>34.122281047785798</v>
      </c>
      <c r="X299" s="82">
        <f>IF(Z298&lt;&gt;(E299*G299*H299+L299*N299*O299+S299*U299*V299),1,0)</f>
        <v>0</v>
      </c>
      <c r="Y299" s="82">
        <f>IF(AND(X299=0,B299="N"),Y298,Y298*(E299*G299*I299+L299*N299*P299+S299*U299*W299)/Z298)</f>
        <v>239394183448972.72</v>
      </c>
      <c r="Z299" s="81">
        <f t="shared" si="59"/>
        <v>298206476737865.75</v>
      </c>
      <c r="AA299" s="80">
        <f t="shared" si="48"/>
        <v>1245.6713544229822</v>
      </c>
      <c r="AB299" s="52">
        <f t="shared" si="55"/>
        <v>-1.1333189929919064E-2</v>
      </c>
      <c r="AC299" s="48">
        <f>(F299-E299)/E299</f>
        <v>4.0862656072644721E-2</v>
      </c>
      <c r="AD299" s="48">
        <f>(M299-L299)/L299</f>
        <v>-2.4875621890547263E-3</v>
      </c>
      <c r="AE299" s="48">
        <f>(T299-S299)/S299</f>
        <v>-4.0380047505938245E-2</v>
      </c>
      <c r="AF299" s="48" t="e">
        <f>(#REF!-#REF!)/#REF!</f>
        <v>#REF!</v>
      </c>
    </row>
    <row r="300" spans="1:32" x14ac:dyDescent="0.3">
      <c r="A300" s="48">
        <v>20190322</v>
      </c>
      <c r="B300" s="48" t="s">
        <v>88</v>
      </c>
      <c r="C300" s="79">
        <v>0.25</v>
      </c>
      <c r="D300" s="79">
        <f t="shared" si="49"/>
        <v>0.27879505708759866</v>
      </c>
      <c r="E300" s="49">
        <v>45850</v>
      </c>
      <c r="F300" s="49">
        <v>46550</v>
      </c>
      <c r="G300" s="49">
        <v>5969782550</v>
      </c>
      <c r="H300" s="49">
        <f t="shared" si="50"/>
        <v>0.29929771677029099</v>
      </c>
      <c r="I300" s="49">
        <f t="shared" si="56"/>
        <v>0.29929771677029099</v>
      </c>
      <c r="J300" s="48">
        <v>0.25</v>
      </c>
      <c r="K300" s="48">
        <f t="shared" si="51"/>
        <v>0.20782090611794635</v>
      </c>
      <c r="L300" s="48">
        <v>200500</v>
      </c>
      <c r="M300" s="48">
        <v>199500</v>
      </c>
      <c r="N300" s="51">
        <v>125461438</v>
      </c>
      <c r="O300" s="48">
        <f t="shared" si="52"/>
        <v>2.4770376326489298</v>
      </c>
      <c r="P300" s="48">
        <f t="shared" si="57"/>
        <v>2.4770376326489298</v>
      </c>
      <c r="Q300" s="49">
        <v>0.5</v>
      </c>
      <c r="R300" s="49">
        <f t="shared" si="53"/>
        <v>0.51338403679445499</v>
      </c>
      <c r="S300" s="49">
        <v>282800</v>
      </c>
      <c r="T300" s="49">
        <v>281300</v>
      </c>
      <c r="U300" s="49">
        <v>15956260</v>
      </c>
      <c r="V300" s="49">
        <f t="shared" si="54"/>
        <v>34.122281047785798</v>
      </c>
      <c r="W300" s="49">
        <f t="shared" si="58"/>
        <v>34.122281047785798</v>
      </c>
      <c r="X300" s="82">
        <f>IF(Z299&lt;&gt;(E300*G300*H300+L300*N300*O300+S300*U300*V300),1,0)</f>
        <v>0</v>
      </c>
      <c r="Y300" s="82">
        <f>IF(AND(X300=0,B300="N"),Y299,Y299*(E300*G300*I300+L300*N300*P300+S300*U300*W300)/Z299)</f>
        <v>239394183448972.72</v>
      </c>
      <c r="Z300" s="81">
        <f t="shared" si="59"/>
        <v>298329727652987.25</v>
      </c>
      <c r="AA300" s="80">
        <f t="shared" si="48"/>
        <v>1246.1861994929245</v>
      </c>
      <c r="AB300" s="52">
        <f t="shared" si="55"/>
        <v>4.1330730462275494E-4</v>
      </c>
      <c r="AC300" s="48">
        <f>(F300-E300)/E300</f>
        <v>1.5267175572519083E-2</v>
      </c>
      <c r="AD300" s="48">
        <f>(M300-L300)/L300</f>
        <v>-4.9875311720698253E-3</v>
      </c>
      <c r="AE300" s="48">
        <f>(T300-S300)/S300</f>
        <v>-5.3041018387553042E-3</v>
      </c>
      <c r="AF300" s="48" t="e">
        <f>(#REF!-#REF!)/#REF!</f>
        <v>#REF!</v>
      </c>
    </row>
    <row r="301" spans="1:32" x14ac:dyDescent="0.3">
      <c r="A301" s="48">
        <v>20190325</v>
      </c>
      <c r="B301" s="48" t="s">
        <v>88</v>
      </c>
      <c r="C301" s="79">
        <v>0.25</v>
      </c>
      <c r="D301" s="79">
        <f t="shared" si="49"/>
        <v>0.27970509813531219</v>
      </c>
      <c r="E301" s="49">
        <v>46550</v>
      </c>
      <c r="F301" s="49">
        <v>45500</v>
      </c>
      <c r="G301" s="49">
        <v>5969782550</v>
      </c>
      <c r="H301" s="49">
        <f t="shared" si="50"/>
        <v>0.29929771677029099</v>
      </c>
      <c r="I301" s="49">
        <f t="shared" si="56"/>
        <v>0.29929771677029099</v>
      </c>
      <c r="J301" s="48">
        <v>0.25</v>
      </c>
      <c r="K301" s="48">
        <f t="shared" si="51"/>
        <v>0.21170695492990635</v>
      </c>
      <c r="L301" s="48">
        <v>199500</v>
      </c>
      <c r="M301" s="48">
        <v>198000</v>
      </c>
      <c r="N301" s="51">
        <v>125461438</v>
      </c>
      <c r="O301" s="48">
        <f t="shared" si="52"/>
        <v>2.4770376326489298</v>
      </c>
      <c r="P301" s="48">
        <f t="shared" si="57"/>
        <v>2.4770376326489298</v>
      </c>
      <c r="Q301" s="49">
        <v>0.5</v>
      </c>
      <c r="R301" s="49">
        <f t="shared" si="53"/>
        <v>0.50858794693478138</v>
      </c>
      <c r="S301" s="49">
        <v>281300</v>
      </c>
      <c r="T301" s="49">
        <v>271500</v>
      </c>
      <c r="U301" s="49">
        <v>15956260</v>
      </c>
      <c r="V301" s="49">
        <f t="shared" si="54"/>
        <v>34.122281047785798</v>
      </c>
      <c r="W301" s="49">
        <f t="shared" si="58"/>
        <v>34.122281047785798</v>
      </c>
      <c r="X301" s="82">
        <f>IF(Z300&lt;&gt;(E301*G301*H301+L301*N301*O301+S301*U301*V301),1,0)</f>
        <v>0</v>
      </c>
      <c r="Y301" s="82">
        <f>IF(AND(X301=0,B301="N"),Y300,Y300*(E301*G301*I301+L301*N301*P301+S301*U301*W301)/Z300)</f>
        <v>239394183448972.72</v>
      </c>
      <c r="Z301" s="81">
        <f t="shared" si="59"/>
        <v>290651742112480.12</v>
      </c>
      <c r="AA301" s="80">
        <f t="shared" si="48"/>
        <v>1214.1136343625201</v>
      </c>
      <c r="AB301" s="52">
        <f t="shared" si="55"/>
        <v>-2.5736575435881745E-2</v>
      </c>
      <c r="AC301" s="48">
        <f>(F301-E301)/E301</f>
        <v>-2.2556390977443608E-2</v>
      </c>
      <c r="AD301" s="48">
        <f>(M301-L301)/L301</f>
        <v>-7.5187969924812026E-3</v>
      </c>
      <c r="AE301" s="48">
        <f>(T301-S301)/S301</f>
        <v>-3.4838250977603978E-2</v>
      </c>
      <c r="AF301" s="48" t="e">
        <f>(#REF!-#REF!)/#REF!</f>
        <v>#REF!</v>
      </c>
    </row>
    <row r="302" spans="1:32" x14ac:dyDescent="0.3">
      <c r="A302" s="48">
        <v>20190326</v>
      </c>
      <c r="B302" s="48" t="s">
        <v>88</v>
      </c>
      <c r="C302" s="79">
        <v>0.25</v>
      </c>
      <c r="D302" s="79">
        <f t="shared" si="49"/>
        <v>0.27263204311249445</v>
      </c>
      <c r="E302" s="49">
        <v>45500</v>
      </c>
      <c r="F302" s="49">
        <v>45250</v>
      </c>
      <c r="G302" s="49">
        <v>5969782550</v>
      </c>
      <c r="H302" s="49">
        <f t="shared" si="50"/>
        <v>0.29929771677029099</v>
      </c>
      <c r="I302" s="49">
        <f t="shared" si="56"/>
        <v>0.29929771677029099</v>
      </c>
      <c r="J302" s="48">
        <v>0.25</v>
      </c>
      <c r="K302" s="48">
        <f t="shared" si="51"/>
        <v>0.20172977224431582</v>
      </c>
      <c r="L302" s="48">
        <v>198000</v>
      </c>
      <c r="M302" s="48">
        <v>192500</v>
      </c>
      <c r="N302" s="51">
        <v>125461438</v>
      </c>
      <c r="O302" s="48">
        <f t="shared" si="52"/>
        <v>2.4770376326489298</v>
      </c>
      <c r="P302" s="48">
        <f t="shared" si="57"/>
        <v>2.4770376326489298</v>
      </c>
      <c r="Q302" s="49">
        <v>0.5</v>
      </c>
      <c r="R302" s="49">
        <f t="shared" si="53"/>
        <v>0.52563818464318968</v>
      </c>
      <c r="S302" s="49">
        <v>271500</v>
      </c>
      <c r="T302" s="49">
        <v>286300</v>
      </c>
      <c r="U302" s="49">
        <v>15956260</v>
      </c>
      <c r="V302" s="49">
        <f t="shared" si="54"/>
        <v>34.122281047785798</v>
      </c>
      <c r="W302" s="49">
        <f t="shared" si="58"/>
        <v>34.122281047785798</v>
      </c>
      <c r="X302" s="82">
        <f>IF(Z301&lt;&gt;(E302*G302*H302+L302*N302*O302+S302*U302*V302),1,0)</f>
        <v>0</v>
      </c>
      <c r="Y302" s="82">
        <f>IF(AND(X302=0,B302="N"),Y301,Y301*(E302*G302*I302+L302*N302*P302+S302*U302*W302)/Z301)</f>
        <v>239394183448972.72</v>
      </c>
      <c r="Z302" s="81">
        <f t="shared" si="59"/>
        <v>296553873697460.06</v>
      </c>
      <c r="AA302" s="80">
        <f t="shared" si="48"/>
        <v>1238.7680829374497</v>
      </c>
      <c r="AB302" s="52">
        <f t="shared" si="55"/>
        <v>2.0306541230693441E-2</v>
      </c>
      <c r="AC302" s="48">
        <f>(F302-E302)/E302</f>
        <v>-5.4945054945054949E-3</v>
      </c>
      <c r="AD302" s="48">
        <f>(M302-L302)/L302</f>
        <v>-2.7777777777777776E-2</v>
      </c>
      <c r="AE302" s="48">
        <f>(T302-S302)/S302</f>
        <v>5.4511970534069983E-2</v>
      </c>
      <c r="AF302" s="48" t="e">
        <f>(#REF!-#REF!)/#REF!</f>
        <v>#REF!</v>
      </c>
    </row>
    <row r="303" spans="1:32" x14ac:dyDescent="0.3">
      <c r="A303" s="48">
        <v>20190327</v>
      </c>
      <c r="B303" s="48" t="s">
        <v>88</v>
      </c>
      <c r="C303" s="79">
        <v>0.25</v>
      </c>
      <c r="D303" s="79">
        <f t="shared" si="49"/>
        <v>0.2846233767015463</v>
      </c>
      <c r="E303" s="49">
        <v>45250</v>
      </c>
      <c r="F303" s="49">
        <v>45350</v>
      </c>
      <c r="G303" s="49">
        <v>5969782550</v>
      </c>
      <c r="H303" s="49">
        <f t="shared" si="50"/>
        <v>0.29929771677029099</v>
      </c>
      <c r="I303" s="49">
        <f t="shared" si="56"/>
        <v>0.29929771677029099</v>
      </c>
      <c r="J303" s="48">
        <v>0.25</v>
      </c>
      <c r="K303" s="48">
        <f t="shared" si="51"/>
        <v>0.19976772083673969</v>
      </c>
      <c r="L303" s="48">
        <v>192500</v>
      </c>
      <c r="M303" s="48">
        <v>183000</v>
      </c>
      <c r="N303" s="51">
        <v>125461438</v>
      </c>
      <c r="O303" s="48">
        <f t="shared" si="52"/>
        <v>2.4770376326489298</v>
      </c>
      <c r="P303" s="48">
        <f t="shared" si="57"/>
        <v>2.4770376326489298</v>
      </c>
      <c r="Q303" s="49">
        <v>0.5</v>
      </c>
      <c r="R303" s="49">
        <f t="shared" si="53"/>
        <v>0.51560890246171409</v>
      </c>
      <c r="S303" s="49">
        <v>286300</v>
      </c>
      <c r="T303" s="49">
        <v>269600</v>
      </c>
      <c r="U303" s="49">
        <v>15956260</v>
      </c>
      <c r="V303" s="49">
        <f t="shared" si="54"/>
        <v>34.122281047785798</v>
      </c>
      <c r="W303" s="49">
        <f t="shared" si="58"/>
        <v>34.122281047785798</v>
      </c>
      <c r="X303" s="82">
        <f>IF(Z302&lt;&gt;(E303*G303*H303+L303*N303*O303+S303*U303*V303),1,0)</f>
        <v>0</v>
      </c>
      <c r="Y303" s="82">
        <f>IF(AND(X303=0,B303="N"),Y302,Y302*(E303*G303*I303+L303*N303*P303+S303*U303*W303)/Z302)</f>
        <v>239394183448972.72</v>
      </c>
      <c r="Z303" s="81">
        <f t="shared" si="59"/>
        <v>284687658641307.87</v>
      </c>
      <c r="AA303" s="80">
        <f t="shared" si="48"/>
        <v>1189.2003996913716</v>
      </c>
      <c r="AB303" s="52">
        <f t="shared" si="55"/>
        <v>-4.0013690963477122E-2</v>
      </c>
      <c r="AC303" s="48">
        <f>(F303-E303)/E303</f>
        <v>2.2099447513812156E-3</v>
      </c>
      <c r="AD303" s="48">
        <f>(M303-L303)/L303</f>
        <v>-4.9350649350649353E-2</v>
      </c>
      <c r="AE303" s="48">
        <f>(T303-S303)/S303</f>
        <v>-5.8330422633601116E-2</v>
      </c>
      <c r="AF303" s="48" t="e">
        <f>(#REF!-#REF!)/#REF!</f>
        <v>#REF!</v>
      </c>
    </row>
    <row r="304" spans="1:32" x14ac:dyDescent="0.3">
      <c r="A304" s="48">
        <v>20190328</v>
      </c>
      <c r="B304" s="48" t="s">
        <v>88</v>
      </c>
      <c r="C304" s="79">
        <v>0.25</v>
      </c>
      <c r="D304" s="79">
        <f t="shared" si="49"/>
        <v>0.28276577705754452</v>
      </c>
      <c r="E304" s="49">
        <v>45350</v>
      </c>
      <c r="F304" s="49">
        <v>44850</v>
      </c>
      <c r="G304" s="49">
        <v>5969782550</v>
      </c>
      <c r="H304" s="49">
        <f t="shared" si="50"/>
        <v>0.29929771677029099</v>
      </c>
      <c r="I304" s="49">
        <f t="shared" si="56"/>
        <v>0.29929771677029099</v>
      </c>
      <c r="J304" s="48">
        <v>0.25</v>
      </c>
      <c r="K304" s="48">
        <f t="shared" si="51"/>
        <v>0.19793498135046059</v>
      </c>
      <c r="L304" s="48">
        <v>183000</v>
      </c>
      <c r="M304" s="48">
        <v>180500</v>
      </c>
      <c r="N304" s="51">
        <v>125461438</v>
      </c>
      <c r="O304" s="48">
        <f t="shared" si="52"/>
        <v>2.4770376326489298</v>
      </c>
      <c r="P304" s="48">
        <f t="shared" si="57"/>
        <v>2.4770376326489298</v>
      </c>
      <c r="Q304" s="49">
        <v>0.5</v>
      </c>
      <c r="R304" s="49">
        <f t="shared" si="53"/>
        <v>0.51929924159199492</v>
      </c>
      <c r="S304" s="49">
        <v>269600</v>
      </c>
      <c r="T304" s="49">
        <v>270300</v>
      </c>
      <c r="U304" s="49">
        <v>15956260</v>
      </c>
      <c r="V304" s="49">
        <f t="shared" si="54"/>
        <v>34.122281047785798</v>
      </c>
      <c r="W304" s="49">
        <f t="shared" si="58"/>
        <v>34.122281047785798</v>
      </c>
      <c r="X304" s="82">
        <f>IF(Z303&lt;&gt;(E304*G304*H304+L304*N304*O304+S304*U304*V304),1,0)</f>
        <v>0</v>
      </c>
      <c r="Y304" s="82">
        <f>IF(AND(X304=0,B304="N"),Y303,Y303*(E304*G304*I304+L304*N304*P304+S304*U304*W304)/Z303)</f>
        <v>239394183448972.72</v>
      </c>
      <c r="Z304" s="81">
        <f t="shared" si="59"/>
        <v>283398480531196.31</v>
      </c>
      <c r="AA304" s="80">
        <f t="shared" si="48"/>
        <v>1183.8152307973814</v>
      </c>
      <c r="AB304" s="52">
        <f t="shared" si="55"/>
        <v>-4.5283947897996873E-3</v>
      </c>
      <c r="AC304" s="48">
        <f>(F304-E304)/E304</f>
        <v>-1.1025358324145534E-2</v>
      </c>
      <c r="AD304" s="48">
        <f>(M304-L304)/L304</f>
        <v>-1.3661202185792349E-2</v>
      </c>
      <c r="AE304" s="48">
        <f>(T304-S304)/S304</f>
        <v>2.5964391691394658E-3</v>
      </c>
      <c r="AF304" s="48" t="e">
        <f>(#REF!-#REF!)/#REF!</f>
        <v>#REF!</v>
      </c>
    </row>
    <row r="305" spans="1:32" x14ac:dyDescent="0.3">
      <c r="A305" s="48">
        <v>20190329</v>
      </c>
      <c r="B305" s="48" t="s">
        <v>88</v>
      </c>
      <c r="C305" s="79">
        <v>0.25</v>
      </c>
      <c r="D305" s="79">
        <f t="shared" si="49"/>
        <v>0.27665270362826766</v>
      </c>
      <c r="E305" s="49">
        <v>44850</v>
      </c>
      <c r="F305" s="49">
        <v>44650</v>
      </c>
      <c r="G305" s="49">
        <v>5969782550</v>
      </c>
      <c r="H305" s="49">
        <f t="shared" si="50"/>
        <v>0.29929771677029099</v>
      </c>
      <c r="I305" s="49">
        <f t="shared" si="56"/>
        <v>0.29929771677029099</v>
      </c>
      <c r="J305" s="48">
        <v>0.25</v>
      </c>
      <c r="K305" s="48">
        <f t="shared" si="51"/>
        <v>0.19506213803791514</v>
      </c>
      <c r="L305" s="48">
        <v>180500</v>
      </c>
      <c r="M305" s="48">
        <v>181000</v>
      </c>
      <c r="N305" s="51">
        <v>125461438</v>
      </c>
      <c r="O305" s="48">
        <f t="shared" si="52"/>
        <v>2.4770376326489298</v>
      </c>
      <c r="P305" s="48">
        <f t="shared" si="57"/>
        <v>2.4770376326489298</v>
      </c>
      <c r="Q305" s="49">
        <v>0.5</v>
      </c>
      <c r="R305" s="49">
        <f t="shared" si="53"/>
        <v>0.52828515833381728</v>
      </c>
      <c r="S305" s="49">
        <v>270300</v>
      </c>
      <c r="T305" s="49">
        <v>279800</v>
      </c>
      <c r="U305" s="49">
        <v>15956260</v>
      </c>
      <c r="V305" s="49">
        <f t="shared" si="54"/>
        <v>34.122281047785798</v>
      </c>
      <c r="W305" s="49">
        <f t="shared" si="58"/>
        <v>34.122281047785798</v>
      </c>
      <c r="X305" s="82">
        <f>IF(Z304&lt;&gt;(E305*G305*H305+L305*N305*O305+S305*U305*V305),1,0)</f>
        <v>0</v>
      </c>
      <c r="Y305" s="82">
        <f>IF(AND(X305=0,B305="N"),Y304,Y304*(E305*G305*I305+L305*N305*P305+S305*U305*W305)/Z304)</f>
        <v>239394183448972.72</v>
      </c>
      <c r="Z305" s="81">
        <f t="shared" si="59"/>
        <v>288368926313336.06</v>
      </c>
      <c r="AA305" s="80">
        <f t="shared" si="48"/>
        <v>1204.5778312521213</v>
      </c>
      <c r="AB305" s="52">
        <f t="shared" si="55"/>
        <v>1.753871711952449E-2</v>
      </c>
      <c r="AC305" s="48">
        <f>(F305-E305)/E305</f>
        <v>-4.459308807134894E-3</v>
      </c>
      <c r="AD305" s="48">
        <f>(M305-L305)/L305</f>
        <v>2.7700831024930748E-3</v>
      </c>
      <c r="AE305" s="48">
        <f>(T305-S305)/S305</f>
        <v>3.5146133925268219E-2</v>
      </c>
      <c r="AF305" s="48" t="e">
        <f>(#REF!-#REF!)/#REF!</f>
        <v>#REF!</v>
      </c>
    </row>
    <row r="306" spans="1:32" x14ac:dyDescent="0.3">
      <c r="A306" s="48">
        <v>20190401</v>
      </c>
      <c r="B306" s="48" t="s">
        <v>88</v>
      </c>
      <c r="C306" s="79">
        <v>0.25</v>
      </c>
      <c r="D306" s="79">
        <f t="shared" si="49"/>
        <v>0.28073001182781571</v>
      </c>
      <c r="E306" s="49">
        <v>44650</v>
      </c>
      <c r="F306" s="49">
        <v>45050</v>
      </c>
      <c r="G306" s="49">
        <v>5969782550</v>
      </c>
      <c r="H306" s="49">
        <f t="shared" si="50"/>
        <v>0.29929771677029099</v>
      </c>
      <c r="I306" s="49">
        <f t="shared" si="56"/>
        <v>0.29929771677029099</v>
      </c>
      <c r="J306" s="48">
        <v>0.25</v>
      </c>
      <c r="K306" s="48">
        <f t="shared" si="51"/>
        <v>0.1972633418855986</v>
      </c>
      <c r="L306" s="48">
        <v>181000</v>
      </c>
      <c r="M306" s="48">
        <v>182000</v>
      </c>
      <c r="N306" s="51">
        <v>125461438</v>
      </c>
      <c r="O306" s="48">
        <f t="shared" si="52"/>
        <v>2.4770376326489298</v>
      </c>
      <c r="P306" s="48">
        <f t="shared" si="57"/>
        <v>2.4770376326489298</v>
      </c>
      <c r="Q306" s="49">
        <v>0.5</v>
      </c>
      <c r="R306" s="49">
        <f t="shared" si="53"/>
        <v>0.52200664628658566</v>
      </c>
      <c r="S306" s="49">
        <v>279800</v>
      </c>
      <c r="T306" s="49">
        <v>274900</v>
      </c>
      <c r="U306" s="49">
        <v>15956260</v>
      </c>
      <c r="V306" s="49">
        <f t="shared" si="54"/>
        <v>34.122281047785798</v>
      </c>
      <c r="W306" s="49">
        <f t="shared" si="58"/>
        <v>34.122281047785798</v>
      </c>
      <c r="X306" s="82">
        <f>IF(Z305&lt;&gt;(E306*G306*H306+L306*N306*O306+S306*U306*V306),1,0)</f>
        <v>0</v>
      </c>
      <c r="Y306" s="82">
        <f>IF(AND(X306=0,B306="N"),Y305,Y305*(E306*G306*I306+L306*N306*P306+S306*U306*W306)/Z305)</f>
        <v>239394183448972.72</v>
      </c>
      <c r="Z306" s="81">
        <f t="shared" si="59"/>
        <v>286726522389301.81</v>
      </c>
      <c r="AA306" s="80">
        <f t="shared" si="48"/>
        <v>1197.7171636269854</v>
      </c>
      <c r="AB306" s="52">
        <f t="shared" si="55"/>
        <v>-5.6954955065082209E-3</v>
      </c>
      <c r="AC306" s="48">
        <f>(F306-E306)/E306</f>
        <v>8.9585666293393058E-3</v>
      </c>
      <c r="AD306" s="48">
        <f>(M306-L306)/L306</f>
        <v>5.5248618784530384E-3</v>
      </c>
      <c r="AE306" s="48">
        <f>(T306-S306)/S306</f>
        <v>-1.7512508934953538E-2</v>
      </c>
      <c r="AF306" s="48" t="e">
        <f>(#REF!-#REF!)/#REF!</f>
        <v>#REF!</v>
      </c>
    </row>
    <row r="307" spans="1:32" x14ac:dyDescent="0.3">
      <c r="A307" s="48">
        <v>20190402</v>
      </c>
      <c r="B307" s="48" t="s">
        <v>88</v>
      </c>
      <c r="C307" s="79">
        <v>0.25</v>
      </c>
      <c r="D307" s="79">
        <f t="shared" si="49"/>
        <v>0.280320829916479</v>
      </c>
      <c r="E307" s="49">
        <v>45050</v>
      </c>
      <c r="F307" s="49">
        <v>45750</v>
      </c>
      <c r="G307" s="49">
        <v>5969782550</v>
      </c>
      <c r="H307" s="49">
        <f t="shared" si="50"/>
        <v>0.29929771677029099</v>
      </c>
      <c r="I307" s="49">
        <f t="shared" si="56"/>
        <v>0.29929771677029099</v>
      </c>
      <c r="J307" s="48">
        <v>0.25</v>
      </c>
      <c r="K307" s="48">
        <f t="shared" si="51"/>
        <v>0.20248778165416506</v>
      </c>
      <c r="L307" s="48">
        <v>182000</v>
      </c>
      <c r="M307" s="48">
        <v>190000</v>
      </c>
      <c r="N307" s="51">
        <v>125461438</v>
      </c>
      <c r="O307" s="48">
        <f t="shared" si="52"/>
        <v>2.4770376326489298</v>
      </c>
      <c r="P307" s="48">
        <f t="shared" si="57"/>
        <v>2.4770376326489298</v>
      </c>
      <c r="Q307" s="49">
        <v>0.5</v>
      </c>
      <c r="R307" s="49">
        <f t="shared" si="53"/>
        <v>0.51719138842935597</v>
      </c>
      <c r="S307" s="49">
        <v>274900</v>
      </c>
      <c r="T307" s="49">
        <v>277000</v>
      </c>
      <c r="U307" s="49">
        <v>15956260</v>
      </c>
      <c r="V307" s="49">
        <f t="shared" si="54"/>
        <v>34.122281047785798</v>
      </c>
      <c r="W307" s="49">
        <f t="shared" si="58"/>
        <v>34.122281047785798</v>
      </c>
      <c r="X307" s="82">
        <f>IF(Z306&lt;&gt;(E307*G307*H307+L307*N307*O307+S307*U307*V307),1,0)</f>
        <v>0</v>
      </c>
      <c r="Y307" s="82">
        <f>IF(AND(X307=0,B307="N"),Y306,Y306*(E307*G307*I307+L307*N307*P307+S307*U307*W307)/Z306)</f>
        <v>239394183448972.72</v>
      </c>
      <c r="Z307" s="81">
        <f t="shared" si="59"/>
        <v>291606797992263.12</v>
      </c>
      <c r="AA307" s="80">
        <f t="shared" si="48"/>
        <v>1218.1031042235813</v>
      </c>
      <c r="AB307" s="52">
        <f t="shared" si="55"/>
        <v>1.7020663321599402E-2</v>
      </c>
      <c r="AC307" s="48">
        <f>(F307-E307)/E307</f>
        <v>1.5538290788013319E-2</v>
      </c>
      <c r="AD307" s="48">
        <f>(M307-L307)/L307</f>
        <v>4.3956043956043959E-2</v>
      </c>
      <c r="AE307" s="48">
        <f>(T307-S307)/S307</f>
        <v>7.6391415060021823E-3</v>
      </c>
      <c r="AF307" s="48" t="e">
        <f>(#REF!-#REF!)/#REF!</f>
        <v>#REF!</v>
      </c>
    </row>
    <row r="308" spans="1:32" x14ac:dyDescent="0.3">
      <c r="A308" s="48">
        <v>20190403</v>
      </c>
      <c r="B308" s="48" t="s">
        <v>88</v>
      </c>
      <c r="C308" s="79">
        <v>0.25</v>
      </c>
      <c r="D308" s="79">
        <f t="shared" si="49"/>
        <v>0.28169622414659207</v>
      </c>
      <c r="E308" s="49">
        <v>45750</v>
      </c>
      <c r="F308" s="49">
        <v>46600</v>
      </c>
      <c r="G308" s="49">
        <v>5969782550</v>
      </c>
      <c r="H308" s="49">
        <f t="shared" si="50"/>
        <v>0.29929771677029099</v>
      </c>
      <c r="I308" s="49">
        <f t="shared" si="56"/>
        <v>0.29929771677029099</v>
      </c>
      <c r="J308" s="48">
        <v>0.25</v>
      </c>
      <c r="K308" s="48">
        <f t="shared" si="51"/>
        <v>0.20344968796938262</v>
      </c>
      <c r="L308" s="48">
        <v>190000</v>
      </c>
      <c r="M308" s="48">
        <v>193500</v>
      </c>
      <c r="N308" s="51">
        <v>125461438</v>
      </c>
      <c r="O308" s="48">
        <f t="shared" si="52"/>
        <v>2.4770376326489298</v>
      </c>
      <c r="P308" s="48">
        <f t="shared" si="57"/>
        <v>2.4770376326489298</v>
      </c>
      <c r="Q308" s="49">
        <v>0.5</v>
      </c>
      <c r="R308" s="49">
        <f t="shared" si="53"/>
        <v>0.5148540878840252</v>
      </c>
      <c r="S308" s="49">
        <v>277000</v>
      </c>
      <c r="T308" s="49">
        <v>279500</v>
      </c>
      <c r="U308" s="49">
        <v>15956260</v>
      </c>
      <c r="V308" s="49">
        <f t="shared" si="54"/>
        <v>34.122281047785798</v>
      </c>
      <c r="W308" s="49">
        <f t="shared" si="58"/>
        <v>34.122281047785798</v>
      </c>
      <c r="X308" s="82">
        <f>IF(Z307&lt;&gt;(E308*G308*H308+L308*N308*O308+S308*U308*V308),1,0)</f>
        <v>0</v>
      </c>
      <c r="Y308" s="82">
        <f>IF(AND(X308=0,B308="N"),Y307,Y307*(E308*G308*I308+L308*N308*P308+S308*U308*W308)/Z307)</f>
        <v>239394183448972.72</v>
      </c>
      <c r="Z308" s="81">
        <f t="shared" si="59"/>
        <v>295574393368350.5</v>
      </c>
      <c r="AA308" s="80">
        <f t="shared" si="48"/>
        <v>1234.6765869996698</v>
      </c>
      <c r="AB308" s="52">
        <f t="shared" si="55"/>
        <v>1.3605976964201544E-2</v>
      </c>
      <c r="AC308" s="48">
        <f>(F308-E308)/E308</f>
        <v>1.8579234972677595E-2</v>
      </c>
      <c r="AD308" s="48">
        <f>(M308-L308)/L308</f>
        <v>1.8421052631578946E-2</v>
      </c>
      <c r="AE308" s="48">
        <f>(T308-S308)/S308</f>
        <v>9.0252707581227436E-3</v>
      </c>
      <c r="AF308" s="48" t="e">
        <f>(#REF!-#REF!)/#REF!</f>
        <v>#REF!</v>
      </c>
    </row>
    <row r="309" spans="1:32" x14ac:dyDescent="0.3">
      <c r="A309" s="48">
        <v>20190404</v>
      </c>
      <c r="B309" s="48" t="s">
        <v>88</v>
      </c>
      <c r="C309" s="79">
        <v>0.25</v>
      </c>
      <c r="D309" s="79">
        <f t="shared" si="49"/>
        <v>0.28699567786580493</v>
      </c>
      <c r="E309" s="49">
        <v>46600</v>
      </c>
      <c r="F309" s="49">
        <v>46950</v>
      </c>
      <c r="G309" s="49">
        <v>5969782550</v>
      </c>
      <c r="H309" s="49">
        <f t="shared" si="50"/>
        <v>0.29929771677029099</v>
      </c>
      <c r="I309" s="49">
        <f t="shared" si="56"/>
        <v>0.29929771677029099</v>
      </c>
      <c r="J309" s="48">
        <v>0.25</v>
      </c>
      <c r="K309" s="48">
        <f t="shared" si="51"/>
        <v>0.20466870576451415</v>
      </c>
      <c r="L309" s="48">
        <v>193500</v>
      </c>
      <c r="M309" s="48">
        <v>192500</v>
      </c>
      <c r="N309" s="51">
        <v>125461438</v>
      </c>
      <c r="O309" s="48">
        <f t="shared" si="52"/>
        <v>2.4770376326489298</v>
      </c>
      <c r="P309" s="48">
        <f t="shared" si="57"/>
        <v>2.4770376326489298</v>
      </c>
      <c r="Q309" s="49">
        <v>0.5</v>
      </c>
      <c r="R309" s="49">
        <f t="shared" si="53"/>
        <v>0.50833561636968083</v>
      </c>
      <c r="S309" s="49">
        <v>279500</v>
      </c>
      <c r="T309" s="49">
        <v>272900</v>
      </c>
      <c r="U309" s="49">
        <v>15956260</v>
      </c>
      <c r="V309" s="49">
        <f t="shared" si="54"/>
        <v>34.122281047785798</v>
      </c>
      <c r="W309" s="49">
        <f t="shared" si="58"/>
        <v>34.122281047785798</v>
      </c>
      <c r="X309" s="82">
        <f>IF(Z308&lt;&gt;(E309*G309*H309+L309*N309*O309+S309*U309*V309),1,0)</f>
        <v>0</v>
      </c>
      <c r="Y309" s="82">
        <f>IF(AND(X309=0,B309="N"),Y308,Y308*(E309*G309*I309+L309*N309*P309+S309*U309*W309)/Z308)</f>
        <v>239394183448972.72</v>
      </c>
      <c r="Z309" s="81">
        <f t="shared" si="59"/>
        <v>292295518143304.62</v>
      </c>
      <c r="AA309" s="80">
        <f t="shared" si="48"/>
        <v>1220.9800335671393</v>
      </c>
      <c r="AB309" s="52">
        <f t="shared" si="55"/>
        <v>-1.1093231682487634E-2</v>
      </c>
      <c r="AC309" s="48">
        <f>(F309-E309)/E309</f>
        <v>7.5107296137339056E-3</v>
      </c>
      <c r="AD309" s="48">
        <f>(M309-L309)/L309</f>
        <v>-5.1679586563307496E-3</v>
      </c>
      <c r="AE309" s="48">
        <f>(T309-S309)/S309</f>
        <v>-2.3613595706618962E-2</v>
      </c>
      <c r="AF309" s="48" t="e">
        <f>(#REF!-#REF!)/#REF!</f>
        <v>#REF!</v>
      </c>
    </row>
    <row r="310" spans="1:32" x14ac:dyDescent="0.3">
      <c r="A310" s="48">
        <v>20190405</v>
      </c>
      <c r="B310" s="48" t="s">
        <v>88</v>
      </c>
      <c r="C310" s="79">
        <v>0.25</v>
      </c>
      <c r="D310" s="79">
        <f t="shared" si="49"/>
        <v>0.29094409859535814</v>
      </c>
      <c r="E310" s="49">
        <v>46950</v>
      </c>
      <c r="F310" s="49">
        <v>46850</v>
      </c>
      <c r="G310" s="49">
        <v>5969782550</v>
      </c>
      <c r="H310" s="49">
        <f t="shared" si="50"/>
        <v>0.29929771677029099</v>
      </c>
      <c r="I310" s="49">
        <f t="shared" si="56"/>
        <v>0.29929771677029099</v>
      </c>
      <c r="J310" s="48">
        <v>0.25</v>
      </c>
      <c r="K310" s="48">
        <f t="shared" si="51"/>
        <v>0.20738728960012906</v>
      </c>
      <c r="L310" s="48">
        <v>192500</v>
      </c>
      <c r="M310" s="48">
        <v>192000</v>
      </c>
      <c r="N310" s="51">
        <v>125461438</v>
      </c>
      <c r="O310" s="48">
        <f t="shared" si="52"/>
        <v>2.4770376326489298</v>
      </c>
      <c r="P310" s="48">
        <f t="shared" si="57"/>
        <v>2.4770376326489298</v>
      </c>
      <c r="Q310" s="49">
        <v>0.5</v>
      </c>
      <c r="R310" s="49">
        <f t="shared" si="53"/>
        <v>0.50166861180451294</v>
      </c>
      <c r="S310" s="49">
        <v>272900</v>
      </c>
      <c r="T310" s="49">
        <v>265100</v>
      </c>
      <c r="U310" s="49">
        <v>15956260</v>
      </c>
      <c r="V310" s="49">
        <f t="shared" si="54"/>
        <v>34.122281047785798</v>
      </c>
      <c r="W310" s="49">
        <f t="shared" si="58"/>
        <v>34.122281047785798</v>
      </c>
      <c r="X310" s="82">
        <f>IF(Z309&lt;&gt;(E310*G310*H310+L310*N310*O310+S310*U310*V310),1,0)</f>
        <v>0</v>
      </c>
      <c r="Y310" s="82">
        <f>IF(AND(X310=0,B310="N"),Y309,Y309*(E310*G310*I310+L310*N310*P310+S310*U310*W310)/Z309)</f>
        <v>239394183448972.72</v>
      </c>
      <c r="Z310" s="81">
        <f t="shared" si="59"/>
        <v>287714638455041.37</v>
      </c>
      <c r="AA310" s="80">
        <f t="shared" si="48"/>
        <v>1201.844732858216</v>
      </c>
      <c r="AB310" s="52">
        <f t="shared" si="55"/>
        <v>-1.5672083230565851E-2</v>
      </c>
      <c r="AC310" s="48">
        <f>(F310-E310)/E310</f>
        <v>-2.1299254526091589E-3</v>
      </c>
      <c r="AD310" s="48">
        <f>(M310-L310)/L310</f>
        <v>-2.5974025974025974E-3</v>
      </c>
      <c r="AE310" s="48">
        <f>(T310-S310)/S310</f>
        <v>-2.8581898131183583E-2</v>
      </c>
      <c r="AF310" s="48" t="e">
        <f>(#REF!-#REF!)/#REF!</f>
        <v>#REF!</v>
      </c>
    </row>
    <row r="311" spans="1:32" x14ac:dyDescent="0.3">
      <c r="A311" s="48">
        <v>20190408</v>
      </c>
      <c r="B311" s="48" t="s">
        <v>88</v>
      </c>
      <c r="C311" s="79">
        <v>0.25</v>
      </c>
      <c r="D311" s="79">
        <f t="shared" si="49"/>
        <v>0.28567915200379146</v>
      </c>
      <c r="E311" s="49">
        <v>46850</v>
      </c>
      <c r="F311" s="49">
        <v>46650</v>
      </c>
      <c r="G311" s="49">
        <v>5969782550</v>
      </c>
      <c r="H311" s="49">
        <f t="shared" si="50"/>
        <v>0.29929771677029099</v>
      </c>
      <c r="I311" s="49">
        <f t="shared" si="56"/>
        <v>0.29929771677029099</v>
      </c>
      <c r="J311" s="48">
        <v>0.25</v>
      </c>
      <c r="K311" s="48">
        <f t="shared" si="51"/>
        <v>0.20823542393755862</v>
      </c>
      <c r="L311" s="48">
        <v>192000</v>
      </c>
      <c r="M311" s="48">
        <v>195500</v>
      </c>
      <c r="N311" s="51">
        <v>125461438</v>
      </c>
      <c r="O311" s="48">
        <f t="shared" si="52"/>
        <v>2.4770376326489298</v>
      </c>
      <c r="P311" s="48">
        <f t="shared" si="57"/>
        <v>2.4770376326489298</v>
      </c>
      <c r="Q311" s="49">
        <v>0.5</v>
      </c>
      <c r="R311" s="49">
        <f t="shared" si="53"/>
        <v>0.50608542405865009</v>
      </c>
      <c r="S311" s="49">
        <v>265100</v>
      </c>
      <c r="T311" s="49">
        <v>271200</v>
      </c>
      <c r="U311" s="49">
        <v>15956260</v>
      </c>
      <c r="V311" s="49">
        <f t="shared" si="54"/>
        <v>34.122281047785798</v>
      </c>
      <c r="W311" s="49">
        <f t="shared" si="58"/>
        <v>34.122281047785798</v>
      </c>
      <c r="X311" s="82">
        <f>IF(Z310&lt;&gt;(E311*G311*H311+L311*N311*O311+S311*U311*V311),1,0)</f>
        <v>0</v>
      </c>
      <c r="Y311" s="82">
        <f>IF(AND(X311=0,B311="N"),Y310,Y310*(E311*G311*I311+L311*N311*P311+S311*U311*W311)/Z310)</f>
        <v>239394183448972.72</v>
      </c>
      <c r="Z311" s="81">
        <f t="shared" si="59"/>
        <v>291766224787446.62</v>
      </c>
      <c r="AA311" s="80">
        <f t="shared" si="48"/>
        <v>1218.7690635751687</v>
      </c>
      <c r="AB311" s="52">
        <f t="shared" si="55"/>
        <v>1.40819610505788E-2</v>
      </c>
      <c r="AC311" s="48">
        <f>(F311-E311)/E311</f>
        <v>-4.2689434364994666E-3</v>
      </c>
      <c r="AD311" s="48">
        <f>(M311-L311)/L311</f>
        <v>1.8229166666666668E-2</v>
      </c>
      <c r="AE311" s="48">
        <f>(T311-S311)/S311</f>
        <v>2.3010184835910975E-2</v>
      </c>
      <c r="AF311" s="48" t="e">
        <f>(#REF!-#REF!)/#REF!</f>
        <v>#REF!</v>
      </c>
    </row>
    <row r="312" spans="1:32" x14ac:dyDescent="0.3">
      <c r="A312" s="48">
        <v>20190409</v>
      </c>
      <c r="B312" s="48" t="s">
        <v>88</v>
      </c>
      <c r="C312" s="79">
        <v>0.25</v>
      </c>
      <c r="D312" s="79">
        <f t="shared" si="49"/>
        <v>0.28312354960143998</v>
      </c>
      <c r="E312" s="49">
        <v>46650</v>
      </c>
      <c r="F312" s="49">
        <v>46650</v>
      </c>
      <c r="G312" s="49">
        <v>5969782550</v>
      </c>
      <c r="H312" s="49">
        <f t="shared" si="50"/>
        <v>0.29929771677029099</v>
      </c>
      <c r="I312" s="49">
        <f t="shared" si="56"/>
        <v>0.29929771677029099</v>
      </c>
      <c r="J312" s="48">
        <v>0.25</v>
      </c>
      <c r="K312" s="48">
        <f t="shared" si="51"/>
        <v>0.21587313993311244</v>
      </c>
      <c r="L312" s="48">
        <v>195500</v>
      </c>
      <c r="M312" s="48">
        <v>204500</v>
      </c>
      <c r="N312" s="51">
        <v>125461438</v>
      </c>
      <c r="O312" s="48">
        <f t="shared" si="52"/>
        <v>2.4770376326489298</v>
      </c>
      <c r="P312" s="48">
        <f t="shared" si="57"/>
        <v>2.4770376326489298</v>
      </c>
      <c r="Q312" s="49">
        <v>0.5</v>
      </c>
      <c r="R312" s="49">
        <f t="shared" si="53"/>
        <v>0.50100331046544755</v>
      </c>
      <c r="S312" s="49">
        <v>271200</v>
      </c>
      <c r="T312" s="49">
        <v>270900</v>
      </c>
      <c r="U312" s="49">
        <v>15956260</v>
      </c>
      <c r="V312" s="49">
        <f t="shared" si="54"/>
        <v>34.122281047785798</v>
      </c>
      <c r="W312" s="49">
        <f t="shared" si="58"/>
        <v>34.122281047785798</v>
      </c>
      <c r="X312" s="82">
        <f>IF(Z311&lt;&gt;(E312*G312*H312+L312*N312*O312+S312*U312*V312),1,0)</f>
        <v>0</v>
      </c>
      <c r="Y312" s="82">
        <f>IF(AND(X312=0,B312="N"),Y311,Y311*(E312*G312*I312+L312*N312*P312+S312*U312*W312)/Z311)</f>
        <v>239394183448972.72</v>
      </c>
      <c r="Z312" s="81">
        <f t="shared" si="59"/>
        <v>294399839921339.5</v>
      </c>
      <c r="AA312" s="80">
        <f t="shared" si="48"/>
        <v>1229.7702295013835</v>
      </c>
      <c r="AB312" s="52">
        <f t="shared" si="55"/>
        <v>9.026456492047516E-3</v>
      </c>
      <c r="AC312" s="48">
        <f>(F312-E312)/E312</f>
        <v>0</v>
      </c>
      <c r="AD312" s="48">
        <f>(M312-L312)/L312</f>
        <v>4.6035805626598467E-2</v>
      </c>
      <c r="AE312" s="48">
        <f>(T312-S312)/S312</f>
        <v>-1.1061946902654867E-3</v>
      </c>
      <c r="AF312" s="48" t="e">
        <f>(#REF!-#REF!)/#REF!</f>
        <v>#REF!</v>
      </c>
    </row>
    <row r="313" spans="1:32" x14ac:dyDescent="0.3">
      <c r="A313" s="48">
        <v>20190410</v>
      </c>
      <c r="B313" s="48" t="s">
        <v>88</v>
      </c>
      <c r="C313" s="79">
        <v>0.25</v>
      </c>
      <c r="D313" s="79">
        <f t="shared" si="49"/>
        <v>0.27937885209033775</v>
      </c>
      <c r="E313" s="49">
        <v>46650</v>
      </c>
      <c r="F313" s="49">
        <v>46700</v>
      </c>
      <c r="G313" s="49">
        <v>5969782550</v>
      </c>
      <c r="H313" s="49">
        <f t="shared" si="50"/>
        <v>0.29929771677029099</v>
      </c>
      <c r="I313" s="49">
        <f t="shared" si="56"/>
        <v>0.29929771677029099</v>
      </c>
      <c r="J313" s="48">
        <v>0.25</v>
      </c>
      <c r="K313" s="48">
        <f t="shared" si="51"/>
        <v>0.213830387974558</v>
      </c>
      <c r="L313" s="48">
        <v>204500</v>
      </c>
      <c r="M313" s="48">
        <v>205500</v>
      </c>
      <c r="N313" s="51">
        <v>125461438</v>
      </c>
      <c r="O313" s="48">
        <f t="shared" si="52"/>
        <v>2.4770376326489298</v>
      </c>
      <c r="P313" s="48">
        <f t="shared" si="57"/>
        <v>2.4770376326489298</v>
      </c>
      <c r="Q313" s="49">
        <v>0.5</v>
      </c>
      <c r="R313" s="49">
        <f t="shared" si="53"/>
        <v>0.50679075993510425</v>
      </c>
      <c r="S313" s="49">
        <v>270900</v>
      </c>
      <c r="T313" s="49">
        <v>278000</v>
      </c>
      <c r="U313" s="49">
        <v>15956260</v>
      </c>
      <c r="V313" s="49">
        <f t="shared" si="54"/>
        <v>34.122281047785798</v>
      </c>
      <c r="W313" s="49">
        <f t="shared" si="58"/>
        <v>34.122281047785798</v>
      </c>
      <c r="X313" s="82">
        <f>IF(Z312&lt;&gt;(E313*G313*H313+L313*N313*O313+S313*U313*V313),1,0)</f>
        <v>0</v>
      </c>
      <c r="Y313" s="82">
        <f>IF(AND(X313=0,B313="N"),Y312,Y312*(E313*G313*I313+L313*N313*P313+S313*U313*W313)/Z312)</f>
        <v>239394183448972.72</v>
      </c>
      <c r="Z313" s="81">
        <f t="shared" si="59"/>
        <v>298665644055213.19</v>
      </c>
      <c r="AA313" s="80">
        <f t="shared" si="48"/>
        <v>1247.5893931603157</v>
      </c>
      <c r="AB313" s="52">
        <f t="shared" si="55"/>
        <v>1.4489831703079267E-2</v>
      </c>
      <c r="AC313" s="48">
        <f>(F313-E313)/E313</f>
        <v>1.0718113612004287E-3</v>
      </c>
      <c r="AD313" s="48">
        <f>(M313-L313)/L313</f>
        <v>4.8899755501222494E-3</v>
      </c>
      <c r="AE313" s="48">
        <f>(T313-S313)/S313</f>
        <v>2.6208933185677373E-2</v>
      </c>
      <c r="AF313" s="48" t="e">
        <f>(#REF!-#REF!)/#REF!</f>
        <v>#REF!</v>
      </c>
    </row>
    <row r="314" spans="1:32" x14ac:dyDescent="0.3">
      <c r="A314" s="48">
        <v>20190411</v>
      </c>
      <c r="B314" s="48" t="s">
        <v>88</v>
      </c>
      <c r="C314" s="79">
        <v>0.25</v>
      </c>
      <c r="D314" s="79">
        <f t="shared" si="49"/>
        <v>0.27574314607865741</v>
      </c>
      <c r="E314" s="49">
        <v>46700</v>
      </c>
      <c r="F314" s="49">
        <v>46250</v>
      </c>
      <c r="G314" s="49">
        <v>5969782550</v>
      </c>
      <c r="H314" s="49">
        <f t="shared" si="50"/>
        <v>0.29929771677029099</v>
      </c>
      <c r="I314" s="49">
        <f t="shared" si="56"/>
        <v>0.29929771677029099</v>
      </c>
      <c r="J314" s="48">
        <v>0.25</v>
      </c>
      <c r="K314" s="48">
        <f t="shared" si="51"/>
        <v>0.21828607864516167</v>
      </c>
      <c r="L314" s="48">
        <v>205500</v>
      </c>
      <c r="M314" s="48">
        <v>210500</v>
      </c>
      <c r="N314" s="51">
        <v>125461438</v>
      </c>
      <c r="O314" s="48">
        <f t="shared" si="52"/>
        <v>2.4770376326489298</v>
      </c>
      <c r="P314" s="48">
        <f t="shared" si="57"/>
        <v>2.4770376326489298</v>
      </c>
      <c r="Q314" s="49">
        <v>0.5</v>
      </c>
      <c r="R314" s="49">
        <f t="shared" si="53"/>
        <v>0.50597077527618106</v>
      </c>
      <c r="S314" s="49">
        <v>278000</v>
      </c>
      <c r="T314" s="49">
        <v>278500</v>
      </c>
      <c r="U314" s="49">
        <v>15956260</v>
      </c>
      <c r="V314" s="49">
        <f t="shared" si="54"/>
        <v>34.122281047785798</v>
      </c>
      <c r="W314" s="49">
        <f t="shared" si="58"/>
        <v>34.122281047785798</v>
      </c>
      <c r="X314" s="82">
        <f>IF(Z313&lt;&gt;(E314*G314*H314+L314*N314*O314+S314*U314*V314),1,0)</f>
        <v>0</v>
      </c>
      <c r="Y314" s="82">
        <f>IF(AND(X314=0,B314="N"),Y313,Y313*(E314*G314*I314+L314*N314*P314+S314*U314*W314)/Z313)</f>
        <v>239394183448972.72</v>
      </c>
      <c r="Z314" s="81">
        <f t="shared" si="59"/>
        <v>299687705537096.62</v>
      </c>
      <c r="AA314" s="80">
        <f t="shared" si="48"/>
        <v>1251.8587595549311</v>
      </c>
      <c r="AB314" s="52">
        <f t="shared" si="55"/>
        <v>3.4220925714994457E-3</v>
      </c>
      <c r="AC314" s="48">
        <f>(F314-E314)/E314</f>
        <v>-9.6359743040685224E-3</v>
      </c>
      <c r="AD314" s="48">
        <f>(M314-L314)/L314</f>
        <v>2.4330900243309004E-2</v>
      </c>
      <c r="AE314" s="48">
        <f>(T314-S314)/S314</f>
        <v>1.7985611510791368E-3</v>
      </c>
      <c r="AF314" s="48" t="e">
        <f>(#REF!-#REF!)/#REF!</f>
        <v>#REF!</v>
      </c>
    </row>
    <row r="315" spans="1:32" x14ac:dyDescent="0.3">
      <c r="A315" s="48">
        <v>20190412</v>
      </c>
      <c r="B315" s="48" t="s">
        <v>88</v>
      </c>
      <c r="C315" s="79">
        <v>0.25</v>
      </c>
      <c r="D315" s="79">
        <f t="shared" si="49"/>
        <v>0.28099849647162572</v>
      </c>
      <c r="E315" s="49">
        <v>46250</v>
      </c>
      <c r="F315" s="49">
        <v>46850</v>
      </c>
      <c r="G315" s="49">
        <v>5969782550</v>
      </c>
      <c r="H315" s="49">
        <f t="shared" si="50"/>
        <v>0.29929771677029099</v>
      </c>
      <c r="I315" s="49">
        <f t="shared" si="56"/>
        <v>0.29929771677029099</v>
      </c>
      <c r="J315" s="48">
        <v>0.25</v>
      </c>
      <c r="K315" s="48">
        <f t="shared" si="51"/>
        <v>0.21803270193051663</v>
      </c>
      <c r="L315" s="48">
        <v>210500</v>
      </c>
      <c r="M315" s="48">
        <v>209000</v>
      </c>
      <c r="N315" s="51">
        <v>125461438</v>
      </c>
      <c r="O315" s="48">
        <f t="shared" si="52"/>
        <v>2.4770376326489298</v>
      </c>
      <c r="P315" s="48">
        <f t="shared" si="57"/>
        <v>2.4770376326489298</v>
      </c>
      <c r="Q315" s="49">
        <v>0.5</v>
      </c>
      <c r="R315" s="49">
        <f t="shared" si="53"/>
        <v>0.50096880159785762</v>
      </c>
      <c r="S315" s="49">
        <v>278500</v>
      </c>
      <c r="T315" s="49">
        <v>274100</v>
      </c>
      <c r="U315" s="49">
        <v>15956260</v>
      </c>
      <c r="V315" s="49">
        <f t="shared" si="54"/>
        <v>34.122281047785798</v>
      </c>
      <c r="W315" s="49">
        <f t="shared" si="58"/>
        <v>34.122281047785798</v>
      </c>
      <c r="X315" s="82">
        <f>IF(Z314&lt;&gt;(E315*G315*H315+L315*N315*O315+S315*U315*V315),1,0)</f>
        <v>0</v>
      </c>
      <c r="Y315" s="82">
        <f>IF(AND(X315=0,B315="N"),Y314,Y314*(E315*G315*I315+L315*N315*P315+S315*U315*W315)/Z314)</f>
        <v>239394183448972.72</v>
      </c>
      <c r="Z315" s="81">
        <f t="shared" si="59"/>
        <v>297897950306093.56</v>
      </c>
      <c r="AA315" s="80">
        <f t="shared" si="48"/>
        <v>1244.382574439579</v>
      </c>
      <c r="AB315" s="52">
        <f t="shared" si="55"/>
        <v>-5.9720675821368944E-3</v>
      </c>
      <c r="AC315" s="48">
        <f>(F315-E315)/E315</f>
        <v>1.2972972972972972E-2</v>
      </c>
      <c r="AD315" s="48">
        <f>(M315-L315)/L315</f>
        <v>-7.1258907363420431E-3</v>
      </c>
      <c r="AE315" s="48">
        <f>(T315-S315)/S315</f>
        <v>-1.5798922800718134E-2</v>
      </c>
      <c r="AF315" s="48" t="e">
        <f>(#REF!-#REF!)/#REF!</f>
        <v>#REF!</v>
      </c>
    </row>
    <row r="316" spans="1:32" x14ac:dyDescent="0.3">
      <c r="A316" s="48">
        <v>20190415</v>
      </c>
      <c r="B316" s="48" t="s">
        <v>88</v>
      </c>
      <c r="C316" s="79">
        <v>0.25</v>
      </c>
      <c r="D316" s="79">
        <f t="shared" si="49"/>
        <v>0.28648268316513464</v>
      </c>
      <c r="E316" s="49">
        <v>46850</v>
      </c>
      <c r="F316" s="49">
        <v>47050</v>
      </c>
      <c r="G316" s="49">
        <v>5969782550</v>
      </c>
      <c r="H316" s="49">
        <f t="shared" si="50"/>
        <v>0.29929771677029099</v>
      </c>
      <c r="I316" s="49">
        <f t="shared" si="56"/>
        <v>0.29929771677029099</v>
      </c>
      <c r="J316" s="48">
        <v>0.25</v>
      </c>
      <c r="K316" s="48">
        <f t="shared" si="51"/>
        <v>0.21551827934736947</v>
      </c>
      <c r="L316" s="48">
        <v>209000</v>
      </c>
      <c r="M316" s="48">
        <v>203500</v>
      </c>
      <c r="N316" s="51">
        <v>125461438</v>
      </c>
      <c r="O316" s="48">
        <f t="shared" si="52"/>
        <v>2.4770376326489298</v>
      </c>
      <c r="P316" s="48">
        <f t="shared" si="57"/>
        <v>2.4770376326489298</v>
      </c>
      <c r="Q316" s="49">
        <v>0.5</v>
      </c>
      <c r="R316" s="49">
        <f t="shared" si="53"/>
        <v>0.49799903748749597</v>
      </c>
      <c r="S316" s="49">
        <v>274100</v>
      </c>
      <c r="T316" s="49">
        <v>268400</v>
      </c>
      <c r="U316" s="49">
        <v>15956260</v>
      </c>
      <c r="V316" s="49">
        <f t="shared" si="54"/>
        <v>34.122281047785798</v>
      </c>
      <c r="W316" s="49">
        <f t="shared" si="58"/>
        <v>34.122281047785798</v>
      </c>
      <c r="X316" s="82">
        <f>IF(Z315&lt;&gt;(E316*G316*H316+L316*N316*O316+S316*U316*V316),1,0)</f>
        <v>0</v>
      </c>
      <c r="Y316" s="82">
        <f>IF(AND(X316=0,B316="N"),Y315,Y315*(E316*G316*I316+L316*N316*P316+S316*U316*W316)/Z315)</f>
        <v>239394183448972.72</v>
      </c>
      <c r="Z316" s="81">
        <f t="shared" si="59"/>
        <v>293442604162220.37</v>
      </c>
      <c r="AA316" s="80">
        <f t="shared" si="48"/>
        <v>1225.7716538245306</v>
      </c>
      <c r="AB316" s="52">
        <f t="shared" si="55"/>
        <v>-1.4955947630036525E-2</v>
      </c>
      <c r="AC316" s="48">
        <f>(F316-E316)/E316</f>
        <v>4.2689434364994666E-3</v>
      </c>
      <c r="AD316" s="48">
        <f>(M316-L316)/L316</f>
        <v>-2.6315789473684209E-2</v>
      </c>
      <c r="AE316" s="48">
        <f>(T316-S316)/S316</f>
        <v>-2.0795330171470266E-2</v>
      </c>
      <c r="AF316" s="48" t="e">
        <f>(#REF!-#REF!)/#REF!</f>
        <v>#REF!</v>
      </c>
    </row>
    <row r="317" spans="1:32" x14ac:dyDescent="0.3">
      <c r="A317" s="48">
        <v>20190416</v>
      </c>
      <c r="B317" s="48" t="s">
        <v>88</v>
      </c>
      <c r="C317" s="79">
        <v>0.25</v>
      </c>
      <c r="D317" s="79">
        <f t="shared" si="49"/>
        <v>0.28504291513269098</v>
      </c>
      <c r="E317" s="49">
        <v>47050</v>
      </c>
      <c r="F317" s="49">
        <v>47250</v>
      </c>
      <c r="G317" s="49">
        <v>5969782550</v>
      </c>
      <c r="H317" s="49">
        <f t="shared" si="50"/>
        <v>0.29929771677029099</v>
      </c>
      <c r="I317" s="49">
        <f t="shared" si="56"/>
        <v>0.29929771677029099</v>
      </c>
      <c r="J317" s="48">
        <v>0.25</v>
      </c>
      <c r="K317" s="48">
        <f t="shared" si="51"/>
        <v>0.21824923128490387</v>
      </c>
      <c r="L317" s="48">
        <v>203500</v>
      </c>
      <c r="M317" s="48">
        <v>208000</v>
      </c>
      <c r="N317" s="51">
        <v>125461438</v>
      </c>
      <c r="O317" s="48">
        <f t="shared" si="52"/>
        <v>2.4770376326489298</v>
      </c>
      <c r="P317" s="48">
        <f t="shared" si="57"/>
        <v>2.4770376326489298</v>
      </c>
      <c r="Q317" s="49">
        <v>0.5</v>
      </c>
      <c r="R317" s="49">
        <f t="shared" si="53"/>
        <v>0.49670785358240505</v>
      </c>
      <c r="S317" s="49">
        <v>268400</v>
      </c>
      <c r="T317" s="49">
        <v>270200</v>
      </c>
      <c r="U317" s="49">
        <v>15956260</v>
      </c>
      <c r="V317" s="49">
        <f t="shared" si="54"/>
        <v>34.122281047785798</v>
      </c>
      <c r="W317" s="49">
        <f t="shared" si="58"/>
        <v>34.122281047785798</v>
      </c>
      <c r="X317" s="82">
        <f>IF(Z316&lt;&gt;(E317*G317*H317+L317*N317*O317+S317*U317*V317),1,0)</f>
        <v>0</v>
      </c>
      <c r="Y317" s="82">
        <f>IF(AND(X317=0,B317="N"),Y316,Y316*(E317*G317*I317+L317*N317*P317+S317*U317*W317)/Z316)</f>
        <v>239394183448972.72</v>
      </c>
      <c r="Z317" s="81">
        <f t="shared" si="59"/>
        <v>296178464963506.37</v>
      </c>
      <c r="AA317" s="80">
        <f t="shared" si="48"/>
        <v>1237.1999214702614</v>
      </c>
      <c r="AB317" s="52">
        <f t="shared" si="55"/>
        <v>9.3233251153046672E-3</v>
      </c>
      <c r="AC317" s="48">
        <f>(F317-E317)/E317</f>
        <v>4.2507970244420826E-3</v>
      </c>
      <c r="AD317" s="48">
        <f>(M317-L317)/L317</f>
        <v>2.2113022113022112E-2</v>
      </c>
      <c r="AE317" s="48">
        <f>(T317-S317)/S317</f>
        <v>6.7064083457526085E-3</v>
      </c>
      <c r="AF317" s="48" t="e">
        <f>(#REF!-#REF!)/#REF!</f>
        <v>#REF!</v>
      </c>
    </row>
    <row r="318" spans="1:32" x14ac:dyDescent="0.3">
      <c r="A318" s="48">
        <v>20190417</v>
      </c>
      <c r="B318" s="48" t="s">
        <v>88</v>
      </c>
      <c r="C318" s="79">
        <v>0.25</v>
      </c>
      <c r="D318" s="79">
        <f t="shared" si="49"/>
        <v>0.28597651591020928</v>
      </c>
      <c r="E318" s="49">
        <v>47250</v>
      </c>
      <c r="F318" s="49">
        <v>47050</v>
      </c>
      <c r="G318" s="49">
        <v>5969782550</v>
      </c>
      <c r="H318" s="49">
        <f t="shared" si="50"/>
        <v>0.29929771677029099</v>
      </c>
      <c r="I318" s="49">
        <f t="shared" si="56"/>
        <v>0.29929771677029099</v>
      </c>
      <c r="J318" s="48">
        <v>0.25</v>
      </c>
      <c r="K318" s="48">
        <f t="shared" si="51"/>
        <v>0.22042342791471459</v>
      </c>
      <c r="L318" s="48">
        <v>208000</v>
      </c>
      <c r="M318" s="48">
        <v>208500</v>
      </c>
      <c r="N318" s="51">
        <v>125461438</v>
      </c>
      <c r="O318" s="48">
        <f t="shared" si="52"/>
        <v>2.4770376326489298</v>
      </c>
      <c r="P318" s="48">
        <f t="shared" si="57"/>
        <v>2.4770376326489298</v>
      </c>
      <c r="Q318" s="49">
        <v>0.5</v>
      </c>
      <c r="R318" s="49">
        <f t="shared" si="53"/>
        <v>0.49360005617507607</v>
      </c>
      <c r="S318" s="49">
        <v>270200</v>
      </c>
      <c r="T318" s="49">
        <v>266500</v>
      </c>
      <c r="U318" s="49">
        <v>15956260</v>
      </c>
      <c r="V318" s="49">
        <f t="shared" si="54"/>
        <v>34.122281047785798</v>
      </c>
      <c r="W318" s="49">
        <f t="shared" si="58"/>
        <v>34.122281047785798</v>
      </c>
      <c r="X318" s="82">
        <f>IF(Z317&lt;&gt;(E318*G318*H318+L318*N318*O318+S318*U318*V318),1,0)</f>
        <v>0</v>
      </c>
      <c r="Y318" s="82">
        <f>IF(AND(X318=0,B318="N"),Y317,Y317*(E318*G318*I318+L318*N318*P318+S318*U318*W318)/Z317)</f>
        <v>239394183448972.72</v>
      </c>
      <c r="Z318" s="81">
        <f t="shared" si="59"/>
        <v>293961986101517.75</v>
      </c>
      <c r="AA318" s="80">
        <f t="shared" si="48"/>
        <v>1227.9412217388995</v>
      </c>
      <c r="AB318" s="52">
        <f t="shared" si="55"/>
        <v>-7.48359223977247E-3</v>
      </c>
      <c r="AC318" s="48">
        <f>(F318-E318)/E318</f>
        <v>-4.2328042328042331E-3</v>
      </c>
      <c r="AD318" s="48">
        <f>(M318-L318)/L318</f>
        <v>2.403846153846154E-3</v>
      </c>
      <c r="AE318" s="48">
        <f>(T318-S318)/S318</f>
        <v>-1.3693560325684678E-2</v>
      </c>
      <c r="AF318" s="48" t="e">
        <f>(#REF!-#REF!)/#REF!</f>
        <v>#REF!</v>
      </c>
    </row>
    <row r="319" spans="1:32" x14ac:dyDescent="0.3">
      <c r="A319" s="48">
        <v>20190418</v>
      </c>
      <c r="B319" s="48" t="s">
        <v>88</v>
      </c>
      <c r="C319" s="79">
        <v>0.25</v>
      </c>
      <c r="D319" s="79">
        <f t="shared" si="49"/>
        <v>0.28596187506779519</v>
      </c>
      <c r="E319" s="49">
        <v>47050</v>
      </c>
      <c r="F319" s="49">
        <v>45600</v>
      </c>
      <c r="G319" s="49">
        <v>5969782550</v>
      </c>
      <c r="H319" s="49">
        <f t="shared" si="50"/>
        <v>0.29929771677029099</v>
      </c>
      <c r="I319" s="49">
        <f t="shared" si="56"/>
        <v>0.29929771677029099</v>
      </c>
      <c r="J319" s="48">
        <v>0.25</v>
      </c>
      <c r="K319" s="48">
        <f t="shared" si="51"/>
        <v>0.22196712487706127</v>
      </c>
      <c r="L319" s="48">
        <v>208500</v>
      </c>
      <c r="M319" s="48">
        <v>203500</v>
      </c>
      <c r="N319" s="51">
        <v>125461438</v>
      </c>
      <c r="O319" s="48">
        <f t="shared" si="52"/>
        <v>2.4770376326489298</v>
      </c>
      <c r="P319" s="48">
        <f t="shared" si="57"/>
        <v>2.4770376326489298</v>
      </c>
      <c r="Q319" s="49">
        <v>0.5</v>
      </c>
      <c r="R319" s="49">
        <f t="shared" si="53"/>
        <v>0.4920710000551437</v>
      </c>
      <c r="S319" s="49">
        <v>266500</v>
      </c>
      <c r="T319" s="49">
        <v>257500</v>
      </c>
      <c r="U319" s="49">
        <v>15956260</v>
      </c>
      <c r="V319" s="49">
        <f t="shared" si="54"/>
        <v>34.122281047785798</v>
      </c>
      <c r="W319" s="49">
        <f t="shared" si="58"/>
        <v>34.122281047785798</v>
      </c>
      <c r="X319" s="82">
        <f>IF(Z318&lt;&gt;(E319*G319*H319+L319*N319*O319+S319*U319*V319),1,0)</f>
        <v>0</v>
      </c>
      <c r="Y319" s="82">
        <f>IF(AND(X319=0,B319="N"),Y318,Y318*(E319*G319*I319+L319*N319*P319+S319*U319*W319)/Z318)</f>
        <v>239394183448972.72</v>
      </c>
      <c r="Z319" s="81">
        <f t="shared" si="59"/>
        <v>284917170375028.87</v>
      </c>
      <c r="AA319" s="80">
        <f t="shared" si="48"/>
        <v>1190.1591186143394</v>
      </c>
      <c r="AB319" s="52">
        <f t="shared" si="55"/>
        <v>-3.0768657697683999E-2</v>
      </c>
      <c r="AC319" s="48">
        <f>(F319-E319)/E319</f>
        <v>-3.0818278427205102E-2</v>
      </c>
      <c r="AD319" s="48">
        <f>(M319-L319)/L319</f>
        <v>-2.3980815347721823E-2</v>
      </c>
      <c r="AE319" s="48">
        <f>(T319-S319)/S319</f>
        <v>-3.3771106941838651E-2</v>
      </c>
      <c r="AF319" s="48" t="e">
        <f>(#REF!-#REF!)/#REF!</f>
        <v>#REF!</v>
      </c>
    </row>
    <row r="320" spans="1:32" x14ac:dyDescent="0.3">
      <c r="A320" s="48">
        <v>20190419</v>
      </c>
      <c r="B320" s="48" t="s">
        <v>88</v>
      </c>
      <c r="C320" s="79">
        <v>0.25</v>
      </c>
      <c r="D320" s="79">
        <f t="shared" si="49"/>
        <v>0.27808004327923136</v>
      </c>
      <c r="E320" s="49">
        <v>45600</v>
      </c>
      <c r="F320" s="49">
        <v>45300</v>
      </c>
      <c r="G320" s="49">
        <v>5969782550</v>
      </c>
      <c r="H320" s="49">
        <f t="shared" si="50"/>
        <v>0.29929771677029099</v>
      </c>
      <c r="I320" s="49">
        <f t="shared" si="56"/>
        <v>0.29929771677029099</v>
      </c>
      <c r="J320" s="48">
        <v>0.25</v>
      </c>
      <c r="K320" s="48">
        <f t="shared" si="51"/>
        <v>0.23276038327549761</v>
      </c>
      <c r="L320" s="48">
        <v>203500</v>
      </c>
      <c r="M320" s="48">
        <v>218000</v>
      </c>
      <c r="N320" s="51">
        <v>125461438</v>
      </c>
      <c r="O320" s="48">
        <f t="shared" si="52"/>
        <v>2.4770376326489298</v>
      </c>
      <c r="P320" s="48">
        <f t="shared" si="57"/>
        <v>2.4770376326489298</v>
      </c>
      <c r="Q320" s="49">
        <v>0.5</v>
      </c>
      <c r="R320" s="49">
        <f t="shared" si="53"/>
        <v>0.48915957344527089</v>
      </c>
      <c r="S320" s="49">
        <v>257500</v>
      </c>
      <c r="T320" s="49">
        <v>261500</v>
      </c>
      <c r="U320" s="49">
        <v>15956260</v>
      </c>
      <c r="V320" s="49">
        <f t="shared" si="54"/>
        <v>34.122281047785798</v>
      </c>
      <c r="W320" s="49">
        <f t="shared" si="58"/>
        <v>34.122281047785798</v>
      </c>
      <c r="X320" s="82">
        <f>IF(Z319&lt;&gt;(E320*G320*H320+L320*N320*O320+S320*U320*V320),1,0)</f>
        <v>0</v>
      </c>
      <c r="Y320" s="82">
        <f>IF(AND(X320=0,B320="N"),Y319,Y319*(E320*G320*I320+L320*N320*P320+S320*U320*W320)/Z319)</f>
        <v>239394183448972.72</v>
      </c>
      <c r="Z320" s="81">
        <f t="shared" si="59"/>
        <v>291065207840643.75</v>
      </c>
      <c r="AA320" s="80">
        <f t="shared" si="48"/>
        <v>1215.8407679219358</v>
      </c>
      <c r="AB320" s="52">
        <f t="shared" si="55"/>
        <v>2.1578332599339063E-2</v>
      </c>
      <c r="AC320" s="48">
        <f>(F320-E320)/E320</f>
        <v>-6.5789473684210523E-3</v>
      </c>
      <c r="AD320" s="48">
        <f>(M320-L320)/L320</f>
        <v>7.125307125307126E-2</v>
      </c>
      <c r="AE320" s="48">
        <f>(T320-S320)/S320</f>
        <v>1.5533980582524271E-2</v>
      </c>
      <c r="AF320" s="48" t="e">
        <f>(#REF!-#REF!)/#REF!</f>
        <v>#REF!</v>
      </c>
    </row>
    <row r="321" spans="1:32" x14ac:dyDescent="0.3">
      <c r="A321" s="48">
        <v>20190422</v>
      </c>
      <c r="B321" s="48" t="s">
        <v>88</v>
      </c>
      <c r="C321" s="79">
        <v>0.25</v>
      </c>
      <c r="D321" s="79">
        <f t="shared" si="49"/>
        <v>0.27870444667278982</v>
      </c>
      <c r="E321" s="49">
        <v>45300</v>
      </c>
      <c r="F321" s="49">
        <v>45350</v>
      </c>
      <c r="G321" s="49">
        <v>5969782550</v>
      </c>
      <c r="H321" s="49">
        <f t="shared" si="50"/>
        <v>0.29929771677029099</v>
      </c>
      <c r="I321" s="49">
        <f t="shared" si="56"/>
        <v>0.29929771677029099</v>
      </c>
      <c r="J321" s="48">
        <v>0.25</v>
      </c>
      <c r="K321" s="48">
        <f t="shared" si="51"/>
        <v>0.23569813708759557</v>
      </c>
      <c r="L321" s="48">
        <v>218000</v>
      </c>
      <c r="M321" s="48">
        <v>220500</v>
      </c>
      <c r="N321" s="51">
        <v>125461438</v>
      </c>
      <c r="O321" s="48">
        <f t="shared" si="52"/>
        <v>2.4770376326489298</v>
      </c>
      <c r="P321" s="48">
        <f t="shared" si="57"/>
        <v>2.4770376326489298</v>
      </c>
      <c r="Q321" s="49">
        <v>0.5</v>
      </c>
      <c r="R321" s="49">
        <f t="shared" si="53"/>
        <v>0.48559741623961455</v>
      </c>
      <c r="S321" s="49">
        <v>261500</v>
      </c>
      <c r="T321" s="49">
        <v>259300</v>
      </c>
      <c r="U321" s="49">
        <v>15956260</v>
      </c>
      <c r="V321" s="49">
        <f t="shared" si="54"/>
        <v>34.122281047785798</v>
      </c>
      <c r="W321" s="49">
        <f t="shared" si="58"/>
        <v>34.122281047785798</v>
      </c>
      <c r="X321" s="82">
        <f>IF(Z320&lt;&gt;(E321*G321*H321+L321*N321*O321+S321*U321*V321),1,0)</f>
        <v>0</v>
      </c>
      <c r="Y321" s="82">
        <f>IF(AND(X321=0,B321="N"),Y320,Y320*(E321*G321*I321+L321*N321*P321+S321*U321*W321)/Z320)</f>
        <v>239394183448972.72</v>
      </c>
      <c r="Z321" s="81">
        <f t="shared" si="59"/>
        <v>290733655939394.44</v>
      </c>
      <c r="AA321" s="80">
        <f t="shared" si="48"/>
        <v>1214.4558056957337</v>
      </c>
      <c r="AB321" s="52">
        <f t="shared" si="55"/>
        <v>-1.1390983611852606E-3</v>
      </c>
      <c r="AC321" s="48">
        <f>(F321-E321)/E321</f>
        <v>1.1037527593818985E-3</v>
      </c>
      <c r="AD321" s="48">
        <f>(M321-L321)/L321</f>
        <v>1.1467889908256881E-2</v>
      </c>
      <c r="AE321" s="48">
        <f>(T321-S321)/S321</f>
        <v>-8.4130019120458883E-3</v>
      </c>
      <c r="AF321" s="48" t="e">
        <f>(#REF!-#REF!)/#REF!</f>
        <v>#REF!</v>
      </c>
    </row>
    <row r="322" spans="1:32" x14ac:dyDescent="0.3">
      <c r="A322" s="48">
        <v>20190423</v>
      </c>
      <c r="B322" s="48" t="s">
        <v>88</v>
      </c>
      <c r="C322" s="79">
        <v>0.25</v>
      </c>
      <c r="D322" s="79">
        <f t="shared" si="49"/>
        <v>0.27774175125581374</v>
      </c>
      <c r="E322" s="49">
        <v>45350</v>
      </c>
      <c r="F322" s="49">
        <v>45200</v>
      </c>
      <c r="G322" s="49">
        <v>5969782550</v>
      </c>
      <c r="H322" s="49">
        <f t="shared" si="50"/>
        <v>0.29929771677029099</v>
      </c>
      <c r="I322" s="49">
        <f t="shared" si="56"/>
        <v>0.29929771677029099</v>
      </c>
      <c r="J322" s="48">
        <v>0.25</v>
      </c>
      <c r="K322" s="48">
        <f t="shared" si="51"/>
        <v>0.23673224409390414</v>
      </c>
      <c r="L322" s="48">
        <v>220500</v>
      </c>
      <c r="M322" s="48">
        <v>221500</v>
      </c>
      <c r="N322" s="51">
        <v>125461438</v>
      </c>
      <c r="O322" s="48">
        <f t="shared" si="52"/>
        <v>2.4770376326489298</v>
      </c>
      <c r="P322" s="48">
        <f t="shared" si="57"/>
        <v>2.4770376326489298</v>
      </c>
      <c r="Q322" s="49">
        <v>0.5</v>
      </c>
      <c r="R322" s="49">
        <f t="shared" si="53"/>
        <v>0.48552600465028223</v>
      </c>
      <c r="S322" s="49">
        <v>259300</v>
      </c>
      <c r="T322" s="49">
        <v>259300</v>
      </c>
      <c r="U322" s="49">
        <v>15956260</v>
      </c>
      <c r="V322" s="49">
        <f t="shared" si="54"/>
        <v>34.122281047785798</v>
      </c>
      <c r="W322" s="49">
        <f t="shared" si="58"/>
        <v>34.122281047785798</v>
      </c>
      <c r="X322" s="82">
        <f>IF(Z321&lt;&gt;(E322*G322*H322+L322*N322*O322+S322*U322*V322),1,0)</f>
        <v>0</v>
      </c>
      <c r="Y322" s="82">
        <f>IF(AND(X322=0,B322="N"),Y321,Y321*(E322*G322*I322+L322*N322*P322+S322*U322*W322)/Z321)</f>
        <v>239394183448972.72</v>
      </c>
      <c r="Z322" s="81">
        <f t="shared" si="59"/>
        <v>290776417299742.12</v>
      </c>
      <c r="AA322" s="80">
        <f t="shared" si="48"/>
        <v>1214.6344289176166</v>
      </c>
      <c r="AB322" s="52">
        <f t="shared" si="55"/>
        <v>1.4708087445019491E-4</v>
      </c>
      <c r="AC322" s="48">
        <f>(F322-E322)/E322</f>
        <v>-3.3076074972436605E-3</v>
      </c>
      <c r="AD322" s="48">
        <f>(M322-L322)/L322</f>
        <v>4.5351473922902496E-3</v>
      </c>
      <c r="AE322" s="48">
        <f>(T322-S322)/S322</f>
        <v>0</v>
      </c>
      <c r="AF322" s="48" t="e">
        <f>(#REF!-#REF!)/#REF!</f>
        <v>#REF!</v>
      </c>
    </row>
    <row r="323" spans="1:32" s="73" customFormat="1" x14ac:dyDescent="0.3">
      <c r="A323" s="48">
        <v>20190424</v>
      </c>
      <c r="B323" s="48" t="s">
        <v>88</v>
      </c>
      <c r="C323" s="79">
        <v>0.25</v>
      </c>
      <c r="D323" s="79">
        <f t="shared" si="49"/>
        <v>0.27698610133475493</v>
      </c>
      <c r="E323" s="49">
        <v>45200</v>
      </c>
      <c r="F323" s="49">
        <v>44750</v>
      </c>
      <c r="G323" s="49">
        <v>5969782550</v>
      </c>
      <c r="H323" s="49">
        <f t="shared" si="50"/>
        <v>0.29929771677029099</v>
      </c>
      <c r="I323" s="49">
        <f t="shared" si="56"/>
        <v>0.31117271974055599</v>
      </c>
      <c r="J323" s="48">
        <v>0.25</v>
      </c>
      <c r="K323" s="48">
        <f t="shared" si="51"/>
        <v>0.23469421304583971</v>
      </c>
      <c r="L323" s="48">
        <v>221500</v>
      </c>
      <c r="M323" s="48">
        <v>218000</v>
      </c>
      <c r="N323" s="51">
        <v>127953489</v>
      </c>
      <c r="O323" s="48">
        <f t="shared" si="52"/>
        <v>2.4770376326489298</v>
      </c>
      <c r="P323" s="48">
        <f t="shared" si="57"/>
        <v>2.5251596732190902</v>
      </c>
      <c r="Q323" s="49">
        <v>0.5</v>
      </c>
      <c r="R323" s="49">
        <f t="shared" si="53"/>
        <v>0.48831968561940542</v>
      </c>
      <c r="S323" s="49">
        <v>259300</v>
      </c>
      <c r="T323" s="49">
        <v>258900</v>
      </c>
      <c r="U323" s="49">
        <v>15956260</v>
      </c>
      <c r="V323" s="49">
        <f t="shared" si="54"/>
        <v>34.122281047785798</v>
      </c>
      <c r="W323" s="49">
        <f t="shared" si="58"/>
        <v>35.476124281764299</v>
      </c>
      <c r="X323" s="82">
        <f>IF(Z322&lt;&gt;(E323*G323*H323+L323*N323*O323+S323*U323*V323),1,0)</f>
        <v>1</v>
      </c>
      <c r="Y323" s="82">
        <f>IF(AND(X323=0,B323="N"),Y322,Y322*(E323*G323*I323+L323*N323*P323+S323*U323*W323)/Z322)</f>
        <v>248892440469431.75</v>
      </c>
      <c r="Z323" s="81">
        <f t="shared" si="59"/>
        <v>300120105257166.06</v>
      </c>
      <c r="AA323" s="80">
        <f t="shared" ref="AA323:AA380" si="60">Z323/Y323*1000</f>
        <v>1205.8225018450328</v>
      </c>
      <c r="AB323" s="52">
        <f t="shared" si="55"/>
        <v>-7.254797709329101E-3</v>
      </c>
      <c r="AC323" s="48">
        <f>(F323-E323)/E323</f>
        <v>-9.9557522123893804E-3</v>
      </c>
      <c r="AD323" s="48">
        <f>(M323-L323)/L323</f>
        <v>-1.580135440180587E-2</v>
      </c>
      <c r="AE323" s="48">
        <f>(T323-S323)/S323</f>
        <v>-1.5426147319706903E-3</v>
      </c>
      <c r="AF323" s="48" t="e">
        <f>(#REF!-#REF!)/#REF!</f>
        <v>#REF!</v>
      </c>
    </row>
    <row r="324" spans="1:32" x14ac:dyDescent="0.3">
      <c r="A324" s="48">
        <v>20190425</v>
      </c>
      <c r="B324" s="48" t="s">
        <v>88</v>
      </c>
      <c r="C324" s="79">
        <v>0.25</v>
      </c>
      <c r="D324" s="79">
        <f t="shared" ref="D324:D380" si="61">F324*G324*I324/Z324</f>
        <v>0.28099842732868496</v>
      </c>
      <c r="E324" s="49">
        <v>44750</v>
      </c>
      <c r="F324" s="49">
        <v>44650</v>
      </c>
      <c r="G324" s="49">
        <v>5969782550</v>
      </c>
      <c r="H324" s="49">
        <f t="shared" ref="H324:H380" si="62">I323</f>
        <v>0.31117271974055599</v>
      </c>
      <c r="I324" s="49">
        <f t="shared" si="56"/>
        <v>0.31117271974055599</v>
      </c>
      <c r="J324" s="48">
        <v>0.25</v>
      </c>
      <c r="K324" s="48">
        <f t="shared" ref="K324:K380" si="63">M324*N324*P324/Z324</f>
        <v>0.23151212829942291</v>
      </c>
      <c r="L324" s="48">
        <v>218000</v>
      </c>
      <c r="M324" s="48">
        <v>211500</v>
      </c>
      <c r="N324" s="51">
        <v>127953489</v>
      </c>
      <c r="O324" s="48">
        <f t="shared" ref="O324:O380" si="64">P323</f>
        <v>2.5251596732190902</v>
      </c>
      <c r="P324" s="48">
        <f t="shared" si="57"/>
        <v>2.5251596732190902</v>
      </c>
      <c r="Q324" s="49">
        <v>0.5</v>
      </c>
      <c r="R324" s="49">
        <f t="shared" ref="R324:R380" si="65">T324*U324*W324/Z324</f>
        <v>0.48748944437189218</v>
      </c>
      <c r="S324" s="49">
        <v>258900</v>
      </c>
      <c r="T324" s="49">
        <v>254200</v>
      </c>
      <c r="U324" s="49">
        <v>15956260</v>
      </c>
      <c r="V324" s="49">
        <f t="shared" ref="V324:V380" si="66">W323</f>
        <v>35.476124281764299</v>
      </c>
      <c r="W324" s="49">
        <f t="shared" si="58"/>
        <v>35.476124281764299</v>
      </c>
      <c r="X324" s="82">
        <f>IF(Z323&lt;&gt;(E324*G324*H324+L324*N324*O324+S324*U324*V324),1,0)</f>
        <v>0</v>
      </c>
      <c r="Y324" s="82">
        <f>IF(AND(X324=0,B324="N"),Y323,Y323*(E324*G324*I324+L324*N324*P324+S324*U324*W324)/Z323)</f>
        <v>248892440469431.75</v>
      </c>
      <c r="Z324" s="81">
        <f t="shared" si="59"/>
        <v>295173661036562.56</v>
      </c>
      <c r="AA324" s="80">
        <f t="shared" si="60"/>
        <v>1185.9486791958832</v>
      </c>
      <c r="AB324" s="52">
        <f t="shared" ref="AB324:AB380" si="67">(AA324-AA323)/AA323</f>
        <v>-1.648154899974133E-2</v>
      </c>
      <c r="AC324" s="48">
        <f>(F324-E324)/E324</f>
        <v>-2.2346368715083797E-3</v>
      </c>
      <c r="AD324" s="48">
        <f>(M324-L324)/L324</f>
        <v>-2.9816513761467892E-2</v>
      </c>
      <c r="AE324" s="48">
        <f>(T324-S324)/S324</f>
        <v>-1.8153727307840865E-2</v>
      </c>
      <c r="AF324" s="48" t="e">
        <f>(#REF!-#REF!)/#REF!</f>
        <v>#REF!</v>
      </c>
    </row>
    <row r="325" spans="1:32" x14ac:dyDescent="0.3">
      <c r="A325" s="48">
        <v>20190426</v>
      </c>
      <c r="B325" s="48" t="s">
        <v>88</v>
      </c>
      <c r="C325" s="79">
        <v>0.25</v>
      </c>
      <c r="D325" s="79">
        <f t="shared" si="61"/>
        <v>0.28174826672057302</v>
      </c>
      <c r="E325" s="49">
        <v>44650</v>
      </c>
      <c r="F325" s="49">
        <v>44850</v>
      </c>
      <c r="G325" s="49">
        <v>5969782550</v>
      </c>
      <c r="H325" s="49">
        <f t="shared" si="62"/>
        <v>0.31117271974055599</v>
      </c>
      <c r="I325" s="49">
        <f t="shared" ref="I325:I380" si="68">IF(B325="Y",ROUND(C325*(E325*G325+L325*N325+S325*U325)/(E325*G325),17),IF(X325=0,H325,ROUND(F324*G324*I324/Z324*(E325*G325+L325*N325+S325*U325)/(E325*G325),17)))</f>
        <v>0.31117271974055599</v>
      </c>
      <c r="J325" s="48">
        <v>0.25</v>
      </c>
      <c r="K325" s="48">
        <f t="shared" si="63"/>
        <v>0.23164109874185071</v>
      </c>
      <c r="L325" s="48">
        <v>211500</v>
      </c>
      <c r="M325" s="48">
        <v>212000</v>
      </c>
      <c r="N325" s="51">
        <v>127953489</v>
      </c>
      <c r="O325" s="48">
        <f t="shared" si="64"/>
        <v>2.5251596732190902</v>
      </c>
      <c r="P325" s="48">
        <f t="shared" ref="P325:P380" si="69">IF(B325="Y",ROUND(J325*(E325*G325+L325*N325+S325*U325)/(L325*N325),17),IF(X325=0,O325,ROUND(M324*N324*P324/Z324*(E325*G325+L325*N325+S325*U325)/(L325*N325),17)))</f>
        <v>2.5251596732190902</v>
      </c>
      <c r="Q325" s="49">
        <v>0.5</v>
      </c>
      <c r="R325" s="49">
        <f t="shared" si="65"/>
        <v>0.48661063453757636</v>
      </c>
      <c r="S325" s="49">
        <v>254200</v>
      </c>
      <c r="T325" s="49">
        <v>254200</v>
      </c>
      <c r="U325" s="49">
        <v>15956260</v>
      </c>
      <c r="V325" s="49">
        <f t="shared" si="66"/>
        <v>35.476124281764299</v>
      </c>
      <c r="W325" s="49">
        <f t="shared" ref="W325:W380" si="70">IF(B325="Y",ROUND(Q325*(E325*G325+L325*N325+S325*U325)/(S325*U325),17),IF(X325=0,V325,ROUND(T324*U324*W324/Z324*(E325*G325+L325*N325+S325*U325)/(S325*U325),17)))</f>
        <v>35.476124281764299</v>
      </c>
      <c r="X325" s="82">
        <f>IF(Z324&lt;&gt;(E325*G325*H325+L325*N325*O325+S325*U325*V325),1,0)</f>
        <v>0</v>
      </c>
      <c r="Y325" s="82">
        <f>IF(AND(X325=0,B325="N"),Y324,Y324*(E325*G325*I325+L325*N325*P325+S325*U325*W325)/Z324)</f>
        <v>248892440469431.75</v>
      </c>
      <c r="Z325" s="81">
        <f t="shared" ref="Z325:Z380" si="71">F325*G325*I325+M325*N325*P325+T325*U325*W325</f>
        <v>295706739226266.44</v>
      </c>
      <c r="AA325" s="80">
        <f t="shared" si="60"/>
        <v>1188.0904806451297</v>
      </c>
      <c r="AB325" s="52">
        <f t="shared" si="67"/>
        <v>1.8059815629616505E-3</v>
      </c>
      <c r="AC325" s="48">
        <f>(F325-E325)/E325</f>
        <v>4.4792833146696529E-3</v>
      </c>
      <c r="AD325" s="48">
        <f>(M325-L325)/L325</f>
        <v>2.3640661938534278E-3</v>
      </c>
      <c r="AE325" s="48">
        <f>(T325-S325)/S325</f>
        <v>0</v>
      </c>
      <c r="AF325" s="48" t="e">
        <f>(#REF!-#REF!)/#REF!</f>
        <v>#REF!</v>
      </c>
    </row>
    <row r="326" spans="1:32" x14ac:dyDescent="0.3">
      <c r="A326" s="48">
        <v>20190429</v>
      </c>
      <c r="B326" s="48" t="s">
        <v>88</v>
      </c>
      <c r="C326" s="79">
        <v>0.25</v>
      </c>
      <c r="D326" s="79">
        <f t="shared" si="61"/>
        <v>0.28406953042489352</v>
      </c>
      <c r="E326" s="49">
        <v>44850</v>
      </c>
      <c r="F326" s="49">
        <v>46150</v>
      </c>
      <c r="G326" s="49">
        <v>5969782550</v>
      </c>
      <c r="H326" s="49">
        <f t="shared" si="62"/>
        <v>0.31117271974055599</v>
      </c>
      <c r="I326" s="49">
        <f t="shared" si="68"/>
        <v>0.31117271974055599</v>
      </c>
      <c r="J326" s="48">
        <v>0.25</v>
      </c>
      <c r="K326" s="48">
        <f t="shared" si="63"/>
        <v>0.23125314557831902</v>
      </c>
      <c r="L326" s="48">
        <v>212000</v>
      </c>
      <c r="M326" s="48">
        <v>216000</v>
      </c>
      <c r="N326" s="51">
        <v>127953489</v>
      </c>
      <c r="O326" s="48">
        <f t="shared" si="64"/>
        <v>2.5251596732190902</v>
      </c>
      <c r="P326" s="48">
        <f t="shared" si="69"/>
        <v>2.5251596732190902</v>
      </c>
      <c r="Q326" s="49">
        <v>0.5</v>
      </c>
      <c r="R326" s="49">
        <f t="shared" si="65"/>
        <v>0.48467732399678748</v>
      </c>
      <c r="S326" s="49">
        <v>254200</v>
      </c>
      <c r="T326" s="49">
        <v>258400</v>
      </c>
      <c r="U326" s="49">
        <v>15956260</v>
      </c>
      <c r="V326" s="49">
        <f t="shared" si="66"/>
        <v>35.476124281764299</v>
      </c>
      <c r="W326" s="49">
        <f t="shared" si="70"/>
        <v>35.476124281764299</v>
      </c>
      <c r="X326" s="82">
        <f>IF(Z325&lt;&gt;(E326*G326*H326+L326*N326*O326+S326*U326*V326),1,0)</f>
        <v>0</v>
      </c>
      <c r="Y326" s="82">
        <f>IF(AND(X326=0,B326="N"),Y325,Y325*(E326*G326*I326+L326*N326*P326+S326*U326*W326)/Z325)</f>
        <v>248892440469431.75</v>
      </c>
      <c r="Z326" s="81">
        <f t="shared" si="71"/>
        <v>301791553006089.56</v>
      </c>
      <c r="AA326" s="80">
        <f t="shared" si="60"/>
        <v>1212.5380442928911</v>
      </c>
      <c r="AB326" s="52">
        <f t="shared" si="67"/>
        <v>2.0577190076033976E-2</v>
      </c>
      <c r="AC326" s="48">
        <f>(F326-E326)/E326</f>
        <v>2.8985507246376812E-2</v>
      </c>
      <c r="AD326" s="48">
        <f>(M326-L326)/L326</f>
        <v>1.8867924528301886E-2</v>
      </c>
      <c r="AE326" s="48">
        <f>(T326-S326)/S326</f>
        <v>1.6522423288749016E-2</v>
      </c>
      <c r="AF326" s="48" t="e">
        <f>(#REF!-#REF!)/#REF!</f>
        <v>#REF!</v>
      </c>
    </row>
    <row r="327" spans="1:32" x14ac:dyDescent="0.3">
      <c r="A327" s="48">
        <v>20190430</v>
      </c>
      <c r="B327" s="48" t="s">
        <v>88</v>
      </c>
      <c r="C327" s="79">
        <v>0.25</v>
      </c>
      <c r="D327" s="79">
        <f t="shared" si="61"/>
        <v>0.28294876390042278</v>
      </c>
      <c r="E327" s="49">
        <v>46150</v>
      </c>
      <c r="F327" s="49">
        <v>45850</v>
      </c>
      <c r="G327" s="49">
        <v>5969782550</v>
      </c>
      <c r="H327" s="49">
        <f t="shared" si="62"/>
        <v>0.31117271974055599</v>
      </c>
      <c r="I327" s="49">
        <f t="shared" si="68"/>
        <v>0.31117271974055599</v>
      </c>
      <c r="J327" s="48">
        <v>0.25</v>
      </c>
      <c r="K327" s="48">
        <f t="shared" si="63"/>
        <v>0.22755441790348407</v>
      </c>
      <c r="L327" s="48">
        <v>216000</v>
      </c>
      <c r="M327" s="48">
        <v>212000</v>
      </c>
      <c r="N327" s="51">
        <v>127953489</v>
      </c>
      <c r="O327" s="48">
        <f t="shared" si="64"/>
        <v>2.5251596732190902</v>
      </c>
      <c r="P327" s="48">
        <f t="shared" si="69"/>
        <v>2.5251596732190902</v>
      </c>
      <c r="Q327" s="49">
        <v>0.5</v>
      </c>
      <c r="R327" s="49">
        <f t="shared" si="65"/>
        <v>0.48949681819609303</v>
      </c>
      <c r="S327" s="49">
        <v>258400</v>
      </c>
      <c r="T327" s="49">
        <v>260300</v>
      </c>
      <c r="U327" s="49">
        <v>15956260</v>
      </c>
      <c r="V327" s="49">
        <f t="shared" si="66"/>
        <v>35.476124281764299</v>
      </c>
      <c r="W327" s="49">
        <f t="shared" si="70"/>
        <v>35.476124281764299</v>
      </c>
      <c r="X327" s="82">
        <f>IF(Z326&lt;&gt;(E327*G327*H327+L327*N327*O327+S327*U327*V327),1,0)</f>
        <v>0</v>
      </c>
      <c r="Y327" s="82">
        <f>IF(AND(X327=0,B327="N"),Y326,Y326*(E327*G327*I327+L327*N327*P327+S327*U327*W327)/Z326)</f>
        <v>248892440469431.75</v>
      </c>
      <c r="Z327" s="81">
        <f t="shared" si="71"/>
        <v>301017376901885.75</v>
      </c>
      <c r="AA327" s="80">
        <f t="shared" si="60"/>
        <v>1209.427559688603</v>
      </c>
      <c r="AB327" s="52">
        <f t="shared" si="67"/>
        <v>-2.5652676375214497E-3</v>
      </c>
      <c r="AC327" s="48">
        <f>(F327-E327)/E327</f>
        <v>-6.5005417118093175E-3</v>
      </c>
      <c r="AD327" s="48">
        <f>(M327-L327)/L327</f>
        <v>-1.8518518518518517E-2</v>
      </c>
      <c r="AE327" s="48">
        <f>(T327-S327)/S327</f>
        <v>7.3529411764705881E-3</v>
      </c>
      <c r="AF327" s="48" t="e">
        <f>(#REF!-#REF!)/#REF!</f>
        <v>#REF!</v>
      </c>
    </row>
    <row r="328" spans="1:32" x14ac:dyDescent="0.3">
      <c r="A328" s="48">
        <v>20190502</v>
      </c>
      <c r="B328" s="48" t="s">
        <v>88</v>
      </c>
      <c r="C328" s="79">
        <v>0.25</v>
      </c>
      <c r="D328" s="79">
        <f t="shared" si="61"/>
        <v>0.29046183619902027</v>
      </c>
      <c r="E328" s="49">
        <v>45850</v>
      </c>
      <c r="F328" s="49">
        <v>45900</v>
      </c>
      <c r="G328" s="49">
        <v>5969782550</v>
      </c>
      <c r="H328" s="49">
        <f t="shared" si="62"/>
        <v>0.31117271974055599</v>
      </c>
      <c r="I328" s="49">
        <f t="shared" si="68"/>
        <v>0.31117271974055599</v>
      </c>
      <c r="J328" s="48">
        <v>0.25</v>
      </c>
      <c r="K328" s="48">
        <f t="shared" si="63"/>
        <v>0.22783880185128716</v>
      </c>
      <c r="L328" s="48">
        <v>212000</v>
      </c>
      <c r="M328" s="48">
        <v>207000</v>
      </c>
      <c r="N328" s="51">
        <v>127953489</v>
      </c>
      <c r="O328" s="48">
        <f t="shared" si="64"/>
        <v>2.5251596732190902</v>
      </c>
      <c r="P328" s="48">
        <f t="shared" si="69"/>
        <v>2.5251596732190902</v>
      </c>
      <c r="Q328" s="49">
        <v>0.5</v>
      </c>
      <c r="R328" s="49">
        <f t="shared" si="65"/>
        <v>0.48169936194969248</v>
      </c>
      <c r="S328" s="49">
        <v>260300</v>
      </c>
      <c r="T328" s="49">
        <v>249800</v>
      </c>
      <c r="U328" s="49">
        <v>15956260</v>
      </c>
      <c r="V328" s="49">
        <f t="shared" si="66"/>
        <v>35.476124281764299</v>
      </c>
      <c r="W328" s="49">
        <f t="shared" si="70"/>
        <v>35.476124281764299</v>
      </c>
      <c r="X328" s="82">
        <f>IF(Z327&lt;&gt;(E328*G328*H328+L328*N328*O328+S328*U328*V328),1,0)</f>
        <v>0</v>
      </c>
      <c r="Y328" s="82">
        <f>IF(AND(X328=0,B328="N"),Y327,Y327*(E328*G328*I328+L328*N328*P328+S328*U328*W328)/Z327)</f>
        <v>248892440469431.75</v>
      </c>
      <c r="Z328" s="81">
        <f t="shared" si="71"/>
        <v>293551047863413</v>
      </c>
      <c r="AA328" s="80">
        <f t="shared" si="60"/>
        <v>1179.4293442972853</v>
      </c>
      <c r="AB328" s="52">
        <f t="shared" si="67"/>
        <v>-2.4803647933276347E-2</v>
      </c>
      <c r="AC328" s="48">
        <f>(F328-E328)/E328</f>
        <v>1.0905125408942203E-3</v>
      </c>
      <c r="AD328" s="48">
        <f>(M328-L328)/L328</f>
        <v>-2.358490566037736E-2</v>
      </c>
      <c r="AE328" s="48">
        <f>(T328-S328)/S328</f>
        <v>-4.0338071456012294E-2</v>
      </c>
      <c r="AF328" s="48" t="e">
        <f>(#REF!-#REF!)/#REF!</f>
        <v>#REF!</v>
      </c>
    </row>
    <row r="329" spans="1:32" x14ac:dyDescent="0.3">
      <c r="A329" s="48">
        <v>20190503</v>
      </c>
      <c r="B329" s="48" t="s">
        <v>88</v>
      </c>
      <c r="C329" s="79">
        <v>0.25</v>
      </c>
      <c r="D329" s="79">
        <f t="shared" si="61"/>
        <v>0.28956628060837858</v>
      </c>
      <c r="E329" s="49">
        <v>45900</v>
      </c>
      <c r="F329" s="49">
        <v>45300</v>
      </c>
      <c r="G329" s="49">
        <v>5969782550</v>
      </c>
      <c r="H329" s="49">
        <f t="shared" si="62"/>
        <v>0.31117271974055599</v>
      </c>
      <c r="I329" s="49">
        <f t="shared" si="68"/>
        <v>0.31117271974055599</v>
      </c>
      <c r="J329" s="48">
        <v>0.25</v>
      </c>
      <c r="K329" s="48">
        <f t="shared" si="63"/>
        <v>0.22736522853156743</v>
      </c>
      <c r="L329" s="48">
        <v>207000</v>
      </c>
      <c r="M329" s="48">
        <v>204500</v>
      </c>
      <c r="N329" s="51">
        <v>127953489</v>
      </c>
      <c r="O329" s="48">
        <f t="shared" si="64"/>
        <v>2.5251596732190902</v>
      </c>
      <c r="P329" s="48">
        <f t="shared" si="69"/>
        <v>2.5251596732190902</v>
      </c>
      <c r="Q329" s="49">
        <v>0.5</v>
      </c>
      <c r="R329" s="49">
        <f t="shared" si="65"/>
        <v>0.48306849086005388</v>
      </c>
      <c r="S329" s="49">
        <v>249800</v>
      </c>
      <c r="T329" s="49">
        <v>248000</v>
      </c>
      <c r="U329" s="49">
        <v>15956260</v>
      </c>
      <c r="V329" s="49">
        <f t="shared" si="66"/>
        <v>35.476124281764299</v>
      </c>
      <c r="W329" s="49">
        <f t="shared" si="70"/>
        <v>35.476124281764299</v>
      </c>
      <c r="X329" s="82">
        <f>IF(Z328&lt;&gt;(E329*G329*H329+L329*N329*O329+S329*U329*V329),1,0)</f>
        <v>0</v>
      </c>
      <c r="Y329" s="82">
        <f>IF(AND(X329=0,B329="N"),Y328,Y328*(E329*G329*I329+L329*N329*P329+S329*U329*W329)/Z328)</f>
        <v>248892440469431.75</v>
      </c>
      <c r="Z329" s="81">
        <f t="shared" si="71"/>
        <v>290609791030733</v>
      </c>
      <c r="AA329" s="80">
        <f t="shared" si="60"/>
        <v>1167.6119631541194</v>
      </c>
      <c r="AB329" s="52">
        <f t="shared" si="67"/>
        <v>-1.0019575314371041E-2</v>
      </c>
      <c r="AC329" s="48">
        <f>(F329-E329)/E329</f>
        <v>-1.3071895424836602E-2</v>
      </c>
      <c r="AD329" s="48">
        <f>(M329-L329)/L329</f>
        <v>-1.2077294685990338E-2</v>
      </c>
      <c r="AE329" s="48">
        <f>(T329-S329)/S329</f>
        <v>-7.2057646116893519E-3</v>
      </c>
      <c r="AF329" s="48" t="e">
        <f>(#REF!-#REF!)/#REF!</f>
        <v>#REF!</v>
      </c>
    </row>
    <row r="330" spans="1:32" x14ac:dyDescent="0.3">
      <c r="A330" s="48">
        <v>20190507</v>
      </c>
      <c r="B330" s="48" t="s">
        <v>88</v>
      </c>
      <c r="C330" s="79">
        <v>0.25</v>
      </c>
      <c r="D330" s="79">
        <f t="shared" si="61"/>
        <v>0.29204040053640901</v>
      </c>
      <c r="E330" s="49">
        <v>45300</v>
      </c>
      <c r="F330" s="49">
        <v>44850</v>
      </c>
      <c r="G330" s="49">
        <v>5969782550</v>
      </c>
      <c r="H330" s="49">
        <f t="shared" si="62"/>
        <v>0.31117271974055599</v>
      </c>
      <c r="I330" s="49">
        <f t="shared" si="68"/>
        <v>0.31117271974055599</v>
      </c>
      <c r="J330" s="48">
        <v>0.25</v>
      </c>
      <c r="K330" s="48">
        <f t="shared" si="63"/>
        <v>0.23274119718973174</v>
      </c>
      <c r="L330" s="48">
        <v>204500</v>
      </c>
      <c r="M330" s="48">
        <v>205500</v>
      </c>
      <c r="N330" s="51">
        <v>127953489</v>
      </c>
      <c r="O330" s="48">
        <f t="shared" si="64"/>
        <v>2.5251596732190902</v>
      </c>
      <c r="P330" s="48">
        <f t="shared" si="69"/>
        <v>2.5251596732190902</v>
      </c>
      <c r="Q330" s="49">
        <v>0.5</v>
      </c>
      <c r="R330" s="49">
        <f t="shared" si="65"/>
        <v>0.47521840227385936</v>
      </c>
      <c r="S330" s="49">
        <v>248000</v>
      </c>
      <c r="T330" s="49">
        <v>239500</v>
      </c>
      <c r="U330" s="49">
        <v>15956260</v>
      </c>
      <c r="V330" s="49">
        <f t="shared" si="66"/>
        <v>35.476124281764299</v>
      </c>
      <c r="W330" s="49">
        <f t="shared" si="70"/>
        <v>35.476124281764299</v>
      </c>
      <c r="X330" s="82">
        <f>IF(Z329&lt;&gt;(E330*G330*H330+L330*N330*O330+S330*U330*V330),1,0)</f>
        <v>0</v>
      </c>
      <c r="Y330" s="82">
        <f>IF(AND(X330=0,B330="N"),Y329,Y329*(E330*G330*I330+L330*N330*P330+S330*U330*W330)/Z329)</f>
        <v>248892440469431.75</v>
      </c>
      <c r="Z330" s="81">
        <f t="shared" si="71"/>
        <v>285285395724575.75</v>
      </c>
      <c r="AA330" s="80">
        <f t="shared" si="60"/>
        <v>1146.219608705286</v>
      </c>
      <c r="AB330" s="52">
        <f t="shared" si="67"/>
        <v>-1.832145877560672E-2</v>
      </c>
      <c r="AC330" s="48">
        <f>(F330-E330)/E330</f>
        <v>-9.9337748344370865E-3</v>
      </c>
      <c r="AD330" s="48">
        <f>(M330-L330)/L330</f>
        <v>4.8899755501222494E-3</v>
      </c>
      <c r="AE330" s="48">
        <f>(T330-S330)/S330</f>
        <v>-3.4274193548387094E-2</v>
      </c>
      <c r="AF330" s="48" t="e">
        <f>(#REF!-#REF!)/#REF!</f>
        <v>#REF!</v>
      </c>
    </row>
    <row r="331" spans="1:32" x14ac:dyDescent="0.3">
      <c r="A331" s="48">
        <v>20190508</v>
      </c>
      <c r="B331" s="48" t="s">
        <v>88</v>
      </c>
      <c r="C331" s="79">
        <v>0.25</v>
      </c>
      <c r="D331" s="79">
        <f t="shared" si="61"/>
        <v>0.29406701950164155</v>
      </c>
      <c r="E331" s="49">
        <v>44850</v>
      </c>
      <c r="F331" s="49">
        <v>44250</v>
      </c>
      <c r="G331" s="49">
        <v>5969782550</v>
      </c>
      <c r="H331" s="49">
        <f t="shared" si="62"/>
        <v>0.31117271974055599</v>
      </c>
      <c r="I331" s="49">
        <f t="shared" si="68"/>
        <v>0.31117271974055599</v>
      </c>
      <c r="J331" s="48">
        <v>0.25</v>
      </c>
      <c r="K331" s="48">
        <f t="shared" si="63"/>
        <v>0.23753402105439028</v>
      </c>
      <c r="L331" s="48">
        <v>205500</v>
      </c>
      <c r="M331" s="48">
        <v>205500</v>
      </c>
      <c r="N331" s="51">
        <v>127953489</v>
      </c>
      <c r="O331" s="48">
        <f t="shared" si="64"/>
        <v>2.5251596732190902</v>
      </c>
      <c r="P331" s="48">
        <f t="shared" si="69"/>
        <v>2.5251596732190902</v>
      </c>
      <c r="Q331" s="49">
        <v>0.5</v>
      </c>
      <c r="R331" s="49">
        <f t="shared" si="65"/>
        <v>0.4683989594439682</v>
      </c>
      <c r="S331" s="49">
        <v>239500</v>
      </c>
      <c r="T331" s="49">
        <v>231300</v>
      </c>
      <c r="U331" s="49">
        <v>15956260</v>
      </c>
      <c r="V331" s="49">
        <f t="shared" si="66"/>
        <v>35.476124281764299</v>
      </c>
      <c r="W331" s="49">
        <f t="shared" si="70"/>
        <v>35.476124281764299</v>
      </c>
      <c r="X331" s="82">
        <f>IF(Z330&lt;&gt;(E331*G331*H331+L331*N331*O331+S331*U331*V331),1,0)</f>
        <v>0</v>
      </c>
      <c r="Y331" s="82">
        <f>IF(AND(X331=0,B331="N"),Y330,Y330*(E331*G331*I331+L331*N331*P331+S331*U331*W331)/Z330)</f>
        <v>248892440469431.75</v>
      </c>
      <c r="Z331" s="81">
        <f t="shared" si="71"/>
        <v>279529072285946.25</v>
      </c>
      <c r="AA331" s="80">
        <f t="shared" si="60"/>
        <v>1123.0918534879215</v>
      </c>
      <c r="AB331" s="52">
        <f t="shared" si="67"/>
        <v>-2.017742066329543E-2</v>
      </c>
      <c r="AC331" s="48">
        <f>(F331-E331)/E331</f>
        <v>-1.3377926421404682E-2</v>
      </c>
      <c r="AD331" s="48">
        <f>(M331-L331)/L331</f>
        <v>0</v>
      </c>
      <c r="AE331" s="48">
        <f>(T331-S331)/S331</f>
        <v>-3.4237995824634652E-2</v>
      </c>
      <c r="AF331" s="48" t="e">
        <f>(#REF!-#REF!)/#REF!</f>
        <v>#REF!</v>
      </c>
    </row>
    <row r="332" spans="1:32" x14ac:dyDescent="0.3">
      <c r="A332" s="48">
        <v>20190509</v>
      </c>
      <c r="B332" s="48" t="s">
        <v>88</v>
      </c>
      <c r="C332" s="79">
        <v>0.25</v>
      </c>
      <c r="D332" s="79">
        <f t="shared" si="61"/>
        <v>0.28589038901411201</v>
      </c>
      <c r="E332" s="49">
        <v>44250</v>
      </c>
      <c r="F332" s="49">
        <v>42450</v>
      </c>
      <c r="G332" s="49">
        <v>5969782550</v>
      </c>
      <c r="H332" s="49">
        <f t="shared" si="62"/>
        <v>0.31117271974055599</v>
      </c>
      <c r="I332" s="49">
        <f t="shared" si="68"/>
        <v>0.31117271974055599</v>
      </c>
      <c r="J332" s="48">
        <v>0.25</v>
      </c>
      <c r="K332" s="48">
        <f t="shared" si="63"/>
        <v>0.24599263551490214</v>
      </c>
      <c r="L332" s="48">
        <v>205500</v>
      </c>
      <c r="M332" s="48">
        <v>210000</v>
      </c>
      <c r="N332" s="51">
        <v>127953489</v>
      </c>
      <c r="O332" s="48">
        <f t="shared" si="64"/>
        <v>2.5251596732190902</v>
      </c>
      <c r="P332" s="48">
        <f t="shared" si="69"/>
        <v>2.5251596732190902</v>
      </c>
      <c r="Q332" s="49">
        <v>0.5</v>
      </c>
      <c r="R332" s="49">
        <f t="shared" si="65"/>
        <v>0.4681169754709858</v>
      </c>
      <c r="S332" s="49">
        <v>231300</v>
      </c>
      <c r="T332" s="49">
        <v>228100</v>
      </c>
      <c r="U332" s="49">
        <v>15956260</v>
      </c>
      <c r="V332" s="49">
        <f t="shared" si="66"/>
        <v>35.476124281764299</v>
      </c>
      <c r="W332" s="49">
        <f t="shared" si="70"/>
        <v>35.476124281764299</v>
      </c>
      <c r="X332" s="82">
        <f>IF(Z331&lt;&gt;(E332*G332*H332+L332*N332*O332+S332*U332*V332),1,0)</f>
        <v>0</v>
      </c>
      <c r="Y332" s="82">
        <f>IF(AND(X332=0,B332="N"),Y331,Y331*(E332*G332*I332+L332*N332*P332+S332*U332*W332)/Z331)</f>
        <v>248892440469431.75</v>
      </c>
      <c r="Z332" s="81">
        <f t="shared" si="71"/>
        <v>275827883451782.81</v>
      </c>
      <c r="AA332" s="80">
        <f t="shared" si="60"/>
        <v>1108.2212176936696</v>
      </c>
      <c r="AB332" s="52">
        <f t="shared" si="67"/>
        <v>-1.324080105119547E-2</v>
      </c>
      <c r="AC332" s="48">
        <f>(F332-E332)/E332</f>
        <v>-4.0677966101694912E-2</v>
      </c>
      <c r="AD332" s="48">
        <f>(M332-L332)/L332</f>
        <v>2.1897810218978103E-2</v>
      </c>
      <c r="AE332" s="48">
        <f>(T332-S332)/S332</f>
        <v>-1.3834846519671422E-2</v>
      </c>
      <c r="AF332" s="48" t="e">
        <f>(#REF!-#REF!)/#REF!</f>
        <v>#REF!</v>
      </c>
    </row>
    <row r="333" spans="1:32" x14ac:dyDescent="0.3">
      <c r="A333" s="48">
        <v>20190510</v>
      </c>
      <c r="B333" s="48" t="s">
        <v>88</v>
      </c>
      <c r="C333" s="79">
        <v>0.25</v>
      </c>
      <c r="D333" s="79">
        <f t="shared" si="61"/>
        <v>0.29250777127790251</v>
      </c>
      <c r="E333" s="49">
        <v>42450</v>
      </c>
      <c r="F333" s="49">
        <v>42900</v>
      </c>
      <c r="G333" s="49">
        <v>5969782550</v>
      </c>
      <c r="H333" s="49">
        <f t="shared" si="62"/>
        <v>0.31117271974055599</v>
      </c>
      <c r="I333" s="49">
        <f t="shared" si="68"/>
        <v>0.31117271974055599</v>
      </c>
      <c r="J333" s="48">
        <v>0.25</v>
      </c>
      <c r="K333" s="48">
        <f t="shared" si="63"/>
        <v>0.23896600149955732</v>
      </c>
      <c r="L333" s="48">
        <v>210000</v>
      </c>
      <c r="M333" s="48">
        <v>201500</v>
      </c>
      <c r="N333" s="51">
        <v>127953489</v>
      </c>
      <c r="O333" s="48">
        <f t="shared" si="64"/>
        <v>2.5251596732190902</v>
      </c>
      <c r="P333" s="48">
        <f t="shared" si="69"/>
        <v>2.5251596732190902</v>
      </c>
      <c r="Q333" s="49">
        <v>0.5</v>
      </c>
      <c r="R333" s="49">
        <f t="shared" si="65"/>
        <v>0.46852622722254011</v>
      </c>
      <c r="S333" s="49">
        <v>228100</v>
      </c>
      <c r="T333" s="49">
        <v>225500</v>
      </c>
      <c r="U333" s="49">
        <v>15956260</v>
      </c>
      <c r="V333" s="49">
        <f t="shared" si="66"/>
        <v>35.476124281764299</v>
      </c>
      <c r="W333" s="49">
        <f t="shared" si="70"/>
        <v>35.476124281764299</v>
      </c>
      <c r="X333" s="82">
        <f>IF(Z332&lt;&gt;(E333*G333*H333+L333*N333*O333+S333*U333*V333),1,0)</f>
        <v>0</v>
      </c>
      <c r="Y333" s="82">
        <f>IF(AND(X333=0,B333="N"),Y332,Y332*(E333*G333*I333+L333*N333*P333+S333*U333*W333)/Z332)</f>
        <v>248892440469431.75</v>
      </c>
      <c r="Z333" s="81">
        <f t="shared" si="71"/>
        <v>272445670811974.56</v>
      </c>
      <c r="AA333" s="80">
        <f t="shared" si="60"/>
        <v>1094.6321643924559</v>
      </c>
      <c r="AB333" s="52">
        <f t="shared" si="67"/>
        <v>-1.2262040361845777E-2</v>
      </c>
      <c r="AC333" s="48">
        <f>(F333-E333)/E333</f>
        <v>1.0600706713780919E-2</v>
      </c>
      <c r="AD333" s="48">
        <f>(M333-L333)/L333</f>
        <v>-4.0476190476190478E-2</v>
      </c>
      <c r="AE333" s="48">
        <f>(T333-S333)/S333</f>
        <v>-1.1398509425690487E-2</v>
      </c>
      <c r="AF333" s="48" t="e">
        <f>(#REF!-#REF!)/#REF!</f>
        <v>#REF!</v>
      </c>
    </row>
    <row r="334" spans="1:32" x14ac:dyDescent="0.3">
      <c r="A334" s="48">
        <v>20190513</v>
      </c>
      <c r="B334" s="48" t="s">
        <v>88</v>
      </c>
      <c r="C334" s="79">
        <v>0.25</v>
      </c>
      <c r="D334" s="79">
        <f t="shared" si="61"/>
        <v>0.29485628628507737</v>
      </c>
      <c r="E334" s="49">
        <v>42900</v>
      </c>
      <c r="F334" s="49">
        <v>42650</v>
      </c>
      <c r="G334" s="49">
        <v>5969782550</v>
      </c>
      <c r="H334" s="49">
        <f t="shared" si="62"/>
        <v>0.31117271974055599</v>
      </c>
      <c r="I334" s="49">
        <f t="shared" si="68"/>
        <v>0.31117271974055599</v>
      </c>
      <c r="J334" s="48">
        <v>0.25</v>
      </c>
      <c r="K334" s="48">
        <f t="shared" si="63"/>
        <v>0.2338793677632911</v>
      </c>
      <c r="L334" s="48">
        <v>201500</v>
      </c>
      <c r="M334" s="48">
        <v>194500</v>
      </c>
      <c r="N334" s="51">
        <v>127953489</v>
      </c>
      <c r="O334" s="48">
        <f t="shared" si="64"/>
        <v>2.5251596732190902</v>
      </c>
      <c r="P334" s="48">
        <f t="shared" si="69"/>
        <v>2.5251596732190902</v>
      </c>
      <c r="Q334" s="49">
        <v>0.5</v>
      </c>
      <c r="R334" s="49">
        <f t="shared" si="65"/>
        <v>0.47126434595163164</v>
      </c>
      <c r="S334" s="49">
        <v>225500</v>
      </c>
      <c r="T334" s="49">
        <v>223700</v>
      </c>
      <c r="U334" s="49">
        <v>15956260</v>
      </c>
      <c r="V334" s="49">
        <f t="shared" si="66"/>
        <v>35.476124281764299</v>
      </c>
      <c r="W334" s="49">
        <f t="shared" si="70"/>
        <v>35.476124281764299</v>
      </c>
      <c r="X334" s="82">
        <f>IF(Z333&lt;&gt;(E334*G334*H334+L334*N334*O334+S334*U334*V334),1,0)</f>
        <v>0</v>
      </c>
      <c r="Y334" s="82">
        <f>IF(AND(X334=0,B334="N"),Y333,Y333*(E334*G334*I334+L334*N334*P334+S334*U334*W334)/Z333)</f>
        <v>248892440469431.75</v>
      </c>
      <c r="Z334" s="81">
        <f t="shared" si="71"/>
        <v>268700622237497.5</v>
      </c>
      <c r="AA334" s="80">
        <f t="shared" si="60"/>
        <v>1079.5853089419104</v>
      </c>
      <c r="AB334" s="52">
        <f t="shared" si="67"/>
        <v>-1.3746038112169725E-2</v>
      </c>
      <c r="AC334" s="48">
        <f>(F334-E334)/E334</f>
        <v>-5.8275058275058279E-3</v>
      </c>
      <c r="AD334" s="48">
        <f>(M334-L334)/L334</f>
        <v>-3.4739454094292806E-2</v>
      </c>
      <c r="AE334" s="48">
        <f>(T334-S334)/S334</f>
        <v>-7.9822616407982262E-3</v>
      </c>
      <c r="AF334" s="48" t="e">
        <f>(#REF!-#REF!)/#REF!</f>
        <v>#REF!</v>
      </c>
    </row>
    <row r="335" spans="1:32" x14ac:dyDescent="0.3">
      <c r="A335" s="48">
        <v>20190514</v>
      </c>
      <c r="B335" s="48" t="s">
        <v>88</v>
      </c>
      <c r="C335" s="79">
        <v>0.25</v>
      </c>
      <c r="D335" s="79">
        <f t="shared" si="61"/>
        <v>0.29339094846230951</v>
      </c>
      <c r="E335" s="49">
        <v>42650</v>
      </c>
      <c r="F335" s="49">
        <v>42650</v>
      </c>
      <c r="G335" s="49">
        <v>5969782550</v>
      </c>
      <c r="H335" s="49">
        <f t="shared" si="62"/>
        <v>0.31117271974055599</v>
      </c>
      <c r="I335" s="49">
        <f t="shared" si="68"/>
        <v>0.31117271974055599</v>
      </c>
      <c r="J335" s="48">
        <v>0.25</v>
      </c>
      <c r="K335" s="48">
        <f t="shared" si="63"/>
        <v>0.23391355374143508</v>
      </c>
      <c r="L335" s="48">
        <v>194500</v>
      </c>
      <c r="M335" s="48">
        <v>195500</v>
      </c>
      <c r="N335" s="51">
        <v>127953489</v>
      </c>
      <c r="O335" s="48">
        <f t="shared" si="64"/>
        <v>2.5251596732190902</v>
      </c>
      <c r="P335" s="48">
        <f t="shared" si="69"/>
        <v>2.5251596732190902</v>
      </c>
      <c r="Q335" s="49">
        <v>0.5</v>
      </c>
      <c r="R335" s="49">
        <f t="shared" si="65"/>
        <v>0.47269549779625541</v>
      </c>
      <c r="S335" s="49">
        <v>223700</v>
      </c>
      <c r="T335" s="49">
        <v>225500</v>
      </c>
      <c r="U335" s="49">
        <v>15956260</v>
      </c>
      <c r="V335" s="49">
        <f t="shared" si="66"/>
        <v>35.476124281764299</v>
      </c>
      <c r="W335" s="49">
        <f t="shared" si="70"/>
        <v>35.476124281764299</v>
      </c>
      <c r="X335" s="82">
        <f>IF(Z334&lt;&gt;(E335*G335*H335+L335*N335*O335+S335*U335*V335),1,0)</f>
        <v>0</v>
      </c>
      <c r="Y335" s="82">
        <f>IF(AND(X335=0,B335="N"),Y334,Y334*(E335*G335*I335+L335*N335*P335+S335*U335*W335)/Z334)</f>
        <v>248892440469431.75</v>
      </c>
      <c r="Z335" s="81">
        <f t="shared" si="71"/>
        <v>270042644501065.87</v>
      </c>
      <c r="AA335" s="80">
        <f t="shared" si="60"/>
        <v>1084.9772857373375</v>
      </c>
      <c r="AB335" s="52">
        <f t="shared" si="67"/>
        <v>4.9944888567553247E-3</v>
      </c>
      <c r="AC335" s="48">
        <f>(F335-E335)/E335</f>
        <v>0</v>
      </c>
      <c r="AD335" s="48">
        <f>(M335-L335)/L335</f>
        <v>5.1413881748071976E-3</v>
      </c>
      <c r="AE335" s="48">
        <f>(T335-S335)/S335</f>
        <v>8.0464908359409917E-3</v>
      </c>
      <c r="AF335" s="48" t="e">
        <f>(#REF!-#REF!)/#REF!</f>
        <v>#REF!</v>
      </c>
    </row>
    <row r="336" spans="1:32" x14ac:dyDescent="0.3">
      <c r="A336" s="48">
        <v>20190515</v>
      </c>
      <c r="B336" s="48" t="s">
        <v>88</v>
      </c>
      <c r="C336" s="79">
        <v>0.25</v>
      </c>
      <c r="D336" s="79">
        <f t="shared" si="61"/>
        <v>0.28444070541355726</v>
      </c>
      <c r="E336" s="49">
        <v>42650</v>
      </c>
      <c r="F336" s="49">
        <v>42550</v>
      </c>
      <c r="G336" s="49">
        <v>5969782550</v>
      </c>
      <c r="H336" s="49">
        <f t="shared" si="62"/>
        <v>0.31117271974055599</v>
      </c>
      <c r="I336" s="49">
        <f t="shared" si="68"/>
        <v>0.31117271974055599</v>
      </c>
      <c r="J336" s="48">
        <v>0.25</v>
      </c>
      <c r="K336" s="48">
        <f t="shared" si="63"/>
        <v>0.22789206498136139</v>
      </c>
      <c r="L336" s="48">
        <v>195500</v>
      </c>
      <c r="M336" s="48">
        <v>196000</v>
      </c>
      <c r="N336" s="51">
        <v>127953489</v>
      </c>
      <c r="O336" s="48">
        <f t="shared" si="64"/>
        <v>2.5251596732190902</v>
      </c>
      <c r="P336" s="48">
        <f t="shared" si="69"/>
        <v>2.5251596732190902</v>
      </c>
      <c r="Q336" s="49">
        <v>0.5</v>
      </c>
      <c r="R336" s="49">
        <f t="shared" si="65"/>
        <v>0.48766722960508135</v>
      </c>
      <c r="S336" s="49">
        <v>225500</v>
      </c>
      <c r="T336" s="49">
        <v>239400</v>
      </c>
      <c r="U336" s="49">
        <v>15956260</v>
      </c>
      <c r="V336" s="49">
        <f t="shared" si="66"/>
        <v>35.476124281764299</v>
      </c>
      <c r="W336" s="49">
        <f t="shared" si="70"/>
        <v>35.476124281764299</v>
      </c>
      <c r="X336" s="82">
        <f>IF(Z335&lt;&gt;(E336*G336*H336+L336*N336*O336+S336*U336*V336),1,0)</f>
        <v>0</v>
      </c>
      <c r="Y336" s="82">
        <f>IF(AND(X336=0,B336="N"),Y335,Y335*(E336*G336*I336+L336*N336*P336+S336*U336*W336)/Z335)</f>
        <v>248892440469431.75</v>
      </c>
      <c r="Z336" s="81">
        <f t="shared" si="71"/>
        <v>277886753702433.59</v>
      </c>
      <c r="AA336" s="80">
        <f t="shared" si="60"/>
        <v>1116.4933461953131</v>
      </c>
      <c r="AB336" s="52">
        <f t="shared" si="67"/>
        <v>2.9047668437185384E-2</v>
      </c>
      <c r="AC336" s="48">
        <f>(F336-E336)/E336</f>
        <v>-2.3446658851113715E-3</v>
      </c>
      <c r="AD336" s="48">
        <f>(M336-L336)/L336</f>
        <v>2.5575447570332483E-3</v>
      </c>
      <c r="AE336" s="48">
        <f>(T336-S336)/S336</f>
        <v>6.1640798226164077E-2</v>
      </c>
      <c r="AF336" s="48" t="e">
        <f>(#REF!-#REF!)/#REF!</f>
        <v>#REF!</v>
      </c>
    </row>
    <row r="337" spans="1:32" x14ac:dyDescent="0.3">
      <c r="A337" s="48">
        <v>20190516</v>
      </c>
      <c r="B337" s="48" t="s">
        <v>88</v>
      </c>
      <c r="C337" s="79">
        <v>0.25</v>
      </c>
      <c r="D337" s="79">
        <f t="shared" si="61"/>
        <v>0.28838658307993553</v>
      </c>
      <c r="E337" s="49">
        <v>42550</v>
      </c>
      <c r="F337" s="49">
        <v>41550</v>
      </c>
      <c r="G337" s="49">
        <v>5969782550</v>
      </c>
      <c r="H337" s="49">
        <f t="shared" si="62"/>
        <v>0.31117271974055599</v>
      </c>
      <c r="I337" s="49">
        <f t="shared" si="68"/>
        <v>0.31117271974055599</v>
      </c>
      <c r="J337" s="48">
        <v>0.25</v>
      </c>
      <c r="K337" s="48">
        <f t="shared" si="63"/>
        <v>0.23721793862659313</v>
      </c>
      <c r="L337" s="48">
        <v>196000</v>
      </c>
      <c r="M337" s="48">
        <v>196500</v>
      </c>
      <c r="N337" s="51">
        <v>127953489</v>
      </c>
      <c r="O337" s="48">
        <f t="shared" si="64"/>
        <v>2.5251596732190902</v>
      </c>
      <c r="P337" s="48">
        <f t="shared" si="69"/>
        <v>2.5251596732190902</v>
      </c>
      <c r="Q337" s="49">
        <v>0.5</v>
      </c>
      <c r="R337" s="49">
        <f t="shared" si="65"/>
        <v>0.4743954782934714</v>
      </c>
      <c r="S337" s="49">
        <v>239400</v>
      </c>
      <c r="T337" s="49">
        <v>224300</v>
      </c>
      <c r="U337" s="49">
        <v>15956260</v>
      </c>
      <c r="V337" s="49">
        <f t="shared" si="66"/>
        <v>35.476124281764299</v>
      </c>
      <c r="W337" s="49">
        <f t="shared" si="70"/>
        <v>35.476124281764299</v>
      </c>
      <c r="X337" s="82">
        <f>IF(Z336&lt;&gt;(E337*G337*H337+L337*N337*O337+S337*U337*V337),1,0)</f>
        <v>0</v>
      </c>
      <c r="Y337" s="82">
        <f>IF(AND(X337=0,B337="N"),Y336,Y336*(E337*G337*I337+L337*N337*P337+S337*U337*W337)/Z336)</f>
        <v>248892440469431.75</v>
      </c>
      <c r="Z337" s="81">
        <f t="shared" si="71"/>
        <v>267643071156560.25</v>
      </c>
      <c r="AA337" s="80">
        <f t="shared" si="60"/>
        <v>1075.3362804099763</v>
      </c>
      <c r="AB337" s="52">
        <f t="shared" si="67"/>
        <v>-3.6862795399173781E-2</v>
      </c>
      <c r="AC337" s="48">
        <f>(F337-E337)/E337</f>
        <v>-2.3501762632197415E-2</v>
      </c>
      <c r="AD337" s="48">
        <f>(M337-L337)/L337</f>
        <v>2.5510204081632651E-3</v>
      </c>
      <c r="AE337" s="48">
        <f>(T337-S337)/S337</f>
        <v>-6.3074352548036755E-2</v>
      </c>
      <c r="AF337" s="48" t="e">
        <f>(#REF!-#REF!)/#REF!</f>
        <v>#REF!</v>
      </c>
    </row>
    <row r="338" spans="1:32" s="73" customFormat="1" x14ac:dyDescent="0.3">
      <c r="A338" s="48">
        <v>20190517</v>
      </c>
      <c r="B338" s="48" t="s">
        <v>88</v>
      </c>
      <c r="C338" s="79">
        <v>0.25</v>
      </c>
      <c r="D338" s="79">
        <f t="shared" si="61"/>
        <v>0.28810181194829165</v>
      </c>
      <c r="E338" s="49">
        <v>41550</v>
      </c>
      <c r="F338" s="49">
        <v>41200</v>
      </c>
      <c r="G338" s="49">
        <v>5969782550</v>
      </c>
      <c r="H338" s="49">
        <f t="shared" si="62"/>
        <v>0.31117271974055599</v>
      </c>
      <c r="I338" s="49">
        <f t="shared" si="68"/>
        <v>0.321865578503642</v>
      </c>
      <c r="J338" s="48">
        <v>0.25</v>
      </c>
      <c r="K338" s="48">
        <f t="shared" si="63"/>
        <v>0.23778063640547459</v>
      </c>
      <c r="L338" s="48">
        <v>196500</v>
      </c>
      <c r="M338" s="48">
        <v>195500</v>
      </c>
      <c r="N338" s="51">
        <v>128329070</v>
      </c>
      <c r="O338" s="48">
        <f t="shared" si="64"/>
        <v>2.5251596732190902</v>
      </c>
      <c r="P338" s="48">
        <f t="shared" si="69"/>
        <v>2.6042876356826299</v>
      </c>
      <c r="Q338" s="49">
        <v>0.5</v>
      </c>
      <c r="R338" s="49">
        <f t="shared" si="65"/>
        <v>0.47411755164623381</v>
      </c>
      <c r="S338" s="49">
        <v>224300</v>
      </c>
      <c r="T338" s="49">
        <v>222500</v>
      </c>
      <c r="U338" s="49">
        <v>15956260</v>
      </c>
      <c r="V338" s="49">
        <f t="shared" si="66"/>
        <v>35.476124281764299</v>
      </c>
      <c r="W338" s="49">
        <f t="shared" si="70"/>
        <v>36.695193828487</v>
      </c>
      <c r="X338" s="82">
        <f>IF(Z337&lt;&gt;(E338*G338*H338+L338*N338*O338+S338*U338*V338),1,0)</f>
        <v>1</v>
      </c>
      <c r="Y338" s="82">
        <f>IF(AND(X338=0,B338="N"),Y337,Y337*(E338*G338*I338+L338*N338*P338+S338*U338*W338)/Z337)</f>
        <v>257445155872499.16</v>
      </c>
      <c r="Z338" s="81">
        <f t="shared" si="71"/>
        <v>274779464389041.44</v>
      </c>
      <c r="AA338" s="80">
        <f t="shared" si="60"/>
        <v>1067.3320438203434</v>
      </c>
      <c r="AB338" s="52">
        <f t="shared" si="67"/>
        <v>-7.4434730190459696E-3</v>
      </c>
      <c r="AC338" s="48">
        <f>(F338-E338)/E338</f>
        <v>-8.4235860409145602E-3</v>
      </c>
      <c r="AD338" s="48">
        <f>(M338-L338)/L338</f>
        <v>-5.0890585241730284E-3</v>
      </c>
      <c r="AE338" s="48">
        <f>(T338-S338)/S338</f>
        <v>-8.024966562639322E-3</v>
      </c>
      <c r="AF338" s="48" t="e">
        <f>(#REF!-#REF!)/#REF!</f>
        <v>#REF!</v>
      </c>
    </row>
    <row r="339" spans="1:32" x14ac:dyDescent="0.3">
      <c r="A339" s="48">
        <v>20190520</v>
      </c>
      <c r="B339" s="48" t="s">
        <v>88</v>
      </c>
      <c r="C339" s="79">
        <v>0.25</v>
      </c>
      <c r="D339" s="79">
        <f t="shared" si="61"/>
        <v>0.30157155787736617</v>
      </c>
      <c r="E339" s="49">
        <v>41200</v>
      </c>
      <c r="F339" s="49">
        <v>42000</v>
      </c>
      <c r="G339" s="49">
        <v>5969782550</v>
      </c>
      <c r="H339" s="49">
        <f t="shared" si="62"/>
        <v>0.321865578503642</v>
      </c>
      <c r="I339" s="49">
        <f t="shared" si="68"/>
        <v>0.321865578503642</v>
      </c>
      <c r="J339" s="48">
        <v>0.25</v>
      </c>
      <c r="K339" s="48">
        <f t="shared" si="63"/>
        <v>0.23479015799813466</v>
      </c>
      <c r="L339" s="48">
        <v>195500</v>
      </c>
      <c r="M339" s="48">
        <v>188000</v>
      </c>
      <c r="N339" s="51">
        <v>128329070</v>
      </c>
      <c r="O339" s="48">
        <f t="shared" si="64"/>
        <v>2.6042876356826299</v>
      </c>
      <c r="P339" s="48">
        <f t="shared" si="69"/>
        <v>2.6042876356826299</v>
      </c>
      <c r="Q339" s="49">
        <v>0.5</v>
      </c>
      <c r="R339" s="49">
        <f t="shared" si="65"/>
        <v>0.4636382841244992</v>
      </c>
      <c r="S339" s="49">
        <v>222500</v>
      </c>
      <c r="T339" s="49">
        <v>211900</v>
      </c>
      <c r="U339" s="49">
        <v>15956260</v>
      </c>
      <c r="V339" s="49">
        <f t="shared" si="66"/>
        <v>36.695193828487</v>
      </c>
      <c r="W339" s="49">
        <f t="shared" si="70"/>
        <v>36.695193828487</v>
      </c>
      <c r="X339" s="82">
        <f>IF(Z338&lt;&gt;(E339*G339*H339+L339*N339*O339+S339*U339*V339),1,0)</f>
        <v>0</v>
      </c>
      <c r="Y339" s="82">
        <f>IF(AND(X339=0,B339="N"),Y338,Y338*(E339*G339*I339+L339*N339*P339+S339*U339*W339)/Z338)</f>
        <v>257445155872499.16</v>
      </c>
      <c r="Z339" s="81">
        <f t="shared" si="71"/>
        <v>267603603456127.44</v>
      </c>
      <c r="AA339" s="80">
        <f t="shared" si="60"/>
        <v>1039.4586860615054</v>
      </c>
      <c r="AB339" s="52">
        <f t="shared" si="67"/>
        <v>-2.6114982605665787E-2</v>
      </c>
      <c r="AC339" s="48">
        <f>(F339-E339)/E339</f>
        <v>1.9417475728155338E-2</v>
      </c>
      <c r="AD339" s="48">
        <f>(M339-L339)/L339</f>
        <v>-3.8363171355498722E-2</v>
      </c>
      <c r="AE339" s="48">
        <f>(T339-S339)/S339</f>
        <v>-4.7640449438202247E-2</v>
      </c>
      <c r="AF339" s="48" t="e">
        <f>(#REF!-#REF!)/#REF!</f>
        <v>#REF!</v>
      </c>
    </row>
    <row r="340" spans="1:32" x14ac:dyDescent="0.3">
      <c r="A340" s="48">
        <v>20190521</v>
      </c>
      <c r="B340" s="48" t="s">
        <v>88</v>
      </c>
      <c r="C340" s="79">
        <v>0.25</v>
      </c>
      <c r="D340" s="79">
        <f t="shared" si="61"/>
        <v>0.30842629297636465</v>
      </c>
      <c r="E340" s="49">
        <v>42000</v>
      </c>
      <c r="F340" s="49">
        <v>43150</v>
      </c>
      <c r="G340" s="49">
        <v>5969782550</v>
      </c>
      <c r="H340" s="49">
        <f t="shared" si="62"/>
        <v>0.321865578503642</v>
      </c>
      <c r="I340" s="49">
        <f t="shared" si="68"/>
        <v>0.321865578503642</v>
      </c>
      <c r="J340" s="48">
        <v>0.25</v>
      </c>
      <c r="K340" s="48">
        <f t="shared" si="63"/>
        <v>0.22502466227417234</v>
      </c>
      <c r="L340" s="48">
        <v>188000</v>
      </c>
      <c r="M340" s="48">
        <v>181000</v>
      </c>
      <c r="N340" s="51">
        <v>128329070</v>
      </c>
      <c r="O340" s="48">
        <f t="shared" si="64"/>
        <v>2.6042876356826299</v>
      </c>
      <c r="P340" s="48">
        <f t="shared" si="69"/>
        <v>2.6042876356826299</v>
      </c>
      <c r="Q340" s="49">
        <v>0.5</v>
      </c>
      <c r="R340" s="49">
        <f t="shared" si="65"/>
        <v>0.46654904474946302</v>
      </c>
      <c r="S340" s="49">
        <v>211900</v>
      </c>
      <c r="T340" s="49">
        <v>214200</v>
      </c>
      <c r="U340" s="49">
        <v>15956260</v>
      </c>
      <c r="V340" s="49">
        <f t="shared" si="66"/>
        <v>36.695193828487</v>
      </c>
      <c r="W340" s="49">
        <f t="shared" si="70"/>
        <v>36.695193828487</v>
      </c>
      <c r="X340" s="82">
        <f>IF(Z339&lt;&gt;(E340*G340*H340+L340*N340*O340+S340*U340*V340),1,0)</f>
        <v>0</v>
      </c>
      <c r="Y340" s="82">
        <f>IF(AND(X340=0,B340="N"),Y339,Y339*(E340*G340*I340+L340*N340*P340+S340*U340*W340)/Z339)</f>
        <v>257445155872499.16</v>
      </c>
      <c r="Z340" s="81">
        <f t="shared" si="71"/>
        <v>268820541948124.87</v>
      </c>
      <c r="AA340" s="80">
        <f t="shared" si="60"/>
        <v>1044.1856675728613</v>
      </c>
      <c r="AB340" s="52">
        <f t="shared" si="67"/>
        <v>4.5475414989953888E-3</v>
      </c>
      <c r="AC340" s="48">
        <f>(F340-E340)/E340</f>
        <v>2.7380952380952381E-2</v>
      </c>
      <c r="AD340" s="48">
        <f>(M340-L340)/L340</f>
        <v>-3.7234042553191488E-2</v>
      </c>
      <c r="AE340" s="48">
        <f>(T340-S340)/S340</f>
        <v>1.0854176498348278E-2</v>
      </c>
      <c r="AF340" s="48" t="e">
        <f>(#REF!-#REF!)/#REF!</f>
        <v>#REF!</v>
      </c>
    </row>
    <row r="341" spans="1:32" x14ac:dyDescent="0.3">
      <c r="A341" s="48">
        <v>20190522</v>
      </c>
      <c r="B341" s="48" t="s">
        <v>88</v>
      </c>
      <c r="C341" s="79">
        <v>0.25</v>
      </c>
      <c r="D341" s="79">
        <f t="shared" si="61"/>
        <v>0.30861143467848112</v>
      </c>
      <c r="E341" s="49">
        <v>43150</v>
      </c>
      <c r="F341" s="49">
        <v>43500</v>
      </c>
      <c r="G341" s="49">
        <v>5969782550</v>
      </c>
      <c r="H341" s="49">
        <f t="shared" si="62"/>
        <v>0.321865578503642</v>
      </c>
      <c r="I341" s="49">
        <f t="shared" si="68"/>
        <v>0.321865578503642</v>
      </c>
      <c r="J341" s="48">
        <v>0.25</v>
      </c>
      <c r="K341" s="48">
        <f t="shared" si="63"/>
        <v>0.22766699577110266</v>
      </c>
      <c r="L341" s="48">
        <v>181000</v>
      </c>
      <c r="M341" s="48">
        <v>184500</v>
      </c>
      <c r="N341" s="51">
        <v>128329070</v>
      </c>
      <c r="O341" s="48">
        <f t="shared" si="64"/>
        <v>2.6042876356826299</v>
      </c>
      <c r="P341" s="48">
        <f t="shared" si="69"/>
        <v>2.6042876356826299</v>
      </c>
      <c r="Q341" s="49">
        <v>0.5</v>
      </c>
      <c r="R341" s="49">
        <f t="shared" si="65"/>
        <v>0.46372156955041627</v>
      </c>
      <c r="S341" s="49">
        <v>214200</v>
      </c>
      <c r="T341" s="49">
        <v>214500</v>
      </c>
      <c r="U341" s="49">
        <v>15956260</v>
      </c>
      <c r="V341" s="49">
        <f t="shared" si="66"/>
        <v>36.695193828487</v>
      </c>
      <c r="W341" s="49">
        <f t="shared" si="70"/>
        <v>36.695193828487</v>
      </c>
      <c r="X341" s="82">
        <f>IF(Z340&lt;&gt;(E341*G341*H341+L341*N341*O341+S341*U341*V341),1,0)</f>
        <v>0</v>
      </c>
      <c r="Y341" s="82">
        <f>IF(AND(X341=0,B341="N"),Y340,Y340*(E341*G341*I341+L341*N341*P341+S341*U341*W341)/Z340)</f>
        <v>257445155872499.16</v>
      </c>
      <c r="Z341" s="81">
        <f t="shared" si="71"/>
        <v>270838431330115.81</v>
      </c>
      <c r="AA341" s="80">
        <f t="shared" si="60"/>
        <v>1052.0238006119243</v>
      </c>
      <c r="AB341" s="52">
        <f t="shared" si="67"/>
        <v>7.5064553005043666E-3</v>
      </c>
      <c r="AC341" s="48">
        <f>(F341-E341)/E341</f>
        <v>8.1112398609501733E-3</v>
      </c>
      <c r="AD341" s="48">
        <f>(M341-L341)/L341</f>
        <v>1.9337016574585635E-2</v>
      </c>
      <c r="AE341" s="48">
        <f>(T341-S341)/S341</f>
        <v>1.4005602240896359E-3</v>
      </c>
      <c r="AF341" s="48" t="e">
        <f>(#REF!-#REF!)/#REF!</f>
        <v>#REF!</v>
      </c>
    </row>
    <row r="342" spans="1:32" x14ac:dyDescent="0.3">
      <c r="A342" s="48">
        <v>20190523</v>
      </c>
      <c r="B342" s="48" t="s">
        <v>88</v>
      </c>
      <c r="C342" s="79">
        <v>0.25</v>
      </c>
      <c r="D342" s="79">
        <f t="shared" si="61"/>
        <v>0.3194754365549039</v>
      </c>
      <c r="E342" s="49">
        <v>43500</v>
      </c>
      <c r="F342" s="49">
        <v>43850</v>
      </c>
      <c r="G342" s="49">
        <v>5969782550</v>
      </c>
      <c r="H342" s="49">
        <f t="shared" si="62"/>
        <v>0.321865578503642</v>
      </c>
      <c r="I342" s="49">
        <f t="shared" si="68"/>
        <v>0.321865578503642</v>
      </c>
      <c r="J342" s="48">
        <v>0.25</v>
      </c>
      <c r="K342" s="48">
        <f t="shared" si="63"/>
        <v>0.22873152762751475</v>
      </c>
      <c r="L342" s="48">
        <v>184500</v>
      </c>
      <c r="M342" s="48">
        <v>180500</v>
      </c>
      <c r="N342" s="51">
        <v>128329070</v>
      </c>
      <c r="O342" s="48">
        <f t="shared" si="64"/>
        <v>2.6042876356826299</v>
      </c>
      <c r="P342" s="48">
        <f t="shared" si="69"/>
        <v>2.6042876356826299</v>
      </c>
      <c r="Q342" s="49">
        <v>0.5</v>
      </c>
      <c r="R342" s="49">
        <f t="shared" si="65"/>
        <v>0.45179303581758123</v>
      </c>
      <c r="S342" s="49">
        <v>214500</v>
      </c>
      <c r="T342" s="49">
        <v>203500</v>
      </c>
      <c r="U342" s="49">
        <v>15956260</v>
      </c>
      <c r="V342" s="49">
        <f t="shared" si="66"/>
        <v>36.695193828487</v>
      </c>
      <c r="W342" s="49">
        <f t="shared" si="70"/>
        <v>36.695193828487</v>
      </c>
      <c r="X342" s="82">
        <f>IF(Z341&lt;&gt;(E342*G342*H342+L342*N342*O342+S342*U342*V342),1,0)</f>
        <v>0</v>
      </c>
      <c r="Y342" s="82">
        <f>IF(AND(X342=0,B342="N"),Y341,Y341*(E342*G342*I342+L342*N342*P342+S342*U342*W342)/Z341)</f>
        <v>257445155872499.16</v>
      </c>
      <c r="Z342" s="81">
        <f t="shared" si="71"/>
        <v>263733423130561</v>
      </c>
      <c r="AA342" s="80">
        <f t="shared" si="60"/>
        <v>1024.4256577163026</v>
      </c>
      <c r="AB342" s="52">
        <f t="shared" si="67"/>
        <v>-2.623338262838629E-2</v>
      </c>
      <c r="AC342" s="48">
        <f>(F342-E342)/E342</f>
        <v>8.0459770114942528E-3</v>
      </c>
      <c r="AD342" s="48">
        <f>(M342-L342)/L342</f>
        <v>-2.1680216802168022E-2</v>
      </c>
      <c r="AE342" s="48">
        <f>(T342-S342)/S342</f>
        <v>-5.128205128205128E-2</v>
      </c>
      <c r="AF342" s="48" t="e">
        <f>(#REF!-#REF!)/#REF!</f>
        <v>#REF!</v>
      </c>
    </row>
    <row r="343" spans="1:32" x14ac:dyDescent="0.3">
      <c r="A343" s="48">
        <v>20190524</v>
      </c>
      <c r="B343" s="48" t="s">
        <v>88</v>
      </c>
      <c r="C343" s="79">
        <v>0.25</v>
      </c>
      <c r="D343" s="79">
        <f t="shared" si="61"/>
        <v>0.30801189352811947</v>
      </c>
      <c r="E343" s="49">
        <v>43850</v>
      </c>
      <c r="F343" s="49">
        <v>42700</v>
      </c>
      <c r="G343" s="49">
        <v>5969782550</v>
      </c>
      <c r="H343" s="49">
        <f t="shared" si="62"/>
        <v>0.321865578503642</v>
      </c>
      <c r="I343" s="49">
        <f t="shared" si="68"/>
        <v>0.321865578503642</v>
      </c>
      <c r="J343" s="48">
        <v>0.25</v>
      </c>
      <c r="K343" s="48">
        <f t="shared" si="63"/>
        <v>0.22709058870051541</v>
      </c>
      <c r="L343" s="48">
        <v>180500</v>
      </c>
      <c r="M343" s="48">
        <v>181000</v>
      </c>
      <c r="N343" s="51">
        <v>128329070</v>
      </c>
      <c r="O343" s="48">
        <f t="shared" si="64"/>
        <v>2.6042876356826299</v>
      </c>
      <c r="P343" s="48">
        <f t="shared" si="69"/>
        <v>2.6042876356826299</v>
      </c>
      <c r="Q343" s="49">
        <v>0.5</v>
      </c>
      <c r="R343" s="49">
        <f t="shared" si="65"/>
        <v>0.46489751777136507</v>
      </c>
      <c r="S343" s="49">
        <v>203500</v>
      </c>
      <c r="T343" s="49">
        <v>211500</v>
      </c>
      <c r="U343" s="49">
        <v>15956260</v>
      </c>
      <c r="V343" s="49">
        <f t="shared" si="66"/>
        <v>36.695193828487</v>
      </c>
      <c r="W343" s="49">
        <f t="shared" si="70"/>
        <v>36.695193828487</v>
      </c>
      <c r="X343" s="82">
        <f>IF(Z342&lt;&gt;(E343*G343*H343+L343*N343*O343+S343*U343*V343),1,0)</f>
        <v>0</v>
      </c>
      <c r="Y343" s="82">
        <f>IF(AND(X343=0,B343="N"),Y342,Y342*(E343*G343*I343+L343*N343*P343+S343*U343*W343)/Z342)</f>
        <v>257445155872499.16</v>
      </c>
      <c r="Z343" s="81">
        <f t="shared" si="71"/>
        <v>266374982822436.5</v>
      </c>
      <c r="AA343" s="80">
        <f t="shared" si="60"/>
        <v>1034.6863273448419</v>
      </c>
      <c r="AB343" s="52">
        <f t="shared" si="67"/>
        <v>1.0016021710558142E-2</v>
      </c>
      <c r="AC343" s="48">
        <f>(F343-E343)/E343</f>
        <v>-2.6225769669327253E-2</v>
      </c>
      <c r="AD343" s="48">
        <f>(M343-L343)/L343</f>
        <v>2.7700831024930748E-3</v>
      </c>
      <c r="AE343" s="48">
        <f>(T343-S343)/S343</f>
        <v>3.9312039312039311E-2</v>
      </c>
      <c r="AF343" s="48" t="e">
        <f>(#REF!-#REF!)/#REF!</f>
        <v>#REF!</v>
      </c>
    </row>
    <row r="344" spans="1:32" x14ac:dyDescent="0.3">
      <c r="A344" s="48">
        <v>20190527</v>
      </c>
      <c r="B344" s="48" t="s">
        <v>88</v>
      </c>
      <c r="C344" s="79">
        <v>0.25</v>
      </c>
      <c r="D344" s="79">
        <f t="shared" si="61"/>
        <v>0.31049009021811536</v>
      </c>
      <c r="E344" s="49">
        <v>42700</v>
      </c>
      <c r="F344" s="49">
        <v>42650</v>
      </c>
      <c r="G344" s="49">
        <v>5969782550</v>
      </c>
      <c r="H344" s="49">
        <f t="shared" si="62"/>
        <v>0.321865578503642</v>
      </c>
      <c r="I344" s="49">
        <f t="shared" si="68"/>
        <v>0.321865578503642</v>
      </c>
      <c r="J344" s="48">
        <v>0.25</v>
      </c>
      <c r="K344" s="48">
        <f t="shared" si="63"/>
        <v>0.22032252797246971</v>
      </c>
      <c r="L344" s="48">
        <v>181000</v>
      </c>
      <c r="M344" s="48">
        <v>174000</v>
      </c>
      <c r="N344" s="51">
        <v>128329070</v>
      </c>
      <c r="O344" s="48">
        <f t="shared" si="64"/>
        <v>2.6042876356826299</v>
      </c>
      <c r="P344" s="48">
        <f t="shared" si="69"/>
        <v>2.6042876356826299</v>
      </c>
      <c r="Q344" s="49">
        <v>0.5</v>
      </c>
      <c r="R344" s="49">
        <f t="shared" si="65"/>
        <v>0.46918738180941483</v>
      </c>
      <c r="S344" s="49">
        <v>211500</v>
      </c>
      <c r="T344" s="49">
        <v>211500</v>
      </c>
      <c r="U344" s="49">
        <v>15956260</v>
      </c>
      <c r="V344" s="49">
        <f t="shared" si="66"/>
        <v>36.695193828487</v>
      </c>
      <c r="W344" s="49">
        <f t="shared" si="70"/>
        <v>36.695193828487</v>
      </c>
      <c r="X344" s="82">
        <f>IF(Z343&lt;&gt;(E344*G344*H344+L344*N344*O344+S344*U344*V344),1,0)</f>
        <v>0</v>
      </c>
      <c r="Y344" s="82">
        <f>IF(AND(X344=0,B344="N"),Y343,Y343*(E344*G344*I344+L344*N344*P344+S344*U344*W344)/Z343)</f>
        <v>257445155872499.16</v>
      </c>
      <c r="Z344" s="81">
        <f t="shared" si="71"/>
        <v>263939468774639.12</v>
      </c>
      <c r="AA344" s="80">
        <f t="shared" si="60"/>
        <v>1025.226005438441</v>
      </c>
      <c r="AB344" s="52">
        <f t="shared" si="67"/>
        <v>-9.1431786198213662E-3</v>
      </c>
      <c r="AC344" s="48">
        <f>(F344-E344)/E344</f>
        <v>-1.17096018735363E-3</v>
      </c>
      <c r="AD344" s="48">
        <f>(M344-L344)/L344</f>
        <v>-3.8674033149171269E-2</v>
      </c>
      <c r="AE344" s="48">
        <f>(T344-S344)/S344</f>
        <v>0</v>
      </c>
      <c r="AF344" s="48" t="e">
        <f>(#REF!-#REF!)/#REF!</f>
        <v>#REF!</v>
      </c>
    </row>
    <row r="345" spans="1:32" x14ac:dyDescent="0.3">
      <c r="A345" s="48">
        <v>20190528</v>
      </c>
      <c r="B345" s="48" t="s">
        <v>88</v>
      </c>
      <c r="C345" s="79">
        <v>0.25</v>
      </c>
      <c r="D345" s="79">
        <f t="shared" si="61"/>
        <v>0.30093570816898274</v>
      </c>
      <c r="E345" s="49">
        <v>42650</v>
      </c>
      <c r="F345" s="49">
        <v>42550</v>
      </c>
      <c r="G345" s="49">
        <v>5969782550</v>
      </c>
      <c r="H345" s="49">
        <f t="shared" si="62"/>
        <v>0.321865578503642</v>
      </c>
      <c r="I345" s="49">
        <f t="shared" si="68"/>
        <v>0.321865578503642</v>
      </c>
      <c r="J345" s="48">
        <v>0.25</v>
      </c>
      <c r="K345" s="48">
        <f t="shared" si="63"/>
        <v>0.22880633908997733</v>
      </c>
      <c r="L345" s="48">
        <v>174000</v>
      </c>
      <c r="M345" s="48">
        <v>186000</v>
      </c>
      <c r="N345" s="51">
        <v>128329070</v>
      </c>
      <c r="O345" s="48">
        <f t="shared" si="64"/>
        <v>2.6042876356826299</v>
      </c>
      <c r="P345" s="48">
        <f t="shared" si="69"/>
        <v>2.6042876356826299</v>
      </c>
      <c r="Q345" s="49">
        <v>0.5</v>
      </c>
      <c r="R345" s="49">
        <f t="shared" si="65"/>
        <v>0.47025795274103988</v>
      </c>
      <c r="S345" s="49">
        <v>211500</v>
      </c>
      <c r="T345" s="49">
        <v>218200</v>
      </c>
      <c r="U345" s="49">
        <v>15956260</v>
      </c>
      <c r="V345" s="49">
        <f t="shared" si="66"/>
        <v>36.695193828487</v>
      </c>
      <c r="W345" s="49">
        <f t="shared" si="70"/>
        <v>36.695193828487</v>
      </c>
      <c r="X345" s="82">
        <f>IF(Z344&lt;&gt;(E345*G345*H345+L345*N345*O345+S345*U345*V345),1,0)</f>
        <v>0</v>
      </c>
      <c r="Y345" s="82">
        <f>IF(AND(X345=0,B345="N"),Y344,Y344*(E345*G345*I345+L345*N345*P345+S345*U345*W345)/Z344)</f>
        <v>257445155872499.16</v>
      </c>
      <c r="Z345" s="81">
        <f t="shared" si="71"/>
        <v>271680762705136.06</v>
      </c>
      <c r="AA345" s="80">
        <f t="shared" si="60"/>
        <v>1055.2956872868378</v>
      </c>
      <c r="AB345" s="52">
        <f t="shared" si="67"/>
        <v>2.9329807953454565E-2</v>
      </c>
      <c r="AC345" s="48">
        <f>(F345-E345)/E345</f>
        <v>-2.3446658851113715E-3</v>
      </c>
      <c r="AD345" s="48">
        <f>(M345-L345)/L345</f>
        <v>6.8965517241379309E-2</v>
      </c>
      <c r="AE345" s="48">
        <f>(T345-S345)/S345</f>
        <v>3.1678486997635931E-2</v>
      </c>
      <c r="AF345" s="48" t="e">
        <f>(#REF!-#REF!)/#REF!</f>
        <v>#REF!</v>
      </c>
    </row>
    <row r="346" spans="1:32" x14ac:dyDescent="0.3">
      <c r="A346" s="48">
        <v>20190529</v>
      </c>
      <c r="B346" s="48" t="s">
        <v>88</v>
      </c>
      <c r="C346" s="79">
        <v>0.25</v>
      </c>
      <c r="D346" s="79">
        <f t="shared" si="61"/>
        <v>0.3183010680978709</v>
      </c>
      <c r="E346" s="49">
        <v>42550</v>
      </c>
      <c r="F346" s="49">
        <v>41800</v>
      </c>
      <c r="G346" s="49">
        <v>5969782550</v>
      </c>
      <c r="H346" s="49">
        <f t="shared" si="62"/>
        <v>0.321865578503642</v>
      </c>
      <c r="I346" s="49">
        <f t="shared" si="68"/>
        <v>0.321865578503642</v>
      </c>
      <c r="J346" s="48">
        <v>0.25</v>
      </c>
      <c r="K346" s="48">
        <f t="shared" si="63"/>
        <v>0.24568954601520385</v>
      </c>
      <c r="L346" s="48">
        <v>186000</v>
      </c>
      <c r="M346" s="48">
        <v>185500</v>
      </c>
      <c r="N346" s="51">
        <v>128329070</v>
      </c>
      <c r="O346" s="48">
        <f t="shared" si="64"/>
        <v>2.6042876356826299</v>
      </c>
      <c r="P346" s="48">
        <f t="shared" si="69"/>
        <v>2.6042876356826299</v>
      </c>
      <c r="Q346" s="49">
        <v>0.5</v>
      </c>
      <c r="R346" s="49">
        <f t="shared" si="65"/>
        <v>0.43600938588692534</v>
      </c>
      <c r="S346" s="49">
        <v>218200</v>
      </c>
      <c r="T346" s="49">
        <v>187900</v>
      </c>
      <c r="U346" s="49">
        <v>15956260</v>
      </c>
      <c r="V346" s="49">
        <f t="shared" si="66"/>
        <v>36.695193828487</v>
      </c>
      <c r="W346" s="49">
        <f t="shared" si="70"/>
        <v>36.695193828487</v>
      </c>
      <c r="X346" s="82">
        <f>IF(Z345&lt;&gt;(E346*G346*H346+L346*N346*O346+S346*U346*V346),1,0)</f>
        <v>0</v>
      </c>
      <c r="Y346" s="82">
        <f>IF(AND(X346=0,B346="N"),Y345,Y345*(E346*G346*I346+L346*N346*P346+S346*U346*W346)/Z345)</f>
        <v>257445155872499.16</v>
      </c>
      <c r="Z346" s="81">
        <f t="shared" si="71"/>
        <v>252331362144113.34</v>
      </c>
      <c r="AA346" s="80">
        <f t="shared" si="60"/>
        <v>980.13637618833877</v>
      </c>
      <c r="AB346" s="52">
        <f t="shared" si="67"/>
        <v>-7.1221091874006839E-2</v>
      </c>
      <c r="AC346" s="48">
        <f>(F346-E346)/E346</f>
        <v>-1.7626321974148061E-2</v>
      </c>
      <c r="AD346" s="48">
        <f>(M346-L346)/L346</f>
        <v>-2.6881720430107529E-3</v>
      </c>
      <c r="AE346" s="48">
        <f>(T346-S346)/S346</f>
        <v>-0.13886342804766269</v>
      </c>
      <c r="AF346" s="48" t="e">
        <f>(#REF!-#REF!)/#REF!</f>
        <v>#REF!</v>
      </c>
    </row>
    <row r="347" spans="1:32" x14ac:dyDescent="0.3">
      <c r="A347" s="48">
        <v>20190530</v>
      </c>
      <c r="B347" s="48" t="s">
        <v>88</v>
      </c>
      <c r="C347" s="79">
        <v>0.25</v>
      </c>
      <c r="D347" s="79">
        <f t="shared" si="61"/>
        <v>0.32510862085916331</v>
      </c>
      <c r="E347" s="49">
        <v>41800</v>
      </c>
      <c r="F347" s="49">
        <v>42550</v>
      </c>
      <c r="G347" s="49">
        <v>5969782550</v>
      </c>
      <c r="H347" s="49">
        <f t="shared" si="62"/>
        <v>0.321865578503642</v>
      </c>
      <c r="I347" s="49">
        <f t="shared" si="68"/>
        <v>0.321865578503642</v>
      </c>
      <c r="J347" s="48">
        <v>0.25</v>
      </c>
      <c r="K347" s="48">
        <f t="shared" si="63"/>
        <v>0.24718539982502358</v>
      </c>
      <c r="L347" s="48">
        <v>185500</v>
      </c>
      <c r="M347" s="48">
        <v>186000</v>
      </c>
      <c r="N347" s="51">
        <v>128329070</v>
      </c>
      <c r="O347" s="48">
        <f t="shared" si="64"/>
        <v>2.6042876356826299</v>
      </c>
      <c r="P347" s="48">
        <f t="shared" si="69"/>
        <v>2.6042876356826299</v>
      </c>
      <c r="Q347" s="49">
        <v>0.5</v>
      </c>
      <c r="R347" s="49">
        <f t="shared" si="65"/>
        <v>0.42770597931581306</v>
      </c>
      <c r="S347" s="49">
        <v>187900</v>
      </c>
      <c r="T347" s="49">
        <v>183700</v>
      </c>
      <c r="U347" s="49">
        <v>15956260</v>
      </c>
      <c r="V347" s="49">
        <f t="shared" si="66"/>
        <v>36.695193828487</v>
      </c>
      <c r="W347" s="49">
        <f t="shared" si="70"/>
        <v>36.695193828487</v>
      </c>
      <c r="X347" s="82">
        <f>IF(Z346&lt;&gt;(E347*G347*H347+L347*N347*O347+S347*U347*V347),1,0)</f>
        <v>0</v>
      </c>
      <c r="Y347" s="82">
        <f>IF(AND(X347=0,B347="N"),Y346,Y346*(E347*G347*I347+L347*N347*P347+S347*U347*W347)/Z346)</f>
        <v>257445155872499.16</v>
      </c>
      <c r="Z347" s="81">
        <f t="shared" si="71"/>
        <v>251480389860154.25</v>
      </c>
      <c r="AA347" s="80">
        <f t="shared" si="60"/>
        <v>976.83092543679868</v>
      </c>
      <c r="AB347" s="52">
        <f t="shared" si="67"/>
        <v>-3.3724396235498269E-3</v>
      </c>
      <c r="AC347" s="48">
        <f>(F347-E347)/E347</f>
        <v>1.7942583732057416E-2</v>
      </c>
      <c r="AD347" s="48">
        <f>(M347-L347)/L347</f>
        <v>2.6954177897574125E-3</v>
      </c>
      <c r="AE347" s="48">
        <f>(T347-S347)/S347</f>
        <v>-2.2352315061202766E-2</v>
      </c>
      <c r="AF347" s="48" t="e">
        <f>(#REF!-#REF!)/#REF!</f>
        <v>#REF!</v>
      </c>
    </row>
    <row r="348" spans="1:32" x14ac:dyDescent="0.3">
      <c r="A348" s="48">
        <v>20190531</v>
      </c>
      <c r="B348" s="48" t="s">
        <v>88</v>
      </c>
      <c r="C348" s="79">
        <v>0.25</v>
      </c>
      <c r="D348" s="79">
        <f t="shared" si="61"/>
        <v>0.31503065521693874</v>
      </c>
      <c r="E348" s="49">
        <v>42550</v>
      </c>
      <c r="F348" s="49">
        <v>42500</v>
      </c>
      <c r="G348" s="49">
        <v>5969782550</v>
      </c>
      <c r="H348" s="49">
        <f t="shared" si="62"/>
        <v>0.321865578503642</v>
      </c>
      <c r="I348" s="49">
        <f t="shared" si="68"/>
        <v>0.321865578503642</v>
      </c>
      <c r="J348" s="48">
        <v>0.25</v>
      </c>
      <c r="K348" s="48">
        <f t="shared" si="63"/>
        <v>0.24496184087880013</v>
      </c>
      <c r="L348" s="48">
        <v>186000</v>
      </c>
      <c r="M348" s="48">
        <v>190000</v>
      </c>
      <c r="N348" s="51">
        <v>128329070</v>
      </c>
      <c r="O348" s="48">
        <f t="shared" si="64"/>
        <v>2.6042876356826299</v>
      </c>
      <c r="P348" s="48">
        <f t="shared" si="69"/>
        <v>2.6042876356826299</v>
      </c>
      <c r="Q348" s="49">
        <v>0.5</v>
      </c>
      <c r="R348" s="49">
        <f t="shared" si="65"/>
        <v>0.44000750390426124</v>
      </c>
      <c r="S348" s="49">
        <v>183700</v>
      </c>
      <c r="T348" s="49">
        <v>194800</v>
      </c>
      <c r="U348" s="49">
        <v>15956260</v>
      </c>
      <c r="V348" s="49">
        <f t="shared" si="66"/>
        <v>36.695193828487</v>
      </c>
      <c r="W348" s="49">
        <f t="shared" si="70"/>
        <v>36.695193828487</v>
      </c>
      <c r="X348" s="82">
        <f>IF(Z347&lt;&gt;(E348*G348*H348+L348*N348*O348+S348*U348*V348),1,0)</f>
        <v>0</v>
      </c>
      <c r="Y348" s="82">
        <f>IF(AND(X348=0,B348="N"),Y347,Y347*(E348*G348*I348+L348*N348*P348+S348*U348*W348)/Z347)</f>
        <v>257445155872499.16</v>
      </c>
      <c r="Z348" s="81">
        <f t="shared" si="71"/>
        <v>259220390119255.81</v>
      </c>
      <c r="AA348" s="80">
        <f t="shared" si="60"/>
        <v>1006.8955822483443</v>
      </c>
      <c r="AB348" s="52">
        <f t="shared" si="67"/>
        <v>3.0777748767630366E-2</v>
      </c>
      <c r="AC348" s="48">
        <f>(F348-E348)/E348</f>
        <v>-1.1750881316098707E-3</v>
      </c>
      <c r="AD348" s="48">
        <f>(M348-L348)/L348</f>
        <v>2.1505376344086023E-2</v>
      </c>
      <c r="AE348" s="48">
        <f>(T348-S348)/S348</f>
        <v>6.0424605334784977E-2</v>
      </c>
      <c r="AF348" s="48" t="e">
        <f>(#REF!-#REF!)/#REF!</f>
        <v>#REF!</v>
      </c>
    </row>
    <row r="349" spans="1:32" x14ac:dyDescent="0.3">
      <c r="A349" s="48">
        <v>20190603</v>
      </c>
      <c r="B349" s="48" t="s">
        <v>88</v>
      </c>
      <c r="C349" s="79">
        <v>0.25</v>
      </c>
      <c r="D349" s="79">
        <f t="shared" si="61"/>
        <v>0.32365910016369281</v>
      </c>
      <c r="E349" s="49">
        <v>42500</v>
      </c>
      <c r="F349" s="49">
        <v>43800</v>
      </c>
      <c r="G349" s="49">
        <v>5969782550</v>
      </c>
      <c r="H349" s="49">
        <f t="shared" si="62"/>
        <v>0.321865578503642</v>
      </c>
      <c r="I349" s="49">
        <f t="shared" si="68"/>
        <v>0.321865578503642</v>
      </c>
      <c r="J349" s="48">
        <v>0.25</v>
      </c>
      <c r="K349" s="48">
        <f t="shared" si="63"/>
        <v>0.24805727618209855</v>
      </c>
      <c r="L349" s="48">
        <v>190000</v>
      </c>
      <c r="M349" s="48">
        <v>193000</v>
      </c>
      <c r="N349" s="51">
        <v>128329070</v>
      </c>
      <c r="O349" s="48">
        <f t="shared" si="64"/>
        <v>2.6042876356826299</v>
      </c>
      <c r="P349" s="48">
        <f t="shared" si="69"/>
        <v>2.6042876356826299</v>
      </c>
      <c r="Q349" s="49">
        <v>0.5</v>
      </c>
      <c r="R349" s="49">
        <f t="shared" si="65"/>
        <v>0.42828362365420869</v>
      </c>
      <c r="S349" s="49">
        <v>194800</v>
      </c>
      <c r="T349" s="49">
        <v>190200</v>
      </c>
      <c r="U349" s="49">
        <v>15956260</v>
      </c>
      <c r="V349" s="49">
        <f t="shared" si="66"/>
        <v>36.695193828487</v>
      </c>
      <c r="W349" s="49">
        <f t="shared" si="70"/>
        <v>36.695193828487</v>
      </c>
      <c r="X349" s="82">
        <f>IF(Z348&lt;&gt;(E349*G349*H349+L349*N349*O349+S349*U349*V349),1,0)</f>
        <v>0</v>
      </c>
      <c r="Y349" s="82">
        <f>IF(AND(X349=0,B349="N"),Y348,Y348*(E349*G349*I349+L349*N349*P349+S349*U349*W349)/Z348)</f>
        <v>257445155872499.16</v>
      </c>
      <c r="Z349" s="81">
        <f t="shared" si="71"/>
        <v>260027532272352.91</v>
      </c>
      <c r="AA349" s="80">
        <f t="shared" si="60"/>
        <v>1010.0307826383523</v>
      </c>
      <c r="AB349" s="52">
        <f t="shared" si="67"/>
        <v>3.1137294127433204E-3</v>
      </c>
      <c r="AC349" s="48">
        <f>(F349-E349)/E349</f>
        <v>3.0588235294117649E-2</v>
      </c>
      <c r="AD349" s="48">
        <f>(M349-L349)/L349</f>
        <v>1.5789473684210527E-2</v>
      </c>
      <c r="AE349" s="48">
        <f>(T349-S349)/S349</f>
        <v>-2.3613963039014373E-2</v>
      </c>
      <c r="AF349" s="48" t="e">
        <f>(#REF!-#REF!)/#REF!</f>
        <v>#REF!</v>
      </c>
    </row>
    <row r="350" spans="1:32" x14ac:dyDescent="0.3">
      <c r="A350" s="48">
        <v>20190604</v>
      </c>
      <c r="B350" s="48" t="s">
        <v>88</v>
      </c>
      <c r="C350" s="79">
        <v>0.25</v>
      </c>
      <c r="D350" s="79">
        <f t="shared" si="61"/>
        <v>0.32312578787822827</v>
      </c>
      <c r="E350" s="49">
        <v>43800</v>
      </c>
      <c r="F350" s="49">
        <v>43450</v>
      </c>
      <c r="G350" s="49">
        <v>5969782550</v>
      </c>
      <c r="H350" s="49">
        <f t="shared" si="62"/>
        <v>0.321865578503642</v>
      </c>
      <c r="I350" s="49">
        <f t="shared" si="68"/>
        <v>0.321865578503642</v>
      </c>
      <c r="J350" s="48">
        <v>0.25</v>
      </c>
      <c r="K350" s="48">
        <f t="shared" si="63"/>
        <v>0.25287712775562732</v>
      </c>
      <c r="L350" s="48">
        <v>193000</v>
      </c>
      <c r="M350" s="48">
        <v>195500</v>
      </c>
      <c r="N350" s="51">
        <v>128329070</v>
      </c>
      <c r="O350" s="48">
        <f t="shared" si="64"/>
        <v>2.6042876356826299</v>
      </c>
      <c r="P350" s="48">
        <f t="shared" si="69"/>
        <v>2.6042876356826299</v>
      </c>
      <c r="Q350" s="49">
        <v>0.5</v>
      </c>
      <c r="R350" s="49">
        <f t="shared" si="65"/>
        <v>0.42399708436614447</v>
      </c>
      <c r="S350" s="49">
        <v>190200</v>
      </c>
      <c r="T350" s="49">
        <v>187100</v>
      </c>
      <c r="U350" s="49">
        <v>15956260</v>
      </c>
      <c r="V350" s="49">
        <f t="shared" si="66"/>
        <v>36.695193828487</v>
      </c>
      <c r="W350" s="49">
        <f t="shared" si="70"/>
        <v>36.695193828487</v>
      </c>
      <c r="X350" s="82">
        <f>IF(Z349&lt;&gt;(E350*G350*H350+L350*N350*O350+S350*U350*V350),1,0)</f>
        <v>0</v>
      </c>
      <c r="Y350" s="82">
        <f>IF(AND(X350=0,B350="N"),Y349,Y349*(E350*G350*I350+L350*N350*P350+S350*U350*W350)/Z349)</f>
        <v>257445155872499.16</v>
      </c>
      <c r="Z350" s="81">
        <f t="shared" si="71"/>
        <v>258375427202422.22</v>
      </c>
      <c r="AA350" s="80">
        <f t="shared" si="60"/>
        <v>1003.6134738164728</v>
      </c>
      <c r="AB350" s="52">
        <f t="shared" si="67"/>
        <v>-6.353577467328779E-3</v>
      </c>
      <c r="AC350" s="48">
        <f>(F350-E350)/E350</f>
        <v>-7.9908675799086754E-3</v>
      </c>
      <c r="AD350" s="48">
        <f>(M350-L350)/L350</f>
        <v>1.2953367875647668E-2</v>
      </c>
      <c r="AE350" s="48">
        <f>(T350-S350)/S350</f>
        <v>-1.6298633017875919E-2</v>
      </c>
      <c r="AF350" s="48" t="e">
        <f>(#REF!-#REF!)/#REF!</f>
        <v>#REF!</v>
      </c>
    </row>
    <row r="351" spans="1:32" x14ac:dyDescent="0.3">
      <c r="A351" s="48">
        <v>20190605</v>
      </c>
      <c r="B351" s="48" t="s">
        <v>88</v>
      </c>
      <c r="C351" s="79">
        <v>0.25</v>
      </c>
      <c r="D351" s="79">
        <f t="shared" si="61"/>
        <v>0.3245876960503456</v>
      </c>
      <c r="E351" s="49">
        <v>43450</v>
      </c>
      <c r="F351" s="49">
        <v>43900</v>
      </c>
      <c r="G351" s="49">
        <v>5969782550</v>
      </c>
      <c r="H351" s="49">
        <f t="shared" si="62"/>
        <v>0.321865578503642</v>
      </c>
      <c r="I351" s="49">
        <f t="shared" si="68"/>
        <v>0.321865578503642</v>
      </c>
      <c r="J351" s="48">
        <v>0.25</v>
      </c>
      <c r="K351" s="48">
        <f t="shared" si="63"/>
        <v>0.25206036109452895</v>
      </c>
      <c r="L351" s="48">
        <v>195500</v>
      </c>
      <c r="M351" s="48">
        <v>196000</v>
      </c>
      <c r="N351" s="51">
        <v>128329070</v>
      </c>
      <c r="O351" s="48">
        <f t="shared" si="64"/>
        <v>2.6042876356826299</v>
      </c>
      <c r="P351" s="48">
        <f t="shared" si="69"/>
        <v>2.6042876356826299</v>
      </c>
      <c r="Q351" s="49">
        <v>0.5</v>
      </c>
      <c r="R351" s="49">
        <f t="shared" si="65"/>
        <v>0.42335194285512545</v>
      </c>
      <c r="S351" s="49">
        <v>187100</v>
      </c>
      <c r="T351" s="49">
        <v>187900</v>
      </c>
      <c r="U351" s="49">
        <v>15956260</v>
      </c>
      <c r="V351" s="49">
        <f t="shared" si="66"/>
        <v>36.695193828487</v>
      </c>
      <c r="W351" s="49">
        <f t="shared" si="70"/>
        <v>36.695193828487</v>
      </c>
      <c r="X351" s="82">
        <f>IF(Z350&lt;&gt;(E351*G351*H351+L351*N351*O351+S351*U351*V351),1,0)</f>
        <v>0</v>
      </c>
      <c r="Y351" s="82">
        <f>IF(AND(X351=0,B351="N"),Y350,Y350*(E351*G351*I351+L351*N351*P351+S351*U351*W351)/Z350)</f>
        <v>257445155872499.16</v>
      </c>
      <c r="Z351" s="81">
        <f t="shared" si="71"/>
        <v>259875604931652.75</v>
      </c>
      <c r="AA351" s="80">
        <f t="shared" si="60"/>
        <v>1009.4406478572753</v>
      </c>
      <c r="AB351" s="52">
        <f t="shared" si="67"/>
        <v>5.8061935125713962E-3</v>
      </c>
      <c r="AC351" s="48">
        <f>(F351-E351)/E351</f>
        <v>1.0356731875719217E-2</v>
      </c>
      <c r="AD351" s="48">
        <f>(M351-L351)/L351</f>
        <v>2.5575447570332483E-3</v>
      </c>
      <c r="AE351" s="48">
        <f>(T351-S351)/S351</f>
        <v>4.27578834847675E-3</v>
      </c>
      <c r="AF351" s="48" t="e">
        <f>(#REF!-#REF!)/#REF!</f>
        <v>#REF!</v>
      </c>
    </row>
    <row r="352" spans="1:32" x14ac:dyDescent="0.3">
      <c r="A352" s="48">
        <v>20190607</v>
      </c>
      <c r="B352" s="48" t="s">
        <v>88</v>
      </c>
      <c r="C352" s="79">
        <v>0.25</v>
      </c>
      <c r="D352" s="79">
        <f t="shared" si="61"/>
        <v>0.32383633771716941</v>
      </c>
      <c r="E352" s="49">
        <v>43900</v>
      </c>
      <c r="F352" s="49">
        <v>44200</v>
      </c>
      <c r="G352" s="49">
        <v>5969782550</v>
      </c>
      <c r="H352" s="49">
        <f t="shared" si="62"/>
        <v>0.321865578503642</v>
      </c>
      <c r="I352" s="49">
        <f t="shared" si="68"/>
        <v>0.321865578503642</v>
      </c>
      <c r="J352" s="48">
        <v>0.25</v>
      </c>
      <c r="K352" s="48">
        <f t="shared" si="63"/>
        <v>0.25040720138157546</v>
      </c>
      <c r="L352" s="48">
        <v>196000</v>
      </c>
      <c r="M352" s="48">
        <v>196500</v>
      </c>
      <c r="N352" s="51">
        <v>128329070</v>
      </c>
      <c r="O352" s="48">
        <f t="shared" si="64"/>
        <v>2.6042876356826299</v>
      </c>
      <c r="P352" s="48">
        <f t="shared" si="69"/>
        <v>2.6042876356826299</v>
      </c>
      <c r="Q352" s="49">
        <v>0.5</v>
      </c>
      <c r="R352" s="49">
        <f t="shared" si="65"/>
        <v>0.42575646090125518</v>
      </c>
      <c r="S352" s="49">
        <v>187900</v>
      </c>
      <c r="T352" s="49">
        <v>190700</v>
      </c>
      <c r="U352" s="49">
        <v>15956260</v>
      </c>
      <c r="V352" s="49">
        <f t="shared" si="66"/>
        <v>36.695193828487</v>
      </c>
      <c r="W352" s="49">
        <f t="shared" si="70"/>
        <v>36.695193828487</v>
      </c>
      <c r="X352" s="82">
        <f>IF(Z351&lt;&gt;(E352*G352*H352+L352*N352*O352+S352*U352*V352),1,0)</f>
        <v>0</v>
      </c>
      <c r="Y352" s="82">
        <f>IF(AND(X352=0,B352="N"),Y351,Y351*(E352*G352*I352+L352*N352*P352+S352*U352*W352)/Z351)</f>
        <v>257445155872499.16</v>
      </c>
      <c r="Z352" s="81">
        <f t="shared" si="71"/>
        <v>262258598640739.25</v>
      </c>
      <c r="AA352" s="80">
        <f t="shared" si="60"/>
        <v>1018.696963832654</v>
      </c>
      <c r="AB352" s="52">
        <f t="shared" si="67"/>
        <v>9.1697476171847675E-3</v>
      </c>
      <c r="AC352" s="48">
        <f>(F352-E352)/E352</f>
        <v>6.8337129840546698E-3</v>
      </c>
      <c r="AD352" s="48">
        <f>(M352-L352)/L352</f>
        <v>2.5510204081632651E-3</v>
      </c>
      <c r="AE352" s="48">
        <f>(T352-S352)/S352</f>
        <v>1.4901543374135177E-2</v>
      </c>
      <c r="AF352" s="48" t="e">
        <f>(#REF!-#REF!)/#REF!</f>
        <v>#REF!</v>
      </c>
    </row>
    <row r="353" spans="1:32" s="47" customFormat="1" x14ac:dyDescent="0.3">
      <c r="A353" s="48">
        <v>20190610</v>
      </c>
      <c r="B353" s="48" t="s">
        <v>88</v>
      </c>
      <c r="C353" s="79">
        <v>0.25</v>
      </c>
      <c r="D353" s="79">
        <f t="shared" si="61"/>
        <v>0.32575189383739134</v>
      </c>
      <c r="E353" s="49">
        <v>44200</v>
      </c>
      <c r="F353" s="49">
        <v>44800</v>
      </c>
      <c r="G353" s="49">
        <v>5969782550</v>
      </c>
      <c r="H353" s="49">
        <f t="shared" si="62"/>
        <v>0.321865578503642</v>
      </c>
      <c r="I353" s="49">
        <f t="shared" si="68"/>
        <v>0.321865578503642</v>
      </c>
      <c r="J353" s="48">
        <v>0.25</v>
      </c>
      <c r="K353" s="48">
        <f t="shared" si="63"/>
        <v>0.25104431790370707</v>
      </c>
      <c r="L353" s="48">
        <v>196500</v>
      </c>
      <c r="M353" s="48">
        <v>198500</v>
      </c>
      <c r="N353" s="51">
        <v>128329070</v>
      </c>
      <c r="O353" s="48">
        <f t="shared" si="64"/>
        <v>2.6042876356826299</v>
      </c>
      <c r="P353" s="48">
        <f t="shared" si="69"/>
        <v>2.6042876356826299</v>
      </c>
      <c r="Q353" s="49">
        <v>0.5</v>
      </c>
      <c r="R353" s="49">
        <f t="shared" si="65"/>
        <v>0.42320378825890165</v>
      </c>
      <c r="S353" s="49">
        <v>190700</v>
      </c>
      <c r="T353" s="49">
        <v>191000</v>
      </c>
      <c r="U353" s="49">
        <v>15956260</v>
      </c>
      <c r="V353" s="49">
        <f t="shared" si="66"/>
        <v>36.695193828487</v>
      </c>
      <c r="W353" s="49">
        <f t="shared" si="70"/>
        <v>36.695193828487</v>
      </c>
      <c r="X353" s="82">
        <f>IF(Z352&lt;&gt;(E353*G353*H353+L353*N353*O353+S353*U353*V353),1,0)</f>
        <v>0</v>
      </c>
      <c r="Y353" s="82">
        <f>IF(AND(X353=0,B353="N"),Y352,Y352*(E353*G353*I353+L353*N353*P353+S353*U353*W353)/Z352)</f>
        <v>257445155872499.16</v>
      </c>
      <c r="Z353" s="81">
        <f t="shared" si="71"/>
        <v>264255546185779.87</v>
      </c>
      <c r="AA353" s="80">
        <f t="shared" si="60"/>
        <v>1026.4537520241927</v>
      </c>
      <c r="AB353" s="52">
        <f t="shared" si="67"/>
        <v>7.6144216257946424E-3</v>
      </c>
      <c r="AC353" s="48">
        <f>(F353-E353)/E353</f>
        <v>1.3574660633484163E-2</v>
      </c>
      <c r="AD353" s="48">
        <f>(M353-L353)/L353</f>
        <v>1.0178117048346057E-2</v>
      </c>
      <c r="AE353" s="48">
        <f>(T353-S353)/S353</f>
        <v>1.5731515469323545E-3</v>
      </c>
      <c r="AF353" s="48" t="e">
        <f>(#REF!-#REF!)/#REF!</f>
        <v>#REF!</v>
      </c>
    </row>
    <row r="354" spans="1:32" x14ac:dyDescent="0.3">
      <c r="A354" s="48">
        <v>20190611</v>
      </c>
      <c r="B354" s="48" t="s">
        <v>88</v>
      </c>
      <c r="C354" s="79">
        <v>0.25</v>
      </c>
      <c r="D354" s="79">
        <f t="shared" si="61"/>
        <v>0.32004400163844166</v>
      </c>
      <c r="E354" s="49">
        <v>44800</v>
      </c>
      <c r="F354" s="49">
        <v>44850</v>
      </c>
      <c r="G354" s="49">
        <v>5969782550</v>
      </c>
      <c r="H354" s="49">
        <f t="shared" si="62"/>
        <v>0.321865578503642</v>
      </c>
      <c r="I354" s="49">
        <f t="shared" si="68"/>
        <v>0.321865578503642</v>
      </c>
      <c r="J354" s="48">
        <v>0.25</v>
      </c>
      <c r="K354" s="48">
        <f t="shared" si="63"/>
        <v>0.25071456449421747</v>
      </c>
      <c r="L354" s="48">
        <v>198500</v>
      </c>
      <c r="M354" s="48">
        <v>202000</v>
      </c>
      <c r="N354" s="51">
        <v>128329070</v>
      </c>
      <c r="O354" s="48">
        <f t="shared" si="64"/>
        <v>2.6042876356826299</v>
      </c>
      <c r="P354" s="48">
        <f t="shared" si="69"/>
        <v>2.6042876356826299</v>
      </c>
      <c r="Q354" s="49">
        <v>0.5</v>
      </c>
      <c r="R354" s="49">
        <f t="shared" si="65"/>
        <v>0.42924143386734082</v>
      </c>
      <c r="S354" s="49">
        <v>191000</v>
      </c>
      <c r="T354" s="49">
        <v>197400</v>
      </c>
      <c r="U354" s="49">
        <v>15956260</v>
      </c>
      <c r="V354" s="49">
        <f t="shared" si="66"/>
        <v>36.695193828487</v>
      </c>
      <c r="W354" s="49">
        <f t="shared" si="70"/>
        <v>36.695193828487</v>
      </c>
      <c r="X354" s="82">
        <f>IF(Z353&lt;&gt;(E354*G354*H354+L354*N354*O354+S354*U354*V354),1,0)</f>
        <v>0</v>
      </c>
      <c r="Y354" s="82">
        <f>IF(AND(X354=0,B354="N"),Y353,Y353*(E354*G354*I354+L354*N354*P354+S354*U354*W354)/Z353)</f>
        <v>257445155872499.16</v>
      </c>
      <c r="Z354" s="81">
        <f t="shared" si="71"/>
        <v>269268655439786</v>
      </c>
      <c r="AA354" s="80">
        <f t="shared" si="60"/>
        <v>1045.9262848711066</v>
      </c>
      <c r="AB354" s="52">
        <f t="shared" si="67"/>
        <v>1.8970686997357298E-2</v>
      </c>
      <c r="AC354" s="48">
        <f>(F354-E354)/E354</f>
        <v>1.1160714285714285E-3</v>
      </c>
      <c r="AD354" s="48">
        <f>(M354-L354)/L354</f>
        <v>1.7632241813602016E-2</v>
      </c>
      <c r="AE354" s="48">
        <f>(T354-S354)/S354</f>
        <v>3.3507853403141365E-2</v>
      </c>
      <c r="AF354" s="48" t="e">
        <f>(#REF!-#REF!)/#REF!</f>
        <v>#REF!</v>
      </c>
    </row>
    <row r="355" spans="1:32" x14ac:dyDescent="0.3">
      <c r="A355" s="48">
        <v>20190612</v>
      </c>
      <c r="B355" s="48" t="s">
        <v>88</v>
      </c>
      <c r="C355" s="79">
        <v>0.25</v>
      </c>
      <c r="D355" s="79">
        <f t="shared" si="61"/>
        <v>0.32181408753067792</v>
      </c>
      <c r="E355" s="49">
        <v>44850</v>
      </c>
      <c r="F355" s="49">
        <v>44600</v>
      </c>
      <c r="G355" s="49">
        <v>5969782550</v>
      </c>
      <c r="H355" s="49">
        <f t="shared" si="62"/>
        <v>0.321865578503642</v>
      </c>
      <c r="I355" s="49">
        <f t="shared" si="68"/>
        <v>0.321865578503642</v>
      </c>
      <c r="J355" s="48">
        <v>0.25</v>
      </c>
      <c r="K355" s="48">
        <f t="shared" si="63"/>
        <v>0.25602437227159769</v>
      </c>
      <c r="L355" s="48">
        <v>202000</v>
      </c>
      <c r="M355" s="48">
        <v>204000</v>
      </c>
      <c r="N355" s="51">
        <v>128329070</v>
      </c>
      <c r="O355" s="48">
        <f t="shared" si="64"/>
        <v>2.6042876356826299</v>
      </c>
      <c r="P355" s="48">
        <f t="shared" si="69"/>
        <v>2.6042876356826299</v>
      </c>
      <c r="Q355" s="49">
        <v>0.5</v>
      </c>
      <c r="R355" s="49">
        <f t="shared" si="65"/>
        <v>0.42216154019772434</v>
      </c>
      <c r="S355" s="49">
        <v>197400</v>
      </c>
      <c r="T355" s="49">
        <v>192000</v>
      </c>
      <c r="U355" s="49">
        <v>15956260</v>
      </c>
      <c r="V355" s="49">
        <f t="shared" si="66"/>
        <v>36.695193828487</v>
      </c>
      <c r="W355" s="49">
        <f t="shared" si="70"/>
        <v>36.695193828487</v>
      </c>
      <c r="X355" s="82">
        <f>IF(Z354&lt;&gt;(E355*G355*H355+L355*N355*O355+S355*U355*V355),1,0)</f>
        <v>0</v>
      </c>
      <c r="Y355" s="82">
        <f>IF(AND(X355=0,B355="N"),Y354,Y354*(E355*G355*I355+L355*N355*P355+S355*U355*W355)/Z354)</f>
        <v>257445155872499.16</v>
      </c>
      <c r="Z355" s="81">
        <f t="shared" si="71"/>
        <v>266294902693106.37</v>
      </c>
      <c r="AA355" s="80">
        <f t="shared" si="60"/>
        <v>1034.3752703002501</v>
      </c>
      <c r="AB355" s="52">
        <f t="shared" si="67"/>
        <v>-1.1043813257145553E-2</v>
      </c>
      <c r="AC355" s="48">
        <f>(F355-E355)/E355</f>
        <v>-5.5741360089186179E-3</v>
      </c>
      <c r="AD355" s="48">
        <f>(M355-L355)/L355</f>
        <v>9.9009900990099011E-3</v>
      </c>
      <c r="AE355" s="48">
        <f>(T355-S355)/S355</f>
        <v>-2.7355623100303952E-2</v>
      </c>
      <c r="AF355" s="48" t="e">
        <f>(#REF!-#REF!)/#REF!</f>
        <v>#REF!</v>
      </c>
    </row>
    <row r="356" spans="1:32" x14ac:dyDescent="0.3">
      <c r="A356" s="48">
        <v>20190613</v>
      </c>
      <c r="B356" s="48" t="s">
        <v>88</v>
      </c>
      <c r="C356" s="79">
        <v>0.25</v>
      </c>
      <c r="D356" s="79">
        <f t="shared" si="61"/>
        <v>0.31726932330375435</v>
      </c>
      <c r="E356" s="49">
        <v>44600</v>
      </c>
      <c r="F356" s="49">
        <v>43750</v>
      </c>
      <c r="G356" s="49">
        <v>5969782550</v>
      </c>
      <c r="H356" s="49">
        <f t="shared" si="62"/>
        <v>0.321865578503642</v>
      </c>
      <c r="I356" s="49">
        <f t="shared" si="68"/>
        <v>0.321865578503642</v>
      </c>
      <c r="J356" s="48">
        <v>0.25</v>
      </c>
      <c r="K356" s="48">
        <f t="shared" si="63"/>
        <v>0.26109666229768724</v>
      </c>
      <c r="L356" s="48">
        <v>204000</v>
      </c>
      <c r="M356" s="48">
        <v>207000</v>
      </c>
      <c r="N356" s="51">
        <v>128329070</v>
      </c>
      <c r="O356" s="48">
        <f t="shared" si="64"/>
        <v>2.6042876356826299</v>
      </c>
      <c r="P356" s="48">
        <f t="shared" si="69"/>
        <v>2.6042876356826299</v>
      </c>
      <c r="Q356" s="49">
        <v>0.5</v>
      </c>
      <c r="R356" s="49">
        <f t="shared" si="65"/>
        <v>0.42163401439855852</v>
      </c>
      <c r="S356" s="49">
        <v>192000</v>
      </c>
      <c r="T356" s="49">
        <v>190800</v>
      </c>
      <c r="U356" s="49">
        <v>15956260</v>
      </c>
      <c r="V356" s="49">
        <f t="shared" si="66"/>
        <v>36.695193828487</v>
      </c>
      <c r="W356" s="49">
        <f t="shared" si="70"/>
        <v>36.695193828487</v>
      </c>
      <c r="X356" s="82">
        <f>IF(Z355&lt;&gt;(E356*G356*H356+L356*N356*O356+S356*U356*V356),1,0)</f>
        <v>0</v>
      </c>
      <c r="Y356" s="82">
        <f>IF(AND(X356=0,B356="N"),Y355,Y355*(E356*G356*I356+L356*N356*P356+S356*U356*W356)/Z355)</f>
        <v>257445155872499.16</v>
      </c>
      <c r="Z356" s="81">
        <f t="shared" si="71"/>
        <v>264961651072934.81</v>
      </c>
      <c r="AA356" s="80">
        <f t="shared" si="60"/>
        <v>1029.1964910932652</v>
      </c>
      <c r="AB356" s="52">
        <f t="shared" si="67"/>
        <v>-5.0066734537086068E-3</v>
      </c>
      <c r="AC356" s="48">
        <f>(F356-E356)/E356</f>
        <v>-1.905829596412556E-2</v>
      </c>
      <c r="AD356" s="48">
        <f>(M356-L356)/L356</f>
        <v>1.4705882352941176E-2</v>
      </c>
      <c r="AE356" s="48">
        <f>(T356-S356)/S356</f>
        <v>-6.2500000000000003E-3</v>
      </c>
      <c r="AF356" s="48" t="e">
        <f>(#REF!-#REF!)/#REF!</f>
        <v>#REF!</v>
      </c>
    </row>
    <row r="357" spans="1:32" x14ac:dyDescent="0.3">
      <c r="A357" s="48">
        <v>20190614</v>
      </c>
      <c r="B357" s="48" t="s">
        <v>88</v>
      </c>
      <c r="C357" s="79">
        <v>0.25</v>
      </c>
      <c r="D357" s="79">
        <f t="shared" si="61"/>
        <v>0.32100060131620345</v>
      </c>
      <c r="E357" s="49">
        <v>43750</v>
      </c>
      <c r="F357" s="49">
        <v>44000</v>
      </c>
      <c r="G357" s="49">
        <v>5969782550</v>
      </c>
      <c r="H357" s="49">
        <f t="shared" si="62"/>
        <v>0.321865578503642</v>
      </c>
      <c r="I357" s="49">
        <f t="shared" si="68"/>
        <v>0.321865578503642</v>
      </c>
      <c r="J357" s="48">
        <v>0.25</v>
      </c>
      <c r="K357" s="48">
        <f t="shared" si="63"/>
        <v>0.2550528475442651</v>
      </c>
      <c r="L357" s="48">
        <v>207000</v>
      </c>
      <c r="M357" s="48">
        <v>201000</v>
      </c>
      <c r="N357" s="51">
        <v>128329070</v>
      </c>
      <c r="O357" s="48">
        <f t="shared" si="64"/>
        <v>2.6042876356826299</v>
      </c>
      <c r="P357" s="48">
        <f t="shared" si="69"/>
        <v>2.6042876356826299</v>
      </c>
      <c r="Q357" s="49">
        <v>0.5</v>
      </c>
      <c r="R357" s="49">
        <f t="shared" si="65"/>
        <v>0.42394655113953139</v>
      </c>
      <c r="S357" s="49">
        <v>190800</v>
      </c>
      <c r="T357" s="49">
        <v>190700</v>
      </c>
      <c r="U357" s="49">
        <v>15956260</v>
      </c>
      <c r="V357" s="49">
        <f t="shared" si="66"/>
        <v>36.695193828487</v>
      </c>
      <c r="W357" s="49">
        <f t="shared" si="70"/>
        <v>36.695193828487</v>
      </c>
      <c r="X357" s="82">
        <f>IF(Z356&lt;&gt;(E357*G357*H357+L357*N357*O357+S357*U357*V357),1,0)</f>
        <v>0</v>
      </c>
      <c r="Y357" s="82">
        <f>IF(AND(X357=0,B357="N"),Y356,Y356*(E357*G357*I357+L357*N357*P357+S357*U357*W357)/Z356)</f>
        <v>257445155872499.16</v>
      </c>
      <c r="Z357" s="81">
        <f t="shared" si="71"/>
        <v>263378231284288.34</v>
      </c>
      <c r="AA357" s="80">
        <f t="shared" si="60"/>
        <v>1023.0459780518364</v>
      </c>
      <c r="AB357" s="52">
        <f t="shared" si="67"/>
        <v>-5.9760338231384666E-3</v>
      </c>
      <c r="AC357" s="48">
        <f>(F357-E357)/E357</f>
        <v>5.7142857142857143E-3</v>
      </c>
      <c r="AD357" s="48">
        <f>(M357-L357)/L357</f>
        <v>-2.8985507246376812E-2</v>
      </c>
      <c r="AE357" s="48">
        <f>(T357-S357)/S357</f>
        <v>-5.2410901467505244E-4</v>
      </c>
      <c r="AF357" s="48" t="e">
        <f>(#REF!-#REF!)/#REF!</f>
        <v>#REF!</v>
      </c>
    </row>
    <row r="358" spans="1:32" x14ac:dyDescent="0.3">
      <c r="A358" s="48">
        <v>20190617</v>
      </c>
      <c r="B358" s="48" t="s">
        <v>88</v>
      </c>
      <c r="C358" s="79">
        <v>0.25</v>
      </c>
      <c r="D358" s="79">
        <f t="shared" si="61"/>
        <v>0.31916772714100988</v>
      </c>
      <c r="E358" s="49">
        <v>44000</v>
      </c>
      <c r="F358" s="49">
        <v>43900</v>
      </c>
      <c r="G358" s="49">
        <v>5969782550</v>
      </c>
      <c r="H358" s="49">
        <f t="shared" si="62"/>
        <v>0.321865578503642</v>
      </c>
      <c r="I358" s="49">
        <f t="shared" si="68"/>
        <v>0.321865578503642</v>
      </c>
      <c r="J358" s="48">
        <v>0.25</v>
      </c>
      <c r="K358" s="48">
        <f t="shared" si="63"/>
        <v>0.25923238855142744</v>
      </c>
      <c r="L358" s="48">
        <v>201000</v>
      </c>
      <c r="M358" s="48">
        <v>205000</v>
      </c>
      <c r="N358" s="51">
        <v>128329070</v>
      </c>
      <c r="O358" s="48">
        <f t="shared" si="64"/>
        <v>2.6042876356826299</v>
      </c>
      <c r="P358" s="48">
        <f t="shared" si="69"/>
        <v>2.6042876356826299</v>
      </c>
      <c r="Q358" s="49">
        <v>0.5</v>
      </c>
      <c r="R358" s="49">
        <f t="shared" si="65"/>
        <v>0.42159988430756262</v>
      </c>
      <c r="S358" s="49">
        <v>190700</v>
      </c>
      <c r="T358" s="49">
        <v>190300</v>
      </c>
      <c r="U358" s="49">
        <v>15956260</v>
      </c>
      <c r="V358" s="49">
        <f t="shared" si="66"/>
        <v>36.695193828487</v>
      </c>
      <c r="W358" s="49">
        <f t="shared" si="70"/>
        <v>36.695193828487</v>
      </c>
      <c r="X358" s="82">
        <f>IF(Z357&lt;&gt;(E358*G358*H358+L358*N358*O358+S358*U358*V358),1,0)</f>
        <v>0</v>
      </c>
      <c r="Y358" s="82">
        <f>IF(AND(X358=0,B358="N"),Y357,Y357*(E358*G358*I358+L358*N358*P358+S358*U358*W358)/Z357)</f>
        <v>257445155872499.16</v>
      </c>
      <c r="Z358" s="81">
        <f t="shared" si="71"/>
        <v>264288700552696.19</v>
      </c>
      <c r="AA358" s="80">
        <f t="shared" si="60"/>
        <v>1026.5825342761018</v>
      </c>
      <c r="AB358" s="52">
        <f t="shared" si="67"/>
        <v>3.456888839932656E-3</v>
      </c>
      <c r="AC358" s="48">
        <f>(F358-E358)/E358</f>
        <v>-2.2727272727272726E-3</v>
      </c>
      <c r="AD358" s="48">
        <f>(M358-L358)/L358</f>
        <v>1.9900497512437811E-2</v>
      </c>
      <c r="AE358" s="48">
        <f>(T358-S358)/S358</f>
        <v>-2.097535395909806E-3</v>
      </c>
      <c r="AF358" s="48" t="e">
        <f>(#REF!-#REF!)/#REF!</f>
        <v>#REF!</v>
      </c>
    </row>
    <row r="359" spans="1:32" x14ac:dyDescent="0.3">
      <c r="A359" s="48">
        <v>20190618</v>
      </c>
      <c r="B359" s="48" t="s">
        <v>88</v>
      </c>
      <c r="C359" s="79">
        <v>0.25</v>
      </c>
      <c r="D359" s="79">
        <f t="shared" si="61"/>
        <v>0.32373819883814137</v>
      </c>
      <c r="E359" s="49">
        <v>43900</v>
      </c>
      <c r="F359" s="49">
        <v>44350</v>
      </c>
      <c r="G359" s="49">
        <v>5969782550</v>
      </c>
      <c r="H359" s="49">
        <f t="shared" si="62"/>
        <v>0.321865578503642</v>
      </c>
      <c r="I359" s="49">
        <f t="shared" si="68"/>
        <v>0.321865578503642</v>
      </c>
      <c r="J359" s="48">
        <v>0.25</v>
      </c>
      <c r="K359" s="48">
        <f t="shared" si="63"/>
        <v>0.26408553060993439</v>
      </c>
      <c r="L359" s="48">
        <v>205000</v>
      </c>
      <c r="M359" s="48">
        <v>208000</v>
      </c>
      <c r="N359" s="51">
        <v>128329070</v>
      </c>
      <c r="O359" s="48">
        <f t="shared" si="64"/>
        <v>2.6042876356826299</v>
      </c>
      <c r="P359" s="48">
        <f t="shared" si="69"/>
        <v>2.6042876356826299</v>
      </c>
      <c r="Q359" s="49">
        <v>0.5</v>
      </c>
      <c r="R359" s="49">
        <f t="shared" si="65"/>
        <v>0.41217627055192413</v>
      </c>
      <c r="S359" s="49">
        <v>190300</v>
      </c>
      <c r="T359" s="49">
        <v>185300</v>
      </c>
      <c r="U359" s="49">
        <v>15956260</v>
      </c>
      <c r="V359" s="49">
        <f t="shared" si="66"/>
        <v>36.695193828487</v>
      </c>
      <c r="W359" s="49">
        <f t="shared" si="70"/>
        <v>36.695193828487</v>
      </c>
      <c r="X359" s="82">
        <f>IF(Z358&lt;&gt;(E359*G359*H359+L359*N359*O359+S359*U359*V359),1,0)</f>
        <v>0</v>
      </c>
      <c r="Y359" s="82">
        <f>IF(AND(X359=0,B359="N"),Y358,Y358*(E359*G359*I359+L359*N359*P359+S359*U359*W359)/Z358)</f>
        <v>257445155872499.16</v>
      </c>
      <c r="Z359" s="81">
        <f t="shared" si="71"/>
        <v>263228388097505</v>
      </c>
      <c r="AA359" s="80">
        <f t="shared" si="60"/>
        <v>1022.463938796619</v>
      </c>
      <c r="AB359" s="52">
        <f t="shared" si="67"/>
        <v>-4.0119477411400088E-3</v>
      </c>
      <c r="AC359" s="48">
        <f>(F359-E359)/E359</f>
        <v>1.0250569476082005E-2</v>
      </c>
      <c r="AD359" s="48">
        <f>(M359-L359)/L359</f>
        <v>1.4634146341463415E-2</v>
      </c>
      <c r="AE359" s="48">
        <f>(T359-S359)/S359</f>
        <v>-2.6274303730951128E-2</v>
      </c>
      <c r="AF359" s="48" t="e">
        <f>(#REF!-#REF!)/#REF!</f>
        <v>#REF!</v>
      </c>
    </row>
    <row r="360" spans="1:32" x14ac:dyDescent="0.3">
      <c r="A360" s="48">
        <v>20190619</v>
      </c>
      <c r="B360" s="48" t="s">
        <v>88</v>
      </c>
      <c r="C360" s="79">
        <v>0.25</v>
      </c>
      <c r="D360" s="79">
        <f t="shared" si="61"/>
        <v>0.32279540741396018</v>
      </c>
      <c r="E360" s="49">
        <v>44350</v>
      </c>
      <c r="F360" s="49">
        <v>45350</v>
      </c>
      <c r="G360" s="49">
        <v>5969782550</v>
      </c>
      <c r="H360" s="49">
        <f t="shared" si="62"/>
        <v>0.321865578503642</v>
      </c>
      <c r="I360" s="49">
        <f t="shared" si="68"/>
        <v>0.321865578503642</v>
      </c>
      <c r="J360" s="48">
        <v>0.25</v>
      </c>
      <c r="K360" s="48">
        <f t="shared" si="63"/>
        <v>0.26184324660417857</v>
      </c>
      <c r="L360" s="48">
        <v>208000</v>
      </c>
      <c r="M360" s="48">
        <v>211500</v>
      </c>
      <c r="N360" s="51">
        <v>128329070</v>
      </c>
      <c r="O360" s="48">
        <f t="shared" si="64"/>
        <v>2.6042876356826299</v>
      </c>
      <c r="P360" s="48">
        <f t="shared" si="69"/>
        <v>2.6042876356826299</v>
      </c>
      <c r="Q360" s="49">
        <v>0.5</v>
      </c>
      <c r="R360" s="49">
        <f t="shared" si="65"/>
        <v>0.41536134598186125</v>
      </c>
      <c r="S360" s="49">
        <v>185300</v>
      </c>
      <c r="T360" s="49">
        <v>191500</v>
      </c>
      <c r="U360" s="49">
        <v>15956260</v>
      </c>
      <c r="V360" s="49">
        <f t="shared" si="66"/>
        <v>36.695193828487</v>
      </c>
      <c r="W360" s="49">
        <f t="shared" si="70"/>
        <v>36.695193828487</v>
      </c>
      <c r="X360" s="82">
        <f>IF(Z359&lt;&gt;(E360*G360*H360+L360*N360*O360+S360*U360*V360),1,0)</f>
        <v>0</v>
      </c>
      <c r="Y360" s="82">
        <f>IF(AND(X360=0,B360="N"),Y359,Y359*(E360*G360*I360+L360*N360*P360+S360*U360*W360)/Z359)</f>
        <v>257445155872499.16</v>
      </c>
      <c r="Z360" s="81">
        <f t="shared" si="71"/>
        <v>269949787879112.41</v>
      </c>
      <c r="AA360" s="80">
        <f t="shared" si="60"/>
        <v>1048.5720229003114</v>
      </c>
      <c r="AB360" s="52">
        <f t="shared" si="67"/>
        <v>2.5534479127371543E-2</v>
      </c>
      <c r="AC360" s="48">
        <f>(F360-E360)/E360</f>
        <v>2.2547914317925591E-2</v>
      </c>
      <c r="AD360" s="48">
        <f>(M360-L360)/L360</f>
        <v>1.6826923076923076E-2</v>
      </c>
      <c r="AE360" s="48">
        <f>(T360-S360)/S360</f>
        <v>3.3459255261737722E-2</v>
      </c>
      <c r="AF360" s="48" t="e">
        <f>(#REF!-#REF!)/#REF!</f>
        <v>#REF!</v>
      </c>
    </row>
    <row r="361" spans="1:32" x14ac:dyDescent="0.3">
      <c r="A361" s="48">
        <v>20190620</v>
      </c>
      <c r="B361" s="48" t="s">
        <v>88</v>
      </c>
      <c r="C361" s="79">
        <v>0.25</v>
      </c>
      <c r="D361" s="79">
        <f t="shared" si="61"/>
        <v>0.31989482094728244</v>
      </c>
      <c r="E361" s="49">
        <v>45350</v>
      </c>
      <c r="F361" s="49">
        <v>45500</v>
      </c>
      <c r="G361" s="49">
        <v>5969782550</v>
      </c>
      <c r="H361" s="49">
        <f t="shared" si="62"/>
        <v>0.321865578503642</v>
      </c>
      <c r="I361" s="49">
        <f t="shared" si="68"/>
        <v>0.321865578503642</v>
      </c>
      <c r="J361" s="48">
        <v>0.25</v>
      </c>
      <c r="K361" s="48">
        <f t="shared" si="63"/>
        <v>0.26169205364822395</v>
      </c>
      <c r="L361" s="48">
        <v>211500</v>
      </c>
      <c r="M361" s="48">
        <v>214000</v>
      </c>
      <c r="N361" s="51">
        <v>128329070</v>
      </c>
      <c r="O361" s="48">
        <f t="shared" si="64"/>
        <v>2.6042876356826299</v>
      </c>
      <c r="P361" s="48">
        <f t="shared" si="69"/>
        <v>2.6042876356826299</v>
      </c>
      <c r="Q361" s="49">
        <v>0.5</v>
      </c>
      <c r="R361" s="49">
        <f t="shared" si="65"/>
        <v>0.41841312540449355</v>
      </c>
      <c r="S361" s="49">
        <v>191500</v>
      </c>
      <c r="T361" s="49">
        <v>195300</v>
      </c>
      <c r="U361" s="49">
        <v>15956260</v>
      </c>
      <c r="V361" s="49">
        <f t="shared" si="66"/>
        <v>36.695193828487</v>
      </c>
      <c r="W361" s="49">
        <f t="shared" si="70"/>
        <v>36.695193828487</v>
      </c>
      <c r="X361" s="82">
        <f>IF(Z360&lt;&gt;(E361*G361*H361+L361*N361*O361+S361*U361*V361),1,0)</f>
        <v>0</v>
      </c>
      <c r="Y361" s="82">
        <f>IF(AND(X361=0,B361="N"),Y360,Y360*(E361*G361*I361+L361*N361*P361+S361*U361*W361)/Z360)</f>
        <v>257445155872499.16</v>
      </c>
      <c r="Z361" s="81">
        <f t="shared" si="71"/>
        <v>273298491135176.41</v>
      </c>
      <c r="AA361" s="80">
        <f t="shared" si="60"/>
        <v>1061.5794661544485</v>
      </c>
      <c r="AB361" s="52">
        <f t="shared" si="67"/>
        <v>1.2404911603648369E-2</v>
      </c>
      <c r="AC361" s="48">
        <f>(F361-E361)/E361</f>
        <v>3.3076074972436605E-3</v>
      </c>
      <c r="AD361" s="48">
        <f>(M361-L361)/L361</f>
        <v>1.1820330969267139E-2</v>
      </c>
      <c r="AE361" s="48">
        <f>(T361-S361)/S361</f>
        <v>1.9843342036553524E-2</v>
      </c>
      <c r="AF361" s="48" t="e">
        <f>(#REF!-#REF!)/#REF!</f>
        <v>#REF!</v>
      </c>
    </row>
    <row r="362" spans="1:32" x14ac:dyDescent="0.3">
      <c r="A362" s="48">
        <v>20190621</v>
      </c>
      <c r="B362" s="48" t="s">
        <v>88</v>
      </c>
      <c r="C362" s="79">
        <v>0.25</v>
      </c>
      <c r="D362" s="79">
        <f t="shared" si="61"/>
        <v>0.32386812580165708</v>
      </c>
      <c r="E362" s="49">
        <v>45500</v>
      </c>
      <c r="F362" s="49">
        <v>45700</v>
      </c>
      <c r="G362" s="49">
        <v>5969782550</v>
      </c>
      <c r="H362" s="49">
        <f t="shared" si="62"/>
        <v>0.321865578503642</v>
      </c>
      <c r="I362" s="49">
        <f t="shared" si="68"/>
        <v>0.321865578503642</v>
      </c>
      <c r="J362" s="48">
        <v>0.25</v>
      </c>
      <c r="K362" s="48">
        <f t="shared" si="63"/>
        <v>0.26193401023395191</v>
      </c>
      <c r="L362" s="48">
        <v>214000</v>
      </c>
      <c r="M362" s="48">
        <v>212500</v>
      </c>
      <c r="N362" s="51">
        <v>128329070</v>
      </c>
      <c r="O362" s="48">
        <f t="shared" si="64"/>
        <v>2.6042876356826299</v>
      </c>
      <c r="P362" s="48">
        <f t="shared" si="69"/>
        <v>2.6042876356826299</v>
      </c>
      <c r="Q362" s="49">
        <v>0.5</v>
      </c>
      <c r="R362" s="49">
        <f t="shared" si="65"/>
        <v>0.41419786396439101</v>
      </c>
      <c r="S362" s="49">
        <v>195300</v>
      </c>
      <c r="T362" s="49">
        <v>191800</v>
      </c>
      <c r="U362" s="49">
        <v>15956260</v>
      </c>
      <c r="V362" s="49">
        <f t="shared" si="66"/>
        <v>36.695193828487</v>
      </c>
      <c r="W362" s="49">
        <f t="shared" si="70"/>
        <v>36.695193828487</v>
      </c>
      <c r="X362" s="82">
        <f>IF(Z361&lt;&gt;(E362*G362*H362+L362*N362*O362+S362*U362*V362),1,0)</f>
        <v>0</v>
      </c>
      <c r="Y362" s="82">
        <f>IF(AND(X362=0,B362="N"),Y361,Y361*(E362*G362*I362+L362*N362*P362+S362*U362*W362)/Z361)</f>
        <v>257445155872499.16</v>
      </c>
      <c r="Z362" s="81">
        <f t="shared" si="71"/>
        <v>271132162735354.22</v>
      </c>
      <c r="AA362" s="80">
        <f t="shared" si="60"/>
        <v>1053.16474810516</v>
      </c>
      <c r="AB362" s="52">
        <f t="shared" si="67"/>
        <v>-7.9266021221855616E-3</v>
      </c>
      <c r="AC362" s="48">
        <f>(F362-E362)/E362</f>
        <v>4.3956043956043956E-3</v>
      </c>
      <c r="AD362" s="48">
        <f>(M362-L362)/L362</f>
        <v>-7.0093457943925233E-3</v>
      </c>
      <c r="AE362" s="48">
        <f>(T362-S362)/S362</f>
        <v>-1.7921146953405017E-2</v>
      </c>
      <c r="AF362" s="48" t="e">
        <f>(#REF!-#REF!)/#REF!</f>
        <v>#REF!</v>
      </c>
    </row>
    <row r="363" spans="1:32" x14ac:dyDescent="0.3">
      <c r="A363" s="48">
        <v>20190624</v>
      </c>
      <c r="B363" s="48" t="s">
        <v>88</v>
      </c>
      <c r="C363" s="79">
        <v>0.25</v>
      </c>
      <c r="D363" s="79">
        <f t="shared" si="61"/>
        <v>0.32303638454368683</v>
      </c>
      <c r="E363" s="49">
        <v>45700</v>
      </c>
      <c r="F363" s="49">
        <v>45500</v>
      </c>
      <c r="G363" s="49">
        <v>5969782550</v>
      </c>
      <c r="H363" s="49">
        <f t="shared" si="62"/>
        <v>0.321865578503642</v>
      </c>
      <c r="I363" s="49">
        <f t="shared" si="68"/>
        <v>0.321865578503642</v>
      </c>
      <c r="J363" s="48">
        <v>0.25</v>
      </c>
      <c r="K363" s="48">
        <f t="shared" si="63"/>
        <v>0.25747024917286437</v>
      </c>
      <c r="L363" s="48">
        <v>212500</v>
      </c>
      <c r="M363" s="48">
        <v>208500</v>
      </c>
      <c r="N363" s="51">
        <v>128329070</v>
      </c>
      <c r="O363" s="48">
        <f t="shared" si="64"/>
        <v>2.6042876356826299</v>
      </c>
      <c r="P363" s="48">
        <f t="shared" si="69"/>
        <v>2.6042876356826299</v>
      </c>
      <c r="Q363" s="49">
        <v>0.5</v>
      </c>
      <c r="R363" s="49">
        <f t="shared" si="65"/>
        <v>0.41949336628344885</v>
      </c>
      <c r="S363" s="49">
        <v>191800</v>
      </c>
      <c r="T363" s="49">
        <v>193900</v>
      </c>
      <c r="U363" s="49">
        <v>15956260</v>
      </c>
      <c r="V363" s="49">
        <f t="shared" si="66"/>
        <v>36.695193828487</v>
      </c>
      <c r="W363" s="49">
        <f t="shared" si="70"/>
        <v>36.695193828487</v>
      </c>
      <c r="X363" s="82">
        <f>IF(Z362&lt;&gt;(E363*G363*H363+L363*N363*O363+S363*U363*V363),1,0)</f>
        <v>0</v>
      </c>
      <c r="Y363" s="82">
        <f>IF(AND(X363=0,B363="N"),Y362,Y362*(E363*G363*I363+L363*N363*P363+S363*U363*W363)/Z362)</f>
        <v>257445155872499.16</v>
      </c>
      <c r="Z363" s="81">
        <f t="shared" si="71"/>
        <v>270640633903659.5</v>
      </c>
      <c r="AA363" s="80">
        <f t="shared" si="60"/>
        <v>1051.2554916267115</v>
      </c>
      <c r="AB363" s="52">
        <f t="shared" si="67"/>
        <v>-1.8128754137314016E-3</v>
      </c>
      <c r="AC363" s="48">
        <f>(F363-E363)/E363</f>
        <v>-4.3763676148796497E-3</v>
      </c>
      <c r="AD363" s="48">
        <f>(M363-L363)/L363</f>
        <v>-1.8823529411764704E-2</v>
      </c>
      <c r="AE363" s="48">
        <f>(T363-S363)/S363</f>
        <v>1.0948905109489052E-2</v>
      </c>
      <c r="AF363" s="48" t="e">
        <f>(#REF!-#REF!)/#REF!</f>
        <v>#REF!</v>
      </c>
    </row>
    <row r="364" spans="1:32" x14ac:dyDescent="0.3">
      <c r="A364" s="48">
        <v>20190625</v>
      </c>
      <c r="B364" s="48" t="s">
        <v>88</v>
      </c>
      <c r="C364" s="79">
        <v>0.25</v>
      </c>
      <c r="D364" s="79">
        <f t="shared" si="61"/>
        <v>0.32294791989784183</v>
      </c>
      <c r="E364" s="49">
        <v>45500</v>
      </c>
      <c r="F364" s="49">
        <v>45600</v>
      </c>
      <c r="G364" s="49">
        <v>5969782550</v>
      </c>
      <c r="H364" s="49">
        <f t="shared" si="62"/>
        <v>0.321865578503642</v>
      </c>
      <c r="I364" s="49">
        <f t="shared" si="68"/>
        <v>0.321865578503642</v>
      </c>
      <c r="J364" s="48">
        <v>0.25</v>
      </c>
      <c r="K364" s="48">
        <f t="shared" si="63"/>
        <v>0.25621935501770854</v>
      </c>
      <c r="L364" s="48">
        <v>208500</v>
      </c>
      <c r="M364" s="48">
        <v>208000</v>
      </c>
      <c r="N364" s="51">
        <v>128329070</v>
      </c>
      <c r="O364" s="48">
        <f t="shared" si="64"/>
        <v>2.6042876356826299</v>
      </c>
      <c r="P364" s="48">
        <f t="shared" si="69"/>
        <v>2.6042876356826299</v>
      </c>
      <c r="Q364" s="49">
        <v>0.5</v>
      </c>
      <c r="R364" s="49">
        <f t="shared" si="65"/>
        <v>0.42083272508444958</v>
      </c>
      <c r="S364" s="49">
        <v>193900</v>
      </c>
      <c r="T364" s="49">
        <v>195000</v>
      </c>
      <c r="U364" s="49">
        <v>15956260</v>
      </c>
      <c r="V364" s="49">
        <f t="shared" si="66"/>
        <v>36.695193828487</v>
      </c>
      <c r="W364" s="49">
        <f t="shared" si="70"/>
        <v>36.695193828487</v>
      </c>
      <c r="X364" s="82">
        <f>IF(Z363&lt;&gt;(E364*G364*H364+L364*N364*O364+S364*U364*V364),1,0)</f>
        <v>0</v>
      </c>
      <c r="Y364" s="82">
        <f>IF(AND(X364=0,B364="N"),Y363,Y363*(E364*G364*I364+L364*N364*P364+S364*U364*W364)/Z363)</f>
        <v>257445155872499.16</v>
      </c>
      <c r="Z364" s="81">
        <f t="shared" si="71"/>
        <v>271309747608734.87</v>
      </c>
      <c r="AA364" s="80">
        <f t="shared" si="60"/>
        <v>1053.8545450165791</v>
      </c>
      <c r="AB364" s="52">
        <f t="shared" si="67"/>
        <v>2.4723327588479726E-3</v>
      </c>
      <c r="AC364" s="48">
        <f>(F364-E364)/E364</f>
        <v>2.1978021978021978E-3</v>
      </c>
      <c r="AD364" s="48">
        <f>(M364-L364)/L364</f>
        <v>-2.3980815347721821E-3</v>
      </c>
      <c r="AE364" s="48">
        <f>(T364-S364)/S364</f>
        <v>5.6730273336771534E-3</v>
      </c>
      <c r="AF364" s="48" t="e">
        <f>(#REF!-#REF!)/#REF!</f>
        <v>#REF!</v>
      </c>
    </row>
    <row r="365" spans="1:32" x14ac:dyDescent="0.3">
      <c r="A365" s="48">
        <v>20190626</v>
      </c>
      <c r="B365" s="48" t="s">
        <v>88</v>
      </c>
      <c r="C365" s="79">
        <v>0.25</v>
      </c>
      <c r="D365" s="79">
        <f t="shared" si="61"/>
        <v>0.3167150259391398</v>
      </c>
      <c r="E365" s="49">
        <v>45600</v>
      </c>
      <c r="F365" s="49">
        <v>45700</v>
      </c>
      <c r="G365" s="49">
        <v>5969782550</v>
      </c>
      <c r="H365" s="49">
        <f t="shared" si="62"/>
        <v>0.321865578503642</v>
      </c>
      <c r="I365" s="49">
        <f t="shared" si="68"/>
        <v>0.321865578503642</v>
      </c>
      <c r="J365" s="48">
        <v>0.25</v>
      </c>
      <c r="K365" s="48">
        <f t="shared" si="63"/>
        <v>0.25373800325122958</v>
      </c>
      <c r="L365" s="48">
        <v>208000</v>
      </c>
      <c r="M365" s="48">
        <v>210500</v>
      </c>
      <c r="N365" s="51">
        <v>128329070</v>
      </c>
      <c r="O365" s="48">
        <f t="shared" si="64"/>
        <v>2.6042876356826299</v>
      </c>
      <c r="P365" s="48">
        <f t="shared" si="69"/>
        <v>2.6042876356826299</v>
      </c>
      <c r="Q365" s="49">
        <v>0.5</v>
      </c>
      <c r="R365" s="49">
        <f t="shared" si="65"/>
        <v>0.42954697080963067</v>
      </c>
      <c r="S365" s="49">
        <v>195000</v>
      </c>
      <c r="T365" s="49">
        <v>203400</v>
      </c>
      <c r="U365" s="49">
        <v>15956260</v>
      </c>
      <c r="V365" s="49">
        <f t="shared" si="66"/>
        <v>36.695193828487</v>
      </c>
      <c r="W365" s="49">
        <f t="shared" si="70"/>
        <v>36.695193828487</v>
      </c>
      <c r="X365" s="82">
        <f>IF(Z364&lt;&gt;(E365*G365*H365+L365*N365*O365+S365*U365*V365),1,0)</f>
        <v>0</v>
      </c>
      <c r="Y365" s="82">
        <f>IF(AND(X365=0,B365="N"),Y364,Y364*(E365*G365*I365+L365*N365*P365+S365*U365*W365)/Z364)</f>
        <v>257445155872499.16</v>
      </c>
      <c r="Z365" s="81">
        <f t="shared" si="71"/>
        <v>277255760535096.62</v>
      </c>
      <c r="AA365" s="80">
        <f t="shared" si="60"/>
        <v>1076.9507765467872</v>
      </c>
      <c r="AB365" s="52">
        <f t="shared" si="67"/>
        <v>2.1915957604799027E-2</v>
      </c>
      <c r="AC365" s="48">
        <f>(F365-E365)/E365</f>
        <v>2.1929824561403508E-3</v>
      </c>
      <c r="AD365" s="48">
        <f>(M365-L365)/L365</f>
        <v>1.201923076923077E-2</v>
      </c>
      <c r="AE365" s="48">
        <f>(T365-S365)/S365</f>
        <v>4.3076923076923075E-2</v>
      </c>
      <c r="AF365" s="48" t="e">
        <f>(#REF!-#REF!)/#REF!</f>
        <v>#REF!</v>
      </c>
    </row>
    <row r="366" spans="1:32" x14ac:dyDescent="0.3">
      <c r="A366" s="48">
        <v>20190627</v>
      </c>
      <c r="B366" s="48" t="s">
        <v>88</v>
      </c>
      <c r="C366" s="79">
        <v>0.25</v>
      </c>
      <c r="D366" s="79">
        <f t="shared" si="61"/>
        <v>0.3301267188083844</v>
      </c>
      <c r="E366" s="49">
        <v>45700</v>
      </c>
      <c r="F366" s="49">
        <v>46500</v>
      </c>
      <c r="G366" s="49">
        <v>5969782550</v>
      </c>
      <c r="H366" s="49">
        <f t="shared" si="62"/>
        <v>0.321865578503642</v>
      </c>
      <c r="I366" s="49">
        <f t="shared" si="68"/>
        <v>0.321865578503642</v>
      </c>
      <c r="J366" s="48">
        <v>0.25</v>
      </c>
      <c r="K366" s="48">
        <f t="shared" si="63"/>
        <v>0.25190619013153909</v>
      </c>
      <c r="L366" s="48">
        <v>210500</v>
      </c>
      <c r="M366" s="48">
        <v>204000</v>
      </c>
      <c r="N366" s="51">
        <v>128329070</v>
      </c>
      <c r="O366" s="48">
        <f t="shared" si="64"/>
        <v>2.6042876356826299</v>
      </c>
      <c r="P366" s="48">
        <f t="shared" si="69"/>
        <v>2.6042876356826299</v>
      </c>
      <c r="Q366" s="49">
        <v>0.5</v>
      </c>
      <c r="R366" s="49">
        <f t="shared" si="65"/>
        <v>0.41796709106007651</v>
      </c>
      <c r="S366" s="49">
        <v>203400</v>
      </c>
      <c r="T366" s="49">
        <v>193200</v>
      </c>
      <c r="U366" s="49">
        <v>15956260</v>
      </c>
      <c r="V366" s="49">
        <f t="shared" si="66"/>
        <v>36.695193828487</v>
      </c>
      <c r="W366" s="49">
        <f t="shared" si="70"/>
        <v>36.695193828487</v>
      </c>
      <c r="X366" s="82">
        <f>IF(Z365&lt;&gt;(E366*G366*H366+L366*N366*O366+S366*U366*V366),1,0)</f>
        <v>0</v>
      </c>
      <c r="Y366" s="82">
        <f>IF(AND(X366=0,B366="N"),Y365,Y365*(E366*G366*I366+L366*N366*P366+S366*U366*W366)/Z365)</f>
        <v>257445155872499.16</v>
      </c>
      <c r="Z366" s="81">
        <f t="shared" si="71"/>
        <v>270648312633873.37</v>
      </c>
      <c r="AA366" s="80">
        <f t="shared" si="60"/>
        <v>1051.2853182909105</v>
      </c>
      <c r="AB366" s="52">
        <f t="shared" si="67"/>
        <v>-2.3831598263174394E-2</v>
      </c>
      <c r="AC366" s="48">
        <f>(F366-E366)/E366</f>
        <v>1.7505470459518599E-2</v>
      </c>
      <c r="AD366" s="48">
        <f>(M366-L366)/L366</f>
        <v>-3.0878859857482184E-2</v>
      </c>
      <c r="AE366" s="48">
        <f>(T366-S366)/S366</f>
        <v>-5.0147492625368731E-2</v>
      </c>
      <c r="AF366" s="48" t="e">
        <f>(#REF!-#REF!)/#REF!</f>
        <v>#REF!</v>
      </c>
    </row>
    <row r="367" spans="1:32" s="73" customFormat="1" x14ac:dyDescent="0.3">
      <c r="A367" s="48">
        <v>20190628</v>
      </c>
      <c r="B367" s="48" t="s">
        <v>88</v>
      </c>
      <c r="C367" s="79">
        <v>0.25</v>
      </c>
      <c r="D367" s="79">
        <f t="shared" si="61"/>
        <v>0.34790284999772775</v>
      </c>
      <c r="E367" s="49">
        <v>46500</v>
      </c>
      <c r="F367" s="49">
        <v>47000</v>
      </c>
      <c r="G367" s="49">
        <v>5969782550</v>
      </c>
      <c r="H367" s="49">
        <f t="shared" si="62"/>
        <v>0.321865578503642</v>
      </c>
      <c r="I367" s="49">
        <f t="shared" si="68"/>
        <v>0.36485777984862999</v>
      </c>
      <c r="J367" s="48">
        <v>0.25</v>
      </c>
      <c r="K367" s="48">
        <f t="shared" si="63"/>
        <v>0.26457749754763854</v>
      </c>
      <c r="L367" s="48">
        <v>204000</v>
      </c>
      <c r="M367" s="48">
        <v>205500</v>
      </c>
      <c r="N367" s="51">
        <v>128329070</v>
      </c>
      <c r="O367" s="48">
        <f t="shared" si="64"/>
        <v>2.6042876356826299</v>
      </c>
      <c r="P367" s="48">
        <f t="shared" si="69"/>
        <v>2.9521473195731902</v>
      </c>
      <c r="Q367" s="49">
        <v>0.5</v>
      </c>
      <c r="R367" s="49">
        <f t="shared" si="65"/>
        <v>0.38751965245463382</v>
      </c>
      <c r="S367" s="49">
        <v>189600</v>
      </c>
      <c r="T367" s="49">
        <v>168600</v>
      </c>
      <c r="U367" s="49">
        <v>15956260</v>
      </c>
      <c r="V367" s="49">
        <f t="shared" si="66"/>
        <v>36.695193828487</v>
      </c>
      <c r="W367" s="49">
        <f t="shared" si="70"/>
        <v>42.386450740876597</v>
      </c>
      <c r="X367" s="82">
        <f>IF(Z366&lt;&gt;(E367*G367*H367+L367*N367*O367+S367*U367*V367),1,0)</f>
        <v>1</v>
      </c>
      <c r="Y367" s="82">
        <f>IF(AND(X367=0,B367="N"),Y366,Y366*(E367*G367*I367+L367*N367*P367+S367*U367*W367)/Z366)</f>
        <v>291832598071252.44</v>
      </c>
      <c r="Z367" s="81">
        <f t="shared" si="71"/>
        <v>294253742236250.69</v>
      </c>
      <c r="AA367" s="80">
        <f t="shared" si="60"/>
        <v>1008.2963458537524</v>
      </c>
      <c r="AB367" s="52">
        <f t="shared" si="67"/>
        <v>-4.08918223142751E-2</v>
      </c>
      <c r="AC367" s="48">
        <f>(F367-E367)/E367</f>
        <v>1.0752688172043012E-2</v>
      </c>
      <c r="AD367" s="48">
        <f>(M367-L367)/L367</f>
        <v>7.3529411764705881E-3</v>
      </c>
      <c r="AE367" s="48">
        <f>(T367-S367)/S367</f>
        <v>-0.11075949367088607</v>
      </c>
      <c r="AF367" s="48" t="e">
        <f>(#REF!-#REF!)/#REF!</f>
        <v>#REF!</v>
      </c>
    </row>
    <row r="368" spans="1:32" s="124" customFormat="1" x14ac:dyDescent="0.3">
      <c r="A368" s="116">
        <v>20190701</v>
      </c>
      <c r="B368" s="116" t="s">
        <v>89</v>
      </c>
      <c r="C368" s="117">
        <v>0.4</v>
      </c>
      <c r="D368" s="117">
        <f t="shared" si="61"/>
        <v>0.38562562977243803</v>
      </c>
      <c r="E368" s="116">
        <v>47000</v>
      </c>
      <c r="F368" s="116">
        <v>46600</v>
      </c>
      <c r="G368" s="116">
        <v>5969782550</v>
      </c>
      <c r="H368" s="116">
        <f t="shared" si="62"/>
        <v>0.36485777984862999</v>
      </c>
      <c r="I368" s="118">
        <f t="shared" si="68"/>
        <v>0.441431138532558</v>
      </c>
      <c r="J368" s="118">
        <v>0.2</v>
      </c>
      <c r="K368" s="118">
        <f t="shared" si="63"/>
        <v>0.19683364956482946</v>
      </c>
      <c r="L368" s="116">
        <v>205500</v>
      </c>
      <c r="M368" s="116">
        <v>208000</v>
      </c>
      <c r="N368" s="119">
        <v>128329070</v>
      </c>
      <c r="O368" s="116">
        <f t="shared" si="64"/>
        <v>2.9521473195731902</v>
      </c>
      <c r="P368" s="118">
        <f t="shared" si="69"/>
        <v>2.3482939884268701</v>
      </c>
      <c r="Q368" s="118">
        <v>0.4</v>
      </c>
      <c r="R368" s="118">
        <f t="shared" si="65"/>
        <v>0.41754072066273257</v>
      </c>
      <c r="S368" s="116">
        <v>168600</v>
      </c>
      <c r="T368" s="116">
        <v>181000</v>
      </c>
      <c r="U368" s="116">
        <v>15956260</v>
      </c>
      <c r="V368" s="116">
        <f t="shared" si="66"/>
        <v>42.386450740876597</v>
      </c>
      <c r="W368" s="118">
        <f t="shared" si="70"/>
        <v>46.039506582228299</v>
      </c>
      <c r="X368" s="120">
        <f>IF(Z367&lt;&gt;(E368*G368*H368+L368*N368*O368+S368*U368*V368),1,0)</f>
        <v>0</v>
      </c>
      <c r="Y368" s="120">
        <f>IF(AND(X368=0,B368="N"),Y367,Y367*(E368*G368*I368+L368*N368*P368+S368*U368*W368)/Z367)</f>
        <v>307093872197679.87</v>
      </c>
      <c r="Z368" s="121">
        <f t="shared" si="71"/>
        <v>318450183349410.19</v>
      </c>
      <c r="AA368" s="122">
        <f t="shared" si="60"/>
        <v>1036.979934084846</v>
      </c>
      <c r="AB368" s="123">
        <f t="shared" si="67"/>
        <v>2.8447577291184589E-2</v>
      </c>
      <c r="AC368" s="116">
        <f>(F368-E368)/E368</f>
        <v>-8.5106382978723406E-3</v>
      </c>
      <c r="AD368" s="116">
        <f>(M368-L368)/L368</f>
        <v>1.2165450121654502E-2</v>
      </c>
      <c r="AE368" s="116">
        <f>(T368-S368)/S368</f>
        <v>7.354685646500593E-2</v>
      </c>
      <c r="AF368" s="116" t="e">
        <f>(#REF!-#REF!)/#REF!</f>
        <v>#REF!</v>
      </c>
    </row>
    <row r="369" spans="1:32" x14ac:dyDescent="0.3">
      <c r="A369" s="48">
        <v>20190702</v>
      </c>
      <c r="B369" s="48" t="s">
        <v>88</v>
      </c>
      <c r="C369" s="79">
        <v>0.4</v>
      </c>
      <c r="D369" s="79">
        <f t="shared" si="61"/>
        <v>0.38736363506321742</v>
      </c>
      <c r="E369" s="49">
        <v>46600</v>
      </c>
      <c r="F369" s="49">
        <v>46250</v>
      </c>
      <c r="G369" s="49">
        <v>5969782550</v>
      </c>
      <c r="H369" s="49">
        <f t="shared" si="62"/>
        <v>0.441431138532558</v>
      </c>
      <c r="I369" s="49">
        <f t="shared" si="68"/>
        <v>0.441431138532558</v>
      </c>
      <c r="J369" s="48">
        <v>0.2</v>
      </c>
      <c r="K369" s="48">
        <f t="shared" si="63"/>
        <v>0.19634371664807515</v>
      </c>
      <c r="L369" s="48">
        <v>208000</v>
      </c>
      <c r="M369" s="48">
        <v>205000</v>
      </c>
      <c r="N369" s="51">
        <v>128329070</v>
      </c>
      <c r="O369" s="48">
        <f t="shared" si="64"/>
        <v>2.3482939884268701</v>
      </c>
      <c r="P369" s="48">
        <f t="shared" si="69"/>
        <v>2.3482939884268701</v>
      </c>
      <c r="Q369" s="49">
        <v>0.4</v>
      </c>
      <c r="R369" s="49">
        <f t="shared" si="65"/>
        <v>0.41629264828870749</v>
      </c>
      <c r="S369" s="49">
        <v>181000</v>
      </c>
      <c r="T369" s="49">
        <v>178300</v>
      </c>
      <c r="U369" s="49">
        <v>15956260</v>
      </c>
      <c r="V369" s="49">
        <f t="shared" si="66"/>
        <v>46.039506582228299</v>
      </c>
      <c r="W369" s="49">
        <f t="shared" si="70"/>
        <v>46.039506582228299</v>
      </c>
      <c r="X369" s="82">
        <f>IF(Z368&lt;&gt;(E369*G369*H369+L369*N369*O369+S369*U369*V369),1,0)</f>
        <v>0</v>
      </c>
      <c r="Y369" s="82">
        <f>IF(AND(X369=0,B369="N"),Y368,Y368*(E369*G369*I369+L369*N369*P369+S369*U369*W369)/Z368)</f>
        <v>307093872197679.87</v>
      </c>
      <c r="Z369" s="81">
        <f t="shared" si="71"/>
        <v>314640313920098.62</v>
      </c>
      <c r="AA369" s="80">
        <f t="shared" si="60"/>
        <v>1024.5737294216051</v>
      </c>
      <c r="AB369" s="52">
        <f t="shared" si="67"/>
        <v>-1.1963784693856826E-2</v>
      </c>
      <c r="AC369" s="48">
        <f>(F369-E369)/E369</f>
        <v>-7.5107296137339056E-3</v>
      </c>
      <c r="AD369" s="48">
        <f>(M369-L369)/L369</f>
        <v>-1.4423076923076924E-2</v>
      </c>
      <c r="AE369" s="48">
        <f>(T369-S369)/S369</f>
        <v>-1.4917127071823204E-2</v>
      </c>
      <c r="AF369" s="48" t="e">
        <f>(#REF!-#REF!)/#REF!</f>
        <v>#REF!</v>
      </c>
    </row>
    <row r="370" spans="1:32" x14ac:dyDescent="0.3">
      <c r="A370" s="48">
        <v>20190703</v>
      </c>
      <c r="B370" s="48" t="s">
        <v>88</v>
      </c>
      <c r="C370" s="79">
        <v>0.4</v>
      </c>
      <c r="D370" s="79">
        <f t="shared" si="61"/>
        <v>0.37676014471987862</v>
      </c>
      <c r="E370" s="49">
        <v>46250</v>
      </c>
      <c r="F370" s="49">
        <v>45400</v>
      </c>
      <c r="G370" s="49">
        <v>5969782550</v>
      </c>
      <c r="H370" s="49">
        <f t="shared" si="62"/>
        <v>0.441431138532558</v>
      </c>
      <c r="I370" s="49">
        <f t="shared" si="68"/>
        <v>0.441431138532558</v>
      </c>
      <c r="J370" s="48">
        <v>0.2</v>
      </c>
      <c r="K370" s="48">
        <f t="shared" si="63"/>
        <v>0.19549351646772473</v>
      </c>
      <c r="L370" s="48">
        <v>205000</v>
      </c>
      <c r="M370" s="48">
        <v>206000</v>
      </c>
      <c r="N370" s="51">
        <v>128329070</v>
      </c>
      <c r="O370" s="48">
        <f t="shared" si="64"/>
        <v>2.3482939884268701</v>
      </c>
      <c r="P370" s="48">
        <f t="shared" si="69"/>
        <v>2.3482939884268701</v>
      </c>
      <c r="Q370" s="49">
        <v>0.4</v>
      </c>
      <c r="R370" s="49">
        <f t="shared" si="65"/>
        <v>0.42774633881239665</v>
      </c>
      <c r="S370" s="49">
        <v>178300</v>
      </c>
      <c r="T370" s="49">
        <v>184900</v>
      </c>
      <c r="U370" s="49">
        <v>15956260</v>
      </c>
      <c r="V370" s="49">
        <f t="shared" si="66"/>
        <v>46.039506582228299</v>
      </c>
      <c r="W370" s="49">
        <f t="shared" si="70"/>
        <v>46.039506582228299</v>
      </c>
      <c r="X370" s="82">
        <f>IF(Z369&lt;&gt;(E370*G370*H370+L370*N370*O370+S370*U370*V370),1,0)</f>
        <v>0</v>
      </c>
      <c r="Y370" s="82">
        <f>IF(AND(X370=0,B370="N"),Y369,Y369*(E370*G370*I370+L370*N370*P370+S370*U370*W370)/Z369)</f>
        <v>307093872197679.87</v>
      </c>
      <c r="Z370" s="81">
        <f t="shared" si="71"/>
        <v>317550188608222.62</v>
      </c>
      <c r="AA370" s="80">
        <f t="shared" si="60"/>
        <v>1034.049251245925</v>
      </c>
      <c r="AB370" s="52">
        <f t="shared" si="67"/>
        <v>9.2482576433704361E-3</v>
      </c>
      <c r="AC370" s="48">
        <f>(F370-E370)/E370</f>
        <v>-1.8378378378378378E-2</v>
      </c>
      <c r="AD370" s="48">
        <f>(M370-L370)/L370</f>
        <v>4.8780487804878049E-3</v>
      </c>
      <c r="AE370" s="48">
        <f>(T370-S370)/S370</f>
        <v>3.7016264722378012E-2</v>
      </c>
      <c r="AF370" s="48" t="e">
        <f>(#REF!-#REF!)/#REF!</f>
        <v>#REF!</v>
      </c>
    </row>
    <row r="371" spans="1:32" x14ac:dyDescent="0.3">
      <c r="A371" s="48">
        <v>20190704</v>
      </c>
      <c r="B371" s="48" t="s">
        <v>88</v>
      </c>
      <c r="C371" s="79">
        <v>0.4</v>
      </c>
      <c r="D371" s="79">
        <f t="shared" si="61"/>
        <v>0.38277824781184977</v>
      </c>
      <c r="E371" s="49">
        <v>45400</v>
      </c>
      <c r="F371" s="49">
        <v>46000</v>
      </c>
      <c r="G371" s="49">
        <v>5969782550</v>
      </c>
      <c r="H371" s="49">
        <f t="shared" si="62"/>
        <v>0.441431138532558</v>
      </c>
      <c r="I371" s="49">
        <f t="shared" si="68"/>
        <v>0.441431138532558</v>
      </c>
      <c r="J371" s="48">
        <v>0.2</v>
      </c>
      <c r="K371" s="48">
        <f t="shared" si="63"/>
        <v>0.19364659638191242</v>
      </c>
      <c r="L371" s="48">
        <v>206000</v>
      </c>
      <c r="M371" s="48">
        <v>203500</v>
      </c>
      <c r="N371" s="51">
        <v>128329070</v>
      </c>
      <c r="O371" s="48">
        <f t="shared" si="64"/>
        <v>2.3482939884268701</v>
      </c>
      <c r="P371" s="48">
        <f t="shared" si="69"/>
        <v>2.3482939884268701</v>
      </c>
      <c r="Q371" s="49">
        <v>0.4</v>
      </c>
      <c r="R371" s="49">
        <f t="shared" si="65"/>
        <v>0.42357515580623778</v>
      </c>
      <c r="S371" s="49">
        <v>184900</v>
      </c>
      <c r="T371" s="49">
        <v>182600</v>
      </c>
      <c r="U371" s="49">
        <v>15956260</v>
      </c>
      <c r="V371" s="49">
        <f t="shared" si="66"/>
        <v>46.039506582228299</v>
      </c>
      <c r="W371" s="49">
        <f t="shared" si="70"/>
        <v>46.039506582228299</v>
      </c>
      <c r="X371" s="82">
        <f>IF(Z370&lt;&gt;(E371*G371*H371+L371*N371*O371+S371*U371*V371),1,0)</f>
        <v>0</v>
      </c>
      <c r="Y371" s="82">
        <f>IF(AND(X371=0,B371="N"),Y370,Y370*(E371*G371*I371+L371*N371*P371+S371*U371*W371)/Z370)</f>
        <v>307093872197679.87</v>
      </c>
      <c r="Z371" s="81">
        <f t="shared" si="71"/>
        <v>316688329218087.25</v>
      </c>
      <c r="AA371" s="80">
        <f t="shared" si="60"/>
        <v>1031.2427498202612</v>
      </c>
      <c r="AB371" s="52">
        <f t="shared" si="67"/>
        <v>-2.7140887363752077E-3</v>
      </c>
      <c r="AC371" s="48">
        <f>(F371-E371)/E371</f>
        <v>1.3215859030837005E-2</v>
      </c>
      <c r="AD371" s="48">
        <f>(M371-L371)/L371</f>
        <v>-1.2135922330097087E-2</v>
      </c>
      <c r="AE371" s="48">
        <f>(T371-S371)/S371</f>
        <v>-1.2439156300703082E-2</v>
      </c>
      <c r="AF371" s="48" t="e">
        <f>(#REF!-#REF!)/#REF!</f>
        <v>#REF!</v>
      </c>
    </row>
    <row r="372" spans="1:32" x14ac:dyDescent="0.3">
      <c r="A372" s="48">
        <v>20190705</v>
      </c>
      <c r="B372" s="48" t="s">
        <v>88</v>
      </c>
      <c r="C372" s="79">
        <v>0.4</v>
      </c>
      <c r="D372" s="79">
        <f t="shared" si="61"/>
        <v>0.37594974136308124</v>
      </c>
      <c r="E372" s="49">
        <v>46000</v>
      </c>
      <c r="F372" s="49">
        <v>45650</v>
      </c>
      <c r="G372" s="49">
        <v>5969782550</v>
      </c>
      <c r="H372" s="49">
        <f t="shared" si="62"/>
        <v>0.441431138532558</v>
      </c>
      <c r="I372" s="49">
        <f t="shared" si="68"/>
        <v>0.441431138532558</v>
      </c>
      <c r="J372" s="48">
        <v>0.2</v>
      </c>
      <c r="K372" s="48">
        <f t="shared" si="63"/>
        <v>0.19588824689950141</v>
      </c>
      <c r="L372" s="48">
        <v>203500</v>
      </c>
      <c r="M372" s="48">
        <v>208000</v>
      </c>
      <c r="N372" s="51">
        <v>128329070</v>
      </c>
      <c r="O372" s="48">
        <f t="shared" si="64"/>
        <v>2.3482939884268701</v>
      </c>
      <c r="P372" s="48">
        <f t="shared" si="69"/>
        <v>2.3482939884268701</v>
      </c>
      <c r="Q372" s="49">
        <v>0.4</v>
      </c>
      <c r="R372" s="49">
        <f t="shared" si="65"/>
        <v>0.42816201173741736</v>
      </c>
      <c r="S372" s="49">
        <v>182600</v>
      </c>
      <c r="T372" s="49">
        <v>186500</v>
      </c>
      <c r="U372" s="49">
        <v>15956260</v>
      </c>
      <c r="V372" s="49">
        <f t="shared" si="66"/>
        <v>46.039506582228299</v>
      </c>
      <c r="W372" s="49">
        <f t="shared" si="70"/>
        <v>46.039506582228299</v>
      </c>
      <c r="X372" s="82">
        <f>IF(Z371&lt;&gt;(E372*G372*H372+L372*N372*O372+S372*U372*V372),1,0)</f>
        <v>0</v>
      </c>
      <c r="Y372" s="82">
        <f>IF(AND(X372=0,B372="N"),Y371,Y371*(E372*G372*I372+L372*N372*P372+S372*U372*W372)/Z371)</f>
        <v>307093872197679.87</v>
      </c>
      <c r="Z372" s="81">
        <f t="shared" si="71"/>
        <v>319987098692101.44</v>
      </c>
      <c r="AA372" s="80">
        <f t="shared" si="60"/>
        <v>1041.9846426832055</v>
      </c>
      <c r="AB372" s="52">
        <f t="shared" si="67"/>
        <v>1.0416454190651531E-2</v>
      </c>
      <c r="AC372" s="48">
        <f>(F372-E372)/E372</f>
        <v>-7.6086956521739134E-3</v>
      </c>
      <c r="AD372" s="48">
        <f>(M372-L372)/L372</f>
        <v>2.2113022113022112E-2</v>
      </c>
      <c r="AE372" s="48">
        <f>(T372-S372)/S372</f>
        <v>2.135815991237678E-2</v>
      </c>
      <c r="AF372" s="48" t="e">
        <f>(#REF!-#REF!)/#REF!</f>
        <v>#REF!</v>
      </c>
    </row>
    <row r="373" spans="1:32" x14ac:dyDescent="0.3">
      <c r="A373" s="48">
        <v>20190708</v>
      </c>
      <c r="B373" s="48" t="s">
        <v>88</v>
      </c>
      <c r="C373" s="79">
        <v>0.4</v>
      </c>
      <c r="D373" s="79">
        <f t="shared" si="61"/>
        <v>0.37735460723792991</v>
      </c>
      <c r="E373" s="49">
        <v>45650</v>
      </c>
      <c r="F373" s="49">
        <v>44400</v>
      </c>
      <c r="G373" s="49">
        <v>5969782550</v>
      </c>
      <c r="H373" s="49">
        <f t="shared" si="62"/>
        <v>0.441431138532558</v>
      </c>
      <c r="I373" s="49">
        <f t="shared" si="68"/>
        <v>0.441431138532558</v>
      </c>
      <c r="J373" s="48">
        <v>0.2</v>
      </c>
      <c r="K373" s="48">
        <f t="shared" si="63"/>
        <v>0.20021192582788822</v>
      </c>
      <c r="L373" s="48">
        <v>208000</v>
      </c>
      <c r="M373" s="48">
        <v>206000</v>
      </c>
      <c r="N373" s="51">
        <v>128329070</v>
      </c>
      <c r="O373" s="48">
        <f t="shared" si="64"/>
        <v>2.3482939884268701</v>
      </c>
      <c r="P373" s="48">
        <f t="shared" si="69"/>
        <v>2.3482939884268701</v>
      </c>
      <c r="Q373" s="49">
        <v>0.4</v>
      </c>
      <c r="R373" s="49">
        <f t="shared" si="65"/>
        <v>0.42243346693418193</v>
      </c>
      <c r="S373" s="49">
        <v>186500</v>
      </c>
      <c r="T373" s="49">
        <v>178300</v>
      </c>
      <c r="U373" s="49">
        <v>15956260</v>
      </c>
      <c r="V373" s="49">
        <f t="shared" si="66"/>
        <v>46.039506582228299</v>
      </c>
      <c r="W373" s="49">
        <f t="shared" si="70"/>
        <v>46.039506582228299</v>
      </c>
      <c r="X373" s="82">
        <f>IF(Z372&lt;&gt;(E373*G373*H373+L373*N373*O373+S373*U373*V373),1,0)</f>
        <v>0</v>
      </c>
      <c r="Y373" s="82">
        <f>IF(AND(X373=0,B373="N"),Y372,Y372*(E373*G373*I373+L373*N373*P373+S373*U373*W373)/Z372)</f>
        <v>307093872197679.87</v>
      </c>
      <c r="Z373" s="81">
        <f t="shared" si="71"/>
        <v>310066459674219.19</v>
      </c>
      <c r="AA373" s="80">
        <f t="shared" si="60"/>
        <v>1009.6797355651104</v>
      </c>
      <c r="AB373" s="52">
        <f t="shared" si="67"/>
        <v>-3.1003246875987572E-2</v>
      </c>
      <c r="AC373" s="48">
        <f>(F373-E373)/E373</f>
        <v>-2.7382256297918947E-2</v>
      </c>
      <c r="AD373" s="48">
        <f>(M373-L373)/L373</f>
        <v>-9.6153846153846159E-3</v>
      </c>
      <c r="AE373" s="48">
        <f>(T373-S373)/S373</f>
        <v>-4.3967828418230562E-2</v>
      </c>
      <c r="AF373" s="48" t="e">
        <f>(#REF!-#REF!)/#REF!</f>
        <v>#REF!</v>
      </c>
    </row>
    <row r="374" spans="1:32" x14ac:dyDescent="0.3">
      <c r="A374" s="48">
        <v>20190709</v>
      </c>
      <c r="B374" s="48" t="s">
        <v>88</v>
      </c>
      <c r="C374" s="79">
        <v>0.4</v>
      </c>
      <c r="D374" s="79">
        <f t="shared" si="61"/>
        <v>0.39196536207205923</v>
      </c>
      <c r="E374" s="49">
        <v>44400</v>
      </c>
      <c r="F374" s="49">
        <v>45100</v>
      </c>
      <c r="G374" s="49">
        <v>5969782550</v>
      </c>
      <c r="H374" s="49">
        <f t="shared" si="62"/>
        <v>0.441431138532558</v>
      </c>
      <c r="I374" s="49">
        <f t="shared" si="68"/>
        <v>0.441431138532558</v>
      </c>
      <c r="J374" s="48">
        <v>0.2</v>
      </c>
      <c r="K374" s="48">
        <f t="shared" si="63"/>
        <v>0.19131891893909475</v>
      </c>
      <c r="L374" s="48">
        <v>206000</v>
      </c>
      <c r="M374" s="48">
        <v>192500</v>
      </c>
      <c r="N374" s="51">
        <v>128329070</v>
      </c>
      <c r="O374" s="48">
        <f t="shared" si="64"/>
        <v>2.3482939884268701</v>
      </c>
      <c r="P374" s="48">
        <f t="shared" si="69"/>
        <v>2.3482939884268701</v>
      </c>
      <c r="Q374" s="49">
        <v>0.4</v>
      </c>
      <c r="R374" s="49">
        <f t="shared" si="65"/>
        <v>0.41671571898884607</v>
      </c>
      <c r="S374" s="49">
        <v>178300</v>
      </c>
      <c r="T374" s="49">
        <v>172000</v>
      </c>
      <c r="U374" s="49">
        <v>15956260</v>
      </c>
      <c r="V374" s="49">
        <f t="shared" si="66"/>
        <v>46.039506582228299</v>
      </c>
      <c r="W374" s="49">
        <f t="shared" si="70"/>
        <v>46.039506582228299</v>
      </c>
      <c r="X374" s="82">
        <f>IF(Z373&lt;&gt;(E374*G374*H374+L374*N374*O374+S374*U374*V374),1,0)</f>
        <v>0</v>
      </c>
      <c r="Y374" s="82">
        <f>IF(AND(X374=0,B374="N"),Y373,Y373*(E374*G374*I374+L374*N374*P374+S374*U374*W374)/Z373)</f>
        <v>307093872197679.87</v>
      </c>
      <c r="Z374" s="81">
        <f t="shared" si="71"/>
        <v>303214753505841.12</v>
      </c>
      <c r="AA374" s="80">
        <f t="shared" si="60"/>
        <v>987.36829665770176</v>
      </c>
      <c r="AB374" s="52">
        <f t="shared" si="67"/>
        <v>-2.2097540558166266E-2</v>
      </c>
      <c r="AC374" s="48">
        <f>(F374-E374)/E374</f>
        <v>1.5765765765765764E-2</v>
      </c>
      <c r="AD374" s="48">
        <f>(M374-L374)/L374</f>
        <v>-6.553398058252427E-2</v>
      </c>
      <c r="AE374" s="48">
        <f>(T374-S374)/S374</f>
        <v>-3.5333707234997194E-2</v>
      </c>
      <c r="AF374" s="48" t="e">
        <f>(#REF!-#REF!)/#REF!</f>
        <v>#REF!</v>
      </c>
    </row>
    <row r="375" spans="1:32" x14ac:dyDescent="0.3">
      <c r="A375" s="48">
        <v>20190710</v>
      </c>
      <c r="B375" s="48" t="s">
        <v>88</v>
      </c>
      <c r="C375" s="79">
        <v>0.4</v>
      </c>
      <c r="D375" s="79">
        <f t="shared" si="61"/>
        <v>0.39408279919913608</v>
      </c>
      <c r="E375" s="49">
        <v>45100</v>
      </c>
      <c r="F375" s="49">
        <v>45550</v>
      </c>
      <c r="G375" s="49">
        <v>5969782550</v>
      </c>
      <c r="H375" s="49">
        <f t="shared" si="62"/>
        <v>0.441431138532558</v>
      </c>
      <c r="I375" s="49">
        <f t="shared" si="68"/>
        <v>0.441431138532558</v>
      </c>
      <c r="J375" s="48">
        <v>0.2</v>
      </c>
      <c r="K375" s="48">
        <f t="shared" si="63"/>
        <v>0.18698937854906239</v>
      </c>
      <c r="L375" s="48">
        <v>192500</v>
      </c>
      <c r="M375" s="48">
        <v>189000</v>
      </c>
      <c r="N375" s="51">
        <v>128329070</v>
      </c>
      <c r="O375" s="48">
        <f t="shared" si="64"/>
        <v>2.3482939884268701</v>
      </c>
      <c r="P375" s="48">
        <f t="shared" si="69"/>
        <v>2.3482939884268701</v>
      </c>
      <c r="Q375" s="49">
        <v>0.4</v>
      </c>
      <c r="R375" s="49">
        <f t="shared" si="65"/>
        <v>0.41892782225180153</v>
      </c>
      <c r="S375" s="49">
        <v>172000</v>
      </c>
      <c r="T375" s="49">
        <v>173700</v>
      </c>
      <c r="U375" s="49">
        <v>15956260</v>
      </c>
      <c r="V375" s="49">
        <f t="shared" si="66"/>
        <v>46.039506582228299</v>
      </c>
      <c r="W375" s="49">
        <f t="shared" si="70"/>
        <v>46.039506582228299</v>
      </c>
      <c r="X375" s="82">
        <f>IF(Z374&lt;&gt;(E375*G375*H375+L375*N375*O375+S375*U375*V375),1,0)</f>
        <v>0</v>
      </c>
      <c r="Y375" s="82">
        <f>IF(AND(X375=0,B375="N"),Y374,Y374*(E375*G375*I375+L375*N375*P375+S375*U375*W375)/Z374)</f>
        <v>307093872197679.87</v>
      </c>
      <c r="Z375" s="81">
        <f t="shared" si="71"/>
        <v>304594725895099.62</v>
      </c>
      <c r="AA375" s="80">
        <f t="shared" si="60"/>
        <v>991.8619466917545</v>
      </c>
      <c r="AB375" s="52">
        <f t="shared" si="67"/>
        <v>4.5511386675711561E-3</v>
      </c>
      <c r="AC375" s="48">
        <f>(F375-E375)/E375</f>
        <v>9.9778270509977823E-3</v>
      </c>
      <c r="AD375" s="48">
        <f>(M375-L375)/L375</f>
        <v>-1.8181818181818181E-2</v>
      </c>
      <c r="AE375" s="48">
        <f>(T375-S375)/S375</f>
        <v>9.883720930232558E-3</v>
      </c>
      <c r="AF375" s="48" t="e">
        <f>(#REF!-#REF!)/#REF!</f>
        <v>#REF!</v>
      </c>
    </row>
    <row r="376" spans="1:32" x14ac:dyDescent="0.3">
      <c r="A376" s="48">
        <v>20190711</v>
      </c>
      <c r="B376" s="48" t="s">
        <v>88</v>
      </c>
      <c r="C376" s="79">
        <v>0.4</v>
      </c>
      <c r="D376" s="79">
        <f t="shared" si="61"/>
        <v>0.39744681323986208</v>
      </c>
      <c r="E376" s="49">
        <v>45550</v>
      </c>
      <c r="F376" s="49">
        <v>46200</v>
      </c>
      <c r="G376" s="49">
        <v>5969782550</v>
      </c>
      <c r="H376" s="49">
        <f t="shared" si="62"/>
        <v>0.441431138532558</v>
      </c>
      <c r="I376" s="49">
        <f t="shared" si="68"/>
        <v>0.441431138532558</v>
      </c>
      <c r="J376" s="48">
        <v>0.2</v>
      </c>
      <c r="K376" s="48">
        <f t="shared" si="63"/>
        <v>0.18839174026844971</v>
      </c>
      <c r="L376" s="48">
        <v>189000</v>
      </c>
      <c r="M376" s="48">
        <v>191500</v>
      </c>
      <c r="N376" s="51">
        <v>128329070</v>
      </c>
      <c r="O376" s="48">
        <f t="shared" si="64"/>
        <v>2.3482939884268701</v>
      </c>
      <c r="P376" s="48">
        <f t="shared" si="69"/>
        <v>2.3482939884268701</v>
      </c>
      <c r="Q376" s="49">
        <v>0.4</v>
      </c>
      <c r="R376" s="49">
        <f t="shared" si="65"/>
        <v>0.41416144649168818</v>
      </c>
      <c r="S376" s="49">
        <v>173700</v>
      </c>
      <c r="T376" s="49">
        <v>172700</v>
      </c>
      <c r="U376" s="49">
        <v>15956260</v>
      </c>
      <c r="V376" s="49">
        <f t="shared" si="66"/>
        <v>46.039506582228299</v>
      </c>
      <c r="W376" s="49">
        <f t="shared" si="70"/>
        <v>46.039506582228299</v>
      </c>
      <c r="X376" s="82">
        <f>IF(Z375&lt;&gt;(E376*G376*H376+L376*N376*O376+S376*U376*V376),1,0)</f>
        <v>0</v>
      </c>
      <c r="Y376" s="82">
        <f>IF(AND(X376=0,B376="N"),Y375,Y375*(E376*G376*I376+L376*N376*P376+S376*U376*W376)/Z375)</f>
        <v>307093872197679.87</v>
      </c>
      <c r="Z376" s="81">
        <f t="shared" si="71"/>
        <v>306326404656950.31</v>
      </c>
      <c r="AA376" s="80">
        <f t="shared" si="60"/>
        <v>997.50086989610941</v>
      </c>
      <c r="AB376" s="52">
        <f t="shared" si="67"/>
        <v>5.6851895802262735E-3</v>
      </c>
      <c r="AC376" s="48">
        <f>(F376-E376)/E376</f>
        <v>1.4270032930845226E-2</v>
      </c>
      <c r="AD376" s="48">
        <f>(M376-L376)/L376</f>
        <v>1.3227513227513227E-2</v>
      </c>
      <c r="AE376" s="48">
        <f>(T376-S376)/S376</f>
        <v>-5.7570523891767415E-3</v>
      </c>
      <c r="AF376" s="48" t="e">
        <f>(#REF!-#REF!)/#REF!</f>
        <v>#REF!</v>
      </c>
    </row>
    <row r="377" spans="1:32" x14ac:dyDescent="0.3">
      <c r="A377" s="48">
        <v>20190712</v>
      </c>
      <c r="B377" s="48" t="s">
        <v>88</v>
      </c>
      <c r="C377" s="79">
        <v>0.4</v>
      </c>
      <c r="D377" s="79">
        <f t="shared" si="61"/>
        <v>0.40194293609458315</v>
      </c>
      <c r="E377" s="49">
        <v>46200</v>
      </c>
      <c r="F377" s="49">
        <v>46300</v>
      </c>
      <c r="G377" s="49">
        <v>5969782550</v>
      </c>
      <c r="H377" s="49">
        <f t="shared" si="62"/>
        <v>0.441431138532558</v>
      </c>
      <c r="I377" s="49">
        <f t="shared" si="68"/>
        <v>0.441431138532558</v>
      </c>
      <c r="J377" s="48">
        <v>0.2</v>
      </c>
      <c r="K377" s="48">
        <f t="shared" si="63"/>
        <v>0.18713318105920648</v>
      </c>
      <c r="L377" s="48">
        <v>191500</v>
      </c>
      <c r="M377" s="48">
        <v>188500</v>
      </c>
      <c r="N377" s="51">
        <v>128329070</v>
      </c>
      <c r="O377" s="48">
        <f t="shared" si="64"/>
        <v>2.3482939884268701</v>
      </c>
      <c r="P377" s="48">
        <f t="shared" si="69"/>
        <v>2.3482939884268701</v>
      </c>
      <c r="Q377" s="49">
        <v>0.4</v>
      </c>
      <c r="R377" s="49">
        <f t="shared" si="65"/>
        <v>0.4109238828462104</v>
      </c>
      <c r="S377" s="49">
        <v>172700</v>
      </c>
      <c r="T377" s="49">
        <v>169800</v>
      </c>
      <c r="U377" s="49">
        <v>15956260</v>
      </c>
      <c r="V377" s="49">
        <f t="shared" si="66"/>
        <v>46.039506582228299</v>
      </c>
      <c r="W377" s="49">
        <f t="shared" si="70"/>
        <v>46.039506582228299</v>
      </c>
      <c r="X377" s="82">
        <f>IF(Z376&lt;&gt;(E377*G377*H377+L377*N377*O377+S377*U377*V377),1,0)</f>
        <v>0</v>
      </c>
      <c r="Y377" s="82">
        <f>IF(AND(X377=0,B377="N"),Y376,Y376*(E377*G377*I377+L377*N377*P377+S377*U377*W377)/Z376)</f>
        <v>307093872197679.87</v>
      </c>
      <c r="Z377" s="81">
        <f t="shared" si="71"/>
        <v>303555473118706.44</v>
      </c>
      <c r="AA377" s="80">
        <f t="shared" si="60"/>
        <v>988.47779327652711</v>
      </c>
      <c r="AB377" s="52">
        <f t="shared" si="67"/>
        <v>-9.0456829581733195E-3</v>
      </c>
      <c r="AC377" s="48">
        <f>(F377-E377)/E377</f>
        <v>2.1645021645021645E-3</v>
      </c>
      <c r="AD377" s="48">
        <f>(M377-L377)/L377</f>
        <v>-1.5665796344647518E-2</v>
      </c>
      <c r="AE377" s="48">
        <f>(T377-S377)/S377</f>
        <v>-1.679212507237985E-2</v>
      </c>
      <c r="AF377" s="48" t="e">
        <f>(#REF!-#REF!)/#REF!</f>
        <v>#REF!</v>
      </c>
    </row>
    <row r="378" spans="1:32" x14ac:dyDescent="0.3">
      <c r="A378" s="48">
        <v>20190715</v>
      </c>
      <c r="B378" s="48" t="s">
        <v>88</v>
      </c>
      <c r="C378" s="79">
        <v>0.4</v>
      </c>
      <c r="D378" s="79">
        <f t="shared" si="61"/>
        <v>0.40296525571596054</v>
      </c>
      <c r="E378" s="49">
        <v>46300</v>
      </c>
      <c r="F378" s="49">
        <v>46450</v>
      </c>
      <c r="G378" s="49">
        <v>5969782550</v>
      </c>
      <c r="H378" s="49">
        <f t="shared" si="62"/>
        <v>0.441431138532558</v>
      </c>
      <c r="I378" s="49">
        <f t="shared" si="68"/>
        <v>0.441431138532558</v>
      </c>
      <c r="J378" s="48">
        <v>0.2</v>
      </c>
      <c r="K378" s="48">
        <f t="shared" si="63"/>
        <v>0.18204300194187825</v>
      </c>
      <c r="L378" s="48">
        <v>188500</v>
      </c>
      <c r="M378" s="48">
        <v>183500</v>
      </c>
      <c r="N378" s="51">
        <v>128329070</v>
      </c>
      <c r="O378" s="48">
        <f t="shared" si="64"/>
        <v>2.3482939884268701</v>
      </c>
      <c r="P378" s="48">
        <f t="shared" si="69"/>
        <v>2.3482939884268701</v>
      </c>
      <c r="Q378" s="49">
        <v>0.4</v>
      </c>
      <c r="R378" s="49">
        <f t="shared" si="65"/>
        <v>0.41499174234216124</v>
      </c>
      <c r="S378" s="49">
        <v>169800</v>
      </c>
      <c r="T378" s="49">
        <v>171600</v>
      </c>
      <c r="U378" s="49">
        <v>15956260</v>
      </c>
      <c r="V378" s="49">
        <f t="shared" si="66"/>
        <v>46.039506582228299</v>
      </c>
      <c r="W378" s="49">
        <f t="shared" si="70"/>
        <v>46.039506582228299</v>
      </c>
      <c r="X378" s="82">
        <f>IF(Z377&lt;&gt;(E378*G378*H378+L378*N378*O378+S378*U378*V378),1,0)</f>
        <v>0</v>
      </c>
      <c r="Y378" s="82">
        <f>IF(AND(X378=0,B378="N"),Y377,Y377*(E378*G378*I378+L378*N378*P378+S378*U378*W378)/Z377)</f>
        <v>307093872197679.87</v>
      </c>
      <c r="Z378" s="81">
        <f t="shared" si="71"/>
        <v>303766301393911.06</v>
      </c>
      <c r="AA378" s="80">
        <f t="shared" si="60"/>
        <v>989.16432040810366</v>
      </c>
      <c r="AB378" s="52">
        <f t="shared" si="67"/>
        <v>6.9452964573023821E-4</v>
      </c>
      <c r="AC378" s="48">
        <f>(F378-E378)/E378</f>
        <v>3.2397408207343412E-3</v>
      </c>
      <c r="AD378" s="48">
        <f>(M378-L378)/L378</f>
        <v>-2.6525198938992044E-2</v>
      </c>
      <c r="AE378" s="48">
        <f>(T378-S378)/S378</f>
        <v>1.0600706713780919E-2</v>
      </c>
      <c r="AF378" s="48" t="e">
        <f>(#REF!-#REF!)/#REF!</f>
        <v>#REF!</v>
      </c>
    </row>
    <row r="379" spans="1:32" x14ac:dyDescent="0.3">
      <c r="A379" s="48">
        <v>20190716</v>
      </c>
      <c r="B379" s="48" t="s">
        <v>88</v>
      </c>
      <c r="C379" s="79">
        <v>0.4</v>
      </c>
      <c r="D379" s="79">
        <f t="shared" si="61"/>
        <v>0.39882919829793523</v>
      </c>
      <c r="E379" s="49">
        <v>46450</v>
      </c>
      <c r="F379" s="49">
        <v>46850</v>
      </c>
      <c r="G379" s="49">
        <v>5969782550</v>
      </c>
      <c r="H379" s="49">
        <f t="shared" si="62"/>
        <v>0.441431138532558</v>
      </c>
      <c r="I379" s="49">
        <f t="shared" si="68"/>
        <v>0.441431138532558</v>
      </c>
      <c r="J379" s="48">
        <v>0.2</v>
      </c>
      <c r="K379" s="48">
        <f t="shared" si="63"/>
        <v>0.18350366429696452</v>
      </c>
      <c r="L379" s="48">
        <v>183500</v>
      </c>
      <c r="M379" s="48">
        <v>188500</v>
      </c>
      <c r="N379" s="51">
        <v>128329070</v>
      </c>
      <c r="O379" s="48">
        <f t="shared" si="64"/>
        <v>2.3482939884268701</v>
      </c>
      <c r="P379" s="48">
        <f t="shared" si="69"/>
        <v>2.3482939884268701</v>
      </c>
      <c r="Q379" s="49">
        <v>0.4</v>
      </c>
      <c r="R379" s="49">
        <f t="shared" si="65"/>
        <v>0.41766713740510031</v>
      </c>
      <c r="S379" s="49">
        <v>171600</v>
      </c>
      <c r="T379" s="49">
        <v>176000</v>
      </c>
      <c r="U379" s="49">
        <v>15956260</v>
      </c>
      <c r="V379" s="49">
        <f t="shared" si="66"/>
        <v>46.039506582228299</v>
      </c>
      <c r="W379" s="49">
        <f t="shared" si="70"/>
        <v>46.039506582228299</v>
      </c>
      <c r="X379" s="82">
        <f>IF(Z378&lt;&gt;(E379*G379*H379+L379*N379*O379+S379*U379*V379),1,0)</f>
        <v>0</v>
      </c>
      <c r="Y379" s="82">
        <f>IF(AND(X379=0,B379="N"),Y378,Y378*(E379*G379*I379+L379*N379*P379+S379*U379*W379)/Z378)</f>
        <v>307093872197679.87</v>
      </c>
      <c r="Z379" s="81">
        <f t="shared" si="71"/>
        <v>309559493159263.5</v>
      </c>
      <c r="AA379" s="80">
        <f t="shared" si="60"/>
        <v>1008.0288836242115</v>
      </c>
      <c r="AB379" s="52">
        <f t="shared" si="67"/>
        <v>1.9071212767080823E-2</v>
      </c>
      <c r="AC379" s="48">
        <f>(F379-E379)/E379</f>
        <v>8.6114101184068884E-3</v>
      </c>
      <c r="AD379" s="48">
        <f>(M379-L379)/L379</f>
        <v>2.7247956403269755E-2</v>
      </c>
      <c r="AE379" s="48">
        <f>(T379-S379)/S379</f>
        <v>2.564102564102564E-2</v>
      </c>
      <c r="AF379" s="48" t="e">
        <f>(#REF!-#REF!)/#REF!</f>
        <v>#REF!</v>
      </c>
    </row>
    <row r="380" spans="1:32" x14ac:dyDescent="0.3">
      <c r="A380" s="48">
        <v>20190717</v>
      </c>
      <c r="B380" s="48" t="s">
        <v>88</v>
      </c>
      <c r="C380" s="79">
        <v>0.4</v>
      </c>
      <c r="D380" s="79">
        <f t="shared" si="61"/>
        <v>0.39399232295256287</v>
      </c>
      <c r="E380" s="49">
        <v>46850</v>
      </c>
      <c r="F380" s="49">
        <v>46050</v>
      </c>
      <c r="G380" s="49">
        <v>5969782550</v>
      </c>
      <c r="H380" s="49">
        <f t="shared" si="62"/>
        <v>0.441431138532558</v>
      </c>
      <c r="I380" s="49">
        <f t="shared" si="68"/>
        <v>0.441431138532558</v>
      </c>
      <c r="J380" s="48">
        <v>0.2</v>
      </c>
      <c r="K380" s="48">
        <f t="shared" si="63"/>
        <v>0.18051385109717022</v>
      </c>
      <c r="L380" s="48">
        <v>188500</v>
      </c>
      <c r="M380" s="48">
        <v>184500</v>
      </c>
      <c r="N380" s="51">
        <v>128329070</v>
      </c>
      <c r="O380" s="48">
        <f t="shared" si="64"/>
        <v>2.3482939884268701</v>
      </c>
      <c r="P380" s="48">
        <f t="shared" si="69"/>
        <v>2.3482939884268701</v>
      </c>
      <c r="Q380" s="49">
        <v>0.4</v>
      </c>
      <c r="R380" s="49">
        <f t="shared" si="65"/>
        <v>0.42549382595026675</v>
      </c>
      <c r="S380" s="49">
        <v>176000</v>
      </c>
      <c r="T380" s="49">
        <v>178400</v>
      </c>
      <c r="U380" s="49">
        <v>15956260</v>
      </c>
      <c r="V380" s="49">
        <f t="shared" si="66"/>
        <v>46.039506582228299</v>
      </c>
      <c r="W380" s="49">
        <f t="shared" si="70"/>
        <v>46.039506582228299</v>
      </c>
      <c r="X380" s="82">
        <f>IF(Z379&lt;&gt;(E380*G380*H380+L380*N380*O380+S380*U380*V380),1,0)</f>
        <v>0</v>
      </c>
      <c r="Y380" s="82">
        <f>IF(AND(X380=0,B380="N"),Y379,Y379*(E380*G380*I380+L380*N380*P380+S380*U380*W380)/Z379)</f>
        <v>307093872197679.87</v>
      </c>
      <c r="Z380" s="81">
        <f t="shared" si="71"/>
        <v>308008961308021.87</v>
      </c>
      <c r="AA380" s="80">
        <f t="shared" si="60"/>
        <v>1002.97983513573</v>
      </c>
      <c r="AB380" s="52">
        <f t="shared" si="67"/>
        <v>-5.008833150026845E-3</v>
      </c>
      <c r="AC380" s="48">
        <f>(F380-E380)/E380</f>
        <v>-1.7075773745997867E-2</v>
      </c>
      <c r="AD380" s="48">
        <f>(M380-L380)/L380</f>
        <v>-2.1220159151193633E-2</v>
      </c>
      <c r="AE380" s="48">
        <f>(T380-S380)/S380</f>
        <v>1.3636363636363636E-2</v>
      </c>
      <c r="AF380" s="48" t="e">
        <f>(#REF!-#REF!)/#REF!</f>
        <v>#REF!</v>
      </c>
    </row>
  </sheetData>
  <mergeCells count="5">
    <mergeCell ref="AC1:AF1"/>
    <mergeCell ref="J1:P1"/>
    <mergeCell ref="C1:I1"/>
    <mergeCell ref="Q1:W1"/>
    <mergeCell ref="X1:AB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6"/>
  <sheetViews>
    <sheetView workbookViewId="0">
      <selection activeCell="H58" sqref="H58"/>
    </sheetView>
  </sheetViews>
  <sheetFormatPr defaultColWidth="8.875" defaultRowHeight="16.5" x14ac:dyDescent="0.3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375" customWidth="1"/>
    <col min="8" max="8" width="19" customWidth="1"/>
    <col min="9" max="9" width="18.25" customWidth="1"/>
  </cols>
  <sheetData>
    <row r="1" spans="1:5" s="34" customFormat="1" ht="20.25" x14ac:dyDescent="0.3">
      <c r="A1" s="33" t="s">
        <v>147</v>
      </c>
      <c r="B1" s="33" t="s">
        <v>148</v>
      </c>
    </row>
    <row r="2" spans="1:5" x14ac:dyDescent="0.3">
      <c r="A2" s="55"/>
    </row>
    <row r="3" spans="1:5" x14ac:dyDescent="0.3">
      <c r="A3" s="24" t="s">
        <v>97</v>
      </c>
    </row>
    <row r="4" spans="1:5" x14ac:dyDescent="0.3">
      <c r="A4" s="25" t="s">
        <v>49</v>
      </c>
      <c r="B4" s="20">
        <v>2018</v>
      </c>
      <c r="C4" s="20"/>
    </row>
    <row r="5" spans="1:5" x14ac:dyDescent="0.3">
      <c r="A5" s="25" t="s">
        <v>50</v>
      </c>
      <c r="B5" s="20" t="s">
        <v>51</v>
      </c>
      <c r="C5" s="20" t="s">
        <v>52</v>
      </c>
    </row>
    <row r="8" spans="1:5" s="36" customFormat="1" ht="19.5" x14ac:dyDescent="0.3">
      <c r="A8" s="35" t="s">
        <v>64</v>
      </c>
      <c r="B8" s="35" t="s">
        <v>65</v>
      </c>
    </row>
    <row r="9" spans="1:5" s="30" customFormat="1" x14ac:dyDescent="0.3">
      <c r="A9" s="29"/>
      <c r="B9" s="29"/>
    </row>
    <row r="10" spans="1:5" x14ac:dyDescent="0.3">
      <c r="B10" s="27" t="s">
        <v>1</v>
      </c>
      <c r="C10" s="27" t="s">
        <v>55</v>
      </c>
      <c r="D10" s="27" t="s">
        <v>56</v>
      </c>
    </row>
    <row r="11" spans="1:5" x14ac:dyDescent="0.3">
      <c r="A11" s="15"/>
      <c r="B11" s="21" t="s">
        <v>5</v>
      </c>
      <c r="C11" s="20" t="s">
        <v>54</v>
      </c>
      <c r="D11" s="26">
        <v>0.2</v>
      </c>
    </row>
    <row r="12" spans="1:5" x14ac:dyDescent="0.3">
      <c r="A12" s="15"/>
      <c r="B12" s="21" t="s">
        <v>57</v>
      </c>
      <c r="C12" s="20" t="s">
        <v>58</v>
      </c>
      <c r="D12" s="26">
        <v>0.2</v>
      </c>
    </row>
    <row r="13" spans="1:5" x14ac:dyDescent="0.3">
      <c r="A13" s="15"/>
      <c r="B13" s="21" t="s">
        <v>59</v>
      </c>
      <c r="C13" s="20" t="s">
        <v>60</v>
      </c>
      <c r="D13" s="26">
        <v>0.2</v>
      </c>
    </row>
    <row r="14" spans="1:5" x14ac:dyDescent="0.3">
      <c r="A14" s="15"/>
      <c r="B14" s="21" t="s">
        <v>149</v>
      </c>
      <c r="C14" s="20" t="s">
        <v>150</v>
      </c>
      <c r="D14" s="26">
        <v>0.2</v>
      </c>
      <c r="E14" s="125" t="s">
        <v>153</v>
      </c>
    </row>
    <row r="15" spans="1:5" x14ac:dyDescent="0.3">
      <c r="A15" s="15"/>
      <c r="B15" s="21" t="s">
        <v>151</v>
      </c>
      <c r="C15" s="20" t="s">
        <v>152</v>
      </c>
      <c r="D15" s="26">
        <v>0.2</v>
      </c>
      <c r="E15" s="126" t="s">
        <v>153</v>
      </c>
    </row>
    <row r="16" spans="1:5" x14ac:dyDescent="0.3">
      <c r="B16" s="20" t="s">
        <v>63</v>
      </c>
      <c r="C16" s="20"/>
      <c r="D16" s="26">
        <f>SUM(D11:D15)</f>
        <v>1</v>
      </c>
    </row>
    <row r="17" spans="1:11" x14ac:dyDescent="0.3">
      <c r="B17" s="31"/>
      <c r="C17" s="31"/>
      <c r="D17" s="32"/>
    </row>
    <row r="19" spans="1:11" s="36" customFormat="1" ht="19.5" x14ac:dyDescent="0.3">
      <c r="A19" s="35" t="s">
        <v>66</v>
      </c>
      <c r="B19" s="35" t="s">
        <v>67</v>
      </c>
    </row>
    <row r="20" spans="1:11" x14ac:dyDescent="0.3">
      <c r="A20" s="24"/>
      <c r="B20" s="24"/>
    </row>
    <row r="22" spans="1:11" x14ac:dyDescent="0.3">
      <c r="A22" s="129" t="s">
        <v>157</v>
      </c>
      <c r="B22" s="129"/>
      <c r="C22" s="129"/>
      <c r="D22" s="129"/>
      <c r="E22" s="129"/>
      <c r="G22" s="129" t="s">
        <v>158</v>
      </c>
      <c r="H22" s="129"/>
      <c r="I22" s="129"/>
      <c r="J22" s="129"/>
      <c r="K22" s="129"/>
    </row>
    <row r="23" spans="1:11" x14ac:dyDescent="0.3">
      <c r="A23" s="25" t="s">
        <v>68</v>
      </c>
      <c r="B23" s="25" t="s">
        <v>1</v>
      </c>
      <c r="C23" s="25" t="s">
        <v>70</v>
      </c>
      <c r="D23" s="25" t="s">
        <v>56</v>
      </c>
      <c r="E23" s="25" t="s">
        <v>138</v>
      </c>
      <c r="G23" s="25" t="s">
        <v>68</v>
      </c>
      <c r="H23" s="25" t="s">
        <v>1</v>
      </c>
      <c r="I23" s="25" t="s">
        <v>70</v>
      </c>
      <c r="J23" s="25" t="s">
        <v>56</v>
      </c>
      <c r="K23" s="25" t="s">
        <v>138</v>
      </c>
    </row>
    <row r="24" spans="1:11" x14ac:dyDescent="0.3">
      <c r="A24" s="56" t="s">
        <v>77</v>
      </c>
      <c r="B24" s="57" t="s">
        <v>5</v>
      </c>
      <c r="C24" s="56" t="s">
        <v>54</v>
      </c>
      <c r="D24" s="56">
        <v>0.2</v>
      </c>
      <c r="E24" s="56"/>
      <c r="G24" s="56" t="s">
        <v>77</v>
      </c>
      <c r="H24" s="57" t="s">
        <v>5</v>
      </c>
      <c r="I24" s="56" t="s">
        <v>54</v>
      </c>
      <c r="J24" s="56">
        <v>0.4</v>
      </c>
      <c r="K24" s="56"/>
    </row>
    <row r="25" spans="1:11" x14ac:dyDescent="0.3">
      <c r="A25" s="56" t="s">
        <v>77</v>
      </c>
      <c r="B25" s="57" t="s">
        <v>57</v>
      </c>
      <c r="C25" s="56" t="s">
        <v>58</v>
      </c>
      <c r="D25" s="56">
        <v>0.2</v>
      </c>
      <c r="E25" s="56"/>
      <c r="G25" s="56" t="s">
        <v>77</v>
      </c>
      <c r="H25" s="57" t="s">
        <v>57</v>
      </c>
      <c r="I25" s="56" t="s">
        <v>58</v>
      </c>
      <c r="J25" s="56">
        <v>0.6</v>
      </c>
      <c r="K25" s="56"/>
    </row>
    <row r="26" spans="1:11" x14ac:dyDescent="0.3">
      <c r="A26" s="56" t="s">
        <v>77</v>
      </c>
      <c r="B26" s="57" t="s">
        <v>59</v>
      </c>
      <c r="C26" s="56" t="s">
        <v>60</v>
      </c>
      <c r="D26" s="56">
        <v>0.2</v>
      </c>
      <c r="E26" s="56"/>
      <c r="G26" s="130" t="s">
        <v>77</v>
      </c>
      <c r="H26" s="131" t="s">
        <v>59</v>
      </c>
      <c r="I26" s="130" t="s">
        <v>60</v>
      </c>
      <c r="J26" s="130">
        <v>0.2</v>
      </c>
      <c r="K26" s="59" t="s">
        <v>159</v>
      </c>
    </row>
    <row r="27" spans="1:11" x14ac:dyDescent="0.3">
      <c r="A27" s="59" t="s">
        <v>77</v>
      </c>
      <c r="B27" s="22" t="s">
        <v>149</v>
      </c>
      <c r="C27" s="23" t="s">
        <v>150</v>
      </c>
      <c r="D27" s="61">
        <v>0.2</v>
      </c>
      <c r="E27" s="61" t="s">
        <v>154</v>
      </c>
      <c r="G27" s="132" t="s">
        <v>77</v>
      </c>
      <c r="H27" s="133" t="s">
        <v>149</v>
      </c>
      <c r="I27" s="134" t="s">
        <v>150</v>
      </c>
      <c r="J27" s="132">
        <v>0.2</v>
      </c>
      <c r="K27" s="61" t="s">
        <v>160</v>
      </c>
    </row>
    <row r="28" spans="1:11" x14ac:dyDescent="0.3">
      <c r="A28" s="61" t="s">
        <v>77</v>
      </c>
      <c r="B28" s="22" t="s">
        <v>151</v>
      </c>
      <c r="C28" s="23" t="s">
        <v>152</v>
      </c>
      <c r="D28" s="61">
        <v>0.2</v>
      </c>
      <c r="E28" s="61" t="s">
        <v>75</v>
      </c>
      <c r="G28" s="132" t="s">
        <v>77</v>
      </c>
      <c r="H28" s="133" t="s">
        <v>151</v>
      </c>
      <c r="I28" s="134" t="s">
        <v>152</v>
      </c>
      <c r="J28" s="132">
        <v>0.2</v>
      </c>
      <c r="K28" s="61" t="s">
        <v>161</v>
      </c>
    </row>
    <row r="29" spans="1:11" x14ac:dyDescent="0.3">
      <c r="A29" s="61" t="s">
        <v>77</v>
      </c>
      <c r="B29" s="22" t="s">
        <v>73</v>
      </c>
      <c r="C29" s="23" t="s">
        <v>156</v>
      </c>
      <c r="D29" s="61">
        <v>0.4</v>
      </c>
      <c r="E29" s="61"/>
      <c r="G29" s="132" t="s">
        <v>77</v>
      </c>
      <c r="H29" s="133" t="s">
        <v>73</v>
      </c>
      <c r="I29" s="134" t="s">
        <v>156</v>
      </c>
      <c r="J29" s="132">
        <v>0.4</v>
      </c>
      <c r="K29" s="61" t="s">
        <v>162</v>
      </c>
    </row>
    <row r="30" spans="1:11" ht="3" customHeight="1" x14ac:dyDescent="0.3">
      <c r="A30" s="62"/>
      <c r="B30" s="62"/>
      <c r="C30" s="62"/>
      <c r="D30" s="62"/>
      <c r="E30" s="62"/>
      <c r="G30" s="62"/>
      <c r="H30" s="62"/>
      <c r="I30" s="62"/>
      <c r="J30" s="62"/>
      <c r="K30" s="62"/>
    </row>
    <row r="31" spans="1:11" x14ac:dyDescent="0.3">
      <c r="A31" s="56" t="s">
        <v>78</v>
      </c>
      <c r="B31" s="57" t="s">
        <v>5</v>
      </c>
      <c r="C31" s="56" t="s">
        <v>54</v>
      </c>
      <c r="D31" s="56">
        <v>0.2</v>
      </c>
      <c r="E31" s="56"/>
      <c r="G31" s="56" t="s">
        <v>78</v>
      </c>
      <c r="H31" s="57" t="s">
        <v>5</v>
      </c>
      <c r="I31" s="56" t="s">
        <v>54</v>
      </c>
      <c r="J31" s="56">
        <v>0.4</v>
      </c>
      <c r="K31" s="56"/>
    </row>
    <row r="32" spans="1:11" x14ac:dyDescent="0.3">
      <c r="A32" s="56" t="s">
        <v>78</v>
      </c>
      <c r="B32" s="57" t="s">
        <v>57</v>
      </c>
      <c r="C32" s="56" t="s">
        <v>58</v>
      </c>
      <c r="D32" s="56">
        <v>0.2</v>
      </c>
      <c r="E32" s="56"/>
      <c r="G32" s="56" t="s">
        <v>78</v>
      </c>
      <c r="H32" s="57" t="s">
        <v>57</v>
      </c>
      <c r="I32" s="56" t="s">
        <v>58</v>
      </c>
      <c r="J32" s="56">
        <v>0.3</v>
      </c>
      <c r="K32" s="56"/>
    </row>
    <row r="33" spans="1:11" x14ac:dyDescent="0.3">
      <c r="A33" s="56" t="s">
        <v>78</v>
      </c>
      <c r="B33" s="57" t="s">
        <v>59</v>
      </c>
      <c r="C33" s="56" t="s">
        <v>60</v>
      </c>
      <c r="D33" s="56">
        <v>0.2</v>
      </c>
      <c r="E33" s="56"/>
      <c r="G33" s="56" t="s">
        <v>78</v>
      </c>
      <c r="H33" s="57" t="s">
        <v>59</v>
      </c>
      <c r="I33" s="56" t="s">
        <v>60</v>
      </c>
      <c r="J33" s="56">
        <v>0.3</v>
      </c>
      <c r="K33" s="56"/>
    </row>
    <row r="34" spans="1:11" x14ac:dyDescent="0.3">
      <c r="A34" s="59" t="s">
        <v>78</v>
      </c>
      <c r="B34" s="22" t="s">
        <v>149</v>
      </c>
      <c r="C34" s="23" t="s">
        <v>150</v>
      </c>
      <c r="D34" s="61">
        <v>0.2</v>
      </c>
      <c r="E34" s="61" t="s">
        <v>154</v>
      </c>
      <c r="G34" s="130" t="s">
        <v>78</v>
      </c>
      <c r="H34" s="133" t="s">
        <v>149</v>
      </c>
      <c r="I34" s="134" t="s">
        <v>150</v>
      </c>
      <c r="J34" s="132">
        <v>0.2</v>
      </c>
      <c r="K34" s="61" t="s">
        <v>163</v>
      </c>
    </row>
    <row r="35" spans="1:11" x14ac:dyDescent="0.3">
      <c r="A35" s="61" t="s">
        <v>78</v>
      </c>
      <c r="B35" s="22" t="s">
        <v>151</v>
      </c>
      <c r="C35" s="23" t="s">
        <v>152</v>
      </c>
      <c r="D35" s="61">
        <v>0.2</v>
      </c>
      <c r="E35" s="61" t="s">
        <v>75</v>
      </c>
      <c r="G35" s="132" t="s">
        <v>78</v>
      </c>
      <c r="H35" s="133" t="s">
        <v>151</v>
      </c>
      <c r="I35" s="134" t="s">
        <v>152</v>
      </c>
      <c r="J35" s="132">
        <v>0.2</v>
      </c>
      <c r="K35" s="61" t="s">
        <v>163</v>
      </c>
    </row>
    <row r="36" spans="1:11" x14ac:dyDescent="0.3">
      <c r="A36" s="61" t="s">
        <v>78</v>
      </c>
      <c r="B36" s="22" t="s">
        <v>73</v>
      </c>
      <c r="C36" s="23" t="s">
        <v>156</v>
      </c>
      <c r="D36" s="61">
        <v>0.4</v>
      </c>
      <c r="E36" s="61"/>
      <c r="G36" s="132" t="s">
        <v>78</v>
      </c>
      <c r="H36" s="133" t="s">
        <v>73</v>
      </c>
      <c r="I36" s="134" t="s">
        <v>156</v>
      </c>
      <c r="J36" s="132">
        <v>0.4</v>
      </c>
      <c r="K36" s="61" t="s">
        <v>155</v>
      </c>
    </row>
    <row r="37" spans="1:11" ht="3" customHeight="1" x14ac:dyDescent="0.3">
      <c r="A37" s="62"/>
      <c r="B37" s="62"/>
      <c r="C37" s="62"/>
      <c r="D37" s="62"/>
      <c r="E37" s="62"/>
      <c r="G37" s="62"/>
      <c r="H37" s="62"/>
      <c r="I37" s="62"/>
      <c r="J37" s="62"/>
      <c r="K37" s="62"/>
    </row>
    <row r="38" spans="1:11" x14ac:dyDescent="0.3">
      <c r="A38" s="56" t="s">
        <v>82</v>
      </c>
      <c r="B38" s="57" t="s">
        <v>5</v>
      </c>
      <c r="C38" s="56" t="s">
        <v>54</v>
      </c>
      <c r="D38" s="56">
        <v>0.2</v>
      </c>
      <c r="E38" s="56"/>
      <c r="G38" s="56" t="s">
        <v>82</v>
      </c>
      <c r="H38" s="57" t="s">
        <v>5</v>
      </c>
      <c r="I38" s="56" t="s">
        <v>54</v>
      </c>
      <c r="J38" s="56">
        <v>0.3</v>
      </c>
      <c r="K38" s="56"/>
    </row>
    <row r="39" spans="1:11" x14ac:dyDescent="0.3">
      <c r="A39" s="56" t="s">
        <v>82</v>
      </c>
      <c r="B39" s="57" t="s">
        <v>57</v>
      </c>
      <c r="C39" s="56" t="s">
        <v>58</v>
      </c>
      <c r="D39" s="56">
        <v>0.2</v>
      </c>
      <c r="E39" s="56"/>
      <c r="G39" s="56" t="s">
        <v>82</v>
      </c>
      <c r="H39" s="57" t="s">
        <v>57</v>
      </c>
      <c r="I39" s="56" t="s">
        <v>58</v>
      </c>
      <c r="J39" s="56">
        <v>0.15</v>
      </c>
      <c r="K39" s="56"/>
    </row>
    <row r="40" spans="1:11" x14ac:dyDescent="0.3">
      <c r="A40" s="56" t="s">
        <v>82</v>
      </c>
      <c r="B40" s="57" t="s">
        <v>59</v>
      </c>
      <c r="C40" s="56" t="s">
        <v>60</v>
      </c>
      <c r="D40" s="56">
        <v>0.2</v>
      </c>
      <c r="E40" s="56"/>
      <c r="G40" s="56" t="s">
        <v>82</v>
      </c>
      <c r="H40" s="57" t="s">
        <v>59</v>
      </c>
      <c r="I40" s="56" t="s">
        <v>60</v>
      </c>
      <c r="J40" s="56">
        <v>0.15</v>
      </c>
      <c r="K40" s="56"/>
    </row>
    <row r="41" spans="1:11" x14ac:dyDescent="0.3">
      <c r="A41" s="127" t="s">
        <v>82</v>
      </c>
      <c r="B41" s="43" t="s">
        <v>149</v>
      </c>
      <c r="C41" s="44" t="s">
        <v>150</v>
      </c>
      <c r="D41" s="128">
        <v>0.2</v>
      </c>
      <c r="E41" s="128"/>
      <c r="G41" s="127" t="s">
        <v>82</v>
      </c>
      <c r="H41" s="43" t="s">
        <v>149</v>
      </c>
      <c r="I41" s="44" t="s">
        <v>150</v>
      </c>
      <c r="J41" s="128">
        <v>0.1</v>
      </c>
      <c r="K41" s="128"/>
    </row>
    <row r="42" spans="1:11" x14ac:dyDescent="0.3">
      <c r="A42" s="128" t="s">
        <v>82</v>
      </c>
      <c r="B42" s="43" t="s">
        <v>151</v>
      </c>
      <c r="C42" s="44" t="s">
        <v>152</v>
      </c>
      <c r="D42" s="128">
        <v>0.2</v>
      </c>
      <c r="E42" s="128"/>
      <c r="G42" s="128" t="s">
        <v>82</v>
      </c>
      <c r="H42" s="43" t="s">
        <v>151</v>
      </c>
      <c r="I42" s="44" t="s">
        <v>152</v>
      </c>
      <c r="J42" s="128">
        <v>0.3</v>
      </c>
      <c r="K42" s="128"/>
    </row>
    <row r="43" spans="1:11" ht="3" customHeight="1" x14ac:dyDescent="0.3">
      <c r="A43" s="62"/>
      <c r="B43" s="62"/>
      <c r="C43" s="62"/>
      <c r="D43" s="62"/>
      <c r="E43" s="62"/>
      <c r="G43" s="62"/>
      <c r="H43" s="62"/>
      <c r="I43" s="62"/>
      <c r="J43" s="62"/>
      <c r="K43" s="62"/>
    </row>
    <row r="44" spans="1:11" x14ac:dyDescent="0.3">
      <c r="A44" s="56" t="s">
        <v>83</v>
      </c>
      <c r="B44" s="57" t="s">
        <v>5</v>
      </c>
      <c r="C44" s="56" t="s">
        <v>54</v>
      </c>
      <c r="D44" s="56">
        <v>0.2</v>
      </c>
      <c r="E44" s="56"/>
      <c r="G44" s="56" t="s">
        <v>83</v>
      </c>
      <c r="H44" s="57" t="s">
        <v>5</v>
      </c>
      <c r="I44" s="56" t="s">
        <v>54</v>
      </c>
      <c r="J44" s="56">
        <v>0.2</v>
      </c>
      <c r="K44" s="56"/>
    </row>
    <row r="45" spans="1:11" x14ac:dyDescent="0.3">
      <c r="A45" s="56" t="s">
        <v>83</v>
      </c>
      <c r="B45" s="57" t="s">
        <v>57</v>
      </c>
      <c r="C45" s="56" t="s">
        <v>58</v>
      </c>
      <c r="D45" s="56">
        <v>0.2</v>
      </c>
      <c r="E45" s="56"/>
      <c r="G45" s="56" t="s">
        <v>83</v>
      </c>
      <c r="H45" s="57" t="s">
        <v>57</v>
      </c>
      <c r="I45" s="56" t="s">
        <v>58</v>
      </c>
      <c r="J45" s="56">
        <v>0.2</v>
      </c>
      <c r="K45" s="56"/>
    </row>
    <row r="46" spans="1:11" x14ac:dyDescent="0.3">
      <c r="A46" s="56" t="s">
        <v>83</v>
      </c>
      <c r="B46" s="57" t="s">
        <v>59</v>
      </c>
      <c r="C46" s="56" t="s">
        <v>60</v>
      </c>
      <c r="D46" s="56">
        <v>0.2</v>
      </c>
      <c r="E46" s="56"/>
      <c r="G46" s="56" t="s">
        <v>83</v>
      </c>
      <c r="H46" s="57" t="s">
        <v>59</v>
      </c>
      <c r="I46" s="56" t="s">
        <v>60</v>
      </c>
      <c r="J46" s="56">
        <v>0.2</v>
      </c>
      <c r="K46" s="56"/>
    </row>
    <row r="47" spans="1:11" x14ac:dyDescent="0.3">
      <c r="A47" s="127" t="s">
        <v>83</v>
      </c>
      <c r="B47" s="43" t="s">
        <v>149</v>
      </c>
      <c r="C47" s="44" t="s">
        <v>150</v>
      </c>
      <c r="D47" s="128">
        <v>0.2</v>
      </c>
      <c r="E47" s="128"/>
      <c r="G47" s="127" t="s">
        <v>83</v>
      </c>
      <c r="H47" s="43" t="s">
        <v>149</v>
      </c>
      <c r="I47" s="44" t="s">
        <v>150</v>
      </c>
      <c r="J47" s="128">
        <v>0.2</v>
      </c>
      <c r="K47" s="128"/>
    </row>
    <row r="48" spans="1:11" x14ac:dyDescent="0.3">
      <c r="A48" s="128" t="s">
        <v>83</v>
      </c>
      <c r="B48" s="43" t="s">
        <v>151</v>
      </c>
      <c r="C48" s="44" t="s">
        <v>152</v>
      </c>
      <c r="D48" s="128">
        <v>0.2</v>
      </c>
      <c r="E48" s="128"/>
      <c r="G48" s="128" t="s">
        <v>83</v>
      </c>
      <c r="H48" s="43" t="s">
        <v>151</v>
      </c>
      <c r="I48" s="44" t="s">
        <v>152</v>
      </c>
      <c r="J48" s="128">
        <v>0.2</v>
      </c>
      <c r="K48" s="128"/>
    </row>
    <row r="50" spans="1:7" s="37" customFormat="1" ht="19.5" x14ac:dyDescent="0.3">
      <c r="A50" s="37" t="s">
        <v>84</v>
      </c>
      <c r="B50" s="38" t="s">
        <v>98</v>
      </c>
    </row>
    <row r="51" spans="1:7" x14ac:dyDescent="0.3">
      <c r="B51" s="28"/>
    </row>
    <row r="52" spans="1:7" ht="16.5" customHeight="1" x14ac:dyDescent="0.3">
      <c r="A52" s="96" t="s">
        <v>189</v>
      </c>
      <c r="B52" s="97"/>
      <c r="C52" s="97"/>
      <c r="D52" s="97"/>
      <c r="E52" s="97"/>
      <c r="F52" s="97"/>
      <c r="G52" s="88"/>
    </row>
    <row r="53" spans="1:7" x14ac:dyDescent="0.3">
      <c r="A53" s="97"/>
      <c r="B53" s="97"/>
      <c r="C53" s="97"/>
      <c r="D53" s="97"/>
      <c r="E53" s="97"/>
      <c r="F53" s="97"/>
      <c r="G53" s="88"/>
    </row>
    <row r="54" spans="1:7" x14ac:dyDescent="0.3">
      <c r="A54" s="97"/>
      <c r="B54" s="97"/>
      <c r="C54" s="97"/>
      <c r="D54" s="97"/>
      <c r="E54" s="97"/>
      <c r="F54" s="97"/>
      <c r="G54" s="88"/>
    </row>
    <row r="55" spans="1:7" x14ac:dyDescent="0.3">
      <c r="A55" s="97"/>
      <c r="B55" s="97"/>
      <c r="C55" s="97"/>
      <c r="D55" s="97"/>
      <c r="E55" s="97"/>
      <c r="F55" s="97"/>
      <c r="G55" s="88"/>
    </row>
    <row r="56" spans="1:7" x14ac:dyDescent="0.3">
      <c r="A56" s="97"/>
      <c r="B56" s="97"/>
      <c r="C56" s="97"/>
      <c r="D56" s="97"/>
      <c r="E56" s="97"/>
      <c r="F56" s="97"/>
      <c r="G56" s="88"/>
    </row>
    <row r="57" spans="1:7" x14ac:dyDescent="0.3">
      <c r="A57" s="97"/>
      <c r="B57" s="97"/>
      <c r="C57" s="97"/>
      <c r="D57" s="97"/>
      <c r="E57" s="97"/>
      <c r="F57" s="97"/>
      <c r="G57" s="88"/>
    </row>
    <row r="58" spans="1:7" x14ac:dyDescent="0.3">
      <c r="A58" s="97"/>
      <c r="B58" s="97"/>
      <c r="C58" s="97"/>
      <c r="D58" s="97"/>
      <c r="E58" s="97"/>
      <c r="F58" s="97"/>
      <c r="G58" s="88"/>
    </row>
    <row r="59" spans="1:7" x14ac:dyDescent="0.3">
      <c r="A59" s="97"/>
      <c r="B59" s="97"/>
      <c r="C59" s="97"/>
      <c r="D59" s="97"/>
      <c r="E59" s="97"/>
      <c r="F59" s="97"/>
      <c r="G59" s="88"/>
    </row>
    <row r="60" spans="1:7" x14ac:dyDescent="0.3">
      <c r="A60" s="97"/>
      <c r="B60" s="97"/>
      <c r="C60" s="97"/>
      <c r="D60" s="97"/>
      <c r="E60" s="97"/>
      <c r="F60" s="97"/>
      <c r="G60" s="88"/>
    </row>
    <row r="61" spans="1:7" x14ac:dyDescent="0.3">
      <c r="A61" s="97"/>
      <c r="B61" s="97"/>
      <c r="C61" s="97"/>
      <c r="D61" s="97"/>
      <c r="E61" s="97"/>
      <c r="F61" s="97"/>
      <c r="G61" s="88"/>
    </row>
    <row r="62" spans="1:7" x14ac:dyDescent="0.3">
      <c r="A62" s="97"/>
      <c r="B62" s="97"/>
      <c r="C62" s="97"/>
      <c r="D62" s="97"/>
      <c r="E62" s="97"/>
      <c r="F62" s="97"/>
      <c r="G62" s="88"/>
    </row>
    <row r="63" spans="1:7" x14ac:dyDescent="0.3">
      <c r="A63" s="97"/>
      <c r="B63" s="97"/>
      <c r="C63" s="97"/>
      <c r="D63" s="97"/>
      <c r="E63" s="97"/>
      <c r="F63" s="97"/>
      <c r="G63" s="88"/>
    </row>
    <row r="64" spans="1:7" x14ac:dyDescent="0.3">
      <c r="A64" s="97"/>
      <c r="B64" s="97"/>
      <c r="C64" s="97"/>
      <c r="D64" s="97"/>
      <c r="E64" s="97"/>
      <c r="F64" s="97"/>
      <c r="G64" s="88"/>
    </row>
    <row r="65" spans="1:7" x14ac:dyDescent="0.3">
      <c r="A65" s="97"/>
      <c r="B65" s="97"/>
      <c r="C65" s="97"/>
      <c r="D65" s="97"/>
      <c r="E65" s="97"/>
      <c r="F65" s="97"/>
      <c r="G65" s="88"/>
    </row>
    <row r="66" spans="1:7" x14ac:dyDescent="0.3">
      <c r="A66" s="97"/>
      <c r="B66" s="97"/>
      <c r="C66" s="97"/>
      <c r="D66" s="97"/>
      <c r="E66" s="97"/>
      <c r="F66" s="97"/>
      <c r="G66" s="88"/>
    </row>
  </sheetData>
  <mergeCells count="3">
    <mergeCell ref="A52:F66"/>
    <mergeCell ref="A22:E22"/>
    <mergeCell ref="G22:K2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382"/>
  <sheetViews>
    <sheetView topLeftCell="A370" zoomScale="70" zoomScaleNormal="70" workbookViewId="0">
      <pane xSplit="1" topLeftCell="S1" activePane="topRight" state="frozen"/>
      <selection pane="topRight" activeCell="P135" sqref="P135"/>
    </sheetView>
  </sheetViews>
  <sheetFormatPr defaultColWidth="8.875" defaultRowHeight="13.5" x14ac:dyDescent="0.3"/>
  <cols>
    <col min="1" max="1" width="9" style="16" bestFit="1" customWidth="1"/>
    <col min="2" max="4" width="8.875" style="16"/>
    <col min="5" max="6" width="9" style="16" bestFit="1" customWidth="1"/>
    <col min="7" max="7" width="11.125" style="16" bestFit="1" customWidth="1"/>
    <col min="8" max="8" width="13.125" style="16" bestFit="1" customWidth="1"/>
    <col min="9" max="9" width="13" style="16" customWidth="1"/>
    <col min="10" max="10" width="8.25" style="16" bestFit="1" customWidth="1"/>
    <col min="11" max="11" width="8.25" style="16" customWidth="1"/>
    <col min="12" max="13" width="9" style="16" bestFit="1" customWidth="1"/>
    <col min="14" max="14" width="11.125" style="16" bestFit="1" customWidth="1"/>
    <col min="15" max="15" width="13.125" style="16" bestFit="1" customWidth="1"/>
    <col min="16" max="16" width="13" style="16" customWidth="1"/>
    <col min="17" max="18" width="8.75" style="16" customWidth="1"/>
    <col min="19" max="20" width="9" style="16" bestFit="1" customWidth="1"/>
    <col min="21" max="21" width="11.125" style="16" bestFit="1" customWidth="1"/>
    <col min="22" max="23" width="13.75" style="16" bestFit="1" customWidth="1"/>
    <col min="24" max="25" width="8.75" style="46" customWidth="1"/>
    <col min="26" max="27" width="9" style="46" bestFit="1" customWidth="1"/>
    <col min="28" max="28" width="11.125" style="46" bestFit="1" customWidth="1"/>
    <col min="29" max="30" width="13.75" style="46" bestFit="1" customWidth="1"/>
    <col min="31" max="32" width="8.75" style="46" customWidth="1"/>
    <col min="33" max="34" width="9" style="46" bestFit="1" customWidth="1"/>
    <col min="35" max="35" width="11.125" style="46" bestFit="1" customWidth="1"/>
    <col min="36" max="37" width="13.75" style="46" bestFit="1" customWidth="1"/>
    <col min="38" max="38" width="14" style="45" customWidth="1"/>
    <col min="39" max="39" width="23.5" style="45" customWidth="1"/>
    <col min="40" max="40" width="16.125" style="45" bestFit="1" customWidth="1"/>
    <col min="41" max="41" width="15" style="45" customWidth="1"/>
    <col min="42" max="42" width="9.375" style="45" bestFit="1" customWidth="1"/>
    <col min="43" max="45" width="9" style="54" bestFit="1" customWidth="1"/>
    <col min="46" max="46" width="12.375" style="54" customWidth="1"/>
    <col min="47" max="16384" width="8.875" style="16"/>
  </cols>
  <sheetData>
    <row r="1" spans="1:46" ht="16.5" customHeight="1" x14ac:dyDescent="0.3">
      <c r="A1" s="48"/>
      <c r="B1" s="48"/>
      <c r="C1" s="99" t="s">
        <v>140</v>
      </c>
      <c r="D1" s="100"/>
      <c r="E1" s="100"/>
      <c r="F1" s="100"/>
      <c r="G1" s="100"/>
      <c r="H1" s="100"/>
      <c r="I1" s="101"/>
      <c r="J1" s="102" t="s">
        <v>141</v>
      </c>
      <c r="K1" s="103"/>
      <c r="L1" s="103"/>
      <c r="M1" s="103"/>
      <c r="N1" s="103"/>
      <c r="O1" s="103"/>
      <c r="P1" s="104"/>
      <c r="Q1" s="99" t="s">
        <v>142</v>
      </c>
      <c r="R1" s="100"/>
      <c r="S1" s="100"/>
      <c r="T1" s="100"/>
      <c r="U1" s="100"/>
      <c r="V1" s="100"/>
      <c r="W1" s="101"/>
      <c r="X1" s="102" t="s">
        <v>86</v>
      </c>
      <c r="Y1" s="103"/>
      <c r="Z1" s="103"/>
      <c r="AA1" s="103"/>
      <c r="AB1" s="103"/>
      <c r="AC1" s="103"/>
      <c r="AD1" s="104"/>
      <c r="AE1" s="99" t="s">
        <v>164</v>
      </c>
      <c r="AF1" s="100"/>
      <c r="AG1" s="100"/>
      <c r="AH1" s="100"/>
      <c r="AI1" s="100"/>
      <c r="AJ1" s="100"/>
      <c r="AK1" s="101"/>
      <c r="AL1" s="105" t="s">
        <v>92</v>
      </c>
      <c r="AM1" s="105"/>
      <c r="AN1" s="105"/>
      <c r="AO1" s="105"/>
      <c r="AP1" s="105"/>
      <c r="AQ1" s="98" t="s">
        <v>113</v>
      </c>
      <c r="AR1" s="98"/>
      <c r="AS1" s="98"/>
      <c r="AT1" s="98"/>
    </row>
    <row r="2" spans="1:46" x14ac:dyDescent="0.3">
      <c r="A2" s="48" t="s">
        <v>68</v>
      </c>
      <c r="B2" s="48" t="s">
        <v>87</v>
      </c>
      <c r="C2" s="49" t="s">
        <v>139</v>
      </c>
      <c r="D2" s="49" t="s">
        <v>144</v>
      </c>
      <c r="E2" s="49" t="s">
        <v>101</v>
      </c>
      <c r="F2" s="49" t="s">
        <v>2</v>
      </c>
      <c r="G2" s="49" t="s">
        <v>17</v>
      </c>
      <c r="H2" s="77" t="s">
        <v>125</v>
      </c>
      <c r="I2" s="78" t="s">
        <v>123</v>
      </c>
      <c r="J2" s="48" t="s">
        <v>139</v>
      </c>
      <c r="K2" s="48" t="s">
        <v>145</v>
      </c>
      <c r="L2" s="48" t="s">
        <v>14</v>
      </c>
      <c r="M2" s="48" t="s">
        <v>2</v>
      </c>
      <c r="N2" s="48" t="s">
        <v>17</v>
      </c>
      <c r="O2" s="68" t="s">
        <v>124</v>
      </c>
      <c r="P2" s="69" t="s">
        <v>123</v>
      </c>
      <c r="Q2" s="79" t="s">
        <v>143</v>
      </c>
      <c r="R2" s="79" t="s">
        <v>145</v>
      </c>
      <c r="S2" s="49" t="s">
        <v>101</v>
      </c>
      <c r="T2" s="49" t="s">
        <v>110</v>
      </c>
      <c r="U2" s="49" t="s">
        <v>17</v>
      </c>
      <c r="V2" s="77" t="s">
        <v>133</v>
      </c>
      <c r="W2" s="78" t="s">
        <v>123</v>
      </c>
      <c r="X2" s="65" t="s">
        <v>143</v>
      </c>
      <c r="Y2" s="65" t="s">
        <v>145</v>
      </c>
      <c r="Z2" s="48" t="s">
        <v>101</v>
      </c>
      <c r="AA2" s="48" t="s">
        <v>110</v>
      </c>
      <c r="AB2" s="48" t="s">
        <v>17</v>
      </c>
      <c r="AC2" s="68" t="s">
        <v>133</v>
      </c>
      <c r="AD2" s="69" t="s">
        <v>123</v>
      </c>
      <c r="AE2" s="79" t="s">
        <v>143</v>
      </c>
      <c r="AF2" s="79" t="s">
        <v>145</v>
      </c>
      <c r="AG2" s="49" t="s">
        <v>101</v>
      </c>
      <c r="AH2" s="49" t="s">
        <v>110</v>
      </c>
      <c r="AI2" s="49" t="s">
        <v>17</v>
      </c>
      <c r="AJ2" s="77" t="s">
        <v>133</v>
      </c>
      <c r="AK2" s="78" t="s">
        <v>123</v>
      </c>
      <c r="AL2" s="50" t="s">
        <v>112</v>
      </c>
      <c r="AM2" s="50" t="s">
        <v>90</v>
      </c>
      <c r="AN2" s="50" t="s">
        <v>91</v>
      </c>
      <c r="AO2" s="80" t="s">
        <v>92</v>
      </c>
      <c r="AP2" s="50" t="s">
        <v>93</v>
      </c>
      <c r="AQ2" s="48" t="s">
        <v>114</v>
      </c>
      <c r="AR2" s="48" t="s">
        <v>94</v>
      </c>
      <c r="AS2" s="48" t="s">
        <v>95</v>
      </c>
      <c r="AT2" s="48" t="s">
        <v>106</v>
      </c>
    </row>
    <row r="3" spans="1:46" s="17" customFormat="1" x14ac:dyDescent="0.3">
      <c r="A3" s="65">
        <v>20180102</v>
      </c>
      <c r="B3" s="65" t="s">
        <v>89</v>
      </c>
      <c r="C3" s="79">
        <v>0.4</v>
      </c>
      <c r="D3" s="79">
        <f>F3*G3*I3/AN3</f>
        <v>0.3999999999999998</v>
      </c>
      <c r="E3" s="49">
        <v>2548000</v>
      </c>
      <c r="F3" s="49">
        <v>2551000</v>
      </c>
      <c r="G3" s="49">
        <v>129098494</v>
      </c>
      <c r="H3" s="49">
        <f>ROUND(C3*(F3*G3+M3*N3+T3*U3+AA3*AB3+AH3*AI3)/(F3*G3),17)</f>
        <v>0.43687954017479103</v>
      </c>
      <c r="I3" s="49">
        <f>ROUND(C3*(F3*G3+M3*N3+T3*U3+AA3*AB3+AH3*AI3)/(F3*G3),17)</f>
        <v>0.43687954017479103</v>
      </c>
      <c r="J3" s="48">
        <v>0.6</v>
      </c>
      <c r="K3" s="48">
        <f>M3*N3*P3/AN3</f>
        <v>0.60000000000000009</v>
      </c>
      <c r="L3" s="48">
        <v>221100</v>
      </c>
      <c r="M3" s="48">
        <v>225900</v>
      </c>
      <c r="N3" s="51">
        <v>122666424</v>
      </c>
      <c r="O3" s="48">
        <f>ROUND(J3*(F3*G3+M3*N3+T3*U3+AA3*AB3+AH3*AI3)/(M3*N3),17)</f>
        <v>7.7882998654042304</v>
      </c>
      <c r="P3" s="48">
        <f>ROUND(J3*(F3*G3+M3*N3+T3*U3+AA3*AB3+AH3*AI3)/(M3*N3),17)</f>
        <v>7.7882998654042304</v>
      </c>
      <c r="Q3" s="49">
        <v>0</v>
      </c>
      <c r="R3" s="49">
        <f>T3*U3*W3/AN3</f>
        <v>0</v>
      </c>
      <c r="S3" s="49">
        <v>163300</v>
      </c>
      <c r="T3" s="49">
        <v>166300</v>
      </c>
      <c r="U3" s="49">
        <v>15956260</v>
      </c>
      <c r="V3" s="49">
        <f>ROUND(Q3*(F3*G3+M3*N3+T3*U3+AA3*AB3+AH3*AI3)/(T3*U3),17)</f>
        <v>0</v>
      </c>
      <c r="W3" s="49">
        <f>ROUND(Q3*(F3*G3+M3*N3+T3*U3+AA3*AB3+AH3*AI3)/(T3*U3),17)</f>
        <v>0</v>
      </c>
      <c r="X3" s="48">
        <v>0</v>
      </c>
      <c r="Y3" s="48">
        <f>AA3*AB3*AD3/AN3</f>
        <v>0</v>
      </c>
      <c r="Z3" s="48">
        <v>0</v>
      </c>
      <c r="AA3" s="48">
        <v>0</v>
      </c>
      <c r="AB3" s="48">
        <v>0</v>
      </c>
      <c r="AC3" s="48">
        <f>IFERROR(ROUND(X3*(F3*G3+M3*N3+T3*U3+AA3*AB3+AH3*AI3)/(AA3*AB3),17),0)</f>
        <v>0</v>
      </c>
      <c r="AD3" s="48">
        <f>IFERROR(ROUND(X3*(F3*G3+M3*N3+T3*U3+AA3*AB3+AH3*AI3)/(AA3*AB3),17),0)</f>
        <v>0</v>
      </c>
      <c r="AE3" s="49">
        <v>0</v>
      </c>
      <c r="AF3" s="49">
        <f>AH3*AI3*AK3/AN3</f>
        <v>0</v>
      </c>
      <c r="AG3" s="49">
        <v>0</v>
      </c>
      <c r="AH3" s="49">
        <v>0</v>
      </c>
      <c r="AI3" s="49">
        <v>0</v>
      </c>
      <c r="AJ3" s="49">
        <f>IFERROR(ROUND(AE3*(F3*G3+M3*N3+T3*U3+AA3*AB3+AH3*AI3)/(AH3*AI3),17),0)</f>
        <v>0</v>
      </c>
      <c r="AK3" s="49">
        <f>IFERROR(ROUND(AE3*(F3*G3+M3*N3+T3*U3+AA3*AB3+AH3*AI3)/(AH3*AI3),17),0)</f>
        <v>0</v>
      </c>
      <c r="AL3" s="82" t="e">
        <f>IF(#REF!&lt;&gt;(E3*G3*H3+L3*N3*O3+S3*U3*V3+#REF!*#REF!*#REF!),1,0)</f>
        <v>#REF!</v>
      </c>
      <c r="AM3" s="82">
        <f>F3*G3*I3+M3*N3*P3+T3*U3*W3+AA3*AB3*AD3+AH3*AI3*AK3</f>
        <v>359694129413600</v>
      </c>
      <c r="AN3" s="81">
        <f>F3*G3*I3+M3*N3*P3+T3*U3*W3+AA3*AB3*AD3+AH3*AI3*AK3</f>
        <v>359694129413600</v>
      </c>
      <c r="AO3" s="80">
        <f t="shared" ref="AO3:AO66" si="0">AN3/AM3*1000</f>
        <v>1000</v>
      </c>
      <c r="AP3" s="52" t="e">
        <f>(AO3-#REF!)/#REF!</f>
        <v>#REF!</v>
      </c>
      <c r="AQ3" s="48">
        <f>(F3-E3)/E3</f>
        <v>1.1773940345368916E-3</v>
      </c>
      <c r="AR3" s="48">
        <f>(M3-L3)/L3</f>
        <v>2.1709633649932156E-2</v>
      </c>
      <c r="AS3" s="48">
        <f>(T3-S3)/S3</f>
        <v>1.8371096142069811E-2</v>
      </c>
      <c r="AT3" s="48" t="e">
        <f>(#REF!-#REF!)/#REF!</f>
        <v>#REF!</v>
      </c>
    </row>
    <row r="4" spans="1:46" x14ac:dyDescent="0.3">
      <c r="A4" s="48">
        <v>20180103</v>
      </c>
      <c r="B4" s="48" t="s">
        <v>88</v>
      </c>
      <c r="C4" s="79">
        <v>0.4</v>
      </c>
      <c r="D4" s="79">
        <f t="shared" ref="D4:D67" si="1">F4*G4*I4/AN4</f>
        <v>0.38181437232270959</v>
      </c>
      <c r="E4" s="49">
        <v>2551000</v>
      </c>
      <c r="F4" s="49">
        <v>2581000</v>
      </c>
      <c r="G4" s="49">
        <v>129098494</v>
      </c>
      <c r="H4" s="49">
        <f t="shared" ref="H4:H67" si="2">I3</f>
        <v>0.43687954017479103</v>
      </c>
      <c r="I4" s="49">
        <f>IF(B4="Y",ROUND(C4*(E4*G4+L4*N4+S4*U4+Z4*AB4+AG4*AI4)/(E4*G4),17),IF(AL4=0,H4,ROUND(F3*G3*I3/AN3*(E4*G4+L4*N4+S4*U4+Z4*AB4+AG4*AI4)/(E4*G4),17)))</f>
        <v>0.43687954017479103</v>
      </c>
      <c r="J4" s="48">
        <v>0.6</v>
      </c>
      <c r="K4" s="48">
        <f t="shared" ref="K4:K67" si="3">M4*N4*P4/AN4</f>
        <v>0.61818562767729035</v>
      </c>
      <c r="L4" s="48">
        <v>225900</v>
      </c>
      <c r="M4" s="48">
        <v>246700</v>
      </c>
      <c r="N4" s="51">
        <v>122666424</v>
      </c>
      <c r="O4" s="48">
        <f t="shared" ref="O4:O67" si="4">P3</f>
        <v>7.7882998654042304</v>
      </c>
      <c r="P4" s="48">
        <f>IF(B4="Y",ROUND(J4*(E4*G4+L4*N4+S4*U4+Z4*AB4+AG4*AI4)/(L4*N4),17),IF(AL4=0,O4,ROUND(M3*N3*P3/AN3*(E4*G4+L4*N4+S4*U4+Z4*AB4+AG4*AI4)/(L4*N4),17)))</f>
        <v>7.7882998654042304</v>
      </c>
      <c r="Q4" s="49">
        <v>0</v>
      </c>
      <c r="R4" s="49">
        <f t="shared" ref="R4:R67" si="5">T4*U4*W4/AN4</f>
        <v>0</v>
      </c>
      <c r="S4" s="49">
        <v>166300</v>
      </c>
      <c r="T4" s="49">
        <v>164200</v>
      </c>
      <c r="U4" s="49">
        <v>15956260</v>
      </c>
      <c r="V4" s="49">
        <f t="shared" ref="V4:V67" si="6">W3</f>
        <v>0</v>
      </c>
      <c r="W4" s="49">
        <f>IF(B4="Y",ROUND(Q4*(E4*G4+L4*N4+S4*U4+Z4*AB4+AG4*AI4)/(S4*U4),17),IF(AL4=0,V4,ROUND(T3*U3*W3/AN3*(E4*G4+L4*N4+S4*U4+Z4*AB4+AG4*AI4)/(S4*U4),17)))</f>
        <v>0</v>
      </c>
      <c r="X4" s="48">
        <v>0</v>
      </c>
      <c r="Y4" s="48">
        <f t="shared" ref="Y4:Y67" si="7">AA4*AB4*AD4/AN4</f>
        <v>0</v>
      </c>
      <c r="Z4" s="48">
        <v>0</v>
      </c>
      <c r="AA4" s="48">
        <v>0</v>
      </c>
      <c r="AB4" s="48">
        <v>0</v>
      </c>
      <c r="AC4" s="48">
        <f t="shared" ref="AC4:AC67" si="8">AD3</f>
        <v>0</v>
      </c>
      <c r="AD4" s="48">
        <f>IFERROR(IF(B4="Y",ROUND(X4*(E4*G4+L4*N4+S4*U4+Z4*AB4+AG4*AI4)/(Z4*AB4),17),IF(AL4=0,AC4,ROUND(AA3*AB3*AD3/AN3*(E4*G4+L4*N4+S4*U4+Z4*AB4+AG4*AI4)/(Z4*AB4),17))),0)</f>
        <v>0</v>
      </c>
      <c r="AE4" s="49">
        <v>0</v>
      </c>
      <c r="AF4" s="49">
        <f t="shared" ref="AF4:AF67" si="9">AH4*AI4*AK4/AN4</f>
        <v>0</v>
      </c>
      <c r="AG4" s="49">
        <v>0</v>
      </c>
      <c r="AH4" s="49">
        <v>0</v>
      </c>
      <c r="AI4" s="49">
        <v>0</v>
      </c>
      <c r="AJ4" s="49">
        <f t="shared" ref="AJ4:AJ67" si="10">AK3</f>
        <v>0</v>
      </c>
      <c r="AK4" s="49">
        <f>IFERROR(IF(B4="Y",ROUND(AE4*(E4*G4+L4*N4+S4*U4+Z4*AB4+AG4*AI4)/(AG4*AI4),17),IF(AL4=0,AJ4,ROUND(AH3*AI3*AK3/AN3*(E4*G4+L4*N4+S4*U4+Z4*AB4+AG4*AI4)/(AG4*AI4),17))),0)</f>
        <v>0</v>
      </c>
      <c r="AL4" s="82">
        <f>IF(AN3&lt;&gt;(E4*G4*H4+L4*N4*O4+S4*U4*V4+Z4*AB4*AC4+AG4*AI4*AJ4),1,0)</f>
        <v>0</v>
      </c>
      <c r="AM4" s="82">
        <f>IF(AND(AL4=0,B4="N"),AM3,AM3*(E4*G4*I4+L4*N4*P4+S4*U4*W4+Z4*AB4*AD4+AG4*AI4*AK4)/AN3)</f>
        <v>359694129413600</v>
      </c>
      <c r="AN4" s="81">
        <f t="shared" ref="AN4:AN67" si="11">F4*G4*I4+M4*N4*P4+T4*U4*W4+AA4*AB4*AD4+AH4*AI4*AK4</f>
        <v>381257692319878.75</v>
      </c>
      <c r="AO4" s="80">
        <f t="shared" si="0"/>
        <v>1059.9497215632439</v>
      </c>
      <c r="AP4" s="52">
        <f t="shared" ref="AP4:AP67" si="12">(AO4-AO3)/AO3</f>
        <v>5.9949721563243887E-2</v>
      </c>
      <c r="AQ4" s="48">
        <f>(F4-E4)/E4</f>
        <v>1.1760094080752646E-2</v>
      </c>
      <c r="AR4" s="48">
        <f>(M4-L4)/L4</f>
        <v>9.2076139884904831E-2</v>
      </c>
      <c r="AS4" s="48">
        <f>(T4-S4)/S4</f>
        <v>-1.2627781118460614E-2</v>
      </c>
      <c r="AT4" s="48" t="e">
        <f>(#REF!-#REF!)/#REF!</f>
        <v>#REF!</v>
      </c>
    </row>
    <row r="5" spans="1:46" x14ac:dyDescent="0.3">
      <c r="A5" s="48">
        <v>20180104</v>
      </c>
      <c r="B5" s="48" t="s">
        <v>88</v>
      </c>
      <c r="C5" s="79">
        <v>0.4</v>
      </c>
      <c r="D5" s="79">
        <f t="shared" si="1"/>
        <v>0.37621187532179723</v>
      </c>
      <c r="E5" s="49">
        <v>2581000</v>
      </c>
      <c r="F5" s="49">
        <v>2554000</v>
      </c>
      <c r="G5" s="49">
        <v>129098494</v>
      </c>
      <c r="H5" s="49">
        <f t="shared" si="2"/>
        <v>0.43687954017479103</v>
      </c>
      <c r="I5" s="49">
        <f t="shared" ref="I5:I68" si="13">IF(B5="Y",ROUND(C5*(E5*G5+L5*N5+S5*U5+Z5*AB5+AG5*AI5)/(E5*G5),17),IF(AL5=0,H5,ROUND(F4*G4*I4/AN4*(E5*G5+L5*N5+S5*U5+Z5*AB5+AG5*AI5)/(E5*G5),17)))</f>
        <v>0.43687954017479103</v>
      </c>
      <c r="J5" s="48">
        <v>0.6</v>
      </c>
      <c r="K5" s="48">
        <f t="shared" si="3"/>
        <v>0.62378812467820288</v>
      </c>
      <c r="L5" s="48">
        <v>246700</v>
      </c>
      <c r="M5" s="48">
        <v>250000</v>
      </c>
      <c r="N5" s="51">
        <v>122666424</v>
      </c>
      <c r="O5" s="48">
        <f t="shared" si="4"/>
        <v>7.7882998654042304</v>
      </c>
      <c r="P5" s="48">
        <f t="shared" ref="P5:P68" si="14">IF(B5="Y",ROUND(J5*(E5*G5+L5*N5+S5*U5+Z5*AB5+AG5*AI5)/(L5*N5),17),IF(AL5=0,O5,ROUND(M4*N4*P4/AN4*(E5*G5+L5*N5+S5*U5+Z5*AB5+AG5*AI5)/(L5*N5),17)))</f>
        <v>7.7882998654042304</v>
      </c>
      <c r="Q5" s="49">
        <v>0</v>
      </c>
      <c r="R5" s="49">
        <f t="shared" si="5"/>
        <v>0</v>
      </c>
      <c r="S5" s="49">
        <v>164200</v>
      </c>
      <c r="T5" s="49">
        <v>164400</v>
      </c>
      <c r="U5" s="49">
        <v>15956260</v>
      </c>
      <c r="V5" s="49">
        <f t="shared" si="6"/>
        <v>0</v>
      </c>
      <c r="W5" s="49">
        <f t="shared" ref="W5:W68" si="15">IF(B5="Y",ROUND(Q5*(E5*G5+L5*N5+S5*U5+Z5*AB5+AG5*AI5)/(S5*U5),17),IF(AL5=0,V5,ROUND(T4*U4*W4/AN4*(E5*G5+L5*N5+S5*U5+Z5*AB5+AG5*AI5)/(S5*U5),17)))</f>
        <v>0</v>
      </c>
      <c r="X5" s="48">
        <v>0</v>
      </c>
      <c r="Y5" s="48">
        <f t="shared" si="7"/>
        <v>0</v>
      </c>
      <c r="Z5" s="48">
        <v>0</v>
      </c>
      <c r="AA5" s="48">
        <v>0</v>
      </c>
      <c r="AB5" s="48">
        <v>0</v>
      </c>
      <c r="AC5" s="48">
        <f t="shared" si="8"/>
        <v>0</v>
      </c>
      <c r="AD5" s="48">
        <f t="shared" ref="AD5:AD68" si="16">IFERROR(IF(B5="Y",ROUND(X5*(E5*G5+L5*N5+S5*U5+Z5*AB5+AG5*AI5)/(Z5*AB5),17),IF(AL5=0,AC5,ROUND(AA4*AB4*AD4/AN4*(E5*G5+L5*N5+S5*U5+Z5*AB5+AG5*AI5)/(Z5*AB5),17))),0)</f>
        <v>0</v>
      </c>
      <c r="AE5" s="49">
        <v>0</v>
      </c>
      <c r="AF5" s="49">
        <f t="shared" si="9"/>
        <v>0</v>
      </c>
      <c r="AG5" s="49">
        <v>0</v>
      </c>
      <c r="AH5" s="49">
        <v>0</v>
      </c>
      <c r="AI5" s="49">
        <v>0</v>
      </c>
      <c r="AJ5" s="49">
        <f t="shared" si="10"/>
        <v>0</v>
      </c>
      <c r="AK5" s="49">
        <f t="shared" ref="AK5:AK68" si="17">IFERROR(IF(B5="Y",ROUND(AE5*(E5*G5+L5*N5+S5*U5+Z5*AB5+AG5*AI5)/(AG5*AI5),17),IF(AL5=0,AJ5,ROUND(AH4*AI4*AK4/AN4*(E5*G5+L5*N5+S5*U5+Z5*AB5+AG5*AI5)/(AG5*AI5),17))),0)</f>
        <v>0</v>
      </c>
      <c r="AL5" s="82">
        <f t="shared" ref="AL5:AL68" si="18">IF(AN4&lt;&gt;(E5*G5*H5+L5*N5*O5+S5*U5*V5+Z5*AB5*AC5+AG5*AI5*AJ5),1,0)</f>
        <v>0</v>
      </c>
      <c r="AM5" s="82">
        <f t="shared" ref="AM5:AM68" si="19">IF(AND(AL5=0,B5="N"),AM4,AM4*(E5*G5*I5+L5*N5*P5+S5*U5*W5+Z5*AB5*AD5+AG5*AI5*AK5)/AN4)</f>
        <v>359694129413600</v>
      </c>
      <c r="AN5" s="81">
        <f t="shared" si="11"/>
        <v>382887576619732.37</v>
      </c>
      <c r="AO5" s="80">
        <f t="shared" si="0"/>
        <v>1064.4810279332166</v>
      </c>
      <c r="AP5" s="52">
        <f t="shared" si="12"/>
        <v>4.2750201050006922E-3</v>
      </c>
      <c r="AQ5" s="48">
        <f>(F5-E5)/E5</f>
        <v>-1.0461061604029445E-2</v>
      </c>
      <c r="AR5" s="48">
        <f>(M5-L5)/L5</f>
        <v>1.3376570733684636E-2</v>
      </c>
      <c r="AS5" s="48">
        <f>(T5-S5)/S5</f>
        <v>1.2180267965895249E-3</v>
      </c>
      <c r="AT5" s="48" t="e">
        <f>(#REF!-#REF!)/#REF!</f>
        <v>#REF!</v>
      </c>
    </row>
    <row r="6" spans="1:46" x14ac:dyDescent="0.3">
      <c r="A6" s="48">
        <v>20180105</v>
      </c>
      <c r="B6" s="48" t="s">
        <v>88</v>
      </c>
      <c r="C6" s="79">
        <v>0.4</v>
      </c>
      <c r="D6" s="79">
        <f t="shared" si="1"/>
        <v>0.36565198534834009</v>
      </c>
      <c r="E6" s="49">
        <v>2554000</v>
      </c>
      <c r="F6" s="49">
        <v>2606000</v>
      </c>
      <c r="G6" s="49">
        <v>129098494</v>
      </c>
      <c r="H6" s="49">
        <f t="shared" si="2"/>
        <v>0.43687954017479103</v>
      </c>
      <c r="I6" s="49">
        <f t="shared" si="13"/>
        <v>0.43687954017479103</v>
      </c>
      <c r="J6" s="48">
        <v>0.6</v>
      </c>
      <c r="K6" s="48">
        <f t="shared" si="3"/>
        <v>0.63434801465165991</v>
      </c>
      <c r="L6" s="48">
        <v>250000</v>
      </c>
      <c r="M6" s="48">
        <v>266900</v>
      </c>
      <c r="N6" s="51">
        <v>122666424</v>
      </c>
      <c r="O6" s="48">
        <f t="shared" si="4"/>
        <v>7.7882998654042304</v>
      </c>
      <c r="P6" s="48">
        <f t="shared" si="14"/>
        <v>7.7882998654042304</v>
      </c>
      <c r="Q6" s="49">
        <v>0</v>
      </c>
      <c r="R6" s="49">
        <f t="shared" si="5"/>
        <v>0</v>
      </c>
      <c r="S6" s="49">
        <v>164400</v>
      </c>
      <c r="T6" s="49">
        <v>170500</v>
      </c>
      <c r="U6" s="49">
        <v>15956260</v>
      </c>
      <c r="V6" s="49">
        <f t="shared" si="6"/>
        <v>0</v>
      </c>
      <c r="W6" s="49">
        <f t="shared" si="15"/>
        <v>0</v>
      </c>
      <c r="X6" s="48">
        <v>0</v>
      </c>
      <c r="Y6" s="48">
        <f t="shared" si="7"/>
        <v>0</v>
      </c>
      <c r="Z6" s="48">
        <v>0</v>
      </c>
      <c r="AA6" s="48">
        <v>0</v>
      </c>
      <c r="AB6" s="48">
        <v>0</v>
      </c>
      <c r="AC6" s="48">
        <f t="shared" si="8"/>
        <v>0</v>
      </c>
      <c r="AD6" s="48">
        <f t="shared" si="16"/>
        <v>0</v>
      </c>
      <c r="AE6" s="49">
        <v>0</v>
      </c>
      <c r="AF6" s="49">
        <f t="shared" si="9"/>
        <v>0</v>
      </c>
      <c r="AG6" s="49">
        <v>0</v>
      </c>
      <c r="AH6" s="49">
        <v>0</v>
      </c>
      <c r="AI6" s="49">
        <v>0</v>
      </c>
      <c r="AJ6" s="49">
        <f t="shared" si="10"/>
        <v>0</v>
      </c>
      <c r="AK6" s="49">
        <f t="shared" si="17"/>
        <v>0</v>
      </c>
      <c r="AL6" s="82">
        <f t="shared" si="18"/>
        <v>0</v>
      </c>
      <c r="AM6" s="82">
        <f t="shared" si="19"/>
        <v>359694129413600</v>
      </c>
      <c r="AN6" s="81">
        <f t="shared" si="11"/>
        <v>401966035036560.31</v>
      </c>
      <c r="AO6" s="80">
        <f t="shared" si="0"/>
        <v>1117.5218113564299</v>
      </c>
      <c r="AP6" s="52">
        <f t="shared" si="12"/>
        <v>4.9827833499481534E-2</v>
      </c>
      <c r="AQ6" s="48">
        <f>(F6-E6)/E6</f>
        <v>2.0360219263899765E-2</v>
      </c>
      <c r="AR6" s="48">
        <f>(M6-L6)/L6</f>
        <v>6.7599999999999993E-2</v>
      </c>
      <c r="AS6" s="48">
        <f>(T6-S6)/S6</f>
        <v>3.7104622871046232E-2</v>
      </c>
      <c r="AT6" s="48" t="e">
        <f>(#REF!-#REF!)/#REF!</f>
        <v>#REF!</v>
      </c>
    </row>
    <row r="7" spans="1:46" x14ac:dyDescent="0.3">
      <c r="A7" s="48">
        <v>20180108</v>
      </c>
      <c r="B7" s="48" t="s">
        <v>88</v>
      </c>
      <c r="C7" s="79">
        <v>0.4</v>
      </c>
      <c r="D7" s="79">
        <f t="shared" si="1"/>
        <v>0.33669813194754167</v>
      </c>
      <c r="E7" s="49">
        <v>2606000</v>
      </c>
      <c r="F7" s="49">
        <v>2601000</v>
      </c>
      <c r="G7" s="49">
        <v>129098494</v>
      </c>
      <c r="H7" s="49">
        <f t="shared" si="2"/>
        <v>0.43687954017479103</v>
      </c>
      <c r="I7" s="49">
        <f t="shared" si="13"/>
        <v>0.43687954017479103</v>
      </c>
      <c r="J7" s="48">
        <v>0.6</v>
      </c>
      <c r="K7" s="48">
        <f t="shared" si="3"/>
        <v>0.66330186805245828</v>
      </c>
      <c r="L7" s="48">
        <v>266900</v>
      </c>
      <c r="M7" s="48">
        <v>302500</v>
      </c>
      <c r="N7" s="51">
        <v>122666424</v>
      </c>
      <c r="O7" s="48">
        <f t="shared" si="4"/>
        <v>7.7882998654042304</v>
      </c>
      <c r="P7" s="48">
        <f t="shared" si="14"/>
        <v>7.7882998654042304</v>
      </c>
      <c r="Q7" s="49">
        <v>0</v>
      </c>
      <c r="R7" s="49">
        <f t="shared" si="5"/>
        <v>0</v>
      </c>
      <c r="S7" s="49">
        <v>170500</v>
      </c>
      <c r="T7" s="49">
        <v>170200</v>
      </c>
      <c r="U7" s="49">
        <v>15956260</v>
      </c>
      <c r="V7" s="49">
        <f t="shared" si="6"/>
        <v>0</v>
      </c>
      <c r="W7" s="49">
        <f t="shared" si="15"/>
        <v>0</v>
      </c>
      <c r="X7" s="48">
        <v>0</v>
      </c>
      <c r="Y7" s="48">
        <f t="shared" si="7"/>
        <v>0</v>
      </c>
      <c r="Z7" s="48">
        <v>0</v>
      </c>
      <c r="AA7" s="48">
        <v>0</v>
      </c>
      <c r="AB7" s="48">
        <v>0</v>
      </c>
      <c r="AC7" s="48">
        <f t="shared" si="8"/>
        <v>0</v>
      </c>
      <c r="AD7" s="48">
        <f t="shared" si="16"/>
        <v>0</v>
      </c>
      <c r="AE7" s="49">
        <v>0</v>
      </c>
      <c r="AF7" s="49">
        <f t="shared" si="9"/>
        <v>0</v>
      </c>
      <c r="AG7" s="49">
        <v>0</v>
      </c>
      <c r="AH7" s="49">
        <v>0</v>
      </c>
      <c r="AI7" s="49">
        <v>0</v>
      </c>
      <c r="AJ7" s="49">
        <f t="shared" si="10"/>
        <v>0</v>
      </c>
      <c r="AK7" s="49">
        <f t="shared" si="17"/>
        <v>0</v>
      </c>
      <c r="AL7" s="82">
        <f t="shared" si="18"/>
        <v>0</v>
      </c>
      <c r="AM7" s="82">
        <f t="shared" si="19"/>
        <v>359694129413600</v>
      </c>
      <c r="AN7" s="81">
        <f t="shared" si="11"/>
        <v>435694951592706.31</v>
      </c>
      <c r="AO7" s="80">
        <f t="shared" si="0"/>
        <v>1211.2929179661855</v>
      </c>
      <c r="AP7" s="52">
        <f t="shared" si="12"/>
        <v>8.3909867044060449E-2</v>
      </c>
      <c r="AQ7" s="48">
        <f>(F7-E7)/E7</f>
        <v>-1.918649270913277E-3</v>
      </c>
      <c r="AR7" s="48">
        <f>(M7-L7)/L7</f>
        <v>0.13338328962158111</v>
      </c>
      <c r="AS7" s="48">
        <f>(T7-S7)/S7</f>
        <v>-1.7595307917888563E-3</v>
      </c>
      <c r="AT7" s="48" t="e">
        <f>(#REF!-#REF!)/#REF!</f>
        <v>#REF!</v>
      </c>
    </row>
    <row r="8" spans="1:46" x14ac:dyDescent="0.3">
      <c r="A8" s="48">
        <v>20180109</v>
      </c>
      <c r="B8" s="48" t="s">
        <v>88</v>
      </c>
      <c r="C8" s="79">
        <v>0.4</v>
      </c>
      <c r="D8" s="79">
        <f t="shared" si="1"/>
        <v>0.33714036721820001</v>
      </c>
      <c r="E8" s="49">
        <v>2601000</v>
      </c>
      <c r="F8" s="49">
        <v>2520000</v>
      </c>
      <c r="G8" s="49">
        <v>129098494</v>
      </c>
      <c r="H8" s="49">
        <f t="shared" si="2"/>
        <v>0.43687954017479103</v>
      </c>
      <c r="I8" s="49">
        <f t="shared" si="13"/>
        <v>0.43687954017479103</v>
      </c>
      <c r="J8" s="48">
        <v>0.6</v>
      </c>
      <c r="K8" s="48">
        <f t="shared" si="3"/>
        <v>0.66285963278179993</v>
      </c>
      <c r="L8" s="48">
        <v>302500</v>
      </c>
      <c r="M8" s="48">
        <v>292500</v>
      </c>
      <c r="N8" s="51">
        <v>122666424</v>
      </c>
      <c r="O8" s="48">
        <f t="shared" si="4"/>
        <v>7.7882998654042304</v>
      </c>
      <c r="P8" s="48">
        <f t="shared" si="14"/>
        <v>7.7882998654042304</v>
      </c>
      <c r="Q8" s="49">
        <v>0</v>
      </c>
      <c r="R8" s="49">
        <f t="shared" si="5"/>
        <v>0</v>
      </c>
      <c r="S8" s="49">
        <v>170200</v>
      </c>
      <c r="T8" s="49">
        <v>164000</v>
      </c>
      <c r="U8" s="49">
        <v>15956260</v>
      </c>
      <c r="V8" s="49">
        <f t="shared" si="6"/>
        <v>0</v>
      </c>
      <c r="W8" s="49">
        <f t="shared" si="15"/>
        <v>0</v>
      </c>
      <c r="X8" s="48">
        <v>0</v>
      </c>
      <c r="Y8" s="48">
        <f t="shared" si="7"/>
        <v>0</v>
      </c>
      <c r="Z8" s="48">
        <v>0</v>
      </c>
      <c r="AA8" s="48">
        <v>0</v>
      </c>
      <c r="AB8" s="48">
        <v>0</v>
      </c>
      <c r="AC8" s="48">
        <f t="shared" si="8"/>
        <v>0</v>
      </c>
      <c r="AD8" s="48">
        <f t="shared" si="16"/>
        <v>0</v>
      </c>
      <c r="AE8" s="49">
        <v>0</v>
      </c>
      <c r="AF8" s="49">
        <f t="shared" si="9"/>
        <v>0</v>
      </c>
      <c r="AG8" s="49">
        <v>0</v>
      </c>
      <c r="AH8" s="49">
        <v>0</v>
      </c>
      <c r="AI8" s="49">
        <v>0</v>
      </c>
      <c r="AJ8" s="49">
        <f t="shared" si="10"/>
        <v>0</v>
      </c>
      <c r="AK8" s="49">
        <f t="shared" si="17"/>
        <v>0</v>
      </c>
      <c r="AL8" s="82">
        <f t="shared" si="18"/>
        <v>0</v>
      </c>
      <c r="AM8" s="82">
        <f t="shared" si="19"/>
        <v>359694129413600</v>
      </c>
      <c r="AN8" s="81">
        <f t="shared" si="11"/>
        <v>421572882911043.94</v>
      </c>
      <c r="AO8" s="80">
        <f t="shared" si="0"/>
        <v>1172.0315913921734</v>
      </c>
      <c r="AP8" s="52">
        <f t="shared" si="12"/>
        <v>-3.2412743434456527E-2</v>
      </c>
      <c r="AQ8" s="48">
        <f>(F8-E8)/E8</f>
        <v>-3.1141868512110725E-2</v>
      </c>
      <c r="AR8" s="48">
        <f>(M8-L8)/L8</f>
        <v>-3.3057851239669422E-2</v>
      </c>
      <c r="AS8" s="48">
        <f>(T8-S8)/S8</f>
        <v>-3.6427732079905996E-2</v>
      </c>
      <c r="AT8" s="48" t="e">
        <f>(#REF!-#REF!)/#REF!</f>
        <v>#REF!</v>
      </c>
    </row>
    <row r="9" spans="1:46" x14ac:dyDescent="0.3">
      <c r="A9" s="48">
        <v>20180110</v>
      </c>
      <c r="B9" s="48" t="s">
        <v>88</v>
      </c>
      <c r="C9" s="79">
        <v>0.4</v>
      </c>
      <c r="D9" s="79">
        <f t="shared" si="1"/>
        <v>0.32752507611804543</v>
      </c>
      <c r="E9" s="49">
        <v>2520000</v>
      </c>
      <c r="F9" s="49">
        <v>2442000</v>
      </c>
      <c r="G9" s="49">
        <v>129098494</v>
      </c>
      <c r="H9" s="49">
        <f t="shared" si="2"/>
        <v>0.43687954017479103</v>
      </c>
      <c r="I9" s="49">
        <f t="shared" si="13"/>
        <v>0.43687954017479103</v>
      </c>
      <c r="J9" s="48">
        <v>0.6</v>
      </c>
      <c r="K9" s="48">
        <f t="shared" si="3"/>
        <v>0.67247492388195462</v>
      </c>
      <c r="L9" s="48">
        <v>292500</v>
      </c>
      <c r="M9" s="48">
        <v>296000</v>
      </c>
      <c r="N9" s="51">
        <v>122666424</v>
      </c>
      <c r="O9" s="48">
        <f t="shared" si="4"/>
        <v>7.7882998654042304</v>
      </c>
      <c r="P9" s="48">
        <f t="shared" si="14"/>
        <v>7.7882998654042304</v>
      </c>
      <c r="Q9" s="49">
        <v>0</v>
      </c>
      <c r="R9" s="49">
        <f t="shared" si="5"/>
        <v>0</v>
      </c>
      <c r="S9" s="49">
        <v>164000</v>
      </c>
      <c r="T9" s="49">
        <v>164000</v>
      </c>
      <c r="U9" s="49">
        <v>15956260</v>
      </c>
      <c r="V9" s="49">
        <f t="shared" si="6"/>
        <v>0</v>
      </c>
      <c r="W9" s="49">
        <f t="shared" si="15"/>
        <v>0</v>
      </c>
      <c r="X9" s="48">
        <v>0</v>
      </c>
      <c r="Y9" s="48">
        <f t="shared" si="7"/>
        <v>0</v>
      </c>
      <c r="Z9" s="48">
        <v>0</v>
      </c>
      <c r="AA9" s="48">
        <v>0</v>
      </c>
      <c r="AB9" s="48">
        <v>0</v>
      </c>
      <c r="AC9" s="48">
        <f t="shared" si="8"/>
        <v>0</v>
      </c>
      <c r="AD9" s="48">
        <f t="shared" si="16"/>
        <v>0</v>
      </c>
      <c r="AE9" s="49">
        <v>0</v>
      </c>
      <c r="AF9" s="49">
        <f t="shared" si="9"/>
        <v>0</v>
      </c>
      <c r="AG9" s="49">
        <v>0</v>
      </c>
      <c r="AH9" s="49">
        <v>0</v>
      </c>
      <c r="AI9" s="49">
        <v>0</v>
      </c>
      <c r="AJ9" s="49">
        <f t="shared" si="10"/>
        <v>0</v>
      </c>
      <c r="AK9" s="49">
        <f t="shared" si="17"/>
        <v>0</v>
      </c>
      <c r="AL9" s="82">
        <f t="shared" si="18"/>
        <v>0</v>
      </c>
      <c r="AM9" s="82">
        <f t="shared" si="19"/>
        <v>359694129413600</v>
      </c>
      <c r="AN9" s="81">
        <f t="shared" si="11"/>
        <v>420517414764108.5</v>
      </c>
      <c r="AO9" s="80">
        <f t="shared" si="0"/>
        <v>1169.0972422865705</v>
      </c>
      <c r="AP9" s="52">
        <f t="shared" si="12"/>
        <v>-2.5036433549691264E-3</v>
      </c>
      <c r="AQ9" s="48">
        <f>(F9-E9)/E9</f>
        <v>-3.0952380952380953E-2</v>
      </c>
      <c r="AR9" s="48">
        <f>(M9-L9)/L9</f>
        <v>1.1965811965811967E-2</v>
      </c>
      <c r="AS9" s="48">
        <f>(T9-S9)/S9</f>
        <v>0</v>
      </c>
      <c r="AT9" s="48" t="e">
        <f>(#REF!-#REF!)/#REF!</f>
        <v>#REF!</v>
      </c>
    </row>
    <row r="10" spans="1:46" x14ac:dyDescent="0.3">
      <c r="A10" s="48">
        <v>20180111</v>
      </c>
      <c r="B10" s="48" t="s">
        <v>88</v>
      </c>
      <c r="C10" s="79">
        <v>0.4</v>
      </c>
      <c r="D10" s="79">
        <f t="shared" si="1"/>
        <v>0.31685787613129807</v>
      </c>
      <c r="E10" s="49">
        <v>2442000</v>
      </c>
      <c r="F10" s="49">
        <v>2412000</v>
      </c>
      <c r="G10" s="49">
        <v>129098494</v>
      </c>
      <c r="H10" s="49">
        <f t="shared" si="2"/>
        <v>0.43687954017479103</v>
      </c>
      <c r="I10" s="49">
        <f t="shared" si="13"/>
        <v>0.43687954017479103</v>
      </c>
      <c r="J10" s="48">
        <v>0.6</v>
      </c>
      <c r="K10" s="48">
        <f t="shared" si="3"/>
        <v>0.68314212386870188</v>
      </c>
      <c r="L10" s="48">
        <v>296000</v>
      </c>
      <c r="M10" s="48">
        <v>307000</v>
      </c>
      <c r="N10" s="51">
        <v>122666424</v>
      </c>
      <c r="O10" s="48">
        <f t="shared" si="4"/>
        <v>7.7882998654042304</v>
      </c>
      <c r="P10" s="48">
        <f t="shared" si="14"/>
        <v>7.7882998654042304</v>
      </c>
      <c r="Q10" s="49">
        <v>0</v>
      </c>
      <c r="R10" s="49">
        <f t="shared" si="5"/>
        <v>0</v>
      </c>
      <c r="S10" s="49">
        <v>164000</v>
      </c>
      <c r="T10" s="49">
        <v>169000</v>
      </c>
      <c r="U10" s="49">
        <v>15956260</v>
      </c>
      <c r="V10" s="49">
        <f t="shared" si="6"/>
        <v>0</v>
      </c>
      <c r="W10" s="49">
        <f t="shared" si="15"/>
        <v>0</v>
      </c>
      <c r="X10" s="48">
        <v>0</v>
      </c>
      <c r="Y10" s="48">
        <f t="shared" si="7"/>
        <v>0</v>
      </c>
      <c r="Z10" s="48">
        <v>0</v>
      </c>
      <c r="AA10" s="48">
        <v>0</v>
      </c>
      <c r="AB10" s="48">
        <v>0</v>
      </c>
      <c r="AC10" s="48">
        <f t="shared" si="8"/>
        <v>0</v>
      </c>
      <c r="AD10" s="48">
        <f t="shared" si="16"/>
        <v>0</v>
      </c>
      <c r="AE10" s="49">
        <v>0</v>
      </c>
      <c r="AF10" s="49">
        <f t="shared" si="9"/>
        <v>0</v>
      </c>
      <c r="AG10" s="49">
        <v>0</v>
      </c>
      <c r="AH10" s="49">
        <v>0</v>
      </c>
      <c r="AI10" s="49">
        <v>0</v>
      </c>
      <c r="AJ10" s="49">
        <f t="shared" si="10"/>
        <v>0</v>
      </c>
      <c r="AK10" s="49">
        <f t="shared" si="17"/>
        <v>0</v>
      </c>
      <c r="AL10" s="82">
        <f t="shared" si="18"/>
        <v>0</v>
      </c>
      <c r="AM10" s="82">
        <f t="shared" si="19"/>
        <v>359694129413600</v>
      </c>
      <c r="AN10" s="81">
        <f t="shared" si="11"/>
        <v>429334391872046.19</v>
      </c>
      <c r="AO10" s="80">
        <f t="shared" si="0"/>
        <v>1193.6096721177487</v>
      </c>
      <c r="AP10" s="52">
        <f t="shared" si="12"/>
        <v>2.096697258752896E-2</v>
      </c>
      <c r="AQ10" s="48">
        <f>(F10-E10)/E10</f>
        <v>-1.2285012285012284E-2</v>
      </c>
      <c r="AR10" s="48">
        <f>(M10-L10)/L10</f>
        <v>3.7162162162162164E-2</v>
      </c>
      <c r="AS10" s="48">
        <f>(T10-S10)/S10</f>
        <v>3.048780487804878E-2</v>
      </c>
      <c r="AT10" s="48" t="e">
        <f>(#REF!-#REF!)/#REF!</f>
        <v>#REF!</v>
      </c>
    </row>
    <row r="11" spans="1:46" x14ac:dyDescent="0.3">
      <c r="A11" s="48">
        <v>20180112</v>
      </c>
      <c r="B11" s="48" t="s">
        <v>88</v>
      </c>
      <c r="C11" s="79">
        <v>0.4</v>
      </c>
      <c r="D11" s="79">
        <f t="shared" si="1"/>
        <v>0.29409474419876613</v>
      </c>
      <c r="E11" s="49">
        <v>2412000</v>
      </c>
      <c r="F11" s="49">
        <v>2410000</v>
      </c>
      <c r="G11" s="49">
        <v>129098494</v>
      </c>
      <c r="H11" s="49">
        <f t="shared" si="2"/>
        <v>0.43687954017479103</v>
      </c>
      <c r="I11" s="49">
        <f t="shared" si="13"/>
        <v>0.43687954017479103</v>
      </c>
      <c r="J11" s="48">
        <v>0.6</v>
      </c>
      <c r="K11" s="48">
        <f t="shared" si="3"/>
        <v>0.70590525580123376</v>
      </c>
      <c r="L11" s="48">
        <v>307000</v>
      </c>
      <c r="M11" s="48">
        <v>341500</v>
      </c>
      <c r="N11" s="51">
        <v>122666424</v>
      </c>
      <c r="O11" s="48">
        <f t="shared" si="4"/>
        <v>7.7882998654042304</v>
      </c>
      <c r="P11" s="48">
        <f t="shared" si="14"/>
        <v>7.7882998654042304</v>
      </c>
      <c r="Q11" s="49">
        <v>0</v>
      </c>
      <c r="R11" s="49">
        <f t="shared" si="5"/>
        <v>0</v>
      </c>
      <c r="S11" s="49">
        <v>169000</v>
      </c>
      <c r="T11" s="49">
        <v>177500</v>
      </c>
      <c r="U11" s="49">
        <v>15956260</v>
      </c>
      <c r="V11" s="49">
        <f t="shared" si="6"/>
        <v>0</v>
      </c>
      <c r="W11" s="49">
        <f t="shared" si="15"/>
        <v>0</v>
      </c>
      <c r="X11" s="48">
        <v>0</v>
      </c>
      <c r="Y11" s="48">
        <f t="shared" si="7"/>
        <v>0</v>
      </c>
      <c r="Z11" s="48">
        <v>0</v>
      </c>
      <c r="AA11" s="48">
        <v>0</v>
      </c>
      <c r="AB11" s="48">
        <v>0</v>
      </c>
      <c r="AC11" s="48">
        <f t="shared" si="8"/>
        <v>0</v>
      </c>
      <c r="AD11" s="48">
        <f t="shared" si="16"/>
        <v>0</v>
      </c>
      <c r="AE11" s="49">
        <v>0</v>
      </c>
      <c r="AF11" s="49">
        <f t="shared" si="9"/>
        <v>0</v>
      </c>
      <c r="AG11" s="49">
        <v>0</v>
      </c>
      <c r="AH11" s="49">
        <v>0</v>
      </c>
      <c r="AI11" s="49">
        <v>0</v>
      </c>
      <c r="AJ11" s="49">
        <f t="shared" si="10"/>
        <v>0</v>
      </c>
      <c r="AK11" s="49">
        <f t="shared" si="17"/>
        <v>0</v>
      </c>
      <c r="AL11" s="82">
        <f t="shared" si="18"/>
        <v>0</v>
      </c>
      <c r="AM11" s="82">
        <f t="shared" si="19"/>
        <v>359694129413600</v>
      </c>
      <c r="AN11" s="81">
        <f t="shared" si="11"/>
        <v>462181610717398.5</v>
      </c>
      <c r="AO11" s="80">
        <f t="shared" si="0"/>
        <v>1284.9295357443871</v>
      </c>
      <c r="AP11" s="52">
        <f t="shared" si="12"/>
        <v>7.6507308678736771E-2</v>
      </c>
      <c r="AQ11" s="48">
        <f>(F11-E11)/E11</f>
        <v>-8.2918739635157548E-4</v>
      </c>
      <c r="AR11" s="48">
        <f>(M11-L11)/L11</f>
        <v>0.11237785016286644</v>
      </c>
      <c r="AS11" s="48">
        <f>(T11-S11)/S11</f>
        <v>5.0295857988165681E-2</v>
      </c>
      <c r="AT11" s="48" t="e">
        <f>(#REF!-#REF!)/#REF!</f>
        <v>#REF!</v>
      </c>
    </row>
    <row r="12" spans="1:46" x14ac:dyDescent="0.3">
      <c r="A12" s="48">
        <v>20180115</v>
      </c>
      <c r="B12" s="48" t="s">
        <v>88</v>
      </c>
      <c r="C12" s="79">
        <v>0.4</v>
      </c>
      <c r="D12" s="79">
        <f t="shared" si="1"/>
        <v>0.29046322495967347</v>
      </c>
      <c r="E12" s="49">
        <v>2410000</v>
      </c>
      <c r="F12" s="49">
        <v>2427000</v>
      </c>
      <c r="G12" s="49">
        <v>129098494</v>
      </c>
      <c r="H12" s="49">
        <f t="shared" si="2"/>
        <v>0.43687954017479103</v>
      </c>
      <c r="I12" s="49">
        <f t="shared" si="13"/>
        <v>0.43687954017479103</v>
      </c>
      <c r="J12" s="48">
        <v>0.6</v>
      </c>
      <c r="K12" s="48">
        <f t="shared" si="3"/>
        <v>0.70953677504032664</v>
      </c>
      <c r="L12" s="48">
        <v>341500</v>
      </c>
      <c r="M12" s="48">
        <v>350000</v>
      </c>
      <c r="N12" s="51">
        <v>122666424</v>
      </c>
      <c r="O12" s="48">
        <f t="shared" si="4"/>
        <v>7.7882998654042304</v>
      </c>
      <c r="P12" s="48">
        <f t="shared" si="14"/>
        <v>7.7882998654042304</v>
      </c>
      <c r="Q12" s="49">
        <v>0</v>
      </c>
      <c r="R12" s="49">
        <f t="shared" si="5"/>
        <v>0</v>
      </c>
      <c r="S12" s="49">
        <v>177500</v>
      </c>
      <c r="T12" s="49">
        <v>230700</v>
      </c>
      <c r="U12" s="49">
        <v>15956260</v>
      </c>
      <c r="V12" s="49">
        <f t="shared" si="6"/>
        <v>0</v>
      </c>
      <c r="W12" s="49">
        <f t="shared" si="15"/>
        <v>0</v>
      </c>
      <c r="X12" s="48">
        <v>0</v>
      </c>
      <c r="Y12" s="48">
        <f t="shared" si="7"/>
        <v>0</v>
      </c>
      <c r="Z12" s="48">
        <v>0</v>
      </c>
      <c r="AA12" s="48">
        <v>0</v>
      </c>
      <c r="AB12" s="48">
        <v>0</v>
      </c>
      <c r="AC12" s="48">
        <f t="shared" si="8"/>
        <v>0</v>
      </c>
      <c r="AD12" s="48">
        <f t="shared" si="16"/>
        <v>0</v>
      </c>
      <c r="AE12" s="49">
        <v>0</v>
      </c>
      <c r="AF12" s="49">
        <f t="shared" si="9"/>
        <v>0</v>
      </c>
      <c r="AG12" s="49">
        <v>0</v>
      </c>
      <c r="AH12" s="49">
        <v>0</v>
      </c>
      <c r="AI12" s="49">
        <v>0</v>
      </c>
      <c r="AJ12" s="49">
        <f t="shared" si="10"/>
        <v>0</v>
      </c>
      <c r="AK12" s="49">
        <f t="shared" si="17"/>
        <v>0</v>
      </c>
      <c r="AL12" s="82">
        <f t="shared" si="18"/>
        <v>0</v>
      </c>
      <c r="AM12" s="82">
        <f t="shared" si="19"/>
        <v>359694129413600</v>
      </c>
      <c r="AN12" s="81">
        <f t="shared" si="11"/>
        <v>471261003654225</v>
      </c>
      <c r="AO12" s="80">
        <f t="shared" si="0"/>
        <v>1310.1715182911369</v>
      </c>
      <c r="AP12" s="52">
        <f t="shared" si="12"/>
        <v>1.9644643417840477E-2</v>
      </c>
      <c r="AQ12" s="48">
        <f>(F12-E12)/E12</f>
        <v>7.053941908713693E-3</v>
      </c>
      <c r="AR12" s="48">
        <f>(M12-L12)/L12</f>
        <v>2.4890190336749635E-2</v>
      </c>
      <c r="AS12" s="48">
        <f>(T12-S12)/S12</f>
        <v>0.29971830985915493</v>
      </c>
      <c r="AT12" s="48" t="e">
        <f>(#REF!-#REF!)/#REF!</f>
        <v>#REF!</v>
      </c>
    </row>
    <row r="13" spans="1:46" x14ac:dyDescent="0.3">
      <c r="A13" s="48">
        <v>20180116</v>
      </c>
      <c r="B13" s="48" t="s">
        <v>88</v>
      </c>
      <c r="C13" s="79">
        <v>0.4</v>
      </c>
      <c r="D13" s="79">
        <f t="shared" si="1"/>
        <v>0.29816647810507702</v>
      </c>
      <c r="E13" s="49">
        <v>2427000</v>
      </c>
      <c r="F13" s="49">
        <v>2500000</v>
      </c>
      <c r="G13" s="49">
        <v>129098494</v>
      </c>
      <c r="H13" s="49">
        <f t="shared" si="2"/>
        <v>0.43687954017479103</v>
      </c>
      <c r="I13" s="49">
        <f t="shared" si="13"/>
        <v>0.43687954017479103</v>
      </c>
      <c r="J13" s="48">
        <v>0.6</v>
      </c>
      <c r="K13" s="48">
        <f t="shared" si="3"/>
        <v>0.70183352189492287</v>
      </c>
      <c r="L13" s="48">
        <v>350000</v>
      </c>
      <c r="M13" s="48">
        <v>347400</v>
      </c>
      <c r="N13" s="51">
        <v>122666424</v>
      </c>
      <c r="O13" s="48">
        <f t="shared" si="4"/>
        <v>7.7882998654042304</v>
      </c>
      <c r="P13" s="48">
        <f t="shared" si="14"/>
        <v>7.7882998654042304</v>
      </c>
      <c r="Q13" s="49">
        <v>0</v>
      </c>
      <c r="R13" s="49">
        <f t="shared" si="5"/>
        <v>0</v>
      </c>
      <c r="S13" s="49">
        <v>230700</v>
      </c>
      <c r="T13" s="49">
        <v>229700</v>
      </c>
      <c r="U13" s="49">
        <v>15956260</v>
      </c>
      <c r="V13" s="49">
        <f t="shared" si="6"/>
        <v>0</v>
      </c>
      <c r="W13" s="49">
        <f t="shared" si="15"/>
        <v>0</v>
      </c>
      <c r="X13" s="48">
        <v>0</v>
      </c>
      <c r="Y13" s="48">
        <f t="shared" si="7"/>
        <v>0</v>
      </c>
      <c r="Z13" s="48">
        <v>0</v>
      </c>
      <c r="AA13" s="48">
        <v>0</v>
      </c>
      <c r="AB13" s="48">
        <v>0</v>
      </c>
      <c r="AC13" s="48">
        <f t="shared" si="8"/>
        <v>0</v>
      </c>
      <c r="AD13" s="48">
        <f t="shared" si="16"/>
        <v>0</v>
      </c>
      <c r="AE13" s="49">
        <v>0</v>
      </c>
      <c r="AF13" s="49">
        <f t="shared" si="9"/>
        <v>0</v>
      </c>
      <c r="AG13" s="49">
        <v>0</v>
      </c>
      <c r="AH13" s="49">
        <v>0</v>
      </c>
      <c r="AI13" s="49">
        <v>0</v>
      </c>
      <c r="AJ13" s="49">
        <f t="shared" si="10"/>
        <v>0</v>
      </c>
      <c r="AK13" s="49">
        <f t="shared" si="17"/>
        <v>0</v>
      </c>
      <c r="AL13" s="82">
        <f t="shared" si="18"/>
        <v>0</v>
      </c>
      <c r="AM13" s="82">
        <f t="shared" si="19"/>
        <v>359694129413600</v>
      </c>
      <c r="AN13" s="81">
        <f t="shared" si="11"/>
        <v>472894295951856.5</v>
      </c>
      <c r="AO13" s="80">
        <f t="shared" si="0"/>
        <v>1314.7122993717016</v>
      </c>
      <c r="AP13" s="52">
        <f t="shared" si="12"/>
        <v>3.4657913236332194E-3</v>
      </c>
      <c r="AQ13" s="48">
        <f>(F13-E13)/E13</f>
        <v>3.0078285949732178E-2</v>
      </c>
      <c r="AR13" s="48">
        <f>(M13-L13)/L13</f>
        <v>-7.4285714285714285E-3</v>
      </c>
      <c r="AS13" s="48">
        <f>(T13-S13)/S13</f>
        <v>-4.3346337234503683E-3</v>
      </c>
      <c r="AT13" s="48" t="e">
        <f>(#REF!-#REF!)/#REF!</f>
        <v>#REF!</v>
      </c>
    </row>
    <row r="14" spans="1:46" x14ac:dyDescent="0.3">
      <c r="A14" s="48">
        <v>20180117</v>
      </c>
      <c r="B14" s="48" t="s">
        <v>88</v>
      </c>
      <c r="C14" s="79">
        <v>0.4</v>
      </c>
      <c r="D14" s="79">
        <f t="shared" si="1"/>
        <v>0.31843011083137707</v>
      </c>
      <c r="E14" s="49">
        <v>2500000</v>
      </c>
      <c r="F14" s="49">
        <v>2481000</v>
      </c>
      <c r="G14" s="49">
        <v>129098494</v>
      </c>
      <c r="H14" s="49">
        <f t="shared" si="2"/>
        <v>0.43687954017479103</v>
      </c>
      <c r="I14" s="49">
        <f t="shared" si="13"/>
        <v>0.43687954017479103</v>
      </c>
      <c r="J14" s="48">
        <v>0.6</v>
      </c>
      <c r="K14" s="48">
        <f t="shared" si="3"/>
        <v>0.68156988916862282</v>
      </c>
      <c r="L14" s="48">
        <v>347400</v>
      </c>
      <c r="M14" s="48">
        <v>313500</v>
      </c>
      <c r="N14" s="51">
        <v>122666424</v>
      </c>
      <c r="O14" s="48">
        <f t="shared" si="4"/>
        <v>7.7882998654042304</v>
      </c>
      <c r="P14" s="48">
        <f t="shared" si="14"/>
        <v>7.7882998654042304</v>
      </c>
      <c r="Q14" s="49">
        <v>0</v>
      </c>
      <c r="R14" s="49">
        <f t="shared" si="5"/>
        <v>0</v>
      </c>
      <c r="S14" s="49">
        <v>229700</v>
      </c>
      <c r="T14" s="49">
        <v>249200</v>
      </c>
      <c r="U14" s="49">
        <v>15956260</v>
      </c>
      <c r="V14" s="49">
        <f t="shared" si="6"/>
        <v>0</v>
      </c>
      <c r="W14" s="49">
        <f t="shared" si="15"/>
        <v>0</v>
      </c>
      <c r="X14" s="48">
        <v>0</v>
      </c>
      <c r="Y14" s="48">
        <f t="shared" si="7"/>
        <v>0</v>
      </c>
      <c r="Z14" s="48">
        <v>0</v>
      </c>
      <c r="AA14" s="48">
        <v>0</v>
      </c>
      <c r="AB14" s="48">
        <v>0</v>
      </c>
      <c r="AC14" s="48">
        <f t="shared" si="8"/>
        <v>0</v>
      </c>
      <c r="AD14" s="48">
        <f t="shared" si="16"/>
        <v>0</v>
      </c>
      <c r="AE14" s="49">
        <v>0</v>
      </c>
      <c r="AF14" s="49">
        <f t="shared" si="9"/>
        <v>0</v>
      </c>
      <c r="AG14" s="49">
        <v>0</v>
      </c>
      <c r="AH14" s="49">
        <v>0</v>
      </c>
      <c r="AI14" s="49">
        <v>0</v>
      </c>
      <c r="AJ14" s="49">
        <f t="shared" si="10"/>
        <v>0</v>
      </c>
      <c r="AK14" s="49">
        <f t="shared" si="17"/>
        <v>0</v>
      </c>
      <c r="AL14" s="82">
        <f t="shared" si="18"/>
        <v>0</v>
      </c>
      <c r="AM14" s="82">
        <f t="shared" si="19"/>
        <v>359694129413600</v>
      </c>
      <c r="AN14" s="81">
        <f t="shared" si="11"/>
        <v>439435884538006</v>
      </c>
      <c r="AO14" s="80">
        <f t="shared" si="0"/>
        <v>1221.6932349004608</v>
      </c>
      <c r="AP14" s="52">
        <f t="shared" si="12"/>
        <v>-7.0752410634398494E-2</v>
      </c>
      <c r="AQ14" s="48">
        <f>(F14-E14)/E14</f>
        <v>-7.6E-3</v>
      </c>
      <c r="AR14" s="48">
        <f>(M14-L14)/L14</f>
        <v>-9.7582037996545773E-2</v>
      </c>
      <c r="AS14" s="48">
        <f>(T14-S14)/S14</f>
        <v>8.4893339138006091E-2</v>
      </c>
      <c r="AT14" s="48" t="e">
        <f>(#REF!-#REF!)/#REF!</f>
        <v>#REF!</v>
      </c>
    </row>
    <row r="15" spans="1:46" x14ac:dyDescent="0.3">
      <c r="A15" s="48">
        <v>20180118</v>
      </c>
      <c r="B15" s="48" t="s">
        <v>88</v>
      </c>
      <c r="C15" s="79">
        <v>0.4</v>
      </c>
      <c r="D15" s="79">
        <f t="shared" si="1"/>
        <v>0.31567915920379475</v>
      </c>
      <c r="E15" s="49">
        <v>2481000</v>
      </c>
      <c r="F15" s="49">
        <v>2495000</v>
      </c>
      <c r="G15" s="49">
        <v>129098494</v>
      </c>
      <c r="H15" s="49">
        <f t="shared" si="2"/>
        <v>0.43687954017479103</v>
      </c>
      <c r="I15" s="49">
        <f t="shared" si="13"/>
        <v>0.43687954017479103</v>
      </c>
      <c r="J15" s="48">
        <v>0.6</v>
      </c>
      <c r="K15" s="48">
        <f t="shared" si="3"/>
        <v>0.68432084079620514</v>
      </c>
      <c r="L15" s="48">
        <v>313500</v>
      </c>
      <c r="M15" s="48">
        <v>319300</v>
      </c>
      <c r="N15" s="51">
        <v>122666424</v>
      </c>
      <c r="O15" s="48">
        <f t="shared" si="4"/>
        <v>7.7882998654042304</v>
      </c>
      <c r="P15" s="48">
        <f t="shared" si="14"/>
        <v>7.7882998654042304</v>
      </c>
      <c r="Q15" s="49">
        <v>0</v>
      </c>
      <c r="R15" s="49">
        <f t="shared" si="5"/>
        <v>0</v>
      </c>
      <c r="S15" s="49">
        <v>249200</v>
      </c>
      <c r="T15" s="49">
        <v>252000</v>
      </c>
      <c r="U15" s="49">
        <v>15956260</v>
      </c>
      <c r="V15" s="49">
        <f t="shared" si="6"/>
        <v>0</v>
      </c>
      <c r="W15" s="49">
        <f t="shared" si="15"/>
        <v>0</v>
      </c>
      <c r="X15" s="48">
        <v>0</v>
      </c>
      <c r="Y15" s="48">
        <f t="shared" si="7"/>
        <v>0</v>
      </c>
      <c r="Z15" s="48">
        <v>0</v>
      </c>
      <c r="AA15" s="48">
        <v>0</v>
      </c>
      <c r="AB15" s="48">
        <v>0</v>
      </c>
      <c r="AC15" s="48">
        <f t="shared" si="8"/>
        <v>0</v>
      </c>
      <c r="AD15" s="48">
        <f t="shared" si="16"/>
        <v>0</v>
      </c>
      <c r="AE15" s="49">
        <v>0</v>
      </c>
      <c r="AF15" s="49">
        <f t="shared" si="9"/>
        <v>0</v>
      </c>
      <c r="AG15" s="49">
        <v>0</v>
      </c>
      <c r="AH15" s="49">
        <v>0</v>
      </c>
      <c r="AI15" s="49">
        <v>0</v>
      </c>
      <c r="AJ15" s="49">
        <f t="shared" si="10"/>
        <v>0</v>
      </c>
      <c r="AK15" s="49">
        <f t="shared" si="17"/>
        <v>0</v>
      </c>
      <c r="AL15" s="82">
        <f t="shared" si="18"/>
        <v>0</v>
      </c>
      <c r="AM15" s="82">
        <f t="shared" si="19"/>
        <v>359694129413600</v>
      </c>
      <c r="AN15" s="81">
        <f t="shared" si="11"/>
        <v>445766596190216.87</v>
      </c>
      <c r="AO15" s="80">
        <f t="shared" si="0"/>
        <v>1239.2934989429452</v>
      </c>
      <c r="AP15" s="52">
        <f t="shared" si="12"/>
        <v>1.4406451259360928E-2</v>
      </c>
      <c r="AQ15" s="48">
        <f>(F15-E15)/E15</f>
        <v>5.642885933091495E-3</v>
      </c>
      <c r="AR15" s="48">
        <f>(M15-L15)/L15</f>
        <v>1.8500797448165868E-2</v>
      </c>
      <c r="AS15" s="48">
        <f>(T15-S15)/S15</f>
        <v>1.1235955056179775E-2</v>
      </c>
      <c r="AT15" s="48" t="e">
        <f>(#REF!-#REF!)/#REF!</f>
        <v>#REF!</v>
      </c>
    </row>
    <row r="16" spans="1:46" x14ac:dyDescent="0.3">
      <c r="A16" s="48">
        <v>20180119</v>
      </c>
      <c r="B16" s="48" t="s">
        <v>88</v>
      </c>
      <c r="C16" s="79">
        <v>0.4</v>
      </c>
      <c r="D16" s="79">
        <f t="shared" si="1"/>
        <v>0.33592068580066475</v>
      </c>
      <c r="E16" s="49">
        <v>2495000</v>
      </c>
      <c r="F16" s="49">
        <v>2466000</v>
      </c>
      <c r="G16" s="49">
        <v>129098494</v>
      </c>
      <c r="H16" s="49">
        <f t="shared" si="2"/>
        <v>0.43687954017479103</v>
      </c>
      <c r="I16" s="49">
        <f t="shared" si="13"/>
        <v>0.43687954017479103</v>
      </c>
      <c r="J16" s="48">
        <v>0.6</v>
      </c>
      <c r="K16" s="48">
        <f t="shared" si="3"/>
        <v>0.6640793141993353</v>
      </c>
      <c r="L16" s="48">
        <v>319300</v>
      </c>
      <c r="M16" s="48">
        <v>287800</v>
      </c>
      <c r="N16" s="51">
        <v>122666424</v>
      </c>
      <c r="O16" s="48">
        <f t="shared" si="4"/>
        <v>7.7882998654042304</v>
      </c>
      <c r="P16" s="48">
        <f t="shared" si="14"/>
        <v>7.7882998654042304</v>
      </c>
      <c r="Q16" s="49">
        <v>0</v>
      </c>
      <c r="R16" s="49">
        <f t="shared" si="5"/>
        <v>0</v>
      </c>
      <c r="S16" s="49">
        <v>252000</v>
      </c>
      <c r="T16" s="49">
        <v>236000</v>
      </c>
      <c r="U16" s="49">
        <v>15956260</v>
      </c>
      <c r="V16" s="49">
        <f t="shared" si="6"/>
        <v>0</v>
      </c>
      <c r="W16" s="49">
        <f t="shared" si="15"/>
        <v>0</v>
      </c>
      <c r="X16" s="48">
        <v>0</v>
      </c>
      <c r="Y16" s="48">
        <f t="shared" si="7"/>
        <v>0</v>
      </c>
      <c r="Z16" s="48">
        <v>0</v>
      </c>
      <c r="AA16" s="48">
        <v>0</v>
      </c>
      <c r="AB16" s="48">
        <v>0</v>
      </c>
      <c r="AC16" s="48">
        <f t="shared" si="8"/>
        <v>0</v>
      </c>
      <c r="AD16" s="48">
        <f t="shared" si="16"/>
        <v>0</v>
      </c>
      <c r="AE16" s="49">
        <v>0</v>
      </c>
      <c r="AF16" s="49">
        <f t="shared" si="9"/>
        <v>0</v>
      </c>
      <c r="AG16" s="49">
        <v>0</v>
      </c>
      <c r="AH16" s="49">
        <v>0</v>
      </c>
      <c r="AI16" s="49">
        <v>0</v>
      </c>
      <c r="AJ16" s="49">
        <f t="shared" si="10"/>
        <v>0</v>
      </c>
      <c r="AK16" s="49">
        <f t="shared" si="17"/>
        <v>0</v>
      </c>
      <c r="AL16" s="82">
        <f t="shared" si="18"/>
        <v>0</v>
      </c>
      <c r="AM16" s="82">
        <f t="shared" si="19"/>
        <v>359694129413600</v>
      </c>
      <c r="AN16" s="81">
        <f t="shared" si="11"/>
        <v>414037050813875.69</v>
      </c>
      <c r="AO16" s="80">
        <f t="shared" si="0"/>
        <v>1151.0809239196356</v>
      </c>
      <c r="AP16" s="52">
        <f t="shared" si="12"/>
        <v>-7.1179728691024804E-2</v>
      </c>
      <c r="AQ16" s="48">
        <f>(F16-E16)/E16</f>
        <v>-1.1623246492985972E-2</v>
      </c>
      <c r="AR16" s="48">
        <f>(M16-L16)/L16</f>
        <v>-9.8653304102724715E-2</v>
      </c>
      <c r="AS16" s="48">
        <f>(T16-S16)/S16</f>
        <v>-6.3492063492063489E-2</v>
      </c>
      <c r="AT16" s="48" t="e">
        <f>(#REF!-#REF!)/#REF!</f>
        <v>#REF!</v>
      </c>
    </row>
    <row r="17" spans="1:46" x14ac:dyDescent="0.3">
      <c r="A17" s="48">
        <v>20180122</v>
      </c>
      <c r="B17" s="48" t="s">
        <v>88</v>
      </c>
      <c r="C17" s="79">
        <v>0.4</v>
      </c>
      <c r="D17" s="79">
        <f t="shared" si="1"/>
        <v>0.33663368171751307</v>
      </c>
      <c r="E17" s="49">
        <v>2466000</v>
      </c>
      <c r="F17" s="49">
        <v>2412000</v>
      </c>
      <c r="G17" s="49">
        <v>129098494</v>
      </c>
      <c r="H17" s="49">
        <f t="shared" si="2"/>
        <v>0.43687954017479103</v>
      </c>
      <c r="I17" s="49">
        <f t="shared" si="13"/>
        <v>0.43687954017479103</v>
      </c>
      <c r="J17" s="48">
        <v>0.6</v>
      </c>
      <c r="K17" s="48">
        <f t="shared" si="3"/>
        <v>0.66336631828248704</v>
      </c>
      <c r="L17" s="48">
        <v>287800</v>
      </c>
      <c r="M17" s="48">
        <v>280600</v>
      </c>
      <c r="N17" s="51">
        <v>122666424</v>
      </c>
      <c r="O17" s="48">
        <f t="shared" si="4"/>
        <v>7.7882998654042304</v>
      </c>
      <c r="P17" s="48">
        <f t="shared" si="14"/>
        <v>7.7882998654042304</v>
      </c>
      <c r="Q17" s="49">
        <v>0</v>
      </c>
      <c r="R17" s="49">
        <f t="shared" si="5"/>
        <v>0</v>
      </c>
      <c r="S17" s="49">
        <v>236000</v>
      </c>
      <c r="T17" s="49">
        <v>234900</v>
      </c>
      <c r="U17" s="49">
        <v>15956260</v>
      </c>
      <c r="V17" s="49">
        <f t="shared" si="6"/>
        <v>0</v>
      </c>
      <c r="W17" s="49">
        <f t="shared" si="15"/>
        <v>0</v>
      </c>
      <c r="X17" s="48">
        <v>0</v>
      </c>
      <c r="Y17" s="48">
        <f t="shared" si="7"/>
        <v>0</v>
      </c>
      <c r="Z17" s="48">
        <v>0</v>
      </c>
      <c r="AA17" s="48">
        <v>0</v>
      </c>
      <c r="AB17" s="48">
        <v>0</v>
      </c>
      <c r="AC17" s="48">
        <f t="shared" si="8"/>
        <v>0</v>
      </c>
      <c r="AD17" s="48">
        <f t="shared" si="16"/>
        <v>0</v>
      </c>
      <c r="AE17" s="49">
        <v>0</v>
      </c>
      <c r="AF17" s="49">
        <f t="shared" si="9"/>
        <v>0</v>
      </c>
      <c r="AG17" s="49">
        <v>0</v>
      </c>
      <c r="AH17" s="49">
        <v>0</v>
      </c>
      <c r="AI17" s="49">
        <v>0</v>
      </c>
      <c r="AJ17" s="49">
        <f t="shared" si="10"/>
        <v>0</v>
      </c>
      <c r="AK17" s="49">
        <f t="shared" si="17"/>
        <v>0</v>
      </c>
      <c r="AL17" s="82">
        <f t="shared" si="18"/>
        <v>0</v>
      </c>
      <c r="AM17" s="82">
        <f t="shared" si="19"/>
        <v>359694129413600</v>
      </c>
      <c r="AN17" s="81">
        <f t="shared" si="11"/>
        <v>404112811482885.37</v>
      </c>
      <c r="AO17" s="80">
        <f t="shared" si="0"/>
        <v>1123.4901502053983</v>
      </c>
      <c r="AP17" s="52">
        <f t="shared" si="12"/>
        <v>-2.396944744795677E-2</v>
      </c>
      <c r="AQ17" s="48">
        <f>(F17-E17)/E17</f>
        <v>-2.1897810218978103E-2</v>
      </c>
      <c r="AR17" s="48">
        <f>(M17-L17)/L17</f>
        <v>-2.5017373175816541E-2</v>
      </c>
      <c r="AS17" s="48">
        <f>(T17-S17)/S17</f>
        <v>-4.6610169491525426E-3</v>
      </c>
      <c r="AT17" s="48" t="e">
        <f>(#REF!-#REF!)/#REF!</f>
        <v>#REF!</v>
      </c>
    </row>
    <row r="18" spans="1:46" x14ac:dyDescent="0.3">
      <c r="A18" s="48">
        <v>20180123</v>
      </c>
      <c r="B18" s="48" t="s">
        <v>88</v>
      </c>
      <c r="C18" s="79">
        <v>0.4</v>
      </c>
      <c r="D18" s="79">
        <f t="shared" si="1"/>
        <v>0.32674289303481824</v>
      </c>
      <c r="E18" s="49">
        <v>2412000</v>
      </c>
      <c r="F18" s="49">
        <v>2458000</v>
      </c>
      <c r="G18" s="49">
        <v>129098494</v>
      </c>
      <c r="H18" s="49">
        <f t="shared" si="2"/>
        <v>0.43687954017479103</v>
      </c>
      <c r="I18" s="49">
        <f t="shared" si="13"/>
        <v>0.43687954017479103</v>
      </c>
      <c r="J18" s="48">
        <v>0.6</v>
      </c>
      <c r="K18" s="48">
        <f t="shared" si="3"/>
        <v>0.67325710696518182</v>
      </c>
      <c r="L18" s="48">
        <v>280600</v>
      </c>
      <c r="M18" s="48">
        <v>299000</v>
      </c>
      <c r="N18" s="51">
        <v>122666424</v>
      </c>
      <c r="O18" s="48">
        <f t="shared" si="4"/>
        <v>7.7882998654042304</v>
      </c>
      <c r="P18" s="48">
        <f t="shared" si="14"/>
        <v>7.7882998654042304</v>
      </c>
      <c r="Q18" s="49">
        <v>0</v>
      </c>
      <c r="R18" s="49">
        <f t="shared" si="5"/>
        <v>0</v>
      </c>
      <c r="S18" s="49">
        <v>234900</v>
      </c>
      <c r="T18" s="49">
        <v>242800</v>
      </c>
      <c r="U18" s="49">
        <v>15956260</v>
      </c>
      <c r="V18" s="49">
        <f t="shared" si="6"/>
        <v>0</v>
      </c>
      <c r="W18" s="49">
        <f t="shared" si="15"/>
        <v>0</v>
      </c>
      <c r="X18" s="48">
        <v>0</v>
      </c>
      <c r="Y18" s="48">
        <f t="shared" si="7"/>
        <v>0</v>
      </c>
      <c r="Z18" s="48">
        <v>0</v>
      </c>
      <c r="AA18" s="48">
        <v>0</v>
      </c>
      <c r="AB18" s="48">
        <v>0</v>
      </c>
      <c r="AC18" s="48">
        <f t="shared" si="8"/>
        <v>0</v>
      </c>
      <c r="AD18" s="48">
        <f t="shared" si="16"/>
        <v>0</v>
      </c>
      <c r="AE18" s="49">
        <v>0</v>
      </c>
      <c r="AF18" s="49">
        <f t="shared" si="9"/>
        <v>0</v>
      </c>
      <c r="AG18" s="49">
        <v>0</v>
      </c>
      <c r="AH18" s="49">
        <v>0</v>
      </c>
      <c r="AI18" s="49">
        <v>0</v>
      </c>
      <c r="AJ18" s="49">
        <f t="shared" si="10"/>
        <v>0</v>
      </c>
      <c r="AK18" s="49">
        <f t="shared" si="17"/>
        <v>0</v>
      </c>
      <c r="AL18" s="82">
        <f t="shared" si="18"/>
        <v>0</v>
      </c>
      <c r="AM18" s="82">
        <f t="shared" si="19"/>
        <v>359694129413600</v>
      </c>
      <c r="AN18" s="81">
        <f t="shared" si="11"/>
        <v>424285911295830.62</v>
      </c>
      <c r="AO18" s="80">
        <f t="shared" si="0"/>
        <v>1179.5741898471708</v>
      </c>
      <c r="AP18" s="52">
        <f t="shared" si="12"/>
        <v>4.9919476046602747E-2</v>
      </c>
      <c r="AQ18" s="48">
        <f>(F18-E18)/E18</f>
        <v>1.9071310116086235E-2</v>
      </c>
      <c r="AR18" s="48">
        <f>(M18-L18)/L18</f>
        <v>6.5573770491803282E-2</v>
      </c>
      <c r="AS18" s="48">
        <f>(T18-S18)/S18</f>
        <v>3.3631332481907195E-2</v>
      </c>
      <c r="AT18" s="48" t="e">
        <f>(#REF!-#REF!)/#REF!</f>
        <v>#REF!</v>
      </c>
    </row>
    <row r="19" spans="1:46" x14ac:dyDescent="0.3">
      <c r="A19" s="48">
        <v>20180124</v>
      </c>
      <c r="B19" s="48" t="s">
        <v>88</v>
      </c>
      <c r="C19" s="79">
        <v>0.4</v>
      </c>
      <c r="D19" s="79">
        <f t="shared" si="1"/>
        <v>0.33164974884594806</v>
      </c>
      <c r="E19" s="49">
        <v>2458000</v>
      </c>
      <c r="F19" s="49">
        <v>2467000</v>
      </c>
      <c r="G19" s="49">
        <v>129098494</v>
      </c>
      <c r="H19" s="49">
        <f t="shared" si="2"/>
        <v>0.43687954017479103</v>
      </c>
      <c r="I19" s="49">
        <f t="shared" si="13"/>
        <v>0.43687954017479103</v>
      </c>
      <c r="J19" s="48">
        <v>0.6</v>
      </c>
      <c r="K19" s="48">
        <f t="shared" si="3"/>
        <v>0.66835025115405189</v>
      </c>
      <c r="L19" s="48">
        <v>299000</v>
      </c>
      <c r="M19" s="48">
        <v>293500</v>
      </c>
      <c r="N19" s="51">
        <v>122666424</v>
      </c>
      <c r="O19" s="48">
        <f t="shared" si="4"/>
        <v>7.7882998654042304</v>
      </c>
      <c r="P19" s="48">
        <f t="shared" si="14"/>
        <v>7.7882998654042304</v>
      </c>
      <c r="Q19" s="49">
        <v>0</v>
      </c>
      <c r="R19" s="49">
        <f t="shared" si="5"/>
        <v>0</v>
      </c>
      <c r="S19" s="49">
        <v>242800</v>
      </c>
      <c r="T19" s="49">
        <v>280400</v>
      </c>
      <c r="U19" s="49">
        <v>15956260</v>
      </c>
      <c r="V19" s="49">
        <f t="shared" si="6"/>
        <v>0</v>
      </c>
      <c r="W19" s="49">
        <f t="shared" si="15"/>
        <v>0</v>
      </c>
      <c r="X19" s="48">
        <v>0</v>
      </c>
      <c r="Y19" s="48">
        <f t="shared" si="7"/>
        <v>0</v>
      </c>
      <c r="Z19" s="48">
        <v>0</v>
      </c>
      <c r="AA19" s="48">
        <v>0</v>
      </c>
      <c r="AB19" s="48">
        <v>0</v>
      </c>
      <c r="AC19" s="48">
        <f t="shared" si="8"/>
        <v>0</v>
      </c>
      <c r="AD19" s="48">
        <f t="shared" si="16"/>
        <v>0</v>
      </c>
      <c r="AE19" s="49">
        <v>0</v>
      </c>
      <c r="AF19" s="49">
        <f t="shared" si="9"/>
        <v>0</v>
      </c>
      <c r="AG19" s="49">
        <v>0</v>
      </c>
      <c r="AH19" s="49">
        <v>0</v>
      </c>
      <c r="AI19" s="49">
        <v>0</v>
      </c>
      <c r="AJ19" s="49">
        <f t="shared" si="10"/>
        <v>0</v>
      </c>
      <c r="AK19" s="49">
        <f t="shared" si="17"/>
        <v>0</v>
      </c>
      <c r="AL19" s="82">
        <f t="shared" si="18"/>
        <v>0</v>
      </c>
      <c r="AM19" s="82">
        <f t="shared" si="19"/>
        <v>359694129413600</v>
      </c>
      <c r="AN19" s="81">
        <f t="shared" si="11"/>
        <v>419539019797685.94</v>
      </c>
      <c r="AO19" s="80">
        <f t="shared" si="0"/>
        <v>1166.3771674051213</v>
      </c>
      <c r="AP19" s="52">
        <f t="shared" si="12"/>
        <v>-1.1187954564993786E-2</v>
      </c>
      <c r="AQ19" s="48">
        <f>(F19-E19)/E19</f>
        <v>3.6615134255492269E-3</v>
      </c>
      <c r="AR19" s="48">
        <f>(M19-L19)/L19</f>
        <v>-1.839464882943144E-2</v>
      </c>
      <c r="AS19" s="48">
        <f>(T19-S19)/S19</f>
        <v>0.15485996705107083</v>
      </c>
      <c r="AT19" s="48" t="e">
        <f>(#REF!-#REF!)/#REF!</f>
        <v>#REF!</v>
      </c>
    </row>
    <row r="20" spans="1:46" x14ac:dyDescent="0.3">
      <c r="A20" s="48">
        <v>20180125</v>
      </c>
      <c r="B20" s="48" t="s">
        <v>88</v>
      </c>
      <c r="C20" s="79">
        <v>0.4</v>
      </c>
      <c r="D20" s="79">
        <f t="shared" si="1"/>
        <v>0.33867000154364818</v>
      </c>
      <c r="E20" s="49">
        <v>2467000</v>
      </c>
      <c r="F20" s="49">
        <v>2513000</v>
      </c>
      <c r="G20" s="49">
        <v>129098494</v>
      </c>
      <c r="H20" s="49">
        <f t="shared" si="2"/>
        <v>0.43687954017479103</v>
      </c>
      <c r="I20" s="49">
        <f t="shared" si="13"/>
        <v>0.43687954017479103</v>
      </c>
      <c r="J20" s="48">
        <v>0.6</v>
      </c>
      <c r="K20" s="48">
        <f t="shared" si="3"/>
        <v>0.66132999845635188</v>
      </c>
      <c r="L20" s="48">
        <v>293500</v>
      </c>
      <c r="M20" s="48">
        <v>289700</v>
      </c>
      <c r="N20" s="51">
        <v>122666424</v>
      </c>
      <c r="O20" s="48">
        <f t="shared" si="4"/>
        <v>7.7882998654042304</v>
      </c>
      <c r="P20" s="48">
        <f t="shared" si="14"/>
        <v>7.7882998654042304</v>
      </c>
      <c r="Q20" s="49">
        <v>0</v>
      </c>
      <c r="R20" s="49">
        <f t="shared" si="5"/>
        <v>0</v>
      </c>
      <c r="S20" s="49">
        <v>280400</v>
      </c>
      <c r="T20" s="49">
        <v>275900</v>
      </c>
      <c r="U20" s="49">
        <v>15956260</v>
      </c>
      <c r="V20" s="49">
        <f t="shared" si="6"/>
        <v>0</v>
      </c>
      <c r="W20" s="49">
        <f t="shared" si="15"/>
        <v>0</v>
      </c>
      <c r="X20" s="48">
        <v>0</v>
      </c>
      <c r="Y20" s="48">
        <f t="shared" si="7"/>
        <v>0</v>
      </c>
      <c r="Z20" s="48">
        <v>0</v>
      </c>
      <c r="AA20" s="48">
        <v>0</v>
      </c>
      <c r="AB20" s="48">
        <v>0</v>
      </c>
      <c r="AC20" s="48">
        <f t="shared" si="8"/>
        <v>0</v>
      </c>
      <c r="AD20" s="48">
        <f t="shared" si="16"/>
        <v>0</v>
      </c>
      <c r="AE20" s="49">
        <v>0</v>
      </c>
      <c r="AF20" s="49">
        <f t="shared" si="9"/>
        <v>0</v>
      </c>
      <c r="AG20" s="49">
        <v>0</v>
      </c>
      <c r="AH20" s="49">
        <v>0</v>
      </c>
      <c r="AI20" s="49">
        <v>0</v>
      </c>
      <c r="AJ20" s="49">
        <f t="shared" si="10"/>
        <v>0</v>
      </c>
      <c r="AK20" s="49">
        <f t="shared" si="17"/>
        <v>0</v>
      </c>
      <c r="AL20" s="82">
        <f t="shared" si="18"/>
        <v>0</v>
      </c>
      <c r="AM20" s="82">
        <f t="shared" si="19"/>
        <v>359694129413600</v>
      </c>
      <c r="AN20" s="81">
        <f t="shared" si="11"/>
        <v>418503063374291.37</v>
      </c>
      <c r="AO20" s="80">
        <f t="shared" si="0"/>
        <v>1163.4970636205992</v>
      </c>
      <c r="AP20" s="52">
        <f t="shared" si="12"/>
        <v>-2.4692731176567855E-3</v>
      </c>
      <c r="AQ20" s="48">
        <f>(F20-E20)/E20</f>
        <v>1.8646128901499796E-2</v>
      </c>
      <c r="AR20" s="48">
        <f>(M20-L20)/L20</f>
        <v>-1.2947189097103918E-2</v>
      </c>
      <c r="AS20" s="48">
        <f>(T20-S20)/S20</f>
        <v>-1.6048502139800285E-2</v>
      </c>
      <c r="AT20" s="48" t="e">
        <f>(#REF!-#REF!)/#REF!</f>
        <v>#REF!</v>
      </c>
    </row>
    <row r="21" spans="1:46" x14ac:dyDescent="0.3">
      <c r="A21" s="48">
        <v>20180126</v>
      </c>
      <c r="B21" s="48" t="s">
        <v>88</v>
      </c>
      <c r="C21" s="79">
        <v>0.4</v>
      </c>
      <c r="D21" s="79">
        <f t="shared" si="1"/>
        <v>0.33317266044503585</v>
      </c>
      <c r="E21" s="49">
        <v>2513000</v>
      </c>
      <c r="F21" s="49">
        <v>2539000</v>
      </c>
      <c r="G21" s="49">
        <v>129098494</v>
      </c>
      <c r="H21" s="49">
        <f t="shared" si="2"/>
        <v>0.43687954017479103</v>
      </c>
      <c r="I21" s="49">
        <f t="shared" si="13"/>
        <v>0.43687954017479103</v>
      </c>
      <c r="J21" s="48">
        <v>0.6</v>
      </c>
      <c r="K21" s="48">
        <f t="shared" si="3"/>
        <v>0.6668273395549642</v>
      </c>
      <c r="L21" s="48">
        <v>289700</v>
      </c>
      <c r="M21" s="48">
        <v>300000</v>
      </c>
      <c r="N21" s="51">
        <v>122666424</v>
      </c>
      <c r="O21" s="48">
        <f t="shared" si="4"/>
        <v>7.7882998654042304</v>
      </c>
      <c r="P21" s="48">
        <f t="shared" si="14"/>
        <v>7.7882998654042304</v>
      </c>
      <c r="Q21" s="49">
        <v>0</v>
      </c>
      <c r="R21" s="49">
        <f t="shared" si="5"/>
        <v>0</v>
      </c>
      <c r="S21" s="49">
        <v>275900</v>
      </c>
      <c r="T21" s="49">
        <v>274400</v>
      </c>
      <c r="U21" s="49">
        <v>15956260</v>
      </c>
      <c r="V21" s="49">
        <f t="shared" si="6"/>
        <v>0</v>
      </c>
      <c r="W21" s="49">
        <f t="shared" si="15"/>
        <v>0</v>
      </c>
      <c r="X21" s="48">
        <v>0</v>
      </c>
      <c r="Y21" s="48">
        <f t="shared" si="7"/>
        <v>0</v>
      </c>
      <c r="Z21" s="48">
        <v>0</v>
      </c>
      <c r="AA21" s="48">
        <v>0</v>
      </c>
      <c r="AB21" s="48">
        <v>0</v>
      </c>
      <c r="AC21" s="48">
        <f t="shared" si="8"/>
        <v>0</v>
      </c>
      <c r="AD21" s="48">
        <f t="shared" si="16"/>
        <v>0</v>
      </c>
      <c r="AE21" s="49">
        <v>0</v>
      </c>
      <c r="AF21" s="49">
        <f t="shared" si="9"/>
        <v>0</v>
      </c>
      <c r="AG21" s="49">
        <v>0</v>
      </c>
      <c r="AH21" s="49">
        <v>0</v>
      </c>
      <c r="AI21" s="49">
        <v>0</v>
      </c>
      <c r="AJ21" s="49">
        <f t="shared" si="10"/>
        <v>0</v>
      </c>
      <c r="AK21" s="49">
        <f t="shared" si="17"/>
        <v>0</v>
      </c>
      <c r="AL21" s="82">
        <f t="shared" si="18"/>
        <v>0</v>
      </c>
      <c r="AM21" s="82">
        <f t="shared" si="19"/>
        <v>359694129413600</v>
      </c>
      <c r="AN21" s="81">
        <f t="shared" si="11"/>
        <v>429809713935733.69</v>
      </c>
      <c r="AO21" s="80">
        <f t="shared" si="0"/>
        <v>1194.9311339510637</v>
      </c>
      <c r="AP21" s="52">
        <f t="shared" si="12"/>
        <v>2.7016888407648525E-2</v>
      </c>
      <c r="AQ21" s="48">
        <f>(F21-E21)/E21</f>
        <v>1.0346199761241544E-2</v>
      </c>
      <c r="AR21" s="48">
        <f>(M21-L21)/L21</f>
        <v>3.5554021401449774E-2</v>
      </c>
      <c r="AS21" s="48">
        <f>(T21-S21)/S21</f>
        <v>-5.4367524465386008E-3</v>
      </c>
      <c r="AT21" s="48" t="e">
        <f>(#REF!-#REF!)/#REF!</f>
        <v>#REF!</v>
      </c>
    </row>
    <row r="22" spans="1:46" x14ac:dyDescent="0.3">
      <c r="A22" s="48">
        <v>20180129</v>
      </c>
      <c r="B22" s="48" t="s">
        <v>88</v>
      </c>
      <c r="C22" s="79">
        <v>0.4</v>
      </c>
      <c r="D22" s="79">
        <f t="shared" si="1"/>
        <v>0.31531469737198903</v>
      </c>
      <c r="E22" s="49">
        <v>2539000</v>
      </c>
      <c r="F22" s="49">
        <v>2561000</v>
      </c>
      <c r="G22" s="49">
        <v>129098494</v>
      </c>
      <c r="H22" s="49">
        <f t="shared" si="2"/>
        <v>0.43687954017479103</v>
      </c>
      <c r="I22" s="49">
        <f t="shared" si="13"/>
        <v>0.43687954017479103</v>
      </c>
      <c r="J22" s="48">
        <v>0.6</v>
      </c>
      <c r="K22" s="48">
        <f t="shared" si="3"/>
        <v>0.68468530262801097</v>
      </c>
      <c r="L22" s="48">
        <v>300000</v>
      </c>
      <c r="M22" s="48">
        <v>328300</v>
      </c>
      <c r="N22" s="51">
        <v>122666424</v>
      </c>
      <c r="O22" s="48">
        <f t="shared" si="4"/>
        <v>7.7882998654042304</v>
      </c>
      <c r="P22" s="48">
        <f t="shared" si="14"/>
        <v>7.7882998654042304</v>
      </c>
      <c r="Q22" s="49">
        <v>0</v>
      </c>
      <c r="R22" s="49">
        <f t="shared" si="5"/>
        <v>0</v>
      </c>
      <c r="S22" s="49">
        <v>274400</v>
      </c>
      <c r="T22" s="49">
        <v>290000</v>
      </c>
      <c r="U22" s="49">
        <v>15956260</v>
      </c>
      <c r="V22" s="49">
        <f t="shared" si="6"/>
        <v>0</v>
      </c>
      <c r="W22" s="49">
        <f t="shared" si="15"/>
        <v>0</v>
      </c>
      <c r="X22" s="48">
        <v>0</v>
      </c>
      <c r="Y22" s="48">
        <f t="shared" si="7"/>
        <v>0</v>
      </c>
      <c r="Z22" s="48">
        <v>0</v>
      </c>
      <c r="AA22" s="48">
        <v>0</v>
      </c>
      <c r="AB22" s="48">
        <v>0</v>
      </c>
      <c r="AC22" s="48">
        <f t="shared" si="8"/>
        <v>0</v>
      </c>
      <c r="AD22" s="48">
        <f t="shared" si="16"/>
        <v>0</v>
      </c>
      <c r="AE22" s="49">
        <v>0</v>
      </c>
      <c r="AF22" s="49">
        <f t="shared" si="9"/>
        <v>0</v>
      </c>
      <c r="AG22" s="49">
        <v>0</v>
      </c>
      <c r="AH22" s="49">
        <v>0</v>
      </c>
      <c r="AI22" s="49">
        <v>0</v>
      </c>
      <c r="AJ22" s="49">
        <f t="shared" si="10"/>
        <v>0</v>
      </c>
      <c r="AK22" s="49">
        <f t="shared" si="17"/>
        <v>0</v>
      </c>
      <c r="AL22" s="82">
        <f t="shared" si="18"/>
        <v>0</v>
      </c>
      <c r="AM22" s="82">
        <f t="shared" si="19"/>
        <v>359694129413600</v>
      </c>
      <c r="AN22" s="81">
        <f t="shared" si="11"/>
        <v>458087294617910.75</v>
      </c>
      <c r="AO22" s="80">
        <f t="shared" si="0"/>
        <v>1273.5467642041269</v>
      </c>
      <c r="AP22" s="52">
        <f t="shared" si="12"/>
        <v>6.5790929719204083E-2</v>
      </c>
      <c r="AQ22" s="48">
        <f>(F22-E22)/E22</f>
        <v>8.6648286727057898E-3</v>
      </c>
      <c r="AR22" s="48">
        <f>(M22-L22)/L22</f>
        <v>9.4333333333333338E-2</v>
      </c>
      <c r="AS22" s="48">
        <f>(T22-S22)/S22</f>
        <v>5.6851311953352766E-2</v>
      </c>
      <c r="AT22" s="48" t="e">
        <f>(#REF!-#REF!)/#REF!</f>
        <v>#REF!</v>
      </c>
    </row>
    <row r="23" spans="1:46" x14ac:dyDescent="0.3">
      <c r="A23" s="48">
        <v>20180130</v>
      </c>
      <c r="B23" s="48" t="s">
        <v>88</v>
      </c>
      <c r="C23" s="79">
        <v>0.4</v>
      </c>
      <c r="D23" s="79">
        <f t="shared" si="1"/>
        <v>0.31038680111568856</v>
      </c>
      <c r="E23" s="49">
        <v>2561000</v>
      </c>
      <c r="F23" s="49">
        <v>2490000</v>
      </c>
      <c r="G23" s="49">
        <v>129098494</v>
      </c>
      <c r="H23" s="49">
        <f t="shared" si="2"/>
        <v>0.43687954017479103</v>
      </c>
      <c r="I23" s="49">
        <f t="shared" si="13"/>
        <v>0.43687954017479103</v>
      </c>
      <c r="J23" s="48">
        <v>0.6</v>
      </c>
      <c r="K23" s="48">
        <f t="shared" si="3"/>
        <v>0.6896131988843115</v>
      </c>
      <c r="L23" s="48">
        <v>328300</v>
      </c>
      <c r="M23" s="48">
        <v>326600</v>
      </c>
      <c r="N23" s="51">
        <v>122666424</v>
      </c>
      <c r="O23" s="48">
        <f t="shared" si="4"/>
        <v>7.7882998654042304</v>
      </c>
      <c r="P23" s="48">
        <f t="shared" si="14"/>
        <v>7.7882998654042304</v>
      </c>
      <c r="Q23" s="49">
        <v>0</v>
      </c>
      <c r="R23" s="49">
        <f t="shared" si="5"/>
        <v>0</v>
      </c>
      <c r="S23" s="49">
        <v>290000</v>
      </c>
      <c r="T23" s="49">
        <v>290300</v>
      </c>
      <c r="U23" s="49">
        <v>15956260</v>
      </c>
      <c r="V23" s="49">
        <f t="shared" si="6"/>
        <v>0</v>
      </c>
      <c r="W23" s="49">
        <f t="shared" si="15"/>
        <v>0</v>
      </c>
      <c r="X23" s="48">
        <v>0</v>
      </c>
      <c r="Y23" s="48">
        <f t="shared" si="7"/>
        <v>0</v>
      </c>
      <c r="Z23" s="48">
        <v>0</v>
      </c>
      <c r="AA23" s="48">
        <v>0</v>
      </c>
      <c r="AB23" s="48">
        <v>0</v>
      </c>
      <c r="AC23" s="48">
        <f t="shared" si="8"/>
        <v>0</v>
      </c>
      <c r="AD23" s="48">
        <f t="shared" si="16"/>
        <v>0</v>
      </c>
      <c r="AE23" s="49">
        <v>0</v>
      </c>
      <c r="AF23" s="49">
        <f t="shared" si="9"/>
        <v>0</v>
      </c>
      <c r="AG23" s="49">
        <v>0</v>
      </c>
      <c r="AH23" s="49">
        <v>0</v>
      </c>
      <c r="AI23" s="49">
        <v>0</v>
      </c>
      <c r="AJ23" s="49">
        <f t="shared" si="10"/>
        <v>0</v>
      </c>
      <c r="AK23" s="49">
        <f t="shared" si="17"/>
        <v>0</v>
      </c>
      <c r="AL23" s="82">
        <f t="shared" si="18"/>
        <v>0</v>
      </c>
      <c r="AM23" s="82">
        <f t="shared" si="19"/>
        <v>359694129413600</v>
      </c>
      <c r="AN23" s="81">
        <f t="shared" si="11"/>
        <v>452458742859497.31</v>
      </c>
      <c r="AO23" s="80">
        <f t="shared" si="0"/>
        <v>1257.8986028966585</v>
      </c>
      <c r="AP23" s="52">
        <f t="shared" si="12"/>
        <v>-1.2287072408563929E-2</v>
      </c>
      <c r="AQ23" s="48">
        <f>(F23-E23)/E23</f>
        <v>-2.7723545490042953E-2</v>
      </c>
      <c r="AR23" s="48">
        <f>(M23-L23)/L23</f>
        <v>-5.1781906792567776E-3</v>
      </c>
      <c r="AS23" s="48">
        <f>(T23-S23)/S23</f>
        <v>1.0344827586206897E-3</v>
      </c>
      <c r="AT23" s="48" t="e">
        <f>(#REF!-#REF!)/#REF!</f>
        <v>#REF!</v>
      </c>
    </row>
    <row r="24" spans="1:46" x14ac:dyDescent="0.3">
      <c r="A24" s="48">
        <v>20180131</v>
      </c>
      <c r="B24" s="48" t="s">
        <v>88</v>
      </c>
      <c r="C24" s="79">
        <v>0.4</v>
      </c>
      <c r="D24" s="79">
        <f t="shared" si="1"/>
        <v>0.31813371577982058</v>
      </c>
      <c r="E24" s="49">
        <v>2490000</v>
      </c>
      <c r="F24" s="49">
        <v>2495000</v>
      </c>
      <c r="G24" s="49">
        <v>129098494</v>
      </c>
      <c r="H24" s="49">
        <f t="shared" si="2"/>
        <v>0.43687954017479103</v>
      </c>
      <c r="I24" s="49">
        <f t="shared" si="13"/>
        <v>0.43687954017479103</v>
      </c>
      <c r="J24" s="48">
        <v>0.6</v>
      </c>
      <c r="K24" s="48">
        <f t="shared" si="3"/>
        <v>0.68186628422017936</v>
      </c>
      <c r="L24" s="48">
        <v>326600</v>
      </c>
      <c r="M24" s="48">
        <v>315700</v>
      </c>
      <c r="N24" s="51">
        <v>122666424</v>
      </c>
      <c r="O24" s="48">
        <f t="shared" si="4"/>
        <v>7.7882998654042304</v>
      </c>
      <c r="P24" s="48">
        <f t="shared" si="14"/>
        <v>7.7882998654042304</v>
      </c>
      <c r="Q24" s="49">
        <v>0</v>
      </c>
      <c r="R24" s="49">
        <f t="shared" si="5"/>
        <v>0</v>
      </c>
      <c r="S24" s="49">
        <v>290300</v>
      </c>
      <c r="T24" s="49">
        <v>267000</v>
      </c>
      <c r="U24" s="49">
        <v>15956260</v>
      </c>
      <c r="V24" s="49">
        <f t="shared" si="6"/>
        <v>0</v>
      </c>
      <c r="W24" s="49">
        <f t="shared" si="15"/>
        <v>0</v>
      </c>
      <c r="X24" s="48">
        <v>0</v>
      </c>
      <c r="Y24" s="48">
        <f t="shared" si="7"/>
        <v>0</v>
      </c>
      <c r="Z24" s="48">
        <v>0</v>
      </c>
      <c r="AA24" s="48">
        <v>0</v>
      </c>
      <c r="AB24" s="48">
        <v>0</v>
      </c>
      <c r="AC24" s="48">
        <f t="shared" si="8"/>
        <v>0</v>
      </c>
      <c r="AD24" s="48">
        <f t="shared" si="16"/>
        <v>0</v>
      </c>
      <c r="AE24" s="49">
        <v>0</v>
      </c>
      <c r="AF24" s="49">
        <f t="shared" si="9"/>
        <v>0</v>
      </c>
      <c r="AG24" s="49">
        <v>0</v>
      </c>
      <c r="AH24" s="49">
        <v>0</v>
      </c>
      <c r="AI24" s="49">
        <v>0</v>
      </c>
      <c r="AJ24" s="49">
        <f t="shared" si="10"/>
        <v>0</v>
      </c>
      <c r="AK24" s="49">
        <f t="shared" si="17"/>
        <v>0</v>
      </c>
      <c r="AL24" s="82">
        <f t="shared" si="18"/>
        <v>0</v>
      </c>
      <c r="AM24" s="82">
        <f t="shared" si="19"/>
        <v>359694129413600</v>
      </c>
      <c r="AN24" s="81">
        <f t="shared" si="11"/>
        <v>442327289773513.12</v>
      </c>
      <c r="AO24" s="80">
        <f t="shared" si="0"/>
        <v>1229.7317459548974</v>
      </c>
      <c r="AP24" s="52">
        <f t="shared" si="12"/>
        <v>-2.2391993183631151E-2</v>
      </c>
      <c r="AQ24" s="48">
        <f>(F24-E24)/E24</f>
        <v>2.008032128514056E-3</v>
      </c>
      <c r="AR24" s="48">
        <f>(M24-L24)/L24</f>
        <v>-3.3374157991426824E-2</v>
      </c>
      <c r="AS24" s="48">
        <f>(T24-S24)/S24</f>
        <v>-8.0261798139855317E-2</v>
      </c>
      <c r="AT24" s="48" t="e">
        <f>(#REF!-#REF!)/#REF!</f>
        <v>#REF!</v>
      </c>
    </row>
    <row r="25" spans="1:46" x14ac:dyDescent="0.3">
      <c r="A25" s="48">
        <v>20180201</v>
      </c>
      <c r="B25" s="48" t="s">
        <v>88</v>
      </c>
      <c r="C25" s="79">
        <v>0.4</v>
      </c>
      <c r="D25" s="79">
        <f t="shared" si="1"/>
        <v>0.32909314781622506</v>
      </c>
      <c r="E25" s="49">
        <v>2495000</v>
      </c>
      <c r="F25" s="49">
        <v>2491000</v>
      </c>
      <c r="G25" s="49">
        <v>129098494</v>
      </c>
      <c r="H25" s="49">
        <f t="shared" si="2"/>
        <v>0.43687954017479103</v>
      </c>
      <c r="I25" s="49">
        <f t="shared" si="13"/>
        <v>0.43687954017479103</v>
      </c>
      <c r="J25" s="48">
        <v>0.6</v>
      </c>
      <c r="K25" s="48">
        <f t="shared" si="3"/>
        <v>0.67090685218377488</v>
      </c>
      <c r="L25" s="48">
        <v>315700</v>
      </c>
      <c r="M25" s="48">
        <v>299800</v>
      </c>
      <c r="N25" s="51">
        <v>122666424</v>
      </c>
      <c r="O25" s="48">
        <f t="shared" si="4"/>
        <v>7.7882998654042304</v>
      </c>
      <c r="P25" s="48">
        <f t="shared" si="14"/>
        <v>7.7882998654042304</v>
      </c>
      <c r="Q25" s="49">
        <v>0</v>
      </c>
      <c r="R25" s="49">
        <f t="shared" si="5"/>
        <v>0</v>
      </c>
      <c r="S25" s="49">
        <v>267000</v>
      </c>
      <c r="T25" s="49">
        <v>245400</v>
      </c>
      <c r="U25" s="49">
        <v>15956260</v>
      </c>
      <c r="V25" s="49">
        <f t="shared" si="6"/>
        <v>0</v>
      </c>
      <c r="W25" s="49">
        <f t="shared" si="15"/>
        <v>0</v>
      </c>
      <c r="X25" s="48">
        <v>0</v>
      </c>
      <c r="Y25" s="48">
        <f t="shared" si="7"/>
        <v>0</v>
      </c>
      <c r="Z25" s="48">
        <v>0</v>
      </c>
      <c r="AA25" s="48">
        <v>0</v>
      </c>
      <c r="AB25" s="48">
        <v>0</v>
      </c>
      <c r="AC25" s="48">
        <f t="shared" si="8"/>
        <v>0</v>
      </c>
      <c r="AD25" s="48">
        <f t="shared" si="16"/>
        <v>0</v>
      </c>
      <c r="AE25" s="49">
        <v>0</v>
      </c>
      <c r="AF25" s="49">
        <f t="shared" si="9"/>
        <v>0</v>
      </c>
      <c r="AG25" s="49">
        <v>0</v>
      </c>
      <c r="AH25" s="49">
        <v>0</v>
      </c>
      <c r="AI25" s="49">
        <v>0</v>
      </c>
      <c r="AJ25" s="49">
        <f t="shared" si="10"/>
        <v>0</v>
      </c>
      <c r="AK25" s="49">
        <f t="shared" si="17"/>
        <v>0</v>
      </c>
      <c r="AL25" s="82">
        <f t="shared" si="18"/>
        <v>0</v>
      </c>
      <c r="AM25" s="82">
        <f t="shared" si="19"/>
        <v>359694129413600</v>
      </c>
      <c r="AN25" s="81">
        <f t="shared" si="11"/>
        <v>426911417803620.94</v>
      </c>
      <c r="AO25" s="80">
        <f t="shared" si="0"/>
        <v>1186.8734652400458</v>
      </c>
      <c r="AP25" s="52">
        <f t="shared" si="12"/>
        <v>-3.4851731571402013E-2</v>
      </c>
      <c r="AQ25" s="48">
        <f>(F25-E25)/E25</f>
        <v>-1.6032064128256513E-3</v>
      </c>
      <c r="AR25" s="48">
        <f>(M25-L25)/L25</f>
        <v>-5.0364269876465001E-2</v>
      </c>
      <c r="AS25" s="48">
        <f>(T25-S25)/S25</f>
        <v>-8.0898876404494377E-2</v>
      </c>
      <c r="AT25" s="48" t="e">
        <f>(#REF!-#REF!)/#REF!</f>
        <v>#REF!</v>
      </c>
    </row>
    <row r="26" spans="1:46" x14ac:dyDescent="0.3">
      <c r="A26" s="48">
        <v>20180202</v>
      </c>
      <c r="B26" s="48" t="s">
        <v>88</v>
      </c>
      <c r="C26" s="79">
        <v>0.4</v>
      </c>
      <c r="D26" s="79">
        <f t="shared" si="1"/>
        <v>0.31840808104304363</v>
      </c>
      <c r="E26" s="49">
        <v>2491000</v>
      </c>
      <c r="F26" s="49">
        <v>2385000</v>
      </c>
      <c r="G26" s="49">
        <v>129098494</v>
      </c>
      <c r="H26" s="49">
        <f t="shared" si="2"/>
        <v>0.43687954017479103</v>
      </c>
      <c r="I26" s="49">
        <f t="shared" si="13"/>
        <v>0.43687954017479103</v>
      </c>
      <c r="J26" s="48">
        <v>0.6</v>
      </c>
      <c r="K26" s="48">
        <f t="shared" si="3"/>
        <v>0.68159191895695648</v>
      </c>
      <c r="L26" s="48">
        <v>299800</v>
      </c>
      <c r="M26" s="48">
        <v>301400</v>
      </c>
      <c r="N26" s="51">
        <v>122666424</v>
      </c>
      <c r="O26" s="48">
        <f t="shared" si="4"/>
        <v>7.7882998654042304</v>
      </c>
      <c r="P26" s="48">
        <f t="shared" si="14"/>
        <v>7.7882998654042304</v>
      </c>
      <c r="Q26" s="49">
        <v>0</v>
      </c>
      <c r="R26" s="49">
        <f t="shared" si="5"/>
        <v>0</v>
      </c>
      <c r="S26" s="49">
        <v>245400</v>
      </c>
      <c r="T26" s="49">
        <v>253300</v>
      </c>
      <c r="U26" s="49">
        <v>15956260</v>
      </c>
      <c r="V26" s="49">
        <f t="shared" si="6"/>
        <v>0</v>
      </c>
      <c r="W26" s="49">
        <f t="shared" si="15"/>
        <v>0</v>
      </c>
      <c r="X26" s="48">
        <v>0</v>
      </c>
      <c r="Y26" s="48">
        <f t="shared" si="7"/>
        <v>0</v>
      </c>
      <c r="Z26" s="48">
        <v>0</v>
      </c>
      <c r="AA26" s="48">
        <v>0</v>
      </c>
      <c r="AB26" s="48">
        <v>0</v>
      </c>
      <c r="AC26" s="48">
        <f t="shared" si="8"/>
        <v>0</v>
      </c>
      <c r="AD26" s="48">
        <f t="shared" si="16"/>
        <v>0</v>
      </c>
      <c r="AE26" s="49">
        <v>0</v>
      </c>
      <c r="AF26" s="49">
        <f t="shared" si="9"/>
        <v>0</v>
      </c>
      <c r="AG26" s="49">
        <v>0</v>
      </c>
      <c r="AH26" s="49">
        <v>0</v>
      </c>
      <c r="AI26" s="49">
        <v>0</v>
      </c>
      <c r="AJ26" s="49">
        <f t="shared" si="10"/>
        <v>0</v>
      </c>
      <c r="AK26" s="49">
        <f t="shared" si="17"/>
        <v>0</v>
      </c>
      <c r="AL26" s="82">
        <f t="shared" si="18"/>
        <v>0</v>
      </c>
      <c r="AM26" s="82">
        <f t="shared" si="19"/>
        <v>359694129413600</v>
      </c>
      <c r="AN26" s="81">
        <f t="shared" si="11"/>
        <v>422461546419493.37</v>
      </c>
      <c r="AO26" s="80">
        <f t="shared" si="0"/>
        <v>1174.5022002672699</v>
      </c>
      <c r="AP26" s="52">
        <f t="shared" si="12"/>
        <v>-1.0423406820603043E-2</v>
      </c>
      <c r="AQ26" s="48">
        <f>(F26-E26)/E26</f>
        <v>-4.2553191489361701E-2</v>
      </c>
      <c r="AR26" s="48">
        <f>(M26-L26)/L26</f>
        <v>5.3368912608405599E-3</v>
      </c>
      <c r="AS26" s="48">
        <f>(T26-S26)/S26</f>
        <v>3.2192339038304811E-2</v>
      </c>
      <c r="AT26" s="48" t="e">
        <f>(#REF!-#REF!)/#REF!</f>
        <v>#REF!</v>
      </c>
    </row>
    <row r="27" spans="1:46" x14ac:dyDescent="0.3">
      <c r="A27" s="48">
        <v>20180205</v>
      </c>
      <c r="B27" s="48" t="s">
        <v>88</v>
      </c>
      <c r="C27" s="79">
        <v>0.4</v>
      </c>
      <c r="D27" s="79">
        <f t="shared" si="1"/>
        <v>0.33091506823586703</v>
      </c>
      <c r="E27" s="49">
        <v>2385000</v>
      </c>
      <c r="F27" s="49">
        <v>2396000</v>
      </c>
      <c r="G27" s="49">
        <v>129098494</v>
      </c>
      <c r="H27" s="49">
        <f t="shared" si="2"/>
        <v>0.43687954017479103</v>
      </c>
      <c r="I27" s="49">
        <f t="shared" si="13"/>
        <v>0.43687954017479103</v>
      </c>
      <c r="J27" s="48">
        <v>0.6</v>
      </c>
      <c r="K27" s="48">
        <f t="shared" si="3"/>
        <v>0.66908493176413286</v>
      </c>
      <c r="L27" s="48">
        <v>301400</v>
      </c>
      <c r="M27" s="48">
        <v>286000</v>
      </c>
      <c r="N27" s="51">
        <v>122666424</v>
      </c>
      <c r="O27" s="48">
        <f t="shared" si="4"/>
        <v>7.7882998654042304</v>
      </c>
      <c r="P27" s="48">
        <f t="shared" si="14"/>
        <v>7.7882998654042304</v>
      </c>
      <c r="Q27" s="49">
        <v>0</v>
      </c>
      <c r="R27" s="49">
        <f t="shared" si="5"/>
        <v>0</v>
      </c>
      <c r="S27" s="49">
        <v>253300</v>
      </c>
      <c r="T27" s="49">
        <v>216000</v>
      </c>
      <c r="U27" s="49">
        <v>15956260</v>
      </c>
      <c r="V27" s="49">
        <f t="shared" si="6"/>
        <v>0</v>
      </c>
      <c r="W27" s="49">
        <f t="shared" si="15"/>
        <v>0</v>
      </c>
      <c r="X27" s="48">
        <v>0</v>
      </c>
      <c r="Y27" s="48">
        <f t="shared" si="7"/>
        <v>0</v>
      </c>
      <c r="Z27" s="48">
        <v>0</v>
      </c>
      <c r="AA27" s="48">
        <v>0</v>
      </c>
      <c r="AB27" s="48">
        <v>0</v>
      </c>
      <c r="AC27" s="48">
        <f t="shared" si="8"/>
        <v>0</v>
      </c>
      <c r="AD27" s="48">
        <f t="shared" si="16"/>
        <v>0</v>
      </c>
      <c r="AE27" s="49">
        <v>0</v>
      </c>
      <c r="AF27" s="49">
        <f t="shared" si="9"/>
        <v>0</v>
      </c>
      <c r="AG27" s="49">
        <v>0</v>
      </c>
      <c r="AH27" s="49">
        <v>0</v>
      </c>
      <c r="AI27" s="49">
        <v>0</v>
      </c>
      <c r="AJ27" s="49">
        <f t="shared" si="10"/>
        <v>0</v>
      </c>
      <c r="AK27" s="49">
        <f t="shared" si="17"/>
        <v>0</v>
      </c>
      <c r="AL27" s="82">
        <f t="shared" si="18"/>
        <v>0</v>
      </c>
      <c r="AM27" s="82">
        <f t="shared" si="19"/>
        <v>359694129413600</v>
      </c>
      <c r="AN27" s="81">
        <f t="shared" si="11"/>
        <v>408369363256805.37</v>
      </c>
      <c r="AO27" s="80">
        <f t="shared" si="0"/>
        <v>1135.3239596169094</v>
      </c>
      <c r="AP27" s="52">
        <f t="shared" si="12"/>
        <v>-3.3357315670796625E-2</v>
      </c>
      <c r="AQ27" s="48">
        <f>(F27-E27)/E27</f>
        <v>4.6121593291404616E-3</v>
      </c>
      <c r="AR27" s="48">
        <f>(M27-L27)/L27</f>
        <v>-5.1094890510948905E-2</v>
      </c>
      <c r="AS27" s="48">
        <f>(T27-S27)/S27</f>
        <v>-0.14725621792341098</v>
      </c>
      <c r="AT27" s="48" t="e">
        <f>(#REF!-#REF!)/#REF!</f>
        <v>#REF!</v>
      </c>
    </row>
    <row r="28" spans="1:46" x14ac:dyDescent="0.3">
      <c r="A28" s="48">
        <v>20180206</v>
      </c>
      <c r="B28" s="48" t="s">
        <v>88</v>
      </c>
      <c r="C28" s="79">
        <v>0.4</v>
      </c>
      <c r="D28" s="79">
        <f t="shared" si="1"/>
        <v>0.32999127225786784</v>
      </c>
      <c r="E28" s="49">
        <v>2396000</v>
      </c>
      <c r="F28" s="49">
        <v>2371000</v>
      </c>
      <c r="G28" s="49">
        <v>129098494</v>
      </c>
      <c r="H28" s="49">
        <f t="shared" si="2"/>
        <v>0.43687954017479103</v>
      </c>
      <c r="I28" s="49">
        <f t="shared" si="13"/>
        <v>0.43687954017479103</v>
      </c>
      <c r="J28" s="48">
        <v>0.6</v>
      </c>
      <c r="K28" s="48">
        <f t="shared" si="3"/>
        <v>0.67000872774213227</v>
      </c>
      <c r="L28" s="48">
        <v>286000</v>
      </c>
      <c r="M28" s="48">
        <v>284200</v>
      </c>
      <c r="N28" s="51">
        <v>122666424</v>
      </c>
      <c r="O28" s="48">
        <f t="shared" si="4"/>
        <v>7.7882998654042304</v>
      </c>
      <c r="P28" s="48">
        <f t="shared" si="14"/>
        <v>7.7882998654042304</v>
      </c>
      <c r="Q28" s="49">
        <v>0</v>
      </c>
      <c r="R28" s="49">
        <f t="shared" si="5"/>
        <v>0</v>
      </c>
      <c r="S28" s="49">
        <v>216000</v>
      </c>
      <c r="T28" s="49">
        <v>231200</v>
      </c>
      <c r="U28" s="49">
        <v>15956260</v>
      </c>
      <c r="V28" s="49">
        <f t="shared" si="6"/>
        <v>0</v>
      </c>
      <c r="W28" s="49">
        <f t="shared" si="15"/>
        <v>0</v>
      </c>
      <c r="X28" s="48">
        <v>0</v>
      </c>
      <c r="Y28" s="48">
        <f t="shared" si="7"/>
        <v>0</v>
      </c>
      <c r="Z28" s="48">
        <v>0</v>
      </c>
      <c r="AA28" s="48">
        <v>0</v>
      </c>
      <c r="AB28" s="48">
        <v>0</v>
      </c>
      <c r="AC28" s="48">
        <f t="shared" si="8"/>
        <v>0</v>
      </c>
      <c r="AD28" s="48">
        <f t="shared" si="16"/>
        <v>0</v>
      </c>
      <c r="AE28" s="49">
        <v>0</v>
      </c>
      <c r="AF28" s="49">
        <f t="shared" si="9"/>
        <v>0</v>
      </c>
      <c r="AG28" s="49">
        <v>0</v>
      </c>
      <c r="AH28" s="49">
        <v>0</v>
      </c>
      <c r="AI28" s="49">
        <v>0</v>
      </c>
      <c r="AJ28" s="49">
        <f t="shared" si="10"/>
        <v>0</v>
      </c>
      <c r="AK28" s="49">
        <f t="shared" si="17"/>
        <v>0</v>
      </c>
      <c r="AL28" s="82">
        <f t="shared" si="18"/>
        <v>0</v>
      </c>
      <c r="AM28" s="82">
        <f t="shared" si="19"/>
        <v>359694129413600</v>
      </c>
      <c r="AN28" s="81">
        <f t="shared" si="11"/>
        <v>405239697781054</v>
      </c>
      <c r="AO28" s="80">
        <f t="shared" si="0"/>
        <v>1126.6230517626343</v>
      </c>
      <c r="AP28" s="52">
        <f t="shared" si="12"/>
        <v>-7.6638106512004157E-3</v>
      </c>
      <c r="AQ28" s="48">
        <f>(F28-E28)/E28</f>
        <v>-1.0434056761268781E-2</v>
      </c>
      <c r="AR28" s="48">
        <f>(M28-L28)/L28</f>
        <v>-6.2937062937062941E-3</v>
      </c>
      <c r="AS28" s="48">
        <f>(T28-S28)/S28</f>
        <v>7.0370370370370375E-2</v>
      </c>
      <c r="AT28" s="48" t="e">
        <f>(#REF!-#REF!)/#REF!</f>
        <v>#REF!</v>
      </c>
    </row>
    <row r="29" spans="1:46" x14ac:dyDescent="0.3">
      <c r="A29" s="48">
        <v>20180207</v>
      </c>
      <c r="B29" s="48" t="s">
        <v>88</v>
      </c>
      <c r="C29" s="79">
        <v>0.4</v>
      </c>
      <c r="D29" s="79">
        <f t="shared" si="1"/>
        <v>0.34558936999589135</v>
      </c>
      <c r="E29" s="49">
        <v>2371000</v>
      </c>
      <c r="F29" s="49">
        <v>2290000</v>
      </c>
      <c r="G29" s="49">
        <v>129098494</v>
      </c>
      <c r="H29" s="49">
        <f t="shared" si="2"/>
        <v>0.43687954017479103</v>
      </c>
      <c r="I29" s="49">
        <f t="shared" si="13"/>
        <v>0.43687954017479103</v>
      </c>
      <c r="J29" s="48">
        <v>0.6</v>
      </c>
      <c r="K29" s="48">
        <f t="shared" si="3"/>
        <v>0.65441063000410871</v>
      </c>
      <c r="L29" s="48">
        <v>284200</v>
      </c>
      <c r="M29" s="48">
        <v>256000</v>
      </c>
      <c r="N29" s="51">
        <v>122666424</v>
      </c>
      <c r="O29" s="48">
        <f t="shared" si="4"/>
        <v>7.7882998654042304</v>
      </c>
      <c r="P29" s="48">
        <f t="shared" si="14"/>
        <v>7.7882998654042304</v>
      </c>
      <c r="Q29" s="49">
        <v>0</v>
      </c>
      <c r="R29" s="49">
        <f t="shared" si="5"/>
        <v>0</v>
      </c>
      <c r="S29" s="49">
        <v>231200</v>
      </c>
      <c r="T29" s="49">
        <v>210000</v>
      </c>
      <c r="U29" s="49">
        <v>15956260</v>
      </c>
      <c r="V29" s="49">
        <f t="shared" si="6"/>
        <v>0</v>
      </c>
      <c r="W29" s="49">
        <f t="shared" si="15"/>
        <v>0</v>
      </c>
      <c r="X29" s="48">
        <v>0</v>
      </c>
      <c r="Y29" s="48">
        <f t="shared" si="7"/>
        <v>0</v>
      </c>
      <c r="Z29" s="48">
        <v>0</v>
      </c>
      <c r="AA29" s="48">
        <v>0</v>
      </c>
      <c r="AB29" s="48">
        <v>0</v>
      </c>
      <c r="AC29" s="48">
        <f t="shared" si="8"/>
        <v>0</v>
      </c>
      <c r="AD29" s="48">
        <f t="shared" si="16"/>
        <v>0</v>
      </c>
      <c r="AE29" s="49">
        <v>0</v>
      </c>
      <c r="AF29" s="49">
        <f t="shared" si="9"/>
        <v>0</v>
      </c>
      <c r="AG29" s="49">
        <v>0</v>
      </c>
      <c r="AH29" s="49">
        <v>0</v>
      </c>
      <c r="AI29" s="49">
        <v>0</v>
      </c>
      <c r="AJ29" s="49">
        <f t="shared" si="10"/>
        <v>0</v>
      </c>
      <c r="AK29" s="49">
        <f t="shared" si="17"/>
        <v>0</v>
      </c>
      <c r="AL29" s="82">
        <f t="shared" si="18"/>
        <v>0</v>
      </c>
      <c r="AM29" s="82">
        <f t="shared" si="19"/>
        <v>359694129413600</v>
      </c>
      <c r="AN29" s="81">
        <f t="shared" si="11"/>
        <v>373730024437167.12</v>
      </c>
      <c r="AO29" s="80">
        <f t="shared" si="0"/>
        <v>1039.0217517490471</v>
      </c>
      <c r="AP29" s="52">
        <f t="shared" si="12"/>
        <v>-7.7755643182102874E-2</v>
      </c>
      <c r="AQ29" s="48">
        <f>(F29-E29)/E29</f>
        <v>-3.4162800506115566E-2</v>
      </c>
      <c r="AR29" s="48">
        <f>(M29-L29)/L29</f>
        <v>-9.9225897255453901E-2</v>
      </c>
      <c r="AS29" s="48">
        <f>(T29-S29)/S29</f>
        <v>-9.1695501730103809E-2</v>
      </c>
      <c r="AT29" s="48" t="e">
        <f>(#REF!-#REF!)/#REF!</f>
        <v>#REF!</v>
      </c>
    </row>
    <row r="30" spans="1:46" s="64" customFormat="1" x14ac:dyDescent="0.3">
      <c r="A30" s="65">
        <v>20180208</v>
      </c>
      <c r="B30" s="48" t="s">
        <v>88</v>
      </c>
      <c r="C30" s="79">
        <v>0.4</v>
      </c>
      <c r="D30" s="79">
        <f t="shared" si="1"/>
        <v>0.33346766515063558</v>
      </c>
      <c r="E30" s="49">
        <v>2290000</v>
      </c>
      <c r="F30" s="49">
        <v>2300000</v>
      </c>
      <c r="G30" s="49">
        <v>128386494</v>
      </c>
      <c r="H30" s="49">
        <f t="shared" si="2"/>
        <v>0.43687954017479103</v>
      </c>
      <c r="I30" s="49">
        <f t="shared" si="13"/>
        <v>0.38644040761815301</v>
      </c>
      <c r="J30" s="48">
        <v>0.6</v>
      </c>
      <c r="K30" s="48">
        <f t="shared" si="3"/>
        <v>0.66653233484936436</v>
      </c>
      <c r="L30" s="48">
        <v>256000</v>
      </c>
      <c r="M30" s="48">
        <v>271400</v>
      </c>
      <c r="N30" s="51">
        <v>122666424</v>
      </c>
      <c r="O30" s="48">
        <f t="shared" si="4"/>
        <v>7.7882998654042304</v>
      </c>
      <c r="P30" s="48">
        <f t="shared" si="14"/>
        <v>6.8511212349610098</v>
      </c>
      <c r="Q30" s="49">
        <v>0</v>
      </c>
      <c r="R30" s="49">
        <f t="shared" si="5"/>
        <v>0</v>
      </c>
      <c r="S30" s="49">
        <v>210000</v>
      </c>
      <c r="T30" s="49">
        <v>220800</v>
      </c>
      <c r="U30" s="49">
        <v>15956260</v>
      </c>
      <c r="V30" s="49">
        <f t="shared" si="6"/>
        <v>0</v>
      </c>
      <c r="W30" s="49">
        <f t="shared" si="15"/>
        <v>0</v>
      </c>
      <c r="X30" s="48">
        <v>0</v>
      </c>
      <c r="Y30" s="48">
        <f t="shared" si="7"/>
        <v>0</v>
      </c>
      <c r="Z30" s="48">
        <v>0</v>
      </c>
      <c r="AA30" s="48">
        <v>0</v>
      </c>
      <c r="AB30" s="48">
        <v>0</v>
      </c>
      <c r="AC30" s="48">
        <f t="shared" si="8"/>
        <v>0</v>
      </c>
      <c r="AD30" s="48">
        <f t="shared" si="16"/>
        <v>0</v>
      </c>
      <c r="AE30" s="49">
        <v>0</v>
      </c>
      <c r="AF30" s="49">
        <f t="shared" si="9"/>
        <v>0</v>
      </c>
      <c r="AG30" s="49">
        <v>0</v>
      </c>
      <c r="AH30" s="49">
        <v>0</v>
      </c>
      <c r="AI30" s="49">
        <v>0</v>
      </c>
      <c r="AJ30" s="49">
        <f t="shared" si="10"/>
        <v>0</v>
      </c>
      <c r="AK30" s="49">
        <f t="shared" si="17"/>
        <v>0</v>
      </c>
      <c r="AL30" s="82">
        <f t="shared" si="18"/>
        <v>1</v>
      </c>
      <c r="AM30" s="82">
        <f t="shared" si="19"/>
        <v>316411557169598.5</v>
      </c>
      <c r="AN30" s="81">
        <f t="shared" si="11"/>
        <v>342196826845900.5</v>
      </c>
      <c r="AO30" s="80">
        <f t="shared" si="0"/>
        <v>1081.4928187420187</v>
      </c>
      <c r="AP30" s="52">
        <f t="shared" si="12"/>
        <v>4.0876013347629657E-2</v>
      </c>
      <c r="AQ30" s="48">
        <f>(F30-E30)/E30</f>
        <v>4.3668122270742356E-3</v>
      </c>
      <c r="AR30" s="48">
        <f>(M30-L30)/L30</f>
        <v>6.0156250000000001E-2</v>
      </c>
      <c r="AS30" s="48">
        <f>(T30-S30)/S30</f>
        <v>5.1428571428571428E-2</v>
      </c>
      <c r="AT30" s="48" t="e">
        <f>(#REF!-#REF!)/#REF!</f>
        <v>#REF!</v>
      </c>
    </row>
    <row r="31" spans="1:46" s="47" customFormat="1" x14ac:dyDescent="0.3">
      <c r="A31" s="48">
        <v>20180209</v>
      </c>
      <c r="B31" s="48" t="s">
        <v>88</v>
      </c>
      <c r="C31" s="79">
        <v>0.4</v>
      </c>
      <c r="D31" s="79">
        <f t="shared" si="1"/>
        <v>0.31427484699633984</v>
      </c>
      <c r="E31" s="49">
        <v>2300000</v>
      </c>
      <c r="F31" s="49">
        <v>2235000</v>
      </c>
      <c r="G31" s="49">
        <v>128386494</v>
      </c>
      <c r="H31" s="49">
        <f t="shared" si="2"/>
        <v>0.38644040761815301</v>
      </c>
      <c r="I31" s="49">
        <f t="shared" si="13"/>
        <v>0.37505621673717698</v>
      </c>
      <c r="J31" s="48">
        <v>0.6</v>
      </c>
      <c r="K31" s="48">
        <f t="shared" si="3"/>
        <v>0.6857251530036601</v>
      </c>
      <c r="L31" s="74">
        <v>271500</v>
      </c>
      <c r="M31" s="74">
        <v>288000</v>
      </c>
      <c r="N31" s="67">
        <v>122666424</v>
      </c>
      <c r="O31" s="48">
        <f t="shared" si="4"/>
        <v>6.8511212349610098</v>
      </c>
      <c r="P31" s="48">
        <f t="shared" si="14"/>
        <v>6.6468441985697098</v>
      </c>
      <c r="Q31" s="49">
        <v>0</v>
      </c>
      <c r="R31" s="49">
        <f t="shared" si="5"/>
        <v>0</v>
      </c>
      <c r="S31" s="49">
        <v>220800</v>
      </c>
      <c r="T31" s="49">
        <v>203900</v>
      </c>
      <c r="U31" s="49">
        <v>15956260</v>
      </c>
      <c r="V31" s="49">
        <f t="shared" si="6"/>
        <v>0</v>
      </c>
      <c r="W31" s="49">
        <f t="shared" si="15"/>
        <v>0</v>
      </c>
      <c r="X31" s="48">
        <v>0</v>
      </c>
      <c r="Y31" s="48">
        <f t="shared" si="7"/>
        <v>0</v>
      </c>
      <c r="Z31" s="48">
        <v>0</v>
      </c>
      <c r="AA31" s="48">
        <v>0</v>
      </c>
      <c r="AB31" s="48">
        <v>0</v>
      </c>
      <c r="AC31" s="48">
        <f t="shared" si="8"/>
        <v>0</v>
      </c>
      <c r="AD31" s="48">
        <f t="shared" si="16"/>
        <v>0</v>
      </c>
      <c r="AE31" s="49">
        <v>0</v>
      </c>
      <c r="AF31" s="49">
        <f t="shared" si="9"/>
        <v>0</v>
      </c>
      <c r="AG31" s="49">
        <v>0</v>
      </c>
      <c r="AH31" s="49">
        <v>0</v>
      </c>
      <c r="AI31" s="49">
        <v>0</v>
      </c>
      <c r="AJ31" s="49">
        <f t="shared" si="10"/>
        <v>0</v>
      </c>
      <c r="AK31" s="49">
        <f t="shared" si="17"/>
        <v>0</v>
      </c>
      <c r="AL31" s="82">
        <f t="shared" si="18"/>
        <v>1</v>
      </c>
      <c r="AM31" s="82">
        <f t="shared" si="19"/>
        <v>307090353970462.75</v>
      </c>
      <c r="AN31" s="81">
        <f t="shared" si="11"/>
        <v>342439308641154.62</v>
      </c>
      <c r="AO31" s="80">
        <f t="shared" si="0"/>
        <v>1115.1092967058544</v>
      </c>
      <c r="AP31" s="52">
        <f t="shared" si="12"/>
        <v>3.108340377418134E-2</v>
      </c>
      <c r="AQ31" s="48">
        <f>(F31-E31)/E31</f>
        <v>-2.8260869565217391E-2</v>
      </c>
      <c r="AR31" s="48">
        <f>(M31-L31)/L31</f>
        <v>6.0773480662983423E-2</v>
      </c>
      <c r="AS31" s="48">
        <f>(T31-S31)/S31</f>
        <v>-7.6539855072463775E-2</v>
      </c>
      <c r="AT31" s="48" t="e">
        <f>(#REF!-#REF!)/#REF!</f>
        <v>#REF!</v>
      </c>
    </row>
    <row r="32" spans="1:46" x14ac:dyDescent="0.3">
      <c r="A32" s="48">
        <v>20180212</v>
      </c>
      <c r="B32" s="48" t="s">
        <v>88</v>
      </c>
      <c r="C32" s="79">
        <v>0.4</v>
      </c>
      <c r="D32" s="79">
        <f t="shared" si="1"/>
        <v>0.30857976124145675</v>
      </c>
      <c r="E32" s="49">
        <v>2235000</v>
      </c>
      <c r="F32" s="49">
        <v>2286000</v>
      </c>
      <c r="G32" s="49">
        <v>128386494</v>
      </c>
      <c r="H32" s="49">
        <f t="shared" si="2"/>
        <v>0.37505621673717698</v>
      </c>
      <c r="I32" s="49">
        <f t="shared" si="13"/>
        <v>0.37505621673717698</v>
      </c>
      <c r="J32" s="48">
        <v>0.6</v>
      </c>
      <c r="K32" s="48">
        <f t="shared" si="3"/>
        <v>0.69142023875854319</v>
      </c>
      <c r="L32" s="48">
        <v>288000</v>
      </c>
      <c r="M32" s="48">
        <v>302500</v>
      </c>
      <c r="N32" s="51">
        <v>122666424</v>
      </c>
      <c r="O32" s="48">
        <f t="shared" si="4"/>
        <v>6.6468441985697098</v>
      </c>
      <c r="P32" s="48">
        <f t="shared" si="14"/>
        <v>6.6468441985697098</v>
      </c>
      <c r="Q32" s="49">
        <v>0</v>
      </c>
      <c r="R32" s="49">
        <f t="shared" si="5"/>
        <v>0</v>
      </c>
      <c r="S32" s="49">
        <v>203900</v>
      </c>
      <c r="T32" s="49">
        <v>216500</v>
      </c>
      <c r="U32" s="49">
        <v>15956260</v>
      </c>
      <c r="V32" s="49">
        <f t="shared" si="6"/>
        <v>0</v>
      </c>
      <c r="W32" s="49">
        <f t="shared" si="15"/>
        <v>0</v>
      </c>
      <c r="X32" s="48">
        <v>0</v>
      </c>
      <c r="Y32" s="48">
        <f t="shared" si="7"/>
        <v>0</v>
      </c>
      <c r="Z32" s="48">
        <v>0</v>
      </c>
      <c r="AA32" s="48">
        <v>0</v>
      </c>
      <c r="AB32" s="48">
        <v>0</v>
      </c>
      <c r="AC32" s="48">
        <f t="shared" si="8"/>
        <v>0</v>
      </c>
      <c r="AD32" s="48">
        <f t="shared" si="16"/>
        <v>0</v>
      </c>
      <c r="AE32" s="49">
        <v>0</v>
      </c>
      <c r="AF32" s="49">
        <f t="shared" si="9"/>
        <v>0</v>
      </c>
      <c r="AG32" s="49">
        <v>0</v>
      </c>
      <c r="AH32" s="49">
        <v>0</v>
      </c>
      <c r="AI32" s="49">
        <v>0</v>
      </c>
      <c r="AJ32" s="49">
        <f t="shared" si="10"/>
        <v>0</v>
      </c>
      <c r="AK32" s="49">
        <f t="shared" si="17"/>
        <v>0</v>
      </c>
      <c r="AL32" s="82">
        <f t="shared" si="18"/>
        <v>0</v>
      </c>
      <c r="AM32" s="82">
        <f t="shared" si="19"/>
        <v>307090353970462.75</v>
      </c>
      <c r="AN32" s="81">
        <f t="shared" si="11"/>
        <v>356717565256357.5</v>
      </c>
      <c r="AO32" s="80">
        <f t="shared" si="0"/>
        <v>1161.6045917569529</v>
      </c>
      <c r="AP32" s="52">
        <f t="shared" si="12"/>
        <v>4.1695729009210432E-2</v>
      </c>
      <c r="AQ32" s="48">
        <f>(F32-E32)/E32</f>
        <v>2.2818791946308724E-2</v>
      </c>
      <c r="AR32" s="48">
        <f>(M32-L32)/L32</f>
        <v>5.0347222222222224E-2</v>
      </c>
      <c r="AS32" s="48">
        <f>(T32-S32)/S32</f>
        <v>6.1794997547817559E-2</v>
      </c>
      <c r="AT32" s="48" t="e">
        <f>(#REF!-#REF!)/#REF!</f>
        <v>#REF!</v>
      </c>
    </row>
    <row r="33" spans="1:46" x14ac:dyDescent="0.3">
      <c r="A33" s="48">
        <v>20180213</v>
      </c>
      <c r="B33" s="48" t="s">
        <v>88</v>
      </c>
      <c r="C33" s="79">
        <v>0.4</v>
      </c>
      <c r="D33" s="79">
        <f t="shared" si="1"/>
        <v>0.32317247652562536</v>
      </c>
      <c r="E33" s="49">
        <v>2286000</v>
      </c>
      <c r="F33" s="49">
        <v>2377000</v>
      </c>
      <c r="G33" s="49">
        <v>128386494</v>
      </c>
      <c r="H33" s="49">
        <f t="shared" si="2"/>
        <v>0.37505621673717698</v>
      </c>
      <c r="I33" s="49">
        <f t="shared" si="13"/>
        <v>0.37505621673717698</v>
      </c>
      <c r="J33" s="48">
        <v>0.6</v>
      </c>
      <c r="K33" s="48">
        <f t="shared" si="3"/>
        <v>0.67682752347437458</v>
      </c>
      <c r="L33" s="48">
        <v>302500</v>
      </c>
      <c r="M33" s="48">
        <v>294000</v>
      </c>
      <c r="N33" s="51">
        <v>122666424</v>
      </c>
      <c r="O33" s="48">
        <f t="shared" si="4"/>
        <v>6.6468441985697098</v>
      </c>
      <c r="P33" s="48">
        <f t="shared" si="14"/>
        <v>6.6468441985697098</v>
      </c>
      <c r="Q33" s="49">
        <v>0</v>
      </c>
      <c r="R33" s="49">
        <f t="shared" si="5"/>
        <v>0</v>
      </c>
      <c r="S33" s="49">
        <v>216500</v>
      </c>
      <c r="T33" s="49">
        <v>200200</v>
      </c>
      <c r="U33" s="49">
        <v>15956260</v>
      </c>
      <c r="V33" s="49">
        <f t="shared" si="6"/>
        <v>0</v>
      </c>
      <c r="W33" s="49">
        <f t="shared" si="15"/>
        <v>0</v>
      </c>
      <c r="X33" s="48">
        <v>0</v>
      </c>
      <c r="Y33" s="48">
        <f t="shared" si="7"/>
        <v>0</v>
      </c>
      <c r="Z33" s="48">
        <v>0</v>
      </c>
      <c r="AA33" s="48">
        <v>0</v>
      </c>
      <c r="AB33" s="48">
        <v>0</v>
      </c>
      <c r="AC33" s="48">
        <f t="shared" si="8"/>
        <v>0</v>
      </c>
      <c r="AD33" s="48">
        <f t="shared" si="16"/>
        <v>0</v>
      </c>
      <c r="AE33" s="49">
        <v>0</v>
      </c>
      <c r="AF33" s="49">
        <f t="shared" si="9"/>
        <v>0</v>
      </c>
      <c r="AG33" s="49">
        <v>0</v>
      </c>
      <c r="AH33" s="49">
        <v>0</v>
      </c>
      <c r="AI33" s="49">
        <v>0</v>
      </c>
      <c r="AJ33" s="49">
        <f t="shared" si="10"/>
        <v>0</v>
      </c>
      <c r="AK33" s="49">
        <f t="shared" si="17"/>
        <v>0</v>
      </c>
      <c r="AL33" s="82">
        <f t="shared" si="18"/>
        <v>0</v>
      </c>
      <c r="AM33" s="82">
        <f t="shared" si="19"/>
        <v>307090353970462.75</v>
      </c>
      <c r="AN33" s="81">
        <f t="shared" si="11"/>
        <v>354168981979707</v>
      </c>
      <c r="AO33" s="80">
        <f t="shared" si="0"/>
        <v>1153.3054601049841</v>
      </c>
      <c r="AP33" s="52">
        <f t="shared" si="12"/>
        <v>-7.1445410175386293E-3</v>
      </c>
      <c r="AQ33" s="48">
        <f>(F33-E33)/E33</f>
        <v>3.9807524059492561E-2</v>
      </c>
      <c r="AR33" s="48">
        <f>(M33-L33)/L33</f>
        <v>-2.809917355371901E-2</v>
      </c>
      <c r="AS33" s="48">
        <f>(T33-S33)/S33</f>
        <v>-7.5288683602771356E-2</v>
      </c>
      <c r="AT33" s="48" t="e">
        <f>(#REF!-#REF!)/#REF!</f>
        <v>#REF!</v>
      </c>
    </row>
    <row r="34" spans="1:46" x14ac:dyDescent="0.3">
      <c r="A34" s="48">
        <v>20180214</v>
      </c>
      <c r="B34" s="48" t="s">
        <v>88</v>
      </c>
      <c r="C34" s="79">
        <v>0.4</v>
      </c>
      <c r="D34" s="79">
        <f t="shared" si="1"/>
        <v>0.31647777017709006</v>
      </c>
      <c r="E34" s="49">
        <v>2377000</v>
      </c>
      <c r="F34" s="49">
        <v>2450000</v>
      </c>
      <c r="G34" s="49">
        <v>128386494</v>
      </c>
      <c r="H34" s="49">
        <f t="shared" si="2"/>
        <v>0.37505621673717698</v>
      </c>
      <c r="I34" s="49">
        <f t="shared" si="13"/>
        <v>0.37505621673717698</v>
      </c>
      <c r="J34" s="48">
        <v>0.6</v>
      </c>
      <c r="K34" s="48">
        <f t="shared" si="3"/>
        <v>0.68352222982290989</v>
      </c>
      <c r="L34" s="48">
        <v>294000</v>
      </c>
      <c r="M34" s="48">
        <v>312500</v>
      </c>
      <c r="N34" s="51">
        <v>122666424</v>
      </c>
      <c r="O34" s="48">
        <f t="shared" si="4"/>
        <v>6.6468441985697098</v>
      </c>
      <c r="P34" s="48">
        <f t="shared" si="14"/>
        <v>6.6468441985697098</v>
      </c>
      <c r="Q34" s="49">
        <v>0</v>
      </c>
      <c r="R34" s="49">
        <f t="shared" si="5"/>
        <v>0</v>
      </c>
      <c r="S34" s="49">
        <v>200200</v>
      </c>
      <c r="T34" s="49">
        <v>205600</v>
      </c>
      <c r="U34" s="49">
        <v>15956260</v>
      </c>
      <c r="V34" s="49">
        <f t="shared" si="6"/>
        <v>0</v>
      </c>
      <c r="W34" s="49">
        <f t="shared" si="15"/>
        <v>0</v>
      </c>
      <c r="X34" s="48">
        <v>0</v>
      </c>
      <c r="Y34" s="48">
        <f t="shared" si="7"/>
        <v>0</v>
      </c>
      <c r="Z34" s="48">
        <v>0</v>
      </c>
      <c r="AA34" s="48">
        <v>0</v>
      </c>
      <c r="AB34" s="48">
        <v>0</v>
      </c>
      <c r="AC34" s="48">
        <f t="shared" si="8"/>
        <v>0</v>
      </c>
      <c r="AD34" s="48">
        <f t="shared" si="16"/>
        <v>0</v>
      </c>
      <c r="AE34" s="49">
        <v>0</v>
      </c>
      <c r="AF34" s="49">
        <f t="shared" si="9"/>
        <v>0</v>
      </c>
      <c r="AG34" s="49">
        <v>0</v>
      </c>
      <c r="AH34" s="49">
        <v>0</v>
      </c>
      <c r="AI34" s="49">
        <v>0</v>
      </c>
      <c r="AJ34" s="49">
        <f t="shared" si="10"/>
        <v>0</v>
      </c>
      <c r="AK34" s="49">
        <f t="shared" si="17"/>
        <v>0</v>
      </c>
      <c r="AL34" s="82">
        <f t="shared" si="18"/>
        <v>0</v>
      </c>
      <c r="AM34" s="82">
        <f t="shared" si="19"/>
        <v>307090353970462.75</v>
      </c>
      <c r="AN34" s="81">
        <f t="shared" si="11"/>
        <v>372767964389640</v>
      </c>
      <c r="AO34" s="80">
        <f t="shared" si="0"/>
        <v>1213.8706396017062</v>
      </c>
      <c r="AP34" s="52">
        <f t="shared" si="12"/>
        <v>5.2514430557893038E-2</v>
      </c>
      <c r="AQ34" s="48">
        <f>(F34-E34)/E34</f>
        <v>3.0710980227177113E-2</v>
      </c>
      <c r="AR34" s="48">
        <f>(M34-L34)/L34</f>
        <v>6.2925170068027211E-2</v>
      </c>
      <c r="AS34" s="48">
        <f>(T34-S34)/S34</f>
        <v>2.6973026973026972E-2</v>
      </c>
      <c r="AT34" s="48" t="e">
        <f>(#REF!-#REF!)/#REF!</f>
        <v>#REF!</v>
      </c>
    </row>
    <row r="35" spans="1:46" x14ac:dyDescent="0.3">
      <c r="A35" s="48">
        <v>20180219</v>
      </c>
      <c r="B35" s="48" t="s">
        <v>88</v>
      </c>
      <c r="C35" s="79">
        <v>0.4</v>
      </c>
      <c r="D35" s="79">
        <f t="shared" si="1"/>
        <v>0.31099777515781346</v>
      </c>
      <c r="E35" s="49">
        <v>2450000</v>
      </c>
      <c r="F35" s="49">
        <v>2419000</v>
      </c>
      <c r="G35" s="49">
        <v>128386494</v>
      </c>
      <c r="H35" s="49">
        <f t="shared" si="2"/>
        <v>0.37505621673717698</v>
      </c>
      <c r="I35" s="49">
        <f t="shared" si="13"/>
        <v>0.37505621673717698</v>
      </c>
      <c r="J35" s="48">
        <v>0.6</v>
      </c>
      <c r="K35" s="48">
        <f t="shared" si="3"/>
        <v>0.68900222484218665</v>
      </c>
      <c r="L35" s="48">
        <v>312500</v>
      </c>
      <c r="M35" s="48">
        <v>316500</v>
      </c>
      <c r="N35" s="51">
        <v>122666424</v>
      </c>
      <c r="O35" s="48">
        <f t="shared" si="4"/>
        <v>6.6468441985697098</v>
      </c>
      <c r="P35" s="48">
        <f t="shared" si="14"/>
        <v>6.6468441985697098</v>
      </c>
      <c r="Q35" s="49">
        <v>0</v>
      </c>
      <c r="R35" s="49">
        <f t="shared" si="5"/>
        <v>0</v>
      </c>
      <c r="S35" s="49">
        <v>205600</v>
      </c>
      <c r="T35" s="49">
        <v>219500</v>
      </c>
      <c r="U35" s="49">
        <v>15956260</v>
      </c>
      <c r="V35" s="49">
        <f t="shared" si="6"/>
        <v>0</v>
      </c>
      <c r="W35" s="49">
        <f t="shared" si="15"/>
        <v>0</v>
      </c>
      <c r="X35" s="48">
        <v>0</v>
      </c>
      <c r="Y35" s="48">
        <f t="shared" si="7"/>
        <v>0</v>
      </c>
      <c r="Z35" s="48">
        <v>0</v>
      </c>
      <c r="AA35" s="48">
        <v>0</v>
      </c>
      <c r="AB35" s="48">
        <v>0</v>
      </c>
      <c r="AC35" s="48">
        <f t="shared" si="8"/>
        <v>0</v>
      </c>
      <c r="AD35" s="48">
        <f t="shared" si="16"/>
        <v>0</v>
      </c>
      <c r="AE35" s="49">
        <v>0</v>
      </c>
      <c r="AF35" s="49">
        <f t="shared" si="9"/>
        <v>0</v>
      </c>
      <c r="AG35" s="49">
        <v>0</v>
      </c>
      <c r="AH35" s="49">
        <v>0</v>
      </c>
      <c r="AI35" s="49">
        <v>0</v>
      </c>
      <c r="AJ35" s="49">
        <f t="shared" si="10"/>
        <v>0</v>
      </c>
      <c r="AK35" s="49">
        <f t="shared" si="17"/>
        <v>0</v>
      </c>
      <c r="AL35" s="82">
        <f t="shared" si="18"/>
        <v>0</v>
      </c>
      <c r="AM35" s="82">
        <f t="shared" si="19"/>
        <v>307090353970462.75</v>
      </c>
      <c r="AN35" s="81">
        <f t="shared" si="11"/>
        <v>374536626090221.25</v>
      </c>
      <c r="AO35" s="80">
        <f t="shared" si="0"/>
        <v>1219.6300575635983</v>
      </c>
      <c r="AP35" s="52">
        <f t="shared" si="12"/>
        <v>4.7446719394925096E-3</v>
      </c>
      <c r="AQ35" s="48">
        <f>(F35-E35)/E35</f>
        <v>-1.2653061224489797E-2</v>
      </c>
      <c r="AR35" s="48">
        <f>(M35-L35)/L35</f>
        <v>1.2800000000000001E-2</v>
      </c>
      <c r="AS35" s="48">
        <f>(T35-S35)/S35</f>
        <v>6.7607003891050579E-2</v>
      </c>
      <c r="AT35" s="48" t="e">
        <f>(#REF!-#REF!)/#REF!</f>
        <v>#REF!</v>
      </c>
    </row>
    <row r="36" spans="1:46" x14ac:dyDescent="0.3">
      <c r="A36" s="48">
        <v>20180220</v>
      </c>
      <c r="B36" s="48" t="s">
        <v>88</v>
      </c>
      <c r="C36" s="79">
        <v>0.4</v>
      </c>
      <c r="D36" s="79">
        <f t="shared" si="1"/>
        <v>0.31526302887159363</v>
      </c>
      <c r="E36" s="49">
        <v>2419000</v>
      </c>
      <c r="F36" s="49">
        <v>2370000</v>
      </c>
      <c r="G36" s="49">
        <v>128386494</v>
      </c>
      <c r="H36" s="49">
        <f t="shared" si="2"/>
        <v>0.37505621673717698</v>
      </c>
      <c r="I36" s="49">
        <f t="shared" si="13"/>
        <v>0.37505621673717698</v>
      </c>
      <c r="J36" s="48">
        <v>0.6</v>
      </c>
      <c r="K36" s="48">
        <f t="shared" si="3"/>
        <v>0.68473697112840637</v>
      </c>
      <c r="L36" s="48">
        <v>316500</v>
      </c>
      <c r="M36" s="48">
        <v>304000</v>
      </c>
      <c r="N36" s="51">
        <v>122666424</v>
      </c>
      <c r="O36" s="48">
        <f t="shared" si="4"/>
        <v>6.6468441985697098</v>
      </c>
      <c r="P36" s="48">
        <f t="shared" si="14"/>
        <v>6.6468441985697098</v>
      </c>
      <c r="Q36" s="49">
        <v>0</v>
      </c>
      <c r="R36" s="49">
        <f t="shared" si="5"/>
        <v>0</v>
      </c>
      <c r="S36" s="49">
        <v>219500</v>
      </c>
      <c r="T36" s="49">
        <v>215000</v>
      </c>
      <c r="U36" s="49">
        <v>15956260</v>
      </c>
      <c r="V36" s="49">
        <f t="shared" si="6"/>
        <v>0</v>
      </c>
      <c r="W36" s="49">
        <f t="shared" si="15"/>
        <v>0</v>
      </c>
      <c r="X36" s="48">
        <v>0</v>
      </c>
      <c r="Y36" s="48">
        <f t="shared" si="7"/>
        <v>0</v>
      </c>
      <c r="Z36" s="48">
        <v>0</v>
      </c>
      <c r="AA36" s="48">
        <v>0</v>
      </c>
      <c r="AB36" s="48">
        <v>0</v>
      </c>
      <c r="AC36" s="48">
        <f t="shared" si="8"/>
        <v>0</v>
      </c>
      <c r="AD36" s="48">
        <f t="shared" si="16"/>
        <v>0</v>
      </c>
      <c r="AE36" s="49">
        <v>0</v>
      </c>
      <c r="AF36" s="49">
        <f t="shared" si="9"/>
        <v>0</v>
      </c>
      <c r="AG36" s="49">
        <v>0</v>
      </c>
      <c r="AH36" s="49">
        <v>0</v>
      </c>
      <c r="AI36" s="49">
        <v>0</v>
      </c>
      <c r="AJ36" s="49">
        <f t="shared" si="10"/>
        <v>0</v>
      </c>
      <c r="AK36" s="49">
        <f t="shared" si="17"/>
        <v>0</v>
      </c>
      <c r="AL36" s="82">
        <f t="shared" si="18"/>
        <v>0</v>
      </c>
      <c r="AM36" s="82">
        <f t="shared" si="19"/>
        <v>307090353970462.75</v>
      </c>
      <c r="AN36" s="81">
        <f t="shared" si="11"/>
        <v>361985362997905.37</v>
      </c>
      <c r="AO36" s="80">
        <f t="shared" si="0"/>
        <v>1178.7584934456218</v>
      </c>
      <c r="AP36" s="52">
        <f t="shared" si="12"/>
        <v>-3.3511443789458459E-2</v>
      </c>
      <c r="AQ36" s="48">
        <f>(F36-E36)/E36</f>
        <v>-2.0256304257957835E-2</v>
      </c>
      <c r="AR36" s="48">
        <f>(M36-L36)/L36</f>
        <v>-3.9494470774091628E-2</v>
      </c>
      <c r="AS36" s="48">
        <f>(T36-S36)/S36</f>
        <v>-2.0501138952164009E-2</v>
      </c>
      <c r="AT36" s="48" t="e">
        <f>(#REF!-#REF!)/#REF!</f>
        <v>#REF!</v>
      </c>
    </row>
    <row r="37" spans="1:46" x14ac:dyDescent="0.3">
      <c r="A37" s="48">
        <v>20180221</v>
      </c>
      <c r="B37" s="48" t="s">
        <v>88</v>
      </c>
      <c r="C37" s="79">
        <v>0.4</v>
      </c>
      <c r="D37" s="79">
        <f t="shared" si="1"/>
        <v>0.31225247634607883</v>
      </c>
      <c r="E37" s="49">
        <v>2370000</v>
      </c>
      <c r="F37" s="49">
        <v>2364000</v>
      </c>
      <c r="G37" s="49">
        <v>128386494</v>
      </c>
      <c r="H37" s="49">
        <f t="shared" si="2"/>
        <v>0.37505621673717698</v>
      </c>
      <c r="I37" s="49">
        <f t="shared" si="13"/>
        <v>0.37505621673717698</v>
      </c>
      <c r="J37" s="48">
        <v>0.6</v>
      </c>
      <c r="K37" s="48">
        <f t="shared" si="3"/>
        <v>0.68774752365392111</v>
      </c>
      <c r="L37" s="48">
        <v>304000</v>
      </c>
      <c r="M37" s="48">
        <v>307500</v>
      </c>
      <c r="N37" s="51">
        <v>122666424</v>
      </c>
      <c r="O37" s="48">
        <f t="shared" si="4"/>
        <v>6.6468441985697098</v>
      </c>
      <c r="P37" s="48">
        <f t="shared" si="14"/>
        <v>6.6468441985697098</v>
      </c>
      <c r="Q37" s="49">
        <v>0</v>
      </c>
      <c r="R37" s="49">
        <f t="shared" si="5"/>
        <v>0</v>
      </c>
      <c r="S37" s="49">
        <v>215000</v>
      </c>
      <c r="T37" s="49">
        <v>221200</v>
      </c>
      <c r="U37" s="49">
        <v>15956260</v>
      </c>
      <c r="V37" s="49">
        <f t="shared" si="6"/>
        <v>0</v>
      </c>
      <c r="W37" s="49">
        <f t="shared" si="15"/>
        <v>0</v>
      </c>
      <c r="X37" s="48">
        <v>0</v>
      </c>
      <c r="Y37" s="48">
        <f t="shared" si="7"/>
        <v>0</v>
      </c>
      <c r="Z37" s="48">
        <v>0</v>
      </c>
      <c r="AA37" s="48">
        <v>0</v>
      </c>
      <c r="AB37" s="48">
        <v>0</v>
      </c>
      <c r="AC37" s="48">
        <f t="shared" si="8"/>
        <v>0</v>
      </c>
      <c r="AD37" s="48">
        <f t="shared" si="16"/>
        <v>0</v>
      </c>
      <c r="AE37" s="49">
        <v>0</v>
      </c>
      <c r="AF37" s="49">
        <f t="shared" si="9"/>
        <v>0</v>
      </c>
      <c r="AG37" s="49">
        <v>0</v>
      </c>
      <c r="AH37" s="49">
        <v>0</v>
      </c>
      <c r="AI37" s="49">
        <v>0</v>
      </c>
      <c r="AJ37" s="49">
        <f t="shared" si="10"/>
        <v>0</v>
      </c>
      <c r="AK37" s="49">
        <f t="shared" si="17"/>
        <v>0</v>
      </c>
      <c r="AL37" s="82">
        <f t="shared" si="18"/>
        <v>0</v>
      </c>
      <c r="AM37" s="82">
        <f t="shared" si="19"/>
        <v>307090353970462.75</v>
      </c>
      <c r="AN37" s="81">
        <f t="shared" si="11"/>
        <v>364550156212119.56</v>
      </c>
      <c r="AO37" s="80">
        <f t="shared" si="0"/>
        <v>1187.1104106616892</v>
      </c>
      <c r="AP37" s="52">
        <f t="shared" si="12"/>
        <v>7.085350614657324E-3</v>
      </c>
      <c r="AQ37" s="48">
        <f>(F37-E37)/E37</f>
        <v>-2.5316455696202532E-3</v>
      </c>
      <c r="AR37" s="48">
        <f>(M37-L37)/L37</f>
        <v>1.1513157894736841E-2</v>
      </c>
      <c r="AS37" s="48">
        <f>(T37-S37)/S37</f>
        <v>2.883720930232558E-2</v>
      </c>
      <c r="AT37" s="48" t="e">
        <f>(#REF!-#REF!)/#REF!</f>
        <v>#REF!</v>
      </c>
    </row>
    <row r="38" spans="1:46" x14ac:dyDescent="0.3">
      <c r="A38" s="48">
        <v>20180222</v>
      </c>
      <c r="B38" s="48" t="s">
        <v>88</v>
      </c>
      <c r="C38" s="79">
        <v>0.4</v>
      </c>
      <c r="D38" s="79">
        <f t="shared" si="1"/>
        <v>0.30988244088207012</v>
      </c>
      <c r="E38" s="49">
        <v>2364000</v>
      </c>
      <c r="F38" s="49">
        <v>2338000</v>
      </c>
      <c r="G38" s="49">
        <v>128386494</v>
      </c>
      <c r="H38" s="49">
        <f t="shared" si="2"/>
        <v>0.37505621673717698</v>
      </c>
      <c r="I38" s="49">
        <f t="shared" si="13"/>
        <v>0.37505621673717698</v>
      </c>
      <c r="J38" s="48">
        <v>0.6</v>
      </c>
      <c r="K38" s="48">
        <f t="shared" si="3"/>
        <v>0.69011755911792994</v>
      </c>
      <c r="L38" s="48">
        <v>307500</v>
      </c>
      <c r="M38" s="48">
        <v>307500</v>
      </c>
      <c r="N38" s="51">
        <v>122666424</v>
      </c>
      <c r="O38" s="48">
        <f t="shared" si="4"/>
        <v>6.6468441985697098</v>
      </c>
      <c r="P38" s="48">
        <f t="shared" si="14"/>
        <v>6.6468441985697098</v>
      </c>
      <c r="Q38" s="49">
        <v>0</v>
      </c>
      <c r="R38" s="49">
        <f t="shared" si="5"/>
        <v>0</v>
      </c>
      <c r="S38" s="49">
        <v>221200</v>
      </c>
      <c r="T38" s="49">
        <v>219300</v>
      </c>
      <c r="U38" s="49">
        <v>15956260</v>
      </c>
      <c r="V38" s="49">
        <f t="shared" si="6"/>
        <v>0</v>
      </c>
      <c r="W38" s="49">
        <f t="shared" si="15"/>
        <v>0</v>
      </c>
      <c r="X38" s="48">
        <v>0</v>
      </c>
      <c r="Y38" s="48">
        <f t="shared" si="7"/>
        <v>0</v>
      </c>
      <c r="Z38" s="48">
        <v>0</v>
      </c>
      <c r="AA38" s="48">
        <v>0</v>
      </c>
      <c r="AB38" s="48">
        <v>0</v>
      </c>
      <c r="AC38" s="48">
        <f t="shared" si="8"/>
        <v>0</v>
      </c>
      <c r="AD38" s="48">
        <f t="shared" si="16"/>
        <v>0</v>
      </c>
      <c r="AE38" s="49">
        <v>0</v>
      </c>
      <c r="AF38" s="49">
        <f t="shared" si="9"/>
        <v>0</v>
      </c>
      <c r="AG38" s="49">
        <v>0</v>
      </c>
      <c r="AH38" s="49">
        <v>0</v>
      </c>
      <c r="AI38" s="49">
        <v>0</v>
      </c>
      <c r="AJ38" s="49">
        <f t="shared" si="10"/>
        <v>0</v>
      </c>
      <c r="AK38" s="49">
        <f t="shared" si="17"/>
        <v>0</v>
      </c>
      <c r="AL38" s="82">
        <f t="shared" si="18"/>
        <v>0</v>
      </c>
      <c r="AM38" s="82">
        <f t="shared" si="19"/>
        <v>307090353970462.75</v>
      </c>
      <c r="AN38" s="81">
        <f t="shared" si="11"/>
        <v>363298200241405</v>
      </c>
      <c r="AO38" s="80">
        <f t="shared" si="0"/>
        <v>1183.0335780470282</v>
      </c>
      <c r="AP38" s="52">
        <f t="shared" si="12"/>
        <v>-3.4342488938233118E-3</v>
      </c>
      <c r="AQ38" s="48">
        <f>(F38-E38)/E38</f>
        <v>-1.0998307952622674E-2</v>
      </c>
      <c r="AR38" s="48">
        <f>(M38-L38)/L38</f>
        <v>0</v>
      </c>
      <c r="AS38" s="48">
        <f>(T38-S38)/S38</f>
        <v>-8.5895117540687165E-3</v>
      </c>
      <c r="AT38" s="48" t="e">
        <f>(#REF!-#REF!)/#REF!</f>
        <v>#REF!</v>
      </c>
    </row>
    <row r="39" spans="1:46" x14ac:dyDescent="0.3">
      <c r="A39" s="48">
        <v>20180223</v>
      </c>
      <c r="B39" s="48" t="s">
        <v>88</v>
      </c>
      <c r="C39" s="79">
        <v>0.4</v>
      </c>
      <c r="D39" s="79">
        <f t="shared" si="1"/>
        <v>0.30481862471490895</v>
      </c>
      <c r="E39" s="49">
        <v>2338000</v>
      </c>
      <c r="F39" s="49">
        <v>2361000</v>
      </c>
      <c r="G39" s="49">
        <v>128386494</v>
      </c>
      <c r="H39" s="49">
        <f t="shared" si="2"/>
        <v>0.37505621673717698</v>
      </c>
      <c r="I39" s="49">
        <f t="shared" si="13"/>
        <v>0.37505621673717698</v>
      </c>
      <c r="J39" s="48">
        <v>0.6</v>
      </c>
      <c r="K39" s="48">
        <f t="shared" si="3"/>
        <v>0.69518137528509105</v>
      </c>
      <c r="L39" s="48">
        <v>307500</v>
      </c>
      <c r="M39" s="48">
        <v>318000</v>
      </c>
      <c r="N39" s="51">
        <v>122666424</v>
      </c>
      <c r="O39" s="48">
        <f t="shared" si="4"/>
        <v>6.6468441985697098</v>
      </c>
      <c r="P39" s="48">
        <f t="shared" si="14"/>
        <v>6.6468441985697098</v>
      </c>
      <c r="Q39" s="49">
        <v>0</v>
      </c>
      <c r="R39" s="49">
        <f t="shared" si="5"/>
        <v>0</v>
      </c>
      <c r="S39" s="49">
        <v>219300</v>
      </c>
      <c r="T39" s="49">
        <v>222700</v>
      </c>
      <c r="U39" s="49">
        <v>15956260</v>
      </c>
      <c r="V39" s="49">
        <f t="shared" si="6"/>
        <v>0</v>
      </c>
      <c r="W39" s="49">
        <f t="shared" si="15"/>
        <v>0</v>
      </c>
      <c r="X39" s="48">
        <v>0</v>
      </c>
      <c r="Y39" s="48">
        <f t="shared" si="7"/>
        <v>0</v>
      </c>
      <c r="Z39" s="48">
        <v>0</v>
      </c>
      <c r="AA39" s="48">
        <v>0</v>
      </c>
      <c r="AB39" s="48">
        <v>0</v>
      </c>
      <c r="AC39" s="48">
        <f t="shared" si="8"/>
        <v>0</v>
      </c>
      <c r="AD39" s="48">
        <f t="shared" si="16"/>
        <v>0</v>
      </c>
      <c r="AE39" s="49">
        <v>0</v>
      </c>
      <c r="AF39" s="49">
        <f t="shared" si="9"/>
        <v>0</v>
      </c>
      <c r="AG39" s="49">
        <v>0</v>
      </c>
      <c r="AH39" s="49">
        <v>0</v>
      </c>
      <c r="AI39" s="49">
        <v>0</v>
      </c>
      <c r="AJ39" s="49">
        <f t="shared" si="10"/>
        <v>0</v>
      </c>
      <c r="AK39" s="49">
        <f t="shared" si="17"/>
        <v>0</v>
      </c>
      <c r="AL39" s="82">
        <f t="shared" si="18"/>
        <v>0</v>
      </c>
      <c r="AM39" s="82">
        <f t="shared" si="19"/>
        <v>307090353970462.75</v>
      </c>
      <c r="AN39" s="81">
        <f t="shared" si="11"/>
        <v>372966818145558.94</v>
      </c>
      <c r="AO39" s="80">
        <f t="shared" si="0"/>
        <v>1214.5181811260425</v>
      </c>
      <c r="AP39" s="52">
        <f t="shared" si="12"/>
        <v>2.6613448395090857E-2</v>
      </c>
      <c r="AQ39" s="48">
        <f>(F39-E39)/E39</f>
        <v>9.8374679213002574E-3</v>
      </c>
      <c r="AR39" s="48">
        <f>(M39-L39)/L39</f>
        <v>3.4146341463414637E-2</v>
      </c>
      <c r="AS39" s="48">
        <f>(T39-S39)/S39</f>
        <v>1.5503875968992248E-2</v>
      </c>
      <c r="AT39" s="48" t="e">
        <f>(#REF!-#REF!)/#REF!</f>
        <v>#REF!</v>
      </c>
    </row>
    <row r="40" spans="1:46" x14ac:dyDescent="0.3">
      <c r="A40" s="48">
        <v>20180226</v>
      </c>
      <c r="B40" s="48" t="s">
        <v>88</v>
      </c>
      <c r="C40" s="79">
        <v>0.4</v>
      </c>
      <c r="D40" s="79">
        <f t="shared" si="1"/>
        <v>0.29996768305035509</v>
      </c>
      <c r="E40" s="49">
        <v>2361000</v>
      </c>
      <c r="F40" s="49">
        <v>2369000</v>
      </c>
      <c r="G40" s="49">
        <v>128386494</v>
      </c>
      <c r="H40" s="49">
        <f t="shared" si="2"/>
        <v>0.37505621673717698</v>
      </c>
      <c r="I40" s="49">
        <f t="shared" si="13"/>
        <v>0.37505621673717698</v>
      </c>
      <c r="J40" s="48">
        <v>0.6</v>
      </c>
      <c r="K40" s="48">
        <f t="shared" si="3"/>
        <v>0.70003231694964496</v>
      </c>
      <c r="L40" s="48">
        <v>318000</v>
      </c>
      <c r="M40" s="48">
        <v>326500</v>
      </c>
      <c r="N40" s="51">
        <v>122666424</v>
      </c>
      <c r="O40" s="48">
        <f t="shared" si="4"/>
        <v>6.6468441985697098</v>
      </c>
      <c r="P40" s="48">
        <f t="shared" si="14"/>
        <v>6.6468441985697098</v>
      </c>
      <c r="Q40" s="49">
        <v>0</v>
      </c>
      <c r="R40" s="49">
        <f t="shared" si="5"/>
        <v>0</v>
      </c>
      <c r="S40" s="49">
        <v>222700</v>
      </c>
      <c r="T40" s="49">
        <v>224300</v>
      </c>
      <c r="U40" s="49">
        <v>15956260</v>
      </c>
      <c r="V40" s="49">
        <f t="shared" si="6"/>
        <v>0</v>
      </c>
      <c r="W40" s="49">
        <f t="shared" si="15"/>
        <v>0</v>
      </c>
      <c r="X40" s="48">
        <v>0</v>
      </c>
      <c r="Y40" s="48">
        <f t="shared" si="7"/>
        <v>0</v>
      </c>
      <c r="Z40" s="48">
        <v>0</v>
      </c>
      <c r="AA40" s="48">
        <v>0</v>
      </c>
      <c r="AB40" s="48">
        <v>0</v>
      </c>
      <c r="AC40" s="48">
        <f t="shared" si="8"/>
        <v>0</v>
      </c>
      <c r="AD40" s="48">
        <f t="shared" si="16"/>
        <v>0</v>
      </c>
      <c r="AE40" s="49">
        <v>0</v>
      </c>
      <c r="AF40" s="49">
        <f t="shared" si="9"/>
        <v>0</v>
      </c>
      <c r="AG40" s="49">
        <v>0</v>
      </c>
      <c r="AH40" s="49">
        <v>0</v>
      </c>
      <c r="AI40" s="49">
        <v>0</v>
      </c>
      <c r="AJ40" s="49">
        <f t="shared" si="10"/>
        <v>0</v>
      </c>
      <c r="AK40" s="49">
        <f t="shared" si="17"/>
        <v>0</v>
      </c>
      <c r="AL40" s="82">
        <f t="shared" si="18"/>
        <v>0</v>
      </c>
      <c r="AM40" s="82">
        <f t="shared" si="19"/>
        <v>307090353970462.75</v>
      </c>
      <c r="AN40" s="81">
        <f t="shared" si="11"/>
        <v>380282464541468.62</v>
      </c>
      <c r="AO40" s="80">
        <f t="shared" si="0"/>
        <v>1238.3406369646041</v>
      </c>
      <c r="AP40" s="52">
        <f t="shared" si="12"/>
        <v>1.9614737933749647E-2</v>
      </c>
      <c r="AQ40" s="48">
        <f>(F40-E40)/E40</f>
        <v>3.3883947479881405E-3</v>
      </c>
      <c r="AR40" s="48">
        <f>(M40-L40)/L40</f>
        <v>2.6729559748427674E-2</v>
      </c>
      <c r="AS40" s="48">
        <f>(T40-S40)/S40</f>
        <v>7.1845532105972157E-3</v>
      </c>
      <c r="AT40" s="48" t="e">
        <f>(#REF!-#REF!)/#REF!</f>
        <v>#REF!</v>
      </c>
    </row>
    <row r="41" spans="1:46" x14ac:dyDescent="0.3">
      <c r="A41" s="48">
        <v>20180227</v>
      </c>
      <c r="B41" s="48" t="s">
        <v>88</v>
      </c>
      <c r="C41" s="79">
        <v>0.4</v>
      </c>
      <c r="D41" s="79">
        <f t="shared" si="1"/>
        <v>0.28499701110201231</v>
      </c>
      <c r="E41" s="49">
        <v>2369000</v>
      </c>
      <c r="F41" s="49">
        <v>2369000</v>
      </c>
      <c r="G41" s="49">
        <v>128386494</v>
      </c>
      <c r="H41" s="49">
        <f t="shared" si="2"/>
        <v>0.37505621673717698</v>
      </c>
      <c r="I41" s="49">
        <f t="shared" si="13"/>
        <v>0.37505621673717698</v>
      </c>
      <c r="J41" s="48">
        <v>0.6</v>
      </c>
      <c r="K41" s="48">
        <f t="shared" si="3"/>
        <v>0.71500298889798763</v>
      </c>
      <c r="L41" s="48">
        <v>326500</v>
      </c>
      <c r="M41" s="48">
        <v>351000</v>
      </c>
      <c r="N41" s="51">
        <v>122666424</v>
      </c>
      <c r="O41" s="48">
        <f t="shared" si="4"/>
        <v>6.6468441985697098</v>
      </c>
      <c r="P41" s="48">
        <f t="shared" si="14"/>
        <v>6.6468441985697098</v>
      </c>
      <c r="Q41" s="49">
        <v>0</v>
      </c>
      <c r="R41" s="49">
        <f t="shared" si="5"/>
        <v>0</v>
      </c>
      <c r="S41" s="49">
        <v>224300</v>
      </c>
      <c r="T41" s="49">
        <v>225200</v>
      </c>
      <c r="U41" s="49">
        <v>15956260</v>
      </c>
      <c r="V41" s="49">
        <f t="shared" si="6"/>
        <v>0</v>
      </c>
      <c r="W41" s="49">
        <f t="shared" si="15"/>
        <v>0</v>
      </c>
      <c r="X41" s="48">
        <v>0</v>
      </c>
      <c r="Y41" s="48">
        <f t="shared" si="7"/>
        <v>0</v>
      </c>
      <c r="Z41" s="48">
        <v>0</v>
      </c>
      <c r="AA41" s="48">
        <v>0</v>
      </c>
      <c r="AB41" s="48">
        <v>0</v>
      </c>
      <c r="AC41" s="48">
        <f t="shared" si="8"/>
        <v>0</v>
      </c>
      <c r="AD41" s="48">
        <f t="shared" si="16"/>
        <v>0</v>
      </c>
      <c r="AE41" s="49">
        <v>0</v>
      </c>
      <c r="AF41" s="49">
        <f t="shared" si="9"/>
        <v>0</v>
      </c>
      <c r="AG41" s="49">
        <v>0</v>
      </c>
      <c r="AH41" s="49">
        <v>0</v>
      </c>
      <c r="AI41" s="49">
        <v>0</v>
      </c>
      <c r="AJ41" s="49">
        <f t="shared" si="10"/>
        <v>0</v>
      </c>
      <c r="AK41" s="49">
        <f t="shared" si="17"/>
        <v>0</v>
      </c>
      <c r="AL41" s="82">
        <f t="shared" si="18"/>
        <v>0</v>
      </c>
      <c r="AM41" s="82">
        <f t="shared" si="19"/>
        <v>307090353970462.75</v>
      </c>
      <c r="AN41" s="81">
        <f t="shared" si="11"/>
        <v>400258407455199.12</v>
      </c>
      <c r="AO41" s="80">
        <f t="shared" si="0"/>
        <v>1303.3897101622986</v>
      </c>
      <c r="AP41" s="52">
        <f t="shared" si="12"/>
        <v>5.2529224395915404E-2</v>
      </c>
      <c r="AQ41" s="48">
        <f>(F41-E41)/E41</f>
        <v>0</v>
      </c>
      <c r="AR41" s="48">
        <f>(M41-L41)/L41</f>
        <v>7.5038284839203676E-2</v>
      </c>
      <c r="AS41" s="48">
        <f>(T41-S41)/S41</f>
        <v>4.012483281319661E-3</v>
      </c>
      <c r="AT41" s="48" t="e">
        <f>(#REF!-#REF!)/#REF!</f>
        <v>#REF!</v>
      </c>
    </row>
    <row r="42" spans="1:46" x14ac:dyDescent="0.3">
      <c r="A42" s="48">
        <v>20180228</v>
      </c>
      <c r="B42" s="48" t="s">
        <v>88</v>
      </c>
      <c r="C42" s="79">
        <v>0.4</v>
      </c>
      <c r="D42" s="79">
        <f t="shared" si="1"/>
        <v>0.28246508083172983</v>
      </c>
      <c r="E42" s="49">
        <v>2369000</v>
      </c>
      <c r="F42" s="49">
        <v>2353000</v>
      </c>
      <c r="G42" s="49">
        <v>128386494</v>
      </c>
      <c r="H42" s="49">
        <f t="shared" si="2"/>
        <v>0.37505621673717698</v>
      </c>
      <c r="I42" s="49">
        <f t="shared" si="13"/>
        <v>0.37505621673717698</v>
      </c>
      <c r="J42" s="48">
        <v>0.6</v>
      </c>
      <c r="K42" s="48">
        <f t="shared" si="3"/>
        <v>0.71753491916827017</v>
      </c>
      <c r="L42" s="48">
        <v>351000</v>
      </c>
      <c r="M42" s="48">
        <v>353000</v>
      </c>
      <c r="N42" s="51">
        <v>122666424</v>
      </c>
      <c r="O42" s="48">
        <f t="shared" si="4"/>
        <v>6.6468441985697098</v>
      </c>
      <c r="P42" s="48">
        <f t="shared" si="14"/>
        <v>6.6468441985697098</v>
      </c>
      <c r="Q42" s="49">
        <v>0</v>
      </c>
      <c r="R42" s="49">
        <f t="shared" si="5"/>
        <v>0</v>
      </c>
      <c r="S42" s="49">
        <v>225200</v>
      </c>
      <c r="T42" s="49">
        <v>234000</v>
      </c>
      <c r="U42" s="49">
        <v>15956260</v>
      </c>
      <c r="V42" s="49">
        <f t="shared" si="6"/>
        <v>0</v>
      </c>
      <c r="W42" s="49">
        <f t="shared" si="15"/>
        <v>0</v>
      </c>
      <c r="X42" s="48">
        <v>0</v>
      </c>
      <c r="Y42" s="48">
        <f t="shared" si="7"/>
        <v>0</v>
      </c>
      <c r="Z42" s="48">
        <v>0</v>
      </c>
      <c r="AA42" s="48">
        <v>0</v>
      </c>
      <c r="AB42" s="48">
        <v>0</v>
      </c>
      <c r="AC42" s="48">
        <f t="shared" si="8"/>
        <v>0</v>
      </c>
      <c r="AD42" s="48">
        <f t="shared" si="16"/>
        <v>0</v>
      </c>
      <c r="AE42" s="49">
        <v>0</v>
      </c>
      <c r="AF42" s="49">
        <f t="shared" si="9"/>
        <v>0</v>
      </c>
      <c r="AG42" s="49">
        <v>0</v>
      </c>
      <c r="AH42" s="49">
        <v>0</v>
      </c>
      <c r="AI42" s="49">
        <v>0</v>
      </c>
      <c r="AJ42" s="49">
        <f t="shared" si="10"/>
        <v>0</v>
      </c>
      <c r="AK42" s="49">
        <f t="shared" si="17"/>
        <v>0</v>
      </c>
      <c r="AL42" s="82">
        <f t="shared" si="18"/>
        <v>0</v>
      </c>
      <c r="AM42" s="82">
        <f t="shared" si="19"/>
        <v>307090353970462.75</v>
      </c>
      <c r="AN42" s="81">
        <f t="shared" si="11"/>
        <v>401118662229129.87</v>
      </c>
      <c r="AO42" s="80">
        <f t="shared" si="0"/>
        <v>1306.1910185160398</v>
      </c>
      <c r="AP42" s="52">
        <f t="shared" si="12"/>
        <v>2.1492484802510723E-3</v>
      </c>
      <c r="AQ42" s="48">
        <f>(F42-E42)/E42</f>
        <v>-6.7539046010975093E-3</v>
      </c>
      <c r="AR42" s="48">
        <f>(M42-L42)/L42</f>
        <v>5.6980056980056983E-3</v>
      </c>
      <c r="AS42" s="48">
        <f>(T42-S42)/S42</f>
        <v>3.9076376554174071E-2</v>
      </c>
      <c r="AT42" s="48" t="e">
        <f>(#REF!-#REF!)/#REF!</f>
        <v>#REF!</v>
      </c>
    </row>
    <row r="43" spans="1:46" x14ac:dyDescent="0.3">
      <c r="A43" s="48">
        <v>20180302</v>
      </c>
      <c r="B43" s="48" t="s">
        <v>88</v>
      </c>
      <c r="C43" s="79">
        <v>0.4</v>
      </c>
      <c r="D43" s="79">
        <f t="shared" si="1"/>
        <v>0.26755957101489924</v>
      </c>
      <c r="E43" s="49">
        <v>2353000</v>
      </c>
      <c r="F43" s="49">
        <v>2301000</v>
      </c>
      <c r="G43" s="49">
        <v>128386494</v>
      </c>
      <c r="H43" s="49">
        <f t="shared" si="2"/>
        <v>0.37505621673717698</v>
      </c>
      <c r="I43" s="49">
        <f t="shared" si="13"/>
        <v>0.37505621673717698</v>
      </c>
      <c r="J43" s="48">
        <v>0.6</v>
      </c>
      <c r="K43" s="48">
        <f t="shared" si="3"/>
        <v>0.73244042898510076</v>
      </c>
      <c r="L43" s="48">
        <v>353000</v>
      </c>
      <c r="M43" s="48">
        <v>372000</v>
      </c>
      <c r="N43" s="51">
        <v>122666424</v>
      </c>
      <c r="O43" s="48">
        <f t="shared" si="4"/>
        <v>6.6468441985697098</v>
      </c>
      <c r="P43" s="48">
        <f t="shared" si="14"/>
        <v>6.6468441985697098</v>
      </c>
      <c r="Q43" s="49">
        <v>0</v>
      </c>
      <c r="R43" s="49">
        <f t="shared" si="5"/>
        <v>0</v>
      </c>
      <c r="S43" s="49">
        <v>234000</v>
      </c>
      <c r="T43" s="49">
        <v>239000</v>
      </c>
      <c r="U43" s="49">
        <v>15956260</v>
      </c>
      <c r="V43" s="49">
        <f t="shared" si="6"/>
        <v>0</v>
      </c>
      <c r="W43" s="49">
        <f t="shared" si="15"/>
        <v>0</v>
      </c>
      <c r="X43" s="48">
        <v>0</v>
      </c>
      <c r="Y43" s="48">
        <f t="shared" si="7"/>
        <v>0</v>
      </c>
      <c r="Z43" s="48">
        <v>0</v>
      </c>
      <c r="AA43" s="48">
        <v>0</v>
      </c>
      <c r="AB43" s="48">
        <v>0</v>
      </c>
      <c r="AC43" s="48">
        <f t="shared" si="8"/>
        <v>0</v>
      </c>
      <c r="AD43" s="48">
        <f t="shared" si="16"/>
        <v>0</v>
      </c>
      <c r="AE43" s="49">
        <v>0</v>
      </c>
      <c r="AF43" s="49">
        <f t="shared" si="9"/>
        <v>0</v>
      </c>
      <c r="AG43" s="49">
        <v>0</v>
      </c>
      <c r="AH43" s="49">
        <v>0</v>
      </c>
      <c r="AI43" s="49">
        <v>0</v>
      </c>
      <c r="AJ43" s="49">
        <f t="shared" si="10"/>
        <v>0</v>
      </c>
      <c r="AK43" s="49">
        <f t="shared" si="17"/>
        <v>0</v>
      </c>
      <c r="AL43" s="82">
        <f t="shared" si="18"/>
        <v>0</v>
      </c>
      <c r="AM43" s="82">
        <f t="shared" si="19"/>
        <v>307090353970462.75</v>
      </c>
      <c r="AN43" s="81">
        <f t="shared" si="11"/>
        <v>414106297853450.94</v>
      </c>
      <c r="AO43" s="80">
        <f t="shared" si="0"/>
        <v>1348.4835733175826</v>
      </c>
      <c r="AP43" s="52">
        <f t="shared" si="12"/>
        <v>3.2378537443620806E-2</v>
      </c>
      <c r="AQ43" s="48">
        <f>(F43-E43)/E43</f>
        <v>-2.2099447513812154E-2</v>
      </c>
      <c r="AR43" s="48">
        <f>(M43-L43)/L43</f>
        <v>5.3824362606232294E-2</v>
      </c>
      <c r="AS43" s="48">
        <f>(T43-S43)/S43</f>
        <v>2.1367521367521368E-2</v>
      </c>
      <c r="AT43" s="48" t="e">
        <f>(#REF!-#REF!)/#REF!</f>
        <v>#REF!</v>
      </c>
    </row>
    <row r="44" spans="1:46" x14ac:dyDescent="0.3">
      <c r="A44" s="48">
        <v>20180305</v>
      </c>
      <c r="B44" s="48" t="s">
        <v>88</v>
      </c>
      <c r="C44" s="79">
        <v>0.4</v>
      </c>
      <c r="D44" s="79">
        <f t="shared" si="1"/>
        <v>0.26326969555290575</v>
      </c>
      <c r="E44" s="49">
        <v>2301000</v>
      </c>
      <c r="F44" s="49">
        <v>2260000</v>
      </c>
      <c r="G44" s="49">
        <v>128386494</v>
      </c>
      <c r="H44" s="49">
        <f t="shared" si="2"/>
        <v>0.37505621673717698</v>
      </c>
      <c r="I44" s="49">
        <f t="shared" si="13"/>
        <v>0.37505621673717698</v>
      </c>
      <c r="J44" s="48">
        <v>0.6</v>
      </c>
      <c r="K44" s="48">
        <f t="shared" si="3"/>
        <v>0.73673030444709431</v>
      </c>
      <c r="L44" s="48">
        <v>372000</v>
      </c>
      <c r="M44" s="48">
        <v>373500</v>
      </c>
      <c r="N44" s="51">
        <v>122666424</v>
      </c>
      <c r="O44" s="48">
        <f t="shared" si="4"/>
        <v>6.6468441985697098</v>
      </c>
      <c r="P44" s="48">
        <f t="shared" si="14"/>
        <v>6.6468441985697098</v>
      </c>
      <c r="Q44" s="49">
        <v>0</v>
      </c>
      <c r="R44" s="49">
        <f t="shared" si="5"/>
        <v>0</v>
      </c>
      <c r="S44" s="49">
        <v>239000</v>
      </c>
      <c r="T44" s="49">
        <v>228900</v>
      </c>
      <c r="U44" s="49">
        <v>15956260</v>
      </c>
      <c r="V44" s="49">
        <f t="shared" si="6"/>
        <v>0</v>
      </c>
      <c r="W44" s="49">
        <f t="shared" si="15"/>
        <v>0</v>
      </c>
      <c r="X44" s="48">
        <v>0</v>
      </c>
      <c r="Y44" s="48">
        <f t="shared" si="7"/>
        <v>0</v>
      </c>
      <c r="Z44" s="48">
        <v>0</v>
      </c>
      <c r="AA44" s="48">
        <v>0</v>
      </c>
      <c r="AB44" s="48">
        <v>0</v>
      </c>
      <c r="AC44" s="48">
        <f t="shared" si="8"/>
        <v>0</v>
      </c>
      <c r="AD44" s="48">
        <f t="shared" si="16"/>
        <v>0</v>
      </c>
      <c r="AE44" s="49">
        <v>0</v>
      </c>
      <c r="AF44" s="49">
        <f t="shared" si="9"/>
        <v>0</v>
      </c>
      <c r="AG44" s="49">
        <v>0</v>
      </c>
      <c r="AH44" s="49">
        <v>0</v>
      </c>
      <c r="AI44" s="49">
        <v>0</v>
      </c>
      <c r="AJ44" s="49">
        <f t="shared" si="10"/>
        <v>0</v>
      </c>
      <c r="AK44" s="49">
        <f t="shared" si="17"/>
        <v>0</v>
      </c>
      <c r="AL44" s="82">
        <f t="shared" si="18"/>
        <v>0</v>
      </c>
      <c r="AM44" s="82">
        <f t="shared" si="19"/>
        <v>307090353970462.75</v>
      </c>
      <c r="AN44" s="81">
        <f t="shared" si="11"/>
        <v>413355076505025.06</v>
      </c>
      <c r="AO44" s="80">
        <f t="shared" si="0"/>
        <v>1346.0373182049973</v>
      </c>
      <c r="AP44" s="52">
        <f t="shared" si="12"/>
        <v>-1.8140785405097086E-3</v>
      </c>
      <c r="AQ44" s="48">
        <f>(F44-E44)/E44</f>
        <v>-1.7818339852238158E-2</v>
      </c>
      <c r="AR44" s="48">
        <f>(M44-L44)/L44</f>
        <v>4.0322580645161289E-3</v>
      </c>
      <c r="AS44" s="48">
        <f>(T44-S44)/S44</f>
        <v>-4.225941422594142E-2</v>
      </c>
      <c r="AT44" s="48" t="e">
        <f>(#REF!-#REF!)/#REF!</f>
        <v>#REF!</v>
      </c>
    </row>
    <row r="45" spans="1:46" x14ac:dyDescent="0.3">
      <c r="A45" s="48">
        <v>20180306</v>
      </c>
      <c r="B45" s="48" t="s">
        <v>88</v>
      </c>
      <c r="C45" s="79">
        <v>0.4</v>
      </c>
      <c r="D45" s="79">
        <f t="shared" si="1"/>
        <v>0.27286163094631061</v>
      </c>
      <c r="E45" s="49">
        <v>2260000</v>
      </c>
      <c r="F45" s="49">
        <v>2351000</v>
      </c>
      <c r="G45" s="49">
        <v>128386494</v>
      </c>
      <c r="H45" s="49">
        <f t="shared" si="2"/>
        <v>0.37505621673717698</v>
      </c>
      <c r="I45" s="49">
        <f t="shared" si="13"/>
        <v>0.37505621673717698</v>
      </c>
      <c r="J45" s="48">
        <v>0.6</v>
      </c>
      <c r="K45" s="48">
        <f t="shared" si="3"/>
        <v>0.72713836905368945</v>
      </c>
      <c r="L45" s="48">
        <v>373500</v>
      </c>
      <c r="M45" s="48">
        <v>370000</v>
      </c>
      <c r="N45" s="51">
        <v>122666424</v>
      </c>
      <c r="O45" s="48">
        <f t="shared" si="4"/>
        <v>6.6468441985697098</v>
      </c>
      <c r="P45" s="48">
        <f t="shared" si="14"/>
        <v>6.6468441985697098</v>
      </c>
      <c r="Q45" s="49">
        <v>0</v>
      </c>
      <c r="R45" s="49">
        <f t="shared" si="5"/>
        <v>0</v>
      </c>
      <c r="S45" s="49">
        <v>228900</v>
      </c>
      <c r="T45" s="49">
        <v>236700</v>
      </c>
      <c r="U45" s="49">
        <v>15956260</v>
      </c>
      <c r="V45" s="49">
        <f t="shared" si="6"/>
        <v>0</v>
      </c>
      <c r="W45" s="49">
        <f t="shared" si="15"/>
        <v>0</v>
      </c>
      <c r="X45" s="48">
        <v>0</v>
      </c>
      <c r="Y45" s="48">
        <f t="shared" si="7"/>
        <v>0</v>
      </c>
      <c r="Z45" s="48">
        <v>0</v>
      </c>
      <c r="AA45" s="48">
        <v>0</v>
      </c>
      <c r="AB45" s="48">
        <v>0</v>
      </c>
      <c r="AC45" s="48">
        <f t="shared" si="8"/>
        <v>0</v>
      </c>
      <c r="AD45" s="48">
        <f t="shared" si="16"/>
        <v>0</v>
      </c>
      <c r="AE45" s="49">
        <v>0</v>
      </c>
      <c r="AF45" s="49">
        <f t="shared" si="9"/>
        <v>0</v>
      </c>
      <c r="AG45" s="49">
        <v>0</v>
      </c>
      <c r="AH45" s="49">
        <v>0</v>
      </c>
      <c r="AI45" s="49">
        <v>0</v>
      </c>
      <c r="AJ45" s="49">
        <f t="shared" si="10"/>
        <v>0</v>
      </c>
      <c r="AK45" s="49">
        <f t="shared" si="17"/>
        <v>0</v>
      </c>
      <c r="AL45" s="82">
        <f t="shared" si="18"/>
        <v>0</v>
      </c>
      <c r="AM45" s="82">
        <f t="shared" si="19"/>
        <v>307090353970462.75</v>
      </c>
      <c r="AN45" s="81">
        <f t="shared" si="11"/>
        <v>414883216271993.06</v>
      </c>
      <c r="AO45" s="80">
        <f t="shared" si="0"/>
        <v>1351.0135076137828</v>
      </c>
      <c r="AP45" s="52">
        <f t="shared" si="12"/>
        <v>3.6969178651165002E-3</v>
      </c>
      <c r="AQ45" s="48">
        <f>(F45-E45)/E45</f>
        <v>4.026548672566372E-2</v>
      </c>
      <c r="AR45" s="48">
        <f>(M45-L45)/L45</f>
        <v>-9.3708165997322627E-3</v>
      </c>
      <c r="AS45" s="48">
        <f>(T45-S45)/S45</f>
        <v>3.4076015727391877E-2</v>
      </c>
      <c r="AT45" s="48" t="e">
        <f>(#REF!-#REF!)/#REF!</f>
        <v>#REF!</v>
      </c>
    </row>
    <row r="46" spans="1:46" x14ac:dyDescent="0.3">
      <c r="A46" s="48">
        <v>20180307</v>
      </c>
      <c r="B46" s="48" t="s">
        <v>88</v>
      </c>
      <c r="C46" s="79">
        <v>0.4</v>
      </c>
      <c r="D46" s="79">
        <f t="shared" si="1"/>
        <v>0.3063982507125555</v>
      </c>
      <c r="E46" s="49">
        <v>2351000</v>
      </c>
      <c r="F46" s="49">
        <v>2431000</v>
      </c>
      <c r="G46" s="49">
        <v>128386494</v>
      </c>
      <c r="H46" s="49">
        <f t="shared" si="2"/>
        <v>0.37505621673717698</v>
      </c>
      <c r="I46" s="49">
        <f t="shared" si="13"/>
        <v>0.37505621673717698</v>
      </c>
      <c r="J46" s="48">
        <v>0.6</v>
      </c>
      <c r="K46" s="48">
        <f t="shared" si="3"/>
        <v>0.69360174928744456</v>
      </c>
      <c r="L46" s="48">
        <v>370000</v>
      </c>
      <c r="M46" s="48">
        <v>325000</v>
      </c>
      <c r="N46" s="51">
        <v>122666424</v>
      </c>
      <c r="O46" s="48">
        <f t="shared" si="4"/>
        <v>6.6468441985697098</v>
      </c>
      <c r="P46" s="48">
        <f t="shared" si="14"/>
        <v>6.6468441985697098</v>
      </c>
      <c r="Q46" s="49">
        <v>0</v>
      </c>
      <c r="R46" s="49">
        <f t="shared" si="5"/>
        <v>0</v>
      </c>
      <c r="S46" s="49">
        <v>236700</v>
      </c>
      <c r="T46" s="49">
        <v>223700</v>
      </c>
      <c r="U46" s="49">
        <v>15956260</v>
      </c>
      <c r="V46" s="49">
        <f t="shared" si="6"/>
        <v>0</v>
      </c>
      <c r="W46" s="49">
        <f t="shared" si="15"/>
        <v>0</v>
      </c>
      <c r="X46" s="48">
        <v>0</v>
      </c>
      <c r="Y46" s="48">
        <f t="shared" si="7"/>
        <v>0</v>
      </c>
      <c r="Z46" s="48">
        <v>0</v>
      </c>
      <c r="AA46" s="48">
        <v>0</v>
      </c>
      <c r="AB46" s="48">
        <v>0</v>
      </c>
      <c r="AC46" s="48">
        <f t="shared" si="8"/>
        <v>0</v>
      </c>
      <c r="AD46" s="48">
        <f t="shared" si="16"/>
        <v>0</v>
      </c>
      <c r="AE46" s="49">
        <v>0</v>
      </c>
      <c r="AF46" s="49">
        <f t="shared" si="9"/>
        <v>0</v>
      </c>
      <c r="AG46" s="49">
        <v>0</v>
      </c>
      <c r="AH46" s="49">
        <v>0</v>
      </c>
      <c r="AI46" s="49">
        <v>0</v>
      </c>
      <c r="AJ46" s="49">
        <f t="shared" si="10"/>
        <v>0</v>
      </c>
      <c r="AK46" s="49">
        <f t="shared" si="17"/>
        <v>0</v>
      </c>
      <c r="AL46" s="82">
        <f t="shared" si="18"/>
        <v>0</v>
      </c>
      <c r="AM46" s="82">
        <f t="shared" si="19"/>
        <v>307090353970462.75</v>
      </c>
      <c r="AN46" s="81">
        <f t="shared" si="11"/>
        <v>382044881097010.12</v>
      </c>
      <c r="AO46" s="80">
        <f t="shared" si="0"/>
        <v>1244.0797184198004</v>
      </c>
      <c r="AP46" s="52">
        <f t="shared" si="12"/>
        <v>-7.9150792047115351E-2</v>
      </c>
      <c r="AQ46" s="48">
        <f>(F46-E46)/E46</f>
        <v>3.4028073160357296E-2</v>
      </c>
      <c r="AR46" s="48">
        <f>(M46-L46)/L46</f>
        <v>-0.12162162162162163</v>
      </c>
      <c r="AS46" s="48">
        <f>(T46-S46)/S46</f>
        <v>-5.4921841994085341E-2</v>
      </c>
      <c r="AT46" s="48" t="e">
        <f>(#REF!-#REF!)/#REF!</f>
        <v>#REF!</v>
      </c>
    </row>
    <row r="47" spans="1:46" x14ac:dyDescent="0.3">
      <c r="A47" s="48">
        <v>20180308</v>
      </c>
      <c r="B47" s="48" t="s">
        <v>88</v>
      </c>
      <c r="C47" s="79">
        <v>0.4</v>
      </c>
      <c r="D47" s="79">
        <f t="shared" si="1"/>
        <v>0.29098080535106796</v>
      </c>
      <c r="E47" s="49">
        <v>2431000</v>
      </c>
      <c r="F47" s="49">
        <v>2460000</v>
      </c>
      <c r="G47" s="49">
        <v>128386494</v>
      </c>
      <c r="H47" s="49">
        <f t="shared" si="2"/>
        <v>0.37505621673717698</v>
      </c>
      <c r="I47" s="49">
        <f t="shared" si="13"/>
        <v>0.37505621673717698</v>
      </c>
      <c r="J47" s="48">
        <v>0.6</v>
      </c>
      <c r="K47" s="48">
        <f t="shared" si="3"/>
        <v>0.70901919464893204</v>
      </c>
      <c r="L47" s="48">
        <v>325000</v>
      </c>
      <c r="M47" s="48">
        <v>354000</v>
      </c>
      <c r="N47" s="51">
        <v>122666424</v>
      </c>
      <c r="O47" s="48">
        <f t="shared" si="4"/>
        <v>6.6468441985697098</v>
      </c>
      <c r="P47" s="48">
        <f t="shared" si="14"/>
        <v>6.6468441985697098</v>
      </c>
      <c r="Q47" s="49">
        <v>0</v>
      </c>
      <c r="R47" s="49">
        <f t="shared" si="5"/>
        <v>0</v>
      </c>
      <c r="S47" s="49">
        <v>223700</v>
      </c>
      <c r="T47" s="49">
        <v>234300</v>
      </c>
      <c r="U47" s="49">
        <v>15956260</v>
      </c>
      <c r="V47" s="49">
        <f t="shared" si="6"/>
        <v>0</v>
      </c>
      <c r="W47" s="49">
        <f t="shared" si="15"/>
        <v>0</v>
      </c>
      <c r="X47" s="48">
        <v>0</v>
      </c>
      <c r="Y47" s="48">
        <f t="shared" si="7"/>
        <v>0</v>
      </c>
      <c r="Z47" s="48">
        <v>0</v>
      </c>
      <c r="AA47" s="48">
        <v>0</v>
      </c>
      <c r="AB47" s="48">
        <v>0</v>
      </c>
      <c r="AC47" s="48">
        <f t="shared" si="8"/>
        <v>0</v>
      </c>
      <c r="AD47" s="48">
        <f t="shared" si="16"/>
        <v>0</v>
      </c>
      <c r="AE47" s="49">
        <v>0</v>
      </c>
      <c r="AF47" s="49">
        <f t="shared" si="9"/>
        <v>0</v>
      </c>
      <c r="AG47" s="49">
        <v>0</v>
      </c>
      <c r="AH47" s="49">
        <v>0</v>
      </c>
      <c r="AI47" s="49">
        <v>0</v>
      </c>
      <c r="AJ47" s="49">
        <f t="shared" si="10"/>
        <v>0</v>
      </c>
      <c r="AK47" s="49">
        <f t="shared" si="17"/>
        <v>0</v>
      </c>
      <c r="AL47" s="82">
        <f t="shared" si="18"/>
        <v>0</v>
      </c>
      <c r="AM47" s="82">
        <f t="shared" si="19"/>
        <v>307090353970462.75</v>
      </c>
      <c r="AN47" s="81">
        <f t="shared" si="11"/>
        <v>407086287178871.12</v>
      </c>
      <c r="AO47" s="80">
        <f t="shared" si="0"/>
        <v>1325.6238169500643</v>
      </c>
      <c r="AP47" s="52">
        <f t="shared" si="12"/>
        <v>6.5545718110282536E-2</v>
      </c>
      <c r="AQ47" s="48">
        <f>(F47-E47)/E47</f>
        <v>1.192924722336487E-2</v>
      </c>
      <c r="AR47" s="48">
        <f>(M47-L47)/L47</f>
        <v>8.9230769230769225E-2</v>
      </c>
      <c r="AS47" s="48">
        <f>(T47-S47)/S47</f>
        <v>4.7384890478319175E-2</v>
      </c>
      <c r="AT47" s="48" t="e">
        <f>(#REF!-#REF!)/#REF!</f>
        <v>#REF!</v>
      </c>
    </row>
    <row r="48" spans="1:46" x14ac:dyDescent="0.3">
      <c r="A48" s="48">
        <v>20180309</v>
      </c>
      <c r="B48" s="48" t="s">
        <v>88</v>
      </c>
      <c r="C48" s="79">
        <v>0.4</v>
      </c>
      <c r="D48" s="79">
        <f t="shared" si="1"/>
        <v>0.3106012408714805</v>
      </c>
      <c r="E48" s="49">
        <v>2460000</v>
      </c>
      <c r="F48" s="49">
        <v>2487000</v>
      </c>
      <c r="G48" s="49">
        <v>128386494</v>
      </c>
      <c r="H48" s="49">
        <f t="shared" si="2"/>
        <v>0.37505621673717698</v>
      </c>
      <c r="I48" s="49">
        <f t="shared" si="13"/>
        <v>0.37505621673717698</v>
      </c>
      <c r="J48" s="48">
        <v>0.6</v>
      </c>
      <c r="K48" s="48">
        <f t="shared" si="3"/>
        <v>0.68939875912851956</v>
      </c>
      <c r="L48" s="48">
        <v>354000</v>
      </c>
      <c r="M48" s="48">
        <v>326000</v>
      </c>
      <c r="N48" s="51">
        <v>122666424</v>
      </c>
      <c r="O48" s="48">
        <f t="shared" si="4"/>
        <v>6.6468441985697098</v>
      </c>
      <c r="P48" s="48">
        <f t="shared" si="14"/>
        <v>6.6468441985697098</v>
      </c>
      <c r="Q48" s="49">
        <v>0</v>
      </c>
      <c r="R48" s="49">
        <f t="shared" si="5"/>
        <v>0</v>
      </c>
      <c r="S48" s="49">
        <v>234300</v>
      </c>
      <c r="T48" s="49">
        <v>243200</v>
      </c>
      <c r="U48" s="49">
        <v>15956260</v>
      </c>
      <c r="V48" s="49">
        <f t="shared" si="6"/>
        <v>0</v>
      </c>
      <c r="W48" s="49">
        <f t="shared" si="15"/>
        <v>0</v>
      </c>
      <c r="X48" s="48">
        <v>0</v>
      </c>
      <c r="Y48" s="48">
        <f t="shared" si="7"/>
        <v>0</v>
      </c>
      <c r="Z48" s="48">
        <v>0</v>
      </c>
      <c r="AA48" s="48">
        <v>0</v>
      </c>
      <c r="AB48" s="48">
        <v>0</v>
      </c>
      <c r="AC48" s="48">
        <f t="shared" si="8"/>
        <v>0</v>
      </c>
      <c r="AD48" s="48">
        <f t="shared" si="16"/>
        <v>0</v>
      </c>
      <c r="AE48" s="49">
        <v>0</v>
      </c>
      <c r="AF48" s="49">
        <f t="shared" si="9"/>
        <v>0</v>
      </c>
      <c r="AG48" s="49">
        <v>0</v>
      </c>
      <c r="AH48" s="49">
        <v>0</v>
      </c>
      <c r="AI48" s="49">
        <v>0</v>
      </c>
      <c r="AJ48" s="49">
        <f t="shared" si="10"/>
        <v>0</v>
      </c>
      <c r="AK48" s="49">
        <f t="shared" si="17"/>
        <v>0</v>
      </c>
      <c r="AL48" s="82">
        <f t="shared" si="18"/>
        <v>0</v>
      </c>
      <c r="AM48" s="82">
        <f t="shared" si="19"/>
        <v>307090353970462.75</v>
      </c>
      <c r="AN48" s="81">
        <f t="shared" si="11"/>
        <v>385556746258042.06</v>
      </c>
      <c r="AO48" s="80">
        <f t="shared" si="0"/>
        <v>1255.515652878913</v>
      </c>
      <c r="AP48" s="52">
        <f t="shared" si="12"/>
        <v>-5.2886922499969152E-2</v>
      </c>
      <c r="AQ48" s="48">
        <f>(F48-E48)/E48</f>
        <v>1.097560975609756E-2</v>
      </c>
      <c r="AR48" s="48">
        <f>(M48-L48)/L48</f>
        <v>-7.909604519774012E-2</v>
      </c>
      <c r="AS48" s="48">
        <f>(T48-S48)/S48</f>
        <v>3.7985488689714041E-2</v>
      </c>
      <c r="AT48" s="48" t="e">
        <f>(#REF!-#REF!)/#REF!</f>
        <v>#REF!</v>
      </c>
    </row>
    <row r="49" spans="1:46" x14ac:dyDescent="0.3">
      <c r="A49" s="48">
        <v>20180312</v>
      </c>
      <c r="B49" s="48" t="s">
        <v>88</v>
      </c>
      <c r="C49" s="79">
        <v>0.4</v>
      </c>
      <c r="D49" s="79">
        <f t="shared" si="1"/>
        <v>0.31325099358650271</v>
      </c>
      <c r="E49" s="49">
        <v>2487000</v>
      </c>
      <c r="F49" s="49">
        <v>2487000</v>
      </c>
      <c r="G49" s="49">
        <v>128386494</v>
      </c>
      <c r="H49" s="49">
        <f t="shared" si="2"/>
        <v>0.37505621673717698</v>
      </c>
      <c r="I49" s="49">
        <f t="shared" si="13"/>
        <v>0.37505621673717698</v>
      </c>
      <c r="J49" s="48">
        <v>0.6</v>
      </c>
      <c r="K49" s="48">
        <f t="shared" si="3"/>
        <v>0.68674900641349734</v>
      </c>
      <c r="L49" s="48">
        <v>326000</v>
      </c>
      <c r="M49" s="48">
        <v>322000</v>
      </c>
      <c r="N49" s="51">
        <v>122666424</v>
      </c>
      <c r="O49" s="48">
        <f t="shared" si="4"/>
        <v>6.6468441985697098</v>
      </c>
      <c r="P49" s="48">
        <f t="shared" si="14"/>
        <v>6.6468441985697098</v>
      </c>
      <c r="Q49" s="49">
        <v>0</v>
      </c>
      <c r="R49" s="49">
        <f t="shared" si="5"/>
        <v>0</v>
      </c>
      <c r="S49" s="49">
        <v>243200</v>
      </c>
      <c r="T49" s="49">
        <v>255300</v>
      </c>
      <c r="U49" s="49">
        <v>15956260</v>
      </c>
      <c r="V49" s="49">
        <f t="shared" si="6"/>
        <v>0</v>
      </c>
      <c r="W49" s="49">
        <f t="shared" si="15"/>
        <v>0</v>
      </c>
      <c r="X49" s="48">
        <v>0</v>
      </c>
      <c r="Y49" s="48">
        <f t="shared" si="7"/>
        <v>0</v>
      </c>
      <c r="Z49" s="48">
        <v>0</v>
      </c>
      <c r="AA49" s="48">
        <v>0</v>
      </c>
      <c r="AB49" s="48">
        <v>0</v>
      </c>
      <c r="AC49" s="48">
        <f t="shared" si="8"/>
        <v>0</v>
      </c>
      <c r="AD49" s="48">
        <f t="shared" si="16"/>
        <v>0</v>
      </c>
      <c r="AE49" s="49">
        <v>0</v>
      </c>
      <c r="AF49" s="49">
        <f t="shared" si="9"/>
        <v>0</v>
      </c>
      <c r="AG49" s="49">
        <v>0</v>
      </c>
      <c r="AH49" s="49">
        <v>0</v>
      </c>
      <c r="AI49" s="49">
        <v>0</v>
      </c>
      <c r="AJ49" s="49">
        <f t="shared" si="10"/>
        <v>0</v>
      </c>
      <c r="AK49" s="49">
        <f t="shared" si="17"/>
        <v>0</v>
      </c>
      <c r="AL49" s="82">
        <f t="shared" si="18"/>
        <v>0</v>
      </c>
      <c r="AM49" s="82">
        <f t="shared" si="19"/>
        <v>307090353970462.75</v>
      </c>
      <c r="AN49" s="81">
        <f t="shared" si="11"/>
        <v>382295367823147.31</v>
      </c>
      <c r="AO49" s="80">
        <f t="shared" si="0"/>
        <v>1244.8953960303099</v>
      </c>
      <c r="AP49" s="52">
        <f t="shared" si="12"/>
        <v>-8.4588804801044633E-3</v>
      </c>
      <c r="AQ49" s="48">
        <f>(F49-E49)/E49</f>
        <v>0</v>
      </c>
      <c r="AR49" s="48">
        <f>(M49-L49)/L49</f>
        <v>-1.2269938650306749E-2</v>
      </c>
      <c r="AS49" s="48">
        <f>(T49-S49)/S49</f>
        <v>4.9753289473684209E-2</v>
      </c>
      <c r="AT49" s="48" t="e">
        <f>(#REF!-#REF!)/#REF!</f>
        <v>#REF!</v>
      </c>
    </row>
    <row r="50" spans="1:46" x14ac:dyDescent="0.3">
      <c r="A50" s="48">
        <v>20180313</v>
      </c>
      <c r="B50" s="48" t="s">
        <v>88</v>
      </c>
      <c r="C50" s="79">
        <v>0.4</v>
      </c>
      <c r="D50" s="79">
        <f t="shared" si="1"/>
        <v>0.32908395046274203</v>
      </c>
      <c r="E50" s="49">
        <v>2487000</v>
      </c>
      <c r="F50" s="49">
        <v>2583000</v>
      </c>
      <c r="G50" s="49">
        <v>128386494</v>
      </c>
      <c r="H50" s="49">
        <f t="shared" si="2"/>
        <v>0.37505621673717698</v>
      </c>
      <c r="I50" s="49">
        <f t="shared" si="13"/>
        <v>0.37505621673717698</v>
      </c>
      <c r="J50" s="48">
        <v>0.6</v>
      </c>
      <c r="K50" s="48">
        <f t="shared" si="3"/>
        <v>0.67091604953725792</v>
      </c>
      <c r="L50" s="48">
        <v>322000</v>
      </c>
      <c r="M50" s="48">
        <v>311000</v>
      </c>
      <c r="N50" s="51">
        <v>122666424</v>
      </c>
      <c r="O50" s="48">
        <f t="shared" si="4"/>
        <v>6.6468441985697098</v>
      </c>
      <c r="P50" s="48">
        <f t="shared" si="14"/>
        <v>6.6468441985697098</v>
      </c>
      <c r="Q50" s="49">
        <v>0</v>
      </c>
      <c r="R50" s="49">
        <f t="shared" si="5"/>
        <v>0</v>
      </c>
      <c r="S50" s="49">
        <v>255300</v>
      </c>
      <c r="T50" s="49">
        <v>256000</v>
      </c>
      <c r="U50" s="49">
        <v>15956260</v>
      </c>
      <c r="V50" s="49">
        <f t="shared" si="6"/>
        <v>0</v>
      </c>
      <c r="W50" s="49">
        <f t="shared" si="15"/>
        <v>0</v>
      </c>
      <c r="X50" s="48">
        <v>0</v>
      </c>
      <c r="Y50" s="48">
        <f t="shared" si="7"/>
        <v>0</v>
      </c>
      <c r="Z50" s="48">
        <v>0</v>
      </c>
      <c r="AA50" s="48">
        <v>0</v>
      </c>
      <c r="AB50" s="48">
        <v>0</v>
      </c>
      <c r="AC50" s="48">
        <f t="shared" si="8"/>
        <v>0</v>
      </c>
      <c r="AD50" s="48">
        <f t="shared" si="16"/>
        <v>0</v>
      </c>
      <c r="AE50" s="49">
        <v>0</v>
      </c>
      <c r="AF50" s="49">
        <f t="shared" si="9"/>
        <v>0</v>
      </c>
      <c r="AG50" s="49">
        <v>0</v>
      </c>
      <c r="AH50" s="49">
        <v>0</v>
      </c>
      <c r="AI50" s="49">
        <v>0</v>
      </c>
      <c r="AJ50" s="49">
        <f t="shared" si="10"/>
        <v>0</v>
      </c>
      <c r="AK50" s="49">
        <f t="shared" si="17"/>
        <v>0</v>
      </c>
      <c r="AL50" s="82">
        <f t="shared" si="18"/>
        <v>0</v>
      </c>
      <c r="AM50" s="82">
        <f t="shared" si="19"/>
        <v>307090353970462.75</v>
      </c>
      <c r="AN50" s="81">
        <f t="shared" si="11"/>
        <v>377949183788286.56</v>
      </c>
      <c r="AO50" s="80">
        <f t="shared" si="0"/>
        <v>1230.7426101200147</v>
      </c>
      <c r="AP50" s="52">
        <f t="shared" si="12"/>
        <v>-1.1368654712215431E-2</v>
      </c>
      <c r="AQ50" s="48">
        <f>(F50-E50)/E50</f>
        <v>3.8600723763570564E-2</v>
      </c>
      <c r="AR50" s="48">
        <f>(M50-L50)/L50</f>
        <v>-3.4161490683229816E-2</v>
      </c>
      <c r="AS50" s="48">
        <f>(T50-S50)/S50</f>
        <v>2.7418723070896985E-3</v>
      </c>
      <c r="AT50" s="48" t="e">
        <f>(#REF!-#REF!)/#REF!</f>
        <v>#REF!</v>
      </c>
    </row>
    <row r="51" spans="1:46" x14ac:dyDescent="0.3">
      <c r="A51" s="48">
        <v>20180314</v>
      </c>
      <c r="B51" s="48" t="s">
        <v>88</v>
      </c>
      <c r="C51" s="79">
        <v>0.4</v>
      </c>
      <c r="D51" s="79">
        <f t="shared" si="1"/>
        <v>0.33273916969012396</v>
      </c>
      <c r="E51" s="49">
        <v>2583000</v>
      </c>
      <c r="F51" s="49">
        <v>2588000</v>
      </c>
      <c r="G51" s="49">
        <v>128386494</v>
      </c>
      <c r="H51" s="49">
        <f t="shared" si="2"/>
        <v>0.37505621673717698</v>
      </c>
      <c r="I51" s="49">
        <f t="shared" si="13"/>
        <v>0.37505621673717698</v>
      </c>
      <c r="J51" s="48">
        <v>0.6</v>
      </c>
      <c r="K51" s="48">
        <f t="shared" si="3"/>
        <v>0.66726083030987604</v>
      </c>
      <c r="L51" s="48">
        <v>311000</v>
      </c>
      <c r="M51" s="48">
        <v>306500</v>
      </c>
      <c r="N51" s="51">
        <v>122666424</v>
      </c>
      <c r="O51" s="48">
        <f t="shared" si="4"/>
        <v>6.6468441985697098</v>
      </c>
      <c r="P51" s="48">
        <f t="shared" si="14"/>
        <v>6.6468441985697098</v>
      </c>
      <c r="Q51" s="49">
        <v>0</v>
      </c>
      <c r="R51" s="49">
        <f t="shared" si="5"/>
        <v>0</v>
      </c>
      <c r="S51" s="49">
        <v>256000</v>
      </c>
      <c r="T51" s="49">
        <v>243500</v>
      </c>
      <c r="U51" s="49">
        <v>15956260</v>
      </c>
      <c r="V51" s="49">
        <f t="shared" si="6"/>
        <v>0</v>
      </c>
      <c r="W51" s="49">
        <f t="shared" si="15"/>
        <v>0</v>
      </c>
      <c r="X51" s="48">
        <v>0</v>
      </c>
      <c r="Y51" s="48">
        <f t="shared" si="7"/>
        <v>0</v>
      </c>
      <c r="Z51" s="48">
        <v>0</v>
      </c>
      <c r="AA51" s="48">
        <v>0</v>
      </c>
      <c r="AB51" s="48">
        <v>0</v>
      </c>
      <c r="AC51" s="48">
        <f t="shared" si="8"/>
        <v>0</v>
      </c>
      <c r="AD51" s="48">
        <f t="shared" si="16"/>
        <v>0</v>
      </c>
      <c r="AE51" s="49">
        <v>0</v>
      </c>
      <c r="AF51" s="49">
        <f t="shared" si="9"/>
        <v>0</v>
      </c>
      <c r="AG51" s="49">
        <v>0</v>
      </c>
      <c r="AH51" s="49">
        <v>0</v>
      </c>
      <c r="AI51" s="49">
        <v>0</v>
      </c>
      <c r="AJ51" s="49">
        <f t="shared" si="10"/>
        <v>0</v>
      </c>
      <c r="AK51" s="49">
        <f t="shared" si="17"/>
        <v>0</v>
      </c>
      <c r="AL51" s="82">
        <f t="shared" si="18"/>
        <v>0</v>
      </c>
      <c r="AM51" s="82">
        <f t="shared" si="19"/>
        <v>307090353970462.75</v>
      </c>
      <c r="AN51" s="81">
        <f t="shared" si="11"/>
        <v>374520893812628.87</v>
      </c>
      <c r="AO51" s="80">
        <f t="shared" si="0"/>
        <v>1219.5788274373865</v>
      </c>
      <c r="AP51" s="52">
        <f t="shared" si="12"/>
        <v>-9.0707696238285975E-3</v>
      </c>
      <c r="AQ51" s="48">
        <f>(F51-E51)/E51</f>
        <v>1.9357336430507162E-3</v>
      </c>
      <c r="AR51" s="48">
        <f>(M51-L51)/L51</f>
        <v>-1.4469453376205787E-2</v>
      </c>
      <c r="AS51" s="48">
        <f>(T51-S51)/S51</f>
        <v>-4.8828125E-2</v>
      </c>
      <c r="AT51" s="48" t="e">
        <f>(#REF!-#REF!)/#REF!</f>
        <v>#REF!</v>
      </c>
    </row>
    <row r="52" spans="1:46" x14ac:dyDescent="0.3">
      <c r="A52" s="48">
        <v>20180315</v>
      </c>
      <c r="B52" s="48" t="s">
        <v>88</v>
      </c>
      <c r="C52" s="79">
        <v>0.4</v>
      </c>
      <c r="D52" s="79">
        <f t="shared" si="1"/>
        <v>0.32061064673991546</v>
      </c>
      <c r="E52" s="49">
        <v>2588000</v>
      </c>
      <c r="F52" s="49">
        <v>2577000</v>
      </c>
      <c r="G52" s="49">
        <v>128386494</v>
      </c>
      <c r="H52" s="49">
        <f t="shared" si="2"/>
        <v>0.37505621673717698</v>
      </c>
      <c r="I52" s="49">
        <f t="shared" si="13"/>
        <v>0.37505621673717698</v>
      </c>
      <c r="J52" s="48">
        <v>0.6</v>
      </c>
      <c r="K52" s="48">
        <f t="shared" si="3"/>
        <v>0.67938935326008465</v>
      </c>
      <c r="L52" s="48">
        <v>306500</v>
      </c>
      <c r="M52" s="48">
        <v>322500</v>
      </c>
      <c r="N52" s="51">
        <v>122666424</v>
      </c>
      <c r="O52" s="48">
        <f t="shared" si="4"/>
        <v>6.6468441985697098</v>
      </c>
      <c r="P52" s="48">
        <f t="shared" si="14"/>
        <v>6.6468441985697098</v>
      </c>
      <c r="Q52" s="49">
        <v>0</v>
      </c>
      <c r="R52" s="49">
        <f t="shared" si="5"/>
        <v>0</v>
      </c>
      <c r="S52" s="49">
        <v>243500</v>
      </c>
      <c r="T52" s="49">
        <v>240000</v>
      </c>
      <c r="U52" s="49">
        <v>15956260</v>
      </c>
      <c r="V52" s="49">
        <f t="shared" si="6"/>
        <v>0</v>
      </c>
      <c r="W52" s="49">
        <f t="shared" si="15"/>
        <v>0</v>
      </c>
      <c r="X52" s="48">
        <v>0</v>
      </c>
      <c r="Y52" s="48">
        <f t="shared" si="7"/>
        <v>0</v>
      </c>
      <c r="Z52" s="48">
        <v>0</v>
      </c>
      <c r="AA52" s="48">
        <v>0</v>
      </c>
      <c r="AB52" s="48">
        <v>0</v>
      </c>
      <c r="AC52" s="48">
        <f t="shared" si="8"/>
        <v>0</v>
      </c>
      <c r="AD52" s="48">
        <f t="shared" si="16"/>
        <v>0</v>
      </c>
      <c r="AE52" s="49">
        <v>0</v>
      </c>
      <c r="AF52" s="49">
        <f t="shared" si="9"/>
        <v>0</v>
      </c>
      <c r="AG52" s="49">
        <v>0</v>
      </c>
      <c r="AH52" s="49">
        <v>0</v>
      </c>
      <c r="AI52" s="49">
        <v>0</v>
      </c>
      <c r="AJ52" s="49">
        <f t="shared" si="10"/>
        <v>0</v>
      </c>
      <c r="AK52" s="49">
        <f t="shared" si="17"/>
        <v>0</v>
      </c>
      <c r="AL52" s="82">
        <f t="shared" si="18"/>
        <v>0</v>
      </c>
      <c r="AM52" s="82">
        <f t="shared" si="19"/>
        <v>307090353970462.75</v>
      </c>
      <c r="AN52" s="81">
        <f t="shared" si="11"/>
        <v>387036733872290.25</v>
      </c>
      <c r="AO52" s="80">
        <f t="shared" si="0"/>
        <v>1260.3350410332885</v>
      </c>
      <c r="AP52" s="52">
        <f t="shared" si="12"/>
        <v>3.3418269224581458E-2</v>
      </c>
      <c r="AQ52" s="48">
        <f>(F52-E52)/E52</f>
        <v>-4.250386398763524E-3</v>
      </c>
      <c r="AR52" s="48">
        <f>(M52-L52)/L52</f>
        <v>5.2202283849918436E-2</v>
      </c>
      <c r="AS52" s="48">
        <f>(T52-S52)/S52</f>
        <v>-1.4373716632443531E-2</v>
      </c>
      <c r="AT52" s="48" t="e">
        <f>(#REF!-#REF!)/#REF!</f>
        <v>#REF!</v>
      </c>
    </row>
    <row r="53" spans="1:46" x14ac:dyDescent="0.3">
      <c r="A53" s="48">
        <v>20180316</v>
      </c>
      <c r="B53" s="48" t="s">
        <v>88</v>
      </c>
      <c r="C53" s="79">
        <v>0.4</v>
      </c>
      <c r="D53" s="79">
        <f t="shared" si="1"/>
        <v>0.3179088591427624</v>
      </c>
      <c r="E53" s="49">
        <v>2577000</v>
      </c>
      <c r="F53" s="49">
        <v>2557000</v>
      </c>
      <c r="G53" s="49">
        <v>128386494</v>
      </c>
      <c r="H53" s="49">
        <f t="shared" si="2"/>
        <v>0.37505621673717698</v>
      </c>
      <c r="I53" s="49">
        <f t="shared" si="13"/>
        <v>0.37505621673717698</v>
      </c>
      <c r="J53" s="48">
        <v>0.6</v>
      </c>
      <c r="K53" s="48">
        <f t="shared" si="3"/>
        <v>0.68209114085723765</v>
      </c>
      <c r="L53" s="48">
        <v>322500</v>
      </c>
      <c r="M53" s="48">
        <v>324000</v>
      </c>
      <c r="N53" s="51">
        <v>122666424</v>
      </c>
      <c r="O53" s="48">
        <f t="shared" si="4"/>
        <v>6.6468441985697098</v>
      </c>
      <c r="P53" s="48">
        <f t="shared" si="14"/>
        <v>6.6468441985697098</v>
      </c>
      <c r="Q53" s="49">
        <v>0</v>
      </c>
      <c r="R53" s="49">
        <f t="shared" si="5"/>
        <v>0</v>
      </c>
      <c r="S53" s="49">
        <v>240000</v>
      </c>
      <c r="T53" s="49">
        <v>241000</v>
      </c>
      <c r="U53" s="49">
        <v>15956260</v>
      </c>
      <c r="V53" s="49">
        <f t="shared" si="6"/>
        <v>0</v>
      </c>
      <c r="W53" s="49">
        <f t="shared" si="15"/>
        <v>0</v>
      </c>
      <c r="X53" s="48">
        <v>0</v>
      </c>
      <c r="Y53" s="48">
        <f t="shared" si="7"/>
        <v>0</v>
      </c>
      <c r="Z53" s="48">
        <v>0</v>
      </c>
      <c r="AA53" s="48">
        <v>0</v>
      </c>
      <c r="AB53" s="48">
        <v>0</v>
      </c>
      <c r="AC53" s="48">
        <f t="shared" si="8"/>
        <v>0</v>
      </c>
      <c r="AD53" s="48">
        <f t="shared" si="16"/>
        <v>0</v>
      </c>
      <c r="AE53" s="49">
        <v>0</v>
      </c>
      <c r="AF53" s="49">
        <f t="shared" si="9"/>
        <v>0</v>
      </c>
      <c r="AG53" s="49">
        <v>0</v>
      </c>
      <c r="AH53" s="49">
        <v>0</v>
      </c>
      <c r="AI53" s="49">
        <v>0</v>
      </c>
      <c r="AJ53" s="49">
        <f t="shared" si="10"/>
        <v>0</v>
      </c>
      <c r="AK53" s="49">
        <f t="shared" si="17"/>
        <v>0</v>
      </c>
      <c r="AL53" s="82">
        <f t="shared" si="18"/>
        <v>0</v>
      </c>
      <c r="AM53" s="82">
        <f t="shared" si="19"/>
        <v>307090353970462.75</v>
      </c>
      <c r="AN53" s="81">
        <f t="shared" si="11"/>
        <v>387296707730980</v>
      </c>
      <c r="AO53" s="80">
        <f t="shared" si="0"/>
        <v>1261.181612263314</v>
      </c>
      <c r="AP53" s="52">
        <f t="shared" si="12"/>
        <v>6.7170331892979127E-4</v>
      </c>
      <c r="AQ53" s="48">
        <f>(F53-E53)/E53</f>
        <v>-7.7609623593325574E-3</v>
      </c>
      <c r="AR53" s="48">
        <f>(M53-L53)/L53</f>
        <v>4.6511627906976744E-3</v>
      </c>
      <c r="AS53" s="48">
        <f>(T53-S53)/S53</f>
        <v>4.1666666666666666E-3</v>
      </c>
      <c r="AT53" s="48" t="e">
        <f>(#REF!-#REF!)/#REF!</f>
        <v>#REF!</v>
      </c>
    </row>
    <row r="54" spans="1:46" x14ac:dyDescent="0.3">
      <c r="A54" s="48">
        <v>20180319</v>
      </c>
      <c r="B54" s="48" t="s">
        <v>88</v>
      </c>
      <c r="C54" s="79">
        <v>0.4</v>
      </c>
      <c r="D54" s="79">
        <f t="shared" si="1"/>
        <v>0.31958088433461346</v>
      </c>
      <c r="E54" s="49">
        <v>2557000</v>
      </c>
      <c r="F54" s="49">
        <v>2537000</v>
      </c>
      <c r="G54" s="49">
        <v>128386494</v>
      </c>
      <c r="H54" s="49">
        <f t="shared" si="2"/>
        <v>0.37505621673717698</v>
      </c>
      <c r="I54" s="49">
        <f t="shared" si="13"/>
        <v>0.37505621673717698</v>
      </c>
      <c r="J54" s="48">
        <v>0.6</v>
      </c>
      <c r="K54" s="48">
        <f t="shared" si="3"/>
        <v>0.68041911566538649</v>
      </c>
      <c r="L54" s="48">
        <v>324000</v>
      </c>
      <c r="M54" s="48">
        <v>319000</v>
      </c>
      <c r="N54" s="51">
        <v>122666424</v>
      </c>
      <c r="O54" s="48">
        <f t="shared" si="4"/>
        <v>6.6468441985697098</v>
      </c>
      <c r="P54" s="48">
        <f t="shared" si="14"/>
        <v>6.6468441985697098</v>
      </c>
      <c r="Q54" s="49">
        <v>0</v>
      </c>
      <c r="R54" s="49">
        <f t="shared" si="5"/>
        <v>0</v>
      </c>
      <c r="S54" s="49">
        <v>241000</v>
      </c>
      <c r="T54" s="49">
        <v>233000</v>
      </c>
      <c r="U54" s="49">
        <v>15956260</v>
      </c>
      <c r="V54" s="49">
        <f t="shared" si="6"/>
        <v>0</v>
      </c>
      <c r="W54" s="49">
        <f t="shared" si="15"/>
        <v>0</v>
      </c>
      <c r="X54" s="48">
        <v>0</v>
      </c>
      <c r="Y54" s="48">
        <f t="shared" si="7"/>
        <v>0</v>
      </c>
      <c r="Z54" s="48">
        <v>0</v>
      </c>
      <c r="AA54" s="48">
        <v>0</v>
      </c>
      <c r="AB54" s="48">
        <v>0</v>
      </c>
      <c r="AC54" s="48">
        <f t="shared" si="8"/>
        <v>0</v>
      </c>
      <c r="AD54" s="48">
        <f t="shared" si="16"/>
        <v>0</v>
      </c>
      <c r="AE54" s="49">
        <v>0</v>
      </c>
      <c r="AF54" s="49">
        <f t="shared" si="9"/>
        <v>0</v>
      </c>
      <c r="AG54" s="49">
        <v>0</v>
      </c>
      <c r="AH54" s="49">
        <v>0</v>
      </c>
      <c r="AI54" s="49">
        <v>0</v>
      </c>
      <c r="AJ54" s="49">
        <f t="shared" si="10"/>
        <v>0</v>
      </c>
      <c r="AK54" s="49">
        <f t="shared" si="17"/>
        <v>0</v>
      </c>
      <c r="AL54" s="82">
        <f t="shared" si="18"/>
        <v>0</v>
      </c>
      <c r="AM54" s="82">
        <f t="shared" si="19"/>
        <v>307090353970462.75</v>
      </c>
      <c r="AN54" s="81">
        <f t="shared" si="11"/>
        <v>382256941632965.75</v>
      </c>
      <c r="AO54" s="80">
        <f t="shared" si="0"/>
        <v>1244.7702661143594</v>
      </c>
      <c r="AP54" s="52">
        <f t="shared" si="12"/>
        <v>-1.3012674772115386E-2</v>
      </c>
      <c r="AQ54" s="48">
        <f>(F54-E54)/E54</f>
        <v>-7.8216660148611658E-3</v>
      </c>
      <c r="AR54" s="48">
        <f>(M54-L54)/L54</f>
        <v>-1.5432098765432098E-2</v>
      </c>
      <c r="AS54" s="48">
        <f>(T54-S54)/S54</f>
        <v>-3.3195020746887967E-2</v>
      </c>
      <c r="AT54" s="48" t="e">
        <f>(#REF!-#REF!)/#REF!</f>
        <v>#REF!</v>
      </c>
    </row>
    <row r="55" spans="1:46" x14ac:dyDescent="0.3">
      <c r="A55" s="48">
        <v>20180320</v>
      </c>
      <c r="B55" s="48" t="s">
        <v>88</v>
      </c>
      <c r="C55" s="79">
        <v>0.4</v>
      </c>
      <c r="D55" s="79">
        <f t="shared" si="1"/>
        <v>0.31917068587291109</v>
      </c>
      <c r="E55" s="49">
        <v>2537000</v>
      </c>
      <c r="F55" s="49">
        <v>2560000</v>
      </c>
      <c r="G55" s="49">
        <v>128386494</v>
      </c>
      <c r="H55" s="49">
        <f t="shared" si="2"/>
        <v>0.37505621673717698</v>
      </c>
      <c r="I55" s="49">
        <f t="shared" si="13"/>
        <v>0.37505621673717698</v>
      </c>
      <c r="J55" s="48">
        <v>0.6</v>
      </c>
      <c r="K55" s="48">
        <f t="shared" si="3"/>
        <v>0.6808293141270888</v>
      </c>
      <c r="L55" s="48">
        <v>319000</v>
      </c>
      <c r="M55" s="48">
        <v>322500</v>
      </c>
      <c r="N55" s="51">
        <v>122666424</v>
      </c>
      <c r="O55" s="48">
        <f t="shared" si="4"/>
        <v>6.6468441985697098</v>
      </c>
      <c r="P55" s="48">
        <f t="shared" si="14"/>
        <v>6.6468441985697098</v>
      </c>
      <c r="Q55" s="49">
        <v>0</v>
      </c>
      <c r="R55" s="49">
        <f t="shared" si="5"/>
        <v>0</v>
      </c>
      <c r="S55" s="49">
        <v>233000</v>
      </c>
      <c r="T55" s="49">
        <v>240600</v>
      </c>
      <c r="U55" s="49">
        <v>15956260</v>
      </c>
      <c r="V55" s="49">
        <f t="shared" si="6"/>
        <v>0</v>
      </c>
      <c r="W55" s="49">
        <f t="shared" si="15"/>
        <v>0</v>
      </c>
      <c r="X55" s="48">
        <v>0</v>
      </c>
      <c r="Y55" s="48">
        <f t="shared" si="7"/>
        <v>0</v>
      </c>
      <c r="Z55" s="48">
        <v>0</v>
      </c>
      <c r="AA55" s="48">
        <v>0</v>
      </c>
      <c r="AB55" s="48">
        <v>0</v>
      </c>
      <c r="AC55" s="48">
        <f t="shared" si="8"/>
        <v>0</v>
      </c>
      <c r="AD55" s="48">
        <f t="shared" si="16"/>
        <v>0</v>
      </c>
      <c r="AE55" s="49">
        <v>0</v>
      </c>
      <c r="AF55" s="49">
        <f t="shared" si="9"/>
        <v>0</v>
      </c>
      <c r="AG55" s="49">
        <v>0</v>
      </c>
      <c r="AH55" s="49">
        <v>0</v>
      </c>
      <c r="AI55" s="49">
        <v>0</v>
      </c>
      <c r="AJ55" s="49">
        <f t="shared" si="10"/>
        <v>0</v>
      </c>
      <c r="AK55" s="49">
        <f t="shared" si="17"/>
        <v>0</v>
      </c>
      <c r="AL55" s="82">
        <f t="shared" si="18"/>
        <v>0</v>
      </c>
      <c r="AM55" s="82">
        <f t="shared" si="19"/>
        <v>307090353970462.75</v>
      </c>
      <c r="AN55" s="81">
        <f t="shared" si="11"/>
        <v>386218147276053.87</v>
      </c>
      <c r="AO55" s="80">
        <f t="shared" si="0"/>
        <v>1257.6694197083179</v>
      </c>
      <c r="AP55" s="52">
        <f t="shared" si="12"/>
        <v>1.0362678114270987E-2</v>
      </c>
      <c r="AQ55" s="48">
        <f>(F55-E55)/E55</f>
        <v>9.0658257784785173E-3</v>
      </c>
      <c r="AR55" s="48">
        <f>(M55-L55)/L55</f>
        <v>1.0971786833855799E-2</v>
      </c>
      <c r="AS55" s="48">
        <f>(T55-S55)/S55</f>
        <v>3.2618025751072963E-2</v>
      </c>
      <c r="AT55" s="48" t="e">
        <f>(#REF!-#REF!)/#REF!</f>
        <v>#REF!</v>
      </c>
    </row>
    <row r="56" spans="1:46" x14ac:dyDescent="0.3">
      <c r="A56" s="48">
        <v>20180321</v>
      </c>
      <c r="B56" s="48" t="s">
        <v>88</v>
      </c>
      <c r="C56" s="79">
        <v>0.4</v>
      </c>
      <c r="D56" s="79">
        <f t="shared" si="1"/>
        <v>0.32615663819501362</v>
      </c>
      <c r="E56" s="49">
        <v>2560000</v>
      </c>
      <c r="F56" s="49">
        <v>2553000</v>
      </c>
      <c r="G56" s="49">
        <v>128386494</v>
      </c>
      <c r="H56" s="49">
        <f t="shared" si="2"/>
        <v>0.37505621673717698</v>
      </c>
      <c r="I56" s="49">
        <f t="shared" si="13"/>
        <v>0.37505621673717698</v>
      </c>
      <c r="J56" s="48">
        <v>0.6</v>
      </c>
      <c r="K56" s="48">
        <f t="shared" si="3"/>
        <v>0.67384336180498638</v>
      </c>
      <c r="L56" s="48">
        <v>322500</v>
      </c>
      <c r="M56" s="48">
        <v>311500</v>
      </c>
      <c r="N56" s="51">
        <v>122666424</v>
      </c>
      <c r="O56" s="48">
        <f t="shared" si="4"/>
        <v>6.6468441985697098</v>
      </c>
      <c r="P56" s="48">
        <f t="shared" si="14"/>
        <v>6.6468441985697098</v>
      </c>
      <c r="Q56" s="49">
        <v>0</v>
      </c>
      <c r="R56" s="49">
        <f t="shared" si="5"/>
        <v>0</v>
      </c>
      <c r="S56" s="49">
        <v>240600</v>
      </c>
      <c r="T56" s="49">
        <v>241000</v>
      </c>
      <c r="U56" s="49">
        <v>15956260</v>
      </c>
      <c r="V56" s="49">
        <f t="shared" si="6"/>
        <v>0</v>
      </c>
      <c r="W56" s="49">
        <f t="shared" si="15"/>
        <v>0</v>
      </c>
      <c r="X56" s="48">
        <v>0</v>
      </c>
      <c r="Y56" s="48">
        <f t="shared" si="7"/>
        <v>0</v>
      </c>
      <c r="Z56" s="48">
        <v>0</v>
      </c>
      <c r="AA56" s="48">
        <v>0</v>
      </c>
      <c r="AB56" s="48">
        <v>0</v>
      </c>
      <c r="AC56" s="48">
        <f t="shared" si="8"/>
        <v>0</v>
      </c>
      <c r="AD56" s="48">
        <f t="shared" si="16"/>
        <v>0</v>
      </c>
      <c r="AE56" s="49">
        <v>0</v>
      </c>
      <c r="AF56" s="49">
        <f t="shared" si="9"/>
        <v>0</v>
      </c>
      <c r="AG56" s="49">
        <v>0</v>
      </c>
      <c r="AH56" s="49">
        <v>0</v>
      </c>
      <c r="AI56" s="49">
        <v>0</v>
      </c>
      <c r="AJ56" s="49">
        <f t="shared" si="10"/>
        <v>0</v>
      </c>
      <c r="AK56" s="49">
        <f t="shared" si="17"/>
        <v>0</v>
      </c>
      <c r="AL56" s="82">
        <f t="shared" si="18"/>
        <v>0</v>
      </c>
      <c r="AM56" s="82">
        <f t="shared" si="19"/>
        <v>307090353970462.75</v>
      </c>
      <c r="AN56" s="81">
        <f t="shared" si="11"/>
        <v>376912291511054.69</v>
      </c>
      <c r="AO56" s="80">
        <f t="shared" si="0"/>
        <v>1227.366104593789</v>
      </c>
      <c r="AP56" s="52">
        <f t="shared" si="12"/>
        <v>-2.4094817477200759E-2</v>
      </c>
      <c r="AQ56" s="48">
        <f>(F56-E56)/E56</f>
        <v>-2.7343749999999998E-3</v>
      </c>
      <c r="AR56" s="48">
        <f>(M56-L56)/L56</f>
        <v>-3.4108527131782945E-2</v>
      </c>
      <c r="AS56" s="48">
        <f>(T56-S56)/S56</f>
        <v>1.6625103906899418E-3</v>
      </c>
      <c r="AT56" s="48" t="e">
        <f>(#REF!-#REF!)/#REF!</f>
        <v>#REF!</v>
      </c>
    </row>
    <row r="57" spans="1:46" x14ac:dyDescent="0.3">
      <c r="A57" s="48">
        <v>20180322</v>
      </c>
      <c r="B57" s="48" t="s">
        <v>88</v>
      </c>
      <c r="C57" s="79">
        <v>0.4</v>
      </c>
      <c r="D57" s="79">
        <f t="shared" si="1"/>
        <v>0.32995205081599216</v>
      </c>
      <c r="E57" s="49">
        <v>2553000</v>
      </c>
      <c r="F57" s="49">
        <v>2589000</v>
      </c>
      <c r="G57" s="49">
        <v>128386494</v>
      </c>
      <c r="H57" s="49">
        <f t="shared" si="2"/>
        <v>0.37505621673717698</v>
      </c>
      <c r="I57" s="49">
        <f t="shared" si="13"/>
        <v>0.37505621673717698</v>
      </c>
      <c r="J57" s="48">
        <v>0.6</v>
      </c>
      <c r="K57" s="48">
        <f t="shared" si="3"/>
        <v>0.6700479491840079</v>
      </c>
      <c r="L57" s="48">
        <v>311500</v>
      </c>
      <c r="M57" s="48">
        <v>310500</v>
      </c>
      <c r="N57" s="51">
        <v>122666424</v>
      </c>
      <c r="O57" s="48">
        <f t="shared" si="4"/>
        <v>6.6468441985697098</v>
      </c>
      <c r="P57" s="48">
        <f t="shared" si="14"/>
        <v>6.6468441985697098</v>
      </c>
      <c r="Q57" s="49">
        <v>0</v>
      </c>
      <c r="R57" s="49">
        <f t="shared" si="5"/>
        <v>0</v>
      </c>
      <c r="S57" s="49">
        <v>241000</v>
      </c>
      <c r="T57" s="49">
        <v>227900</v>
      </c>
      <c r="U57" s="49">
        <v>15956260</v>
      </c>
      <c r="V57" s="49">
        <f t="shared" si="6"/>
        <v>0</v>
      </c>
      <c r="W57" s="49">
        <f t="shared" si="15"/>
        <v>0</v>
      </c>
      <c r="X57" s="48">
        <v>0</v>
      </c>
      <c r="Y57" s="48">
        <f t="shared" si="7"/>
        <v>0</v>
      </c>
      <c r="Z57" s="48">
        <v>0</v>
      </c>
      <c r="AA57" s="48">
        <v>0</v>
      </c>
      <c r="AB57" s="48">
        <v>0</v>
      </c>
      <c r="AC57" s="48">
        <f t="shared" si="8"/>
        <v>0</v>
      </c>
      <c r="AD57" s="48">
        <f t="shared" si="16"/>
        <v>0</v>
      </c>
      <c r="AE57" s="49">
        <v>0</v>
      </c>
      <c r="AF57" s="49">
        <f t="shared" si="9"/>
        <v>0</v>
      </c>
      <c r="AG57" s="49">
        <v>0</v>
      </c>
      <c r="AH57" s="49">
        <v>0</v>
      </c>
      <c r="AI57" s="49">
        <v>0</v>
      </c>
      <c r="AJ57" s="49">
        <f t="shared" si="10"/>
        <v>0</v>
      </c>
      <c r="AK57" s="49">
        <f t="shared" si="17"/>
        <v>0</v>
      </c>
      <c r="AL57" s="82">
        <f t="shared" si="18"/>
        <v>0</v>
      </c>
      <c r="AM57" s="82">
        <f t="shared" si="19"/>
        <v>307090353970462.75</v>
      </c>
      <c r="AN57" s="81">
        <f t="shared" si="11"/>
        <v>377830424400243.44</v>
      </c>
      <c r="AO57" s="80">
        <f t="shared" si="0"/>
        <v>1230.3558855403996</v>
      </c>
      <c r="AP57" s="52">
        <f t="shared" si="12"/>
        <v>2.435932469880379E-3</v>
      </c>
      <c r="AQ57" s="48">
        <f>(F57-E57)/E57</f>
        <v>1.4101057579318449E-2</v>
      </c>
      <c r="AR57" s="48">
        <f>(M57-L57)/L57</f>
        <v>-3.2102728731942215E-3</v>
      </c>
      <c r="AS57" s="48">
        <f>(T57-S57)/S57</f>
        <v>-5.4356846473029047E-2</v>
      </c>
      <c r="AT57" s="48" t="e">
        <f>(#REF!-#REF!)/#REF!</f>
        <v>#REF!</v>
      </c>
    </row>
    <row r="58" spans="1:46" x14ac:dyDescent="0.3">
      <c r="A58" s="48">
        <v>20180323</v>
      </c>
      <c r="B58" s="48" t="s">
        <v>88</v>
      </c>
      <c r="C58" s="79">
        <v>0.4</v>
      </c>
      <c r="D58" s="79">
        <f t="shared" si="1"/>
        <v>0.32858382100838424</v>
      </c>
      <c r="E58" s="49">
        <v>2589000</v>
      </c>
      <c r="F58" s="49">
        <v>2486000</v>
      </c>
      <c r="G58" s="49">
        <v>128386494</v>
      </c>
      <c r="H58" s="49">
        <f t="shared" si="2"/>
        <v>0.37505621673717698</v>
      </c>
      <c r="I58" s="49">
        <f t="shared" si="13"/>
        <v>0.37505621673717698</v>
      </c>
      <c r="J58" s="48">
        <v>0.6</v>
      </c>
      <c r="K58" s="48">
        <f t="shared" si="3"/>
        <v>0.67141617899161588</v>
      </c>
      <c r="L58" s="48">
        <v>310500</v>
      </c>
      <c r="M58" s="48">
        <v>300000</v>
      </c>
      <c r="N58" s="51">
        <v>122666424</v>
      </c>
      <c r="O58" s="48">
        <f t="shared" si="4"/>
        <v>6.6468441985697098</v>
      </c>
      <c r="P58" s="48">
        <f t="shared" si="14"/>
        <v>6.6468441985697098</v>
      </c>
      <c r="Q58" s="49">
        <v>0</v>
      </c>
      <c r="R58" s="49">
        <f t="shared" si="5"/>
        <v>0</v>
      </c>
      <c r="S58" s="49">
        <v>227900</v>
      </c>
      <c r="T58" s="49">
        <v>201500</v>
      </c>
      <c r="U58" s="49">
        <v>15956260</v>
      </c>
      <c r="V58" s="49">
        <f t="shared" si="6"/>
        <v>0</v>
      </c>
      <c r="W58" s="49">
        <f t="shared" si="15"/>
        <v>0</v>
      </c>
      <c r="X58" s="48">
        <v>0</v>
      </c>
      <c r="Y58" s="48">
        <f t="shared" si="7"/>
        <v>0</v>
      </c>
      <c r="Z58" s="48">
        <v>0</v>
      </c>
      <c r="AA58" s="48">
        <v>0</v>
      </c>
      <c r="AB58" s="48">
        <v>0</v>
      </c>
      <c r="AC58" s="48">
        <f t="shared" si="8"/>
        <v>0</v>
      </c>
      <c r="AD58" s="48">
        <f t="shared" si="16"/>
        <v>0</v>
      </c>
      <c r="AE58" s="49">
        <v>0</v>
      </c>
      <c r="AF58" s="49">
        <f t="shared" si="9"/>
        <v>0</v>
      </c>
      <c r="AG58" s="49">
        <v>0</v>
      </c>
      <c r="AH58" s="49">
        <v>0</v>
      </c>
      <c r="AI58" s="49">
        <v>0</v>
      </c>
      <c r="AJ58" s="49">
        <f t="shared" si="10"/>
        <v>0</v>
      </c>
      <c r="AK58" s="49">
        <f t="shared" si="17"/>
        <v>0</v>
      </c>
      <c r="AL58" s="82">
        <f t="shared" si="18"/>
        <v>0</v>
      </c>
      <c r="AM58" s="82">
        <f t="shared" si="19"/>
        <v>307090353970462.75</v>
      </c>
      <c r="AN58" s="81">
        <f t="shared" si="11"/>
        <v>364309634278506.25</v>
      </c>
      <c r="AO58" s="80">
        <f t="shared" si="0"/>
        <v>1186.3271821085825</v>
      </c>
      <c r="AP58" s="52">
        <f t="shared" si="12"/>
        <v>-3.5785339794167551E-2</v>
      </c>
      <c r="AQ58" s="48">
        <f>(F58-E58)/E58</f>
        <v>-3.9783700270374665E-2</v>
      </c>
      <c r="AR58" s="48">
        <f>(M58-L58)/L58</f>
        <v>-3.3816425120772944E-2</v>
      </c>
      <c r="AS58" s="48">
        <f>(T58-S58)/S58</f>
        <v>-0.11584028082492322</v>
      </c>
      <c r="AT58" s="48" t="e">
        <f>(#REF!-#REF!)/#REF!</f>
        <v>#REF!</v>
      </c>
    </row>
    <row r="59" spans="1:46" x14ac:dyDescent="0.3">
      <c r="A59" s="48">
        <v>20180326</v>
      </c>
      <c r="B59" s="48" t="s">
        <v>88</v>
      </c>
      <c r="C59" s="79">
        <v>0.4</v>
      </c>
      <c r="D59" s="79">
        <f t="shared" si="1"/>
        <v>0.33105947865555224</v>
      </c>
      <c r="E59" s="49">
        <v>2486000</v>
      </c>
      <c r="F59" s="49">
        <v>2514000</v>
      </c>
      <c r="G59" s="49">
        <v>128386494</v>
      </c>
      <c r="H59" s="49">
        <f t="shared" si="2"/>
        <v>0.37505621673717698</v>
      </c>
      <c r="I59" s="49">
        <f t="shared" si="13"/>
        <v>0.37505621673717698</v>
      </c>
      <c r="J59" s="48">
        <v>0.6</v>
      </c>
      <c r="K59" s="48">
        <f t="shared" si="3"/>
        <v>0.66894052134444781</v>
      </c>
      <c r="L59" s="48">
        <v>300000</v>
      </c>
      <c r="M59" s="48">
        <v>300000</v>
      </c>
      <c r="N59" s="51">
        <v>122666424</v>
      </c>
      <c r="O59" s="48">
        <f t="shared" si="4"/>
        <v>6.6468441985697098</v>
      </c>
      <c r="P59" s="48">
        <f t="shared" si="14"/>
        <v>6.6468441985697098</v>
      </c>
      <c r="Q59" s="49">
        <v>0</v>
      </c>
      <c r="R59" s="49">
        <f t="shared" si="5"/>
        <v>0</v>
      </c>
      <c r="S59" s="49">
        <v>201500</v>
      </c>
      <c r="T59" s="49">
        <v>208600</v>
      </c>
      <c r="U59" s="49">
        <v>15956260</v>
      </c>
      <c r="V59" s="49">
        <f t="shared" si="6"/>
        <v>0</v>
      </c>
      <c r="W59" s="49">
        <f t="shared" si="15"/>
        <v>0</v>
      </c>
      <c r="X59" s="48">
        <v>0</v>
      </c>
      <c r="Y59" s="48">
        <f t="shared" si="7"/>
        <v>0</v>
      </c>
      <c r="Z59" s="48">
        <v>0</v>
      </c>
      <c r="AA59" s="48">
        <v>0</v>
      </c>
      <c r="AB59" s="48">
        <v>0</v>
      </c>
      <c r="AC59" s="48">
        <f t="shared" si="8"/>
        <v>0</v>
      </c>
      <c r="AD59" s="48">
        <f t="shared" si="16"/>
        <v>0</v>
      </c>
      <c r="AE59" s="49">
        <v>0</v>
      </c>
      <c r="AF59" s="49">
        <f t="shared" si="9"/>
        <v>0</v>
      </c>
      <c r="AG59" s="49">
        <v>0</v>
      </c>
      <c r="AH59" s="49">
        <v>0</v>
      </c>
      <c r="AI59" s="49">
        <v>0</v>
      </c>
      <c r="AJ59" s="49">
        <f t="shared" si="10"/>
        <v>0</v>
      </c>
      <c r="AK59" s="49">
        <f t="shared" si="17"/>
        <v>0</v>
      </c>
      <c r="AL59" s="82">
        <f t="shared" si="18"/>
        <v>0</v>
      </c>
      <c r="AM59" s="82">
        <f t="shared" si="19"/>
        <v>307090353970462.75</v>
      </c>
      <c r="AN59" s="81">
        <f t="shared" si="11"/>
        <v>365657894554660.37</v>
      </c>
      <c r="AO59" s="80">
        <f t="shared" si="0"/>
        <v>1190.7176172320635</v>
      </c>
      <c r="AP59" s="52">
        <f t="shared" si="12"/>
        <v>3.7008636316310374E-3</v>
      </c>
      <c r="AQ59" s="48">
        <f>(F59-E59)/E59</f>
        <v>1.1263073209975865E-2</v>
      </c>
      <c r="AR59" s="48">
        <f>(M59-L59)/L59</f>
        <v>0</v>
      </c>
      <c r="AS59" s="48">
        <f>(T59-S59)/S59</f>
        <v>3.5235732009925559E-2</v>
      </c>
      <c r="AT59" s="48" t="e">
        <f>(#REF!-#REF!)/#REF!</f>
        <v>#REF!</v>
      </c>
    </row>
    <row r="60" spans="1:46" x14ac:dyDescent="0.3">
      <c r="A60" s="48">
        <v>20180327</v>
      </c>
      <c r="B60" s="48" t="s">
        <v>88</v>
      </c>
      <c r="C60" s="79">
        <v>0.4</v>
      </c>
      <c r="D60" s="79">
        <f t="shared" si="1"/>
        <v>0.33196052191453423</v>
      </c>
      <c r="E60" s="49">
        <v>2514000</v>
      </c>
      <c r="F60" s="49">
        <v>2499000</v>
      </c>
      <c r="G60" s="49">
        <v>128386494</v>
      </c>
      <c r="H60" s="49">
        <f t="shared" si="2"/>
        <v>0.37505621673717698</v>
      </c>
      <c r="I60" s="49">
        <f t="shared" si="13"/>
        <v>0.37505621673717698</v>
      </c>
      <c r="J60" s="48">
        <v>0.6</v>
      </c>
      <c r="K60" s="48">
        <f t="shared" si="3"/>
        <v>0.66803947808546571</v>
      </c>
      <c r="L60" s="48">
        <v>300000</v>
      </c>
      <c r="M60" s="48">
        <v>297000</v>
      </c>
      <c r="N60" s="51">
        <v>122666424</v>
      </c>
      <c r="O60" s="48">
        <f t="shared" si="4"/>
        <v>6.6468441985697098</v>
      </c>
      <c r="P60" s="48">
        <f t="shared" si="14"/>
        <v>6.6468441985697098</v>
      </c>
      <c r="Q60" s="49">
        <v>0</v>
      </c>
      <c r="R60" s="49">
        <f t="shared" si="5"/>
        <v>0</v>
      </c>
      <c r="S60" s="49">
        <v>208600</v>
      </c>
      <c r="T60" s="49">
        <v>213100</v>
      </c>
      <c r="U60" s="49">
        <v>15956260</v>
      </c>
      <c r="V60" s="49">
        <f t="shared" si="6"/>
        <v>0</v>
      </c>
      <c r="W60" s="49">
        <f t="shared" si="15"/>
        <v>0</v>
      </c>
      <c r="X60" s="48">
        <v>0</v>
      </c>
      <c r="Y60" s="48">
        <f t="shared" si="7"/>
        <v>0</v>
      </c>
      <c r="Z60" s="48">
        <v>0</v>
      </c>
      <c r="AA60" s="48">
        <v>0</v>
      </c>
      <c r="AB60" s="48">
        <v>0</v>
      </c>
      <c r="AC60" s="48">
        <f t="shared" si="8"/>
        <v>0</v>
      </c>
      <c r="AD60" s="48">
        <f t="shared" si="16"/>
        <v>0</v>
      </c>
      <c r="AE60" s="49">
        <v>0</v>
      </c>
      <c r="AF60" s="49">
        <f t="shared" si="9"/>
        <v>0</v>
      </c>
      <c r="AG60" s="49">
        <v>0</v>
      </c>
      <c r="AH60" s="49">
        <v>0</v>
      </c>
      <c r="AI60" s="49">
        <v>0</v>
      </c>
      <c r="AJ60" s="49">
        <f t="shared" si="10"/>
        <v>0</v>
      </c>
      <c r="AK60" s="49">
        <f t="shared" si="17"/>
        <v>0</v>
      </c>
      <c r="AL60" s="82">
        <f t="shared" si="18"/>
        <v>0</v>
      </c>
      <c r="AM60" s="82">
        <f t="shared" si="19"/>
        <v>307090353970462.75</v>
      </c>
      <c r="AN60" s="81">
        <f t="shared" si="11"/>
        <v>362489578437692.5</v>
      </c>
      <c r="AO60" s="80">
        <f t="shared" si="0"/>
        <v>1180.4004057794609</v>
      </c>
      <c r="AP60" s="52">
        <f t="shared" si="12"/>
        <v>-8.664700432152771E-3</v>
      </c>
      <c r="AQ60" s="48">
        <f>(F60-E60)/E60</f>
        <v>-5.9665871121718375E-3</v>
      </c>
      <c r="AR60" s="48">
        <f>(M60-L60)/L60</f>
        <v>-0.01</v>
      </c>
      <c r="AS60" s="48">
        <f>(T60-S60)/S60</f>
        <v>2.1572387344199424E-2</v>
      </c>
      <c r="AT60" s="48" t="e">
        <f>(#REF!-#REF!)/#REF!</f>
        <v>#REF!</v>
      </c>
    </row>
    <row r="61" spans="1:46" x14ac:dyDescent="0.3">
      <c r="A61" s="48">
        <v>20180328</v>
      </c>
      <c r="B61" s="48" t="s">
        <v>88</v>
      </c>
      <c r="C61" s="79">
        <v>0.4</v>
      </c>
      <c r="D61" s="79">
        <f t="shared" si="1"/>
        <v>0.33187912814181608</v>
      </c>
      <c r="E61" s="49">
        <v>2499000</v>
      </c>
      <c r="F61" s="49">
        <v>2435000</v>
      </c>
      <c r="G61" s="49">
        <v>128386494</v>
      </c>
      <c r="H61" s="49">
        <f t="shared" si="2"/>
        <v>0.37505621673717698</v>
      </c>
      <c r="I61" s="49">
        <f t="shared" si="13"/>
        <v>0.37505621673717698</v>
      </c>
      <c r="J61" s="48">
        <v>0.6</v>
      </c>
      <c r="K61" s="48">
        <f t="shared" si="3"/>
        <v>0.66812087185818381</v>
      </c>
      <c r="L61" s="48">
        <v>297000</v>
      </c>
      <c r="M61" s="48">
        <v>289500</v>
      </c>
      <c r="N61" s="51">
        <v>122666424</v>
      </c>
      <c r="O61" s="48">
        <f t="shared" si="4"/>
        <v>6.6468441985697098</v>
      </c>
      <c r="P61" s="48">
        <f t="shared" si="14"/>
        <v>6.6468441985697098</v>
      </c>
      <c r="Q61" s="49">
        <v>0</v>
      </c>
      <c r="R61" s="49">
        <f t="shared" si="5"/>
        <v>0</v>
      </c>
      <c r="S61" s="49">
        <v>213100</v>
      </c>
      <c r="T61" s="49">
        <v>212000</v>
      </c>
      <c r="U61" s="49">
        <v>15956260</v>
      </c>
      <c r="V61" s="49">
        <f t="shared" si="6"/>
        <v>0</v>
      </c>
      <c r="W61" s="49">
        <f t="shared" si="15"/>
        <v>0</v>
      </c>
      <c r="X61" s="48">
        <v>0</v>
      </c>
      <c r="Y61" s="48">
        <f t="shared" si="7"/>
        <v>0</v>
      </c>
      <c r="Z61" s="48">
        <v>0</v>
      </c>
      <c r="AA61" s="48">
        <v>0</v>
      </c>
      <c r="AB61" s="48">
        <v>0</v>
      </c>
      <c r="AC61" s="48">
        <f t="shared" si="8"/>
        <v>0</v>
      </c>
      <c r="AD61" s="48">
        <f t="shared" si="16"/>
        <v>0</v>
      </c>
      <c r="AE61" s="49">
        <v>0</v>
      </c>
      <c r="AF61" s="49">
        <f t="shared" si="9"/>
        <v>0</v>
      </c>
      <c r="AG61" s="49">
        <v>0</v>
      </c>
      <c r="AH61" s="49">
        <v>0</v>
      </c>
      <c r="AI61" s="49">
        <v>0</v>
      </c>
      <c r="AJ61" s="49">
        <f t="shared" si="10"/>
        <v>0</v>
      </c>
      <c r="AK61" s="49">
        <f t="shared" si="17"/>
        <v>0</v>
      </c>
      <c r="AL61" s="82">
        <f t="shared" si="18"/>
        <v>0</v>
      </c>
      <c r="AM61" s="82">
        <f t="shared" si="19"/>
        <v>307090353970462.75</v>
      </c>
      <c r="AN61" s="81">
        <f t="shared" si="11"/>
        <v>353292756098198.25</v>
      </c>
      <c r="AO61" s="80">
        <f t="shared" si="0"/>
        <v>1150.4521439060877</v>
      </c>
      <c r="AP61" s="52">
        <f t="shared" si="12"/>
        <v>-2.5371273787047961E-2</v>
      </c>
      <c r="AQ61" s="48">
        <f>(F61-E61)/E61</f>
        <v>-2.5610244097639057E-2</v>
      </c>
      <c r="AR61" s="48">
        <f>(M61-L61)/L61</f>
        <v>-2.5252525252525252E-2</v>
      </c>
      <c r="AS61" s="48">
        <f>(T61-S61)/S61</f>
        <v>-5.1618958235570157E-3</v>
      </c>
      <c r="AT61" s="48" t="e">
        <f>(#REF!-#REF!)/#REF!</f>
        <v>#REF!</v>
      </c>
    </row>
    <row r="62" spans="1:46" x14ac:dyDescent="0.3">
      <c r="A62" s="48">
        <v>20180329</v>
      </c>
      <c r="B62" s="48" t="s">
        <v>88</v>
      </c>
      <c r="C62" s="79">
        <v>0.4</v>
      </c>
      <c r="D62" s="79">
        <f t="shared" si="1"/>
        <v>0.31356873980316069</v>
      </c>
      <c r="E62" s="49">
        <v>2435000</v>
      </c>
      <c r="F62" s="49">
        <v>2452000</v>
      </c>
      <c r="G62" s="49">
        <v>128386494</v>
      </c>
      <c r="H62" s="49">
        <f t="shared" si="2"/>
        <v>0.37505621673717698</v>
      </c>
      <c r="I62" s="49">
        <f t="shared" si="13"/>
        <v>0.37505621673717698</v>
      </c>
      <c r="J62" s="48">
        <v>0.6</v>
      </c>
      <c r="K62" s="48">
        <f t="shared" si="3"/>
        <v>0.68643126019683931</v>
      </c>
      <c r="L62" s="48">
        <v>289500</v>
      </c>
      <c r="M62" s="48">
        <v>317000</v>
      </c>
      <c r="N62" s="51">
        <v>122666424</v>
      </c>
      <c r="O62" s="48">
        <f t="shared" si="4"/>
        <v>6.6468441985697098</v>
      </c>
      <c r="P62" s="48">
        <f t="shared" si="14"/>
        <v>6.6468441985697098</v>
      </c>
      <c r="Q62" s="49">
        <v>0</v>
      </c>
      <c r="R62" s="49">
        <f t="shared" si="5"/>
        <v>0</v>
      </c>
      <c r="S62" s="49">
        <v>212000</v>
      </c>
      <c r="T62" s="49">
        <v>221000</v>
      </c>
      <c r="U62" s="49">
        <v>15956260</v>
      </c>
      <c r="V62" s="49">
        <f t="shared" si="6"/>
        <v>0</v>
      </c>
      <c r="W62" s="49">
        <f t="shared" si="15"/>
        <v>0</v>
      </c>
      <c r="X62" s="48">
        <v>0</v>
      </c>
      <c r="Y62" s="48">
        <f t="shared" si="7"/>
        <v>0</v>
      </c>
      <c r="Z62" s="48">
        <v>0</v>
      </c>
      <c r="AA62" s="48">
        <v>0</v>
      </c>
      <c r="AB62" s="48">
        <v>0</v>
      </c>
      <c r="AC62" s="48">
        <f t="shared" si="8"/>
        <v>0</v>
      </c>
      <c r="AD62" s="48">
        <f t="shared" si="16"/>
        <v>0</v>
      </c>
      <c r="AE62" s="49">
        <v>0</v>
      </c>
      <c r="AF62" s="49">
        <f t="shared" si="9"/>
        <v>0</v>
      </c>
      <c r="AG62" s="49">
        <v>0</v>
      </c>
      <c r="AH62" s="49">
        <v>0</v>
      </c>
      <c r="AI62" s="49">
        <v>0</v>
      </c>
      <c r="AJ62" s="49">
        <f t="shared" si="10"/>
        <v>0</v>
      </c>
      <c r="AK62" s="49">
        <f t="shared" si="17"/>
        <v>0</v>
      </c>
      <c r="AL62" s="82">
        <f t="shared" si="18"/>
        <v>0</v>
      </c>
      <c r="AM62" s="82">
        <f t="shared" si="19"/>
        <v>307090353970462.75</v>
      </c>
      <c r="AN62" s="81">
        <f t="shared" si="11"/>
        <v>376533319434336.19</v>
      </c>
      <c r="AO62" s="80">
        <f t="shared" si="0"/>
        <v>1226.132031065205</v>
      </c>
      <c r="AP62" s="52">
        <f t="shared" si="12"/>
        <v>6.5782733823385398E-2</v>
      </c>
      <c r="AQ62" s="48">
        <f>(F62-E62)/E62</f>
        <v>6.9815195071868588E-3</v>
      </c>
      <c r="AR62" s="48">
        <f>(M62-L62)/L62</f>
        <v>9.499136442141623E-2</v>
      </c>
      <c r="AS62" s="48">
        <f>(T62-S62)/S62</f>
        <v>4.2452830188679243E-2</v>
      </c>
      <c r="AT62" s="48" t="e">
        <f>(#REF!-#REF!)/#REF!</f>
        <v>#REF!</v>
      </c>
    </row>
    <row r="63" spans="1:46" x14ac:dyDescent="0.3">
      <c r="A63" s="48">
        <v>20180330</v>
      </c>
      <c r="B63" s="48" t="s">
        <v>88</v>
      </c>
      <c r="C63" s="79">
        <v>0.4</v>
      </c>
      <c r="D63" s="79">
        <f t="shared" si="1"/>
        <v>0.31954141895967569</v>
      </c>
      <c r="E63" s="49">
        <v>2452000</v>
      </c>
      <c r="F63" s="49">
        <v>2461000</v>
      </c>
      <c r="G63" s="49">
        <v>128386494</v>
      </c>
      <c r="H63" s="49">
        <f t="shared" si="2"/>
        <v>0.37505621673717698</v>
      </c>
      <c r="I63" s="49">
        <f t="shared" si="13"/>
        <v>0.37505621673717698</v>
      </c>
      <c r="J63" s="48">
        <v>0.6</v>
      </c>
      <c r="K63" s="48">
        <f t="shared" si="3"/>
        <v>0.6804585810403242</v>
      </c>
      <c r="L63" s="48">
        <v>317000</v>
      </c>
      <c r="M63" s="48">
        <v>309500</v>
      </c>
      <c r="N63" s="51">
        <v>122666424</v>
      </c>
      <c r="O63" s="48">
        <f t="shared" si="4"/>
        <v>6.6468441985697098</v>
      </c>
      <c r="P63" s="48">
        <f t="shared" si="14"/>
        <v>6.6468441985697098</v>
      </c>
      <c r="Q63" s="49">
        <v>0</v>
      </c>
      <c r="R63" s="49">
        <f t="shared" si="5"/>
        <v>0</v>
      </c>
      <c r="S63" s="49">
        <v>221000</v>
      </c>
      <c r="T63" s="49">
        <v>224900</v>
      </c>
      <c r="U63" s="49">
        <v>15956260</v>
      </c>
      <c r="V63" s="49">
        <f t="shared" si="6"/>
        <v>0</v>
      </c>
      <c r="W63" s="49">
        <f t="shared" si="15"/>
        <v>0</v>
      </c>
      <c r="X63" s="48">
        <v>0</v>
      </c>
      <c r="Y63" s="48">
        <f t="shared" si="7"/>
        <v>0</v>
      </c>
      <c r="Z63" s="48">
        <v>0</v>
      </c>
      <c r="AA63" s="48">
        <v>0</v>
      </c>
      <c r="AB63" s="48">
        <v>0</v>
      </c>
      <c r="AC63" s="48">
        <f t="shared" si="8"/>
        <v>0</v>
      </c>
      <c r="AD63" s="48">
        <f t="shared" si="16"/>
        <v>0</v>
      </c>
      <c r="AE63" s="49">
        <v>0</v>
      </c>
      <c r="AF63" s="49">
        <f t="shared" si="9"/>
        <v>0</v>
      </c>
      <c r="AG63" s="49">
        <v>0</v>
      </c>
      <c r="AH63" s="49">
        <v>0</v>
      </c>
      <c r="AI63" s="49">
        <v>0</v>
      </c>
      <c r="AJ63" s="49">
        <f t="shared" si="10"/>
        <v>0</v>
      </c>
      <c r="AK63" s="49">
        <f t="shared" si="17"/>
        <v>0</v>
      </c>
      <c r="AL63" s="82">
        <f t="shared" si="18"/>
        <v>0</v>
      </c>
      <c r="AM63" s="82">
        <f t="shared" si="19"/>
        <v>307090353970462.75</v>
      </c>
      <c r="AN63" s="81">
        <f t="shared" si="11"/>
        <v>370851604243386.62</v>
      </c>
      <c r="AO63" s="80">
        <f t="shared" si="0"/>
        <v>1207.6302607637645</v>
      </c>
      <c r="AP63" s="52">
        <f t="shared" si="12"/>
        <v>-1.5089541609452162E-2</v>
      </c>
      <c r="AQ63" s="48">
        <f>(F63-E63)/E63</f>
        <v>3.67047308319739E-3</v>
      </c>
      <c r="AR63" s="48">
        <f>(M63-L63)/L63</f>
        <v>-2.365930599369085E-2</v>
      </c>
      <c r="AS63" s="48">
        <f>(T63-S63)/S63</f>
        <v>1.7647058823529412E-2</v>
      </c>
      <c r="AT63" s="48" t="e">
        <f>(#REF!-#REF!)/#REF!</f>
        <v>#REF!</v>
      </c>
    </row>
    <row r="64" spans="1:46" x14ac:dyDescent="0.3">
      <c r="A64" s="48">
        <v>20180402</v>
      </c>
      <c r="B64" s="48" t="s">
        <v>88</v>
      </c>
      <c r="C64" s="79">
        <v>0.4</v>
      </c>
      <c r="D64" s="79">
        <f t="shared" si="1"/>
        <v>0.32041582324225093</v>
      </c>
      <c r="E64" s="49">
        <v>2461000</v>
      </c>
      <c r="F64" s="49">
        <v>2427000</v>
      </c>
      <c r="G64" s="49">
        <v>128386494</v>
      </c>
      <c r="H64" s="49">
        <f t="shared" si="2"/>
        <v>0.37505621673717698</v>
      </c>
      <c r="I64" s="49">
        <f t="shared" si="13"/>
        <v>0.37505621673717698</v>
      </c>
      <c r="J64" s="48">
        <v>0.6</v>
      </c>
      <c r="K64" s="48">
        <f t="shared" si="3"/>
        <v>0.67958417675774907</v>
      </c>
      <c r="L64" s="48">
        <v>309500</v>
      </c>
      <c r="M64" s="48">
        <v>304000</v>
      </c>
      <c r="N64" s="51">
        <v>122666424</v>
      </c>
      <c r="O64" s="48">
        <f t="shared" si="4"/>
        <v>6.6468441985697098</v>
      </c>
      <c r="P64" s="48">
        <f t="shared" si="14"/>
        <v>6.6468441985697098</v>
      </c>
      <c r="Q64" s="49">
        <v>0</v>
      </c>
      <c r="R64" s="49">
        <f t="shared" si="5"/>
        <v>0</v>
      </c>
      <c r="S64" s="49">
        <v>224900</v>
      </c>
      <c r="T64" s="49">
        <v>224000</v>
      </c>
      <c r="U64" s="49">
        <v>15956260</v>
      </c>
      <c r="V64" s="49">
        <f t="shared" si="6"/>
        <v>0</v>
      </c>
      <c r="W64" s="49">
        <f t="shared" si="15"/>
        <v>0</v>
      </c>
      <c r="X64" s="48">
        <v>0</v>
      </c>
      <c r="Y64" s="48">
        <f t="shared" si="7"/>
        <v>0</v>
      </c>
      <c r="Z64" s="48">
        <v>0</v>
      </c>
      <c r="AA64" s="48">
        <v>0</v>
      </c>
      <c r="AB64" s="48">
        <v>0</v>
      </c>
      <c r="AC64" s="48">
        <f t="shared" si="8"/>
        <v>0</v>
      </c>
      <c r="AD64" s="48">
        <f t="shared" si="16"/>
        <v>0</v>
      </c>
      <c r="AE64" s="49">
        <v>0</v>
      </c>
      <c r="AF64" s="49">
        <f t="shared" si="9"/>
        <v>0</v>
      </c>
      <c r="AG64" s="49">
        <v>0</v>
      </c>
      <c r="AH64" s="49">
        <v>0</v>
      </c>
      <c r="AI64" s="49">
        <v>0</v>
      </c>
      <c r="AJ64" s="49">
        <f t="shared" si="10"/>
        <v>0</v>
      </c>
      <c r="AK64" s="49">
        <f t="shared" si="17"/>
        <v>0</v>
      </c>
      <c r="AL64" s="82">
        <f t="shared" si="18"/>
        <v>0</v>
      </c>
      <c r="AM64" s="82">
        <f t="shared" si="19"/>
        <v>307090353970462.75</v>
      </c>
      <c r="AN64" s="81">
        <f t="shared" si="11"/>
        <v>364730035702933.44</v>
      </c>
      <c r="AO64" s="80">
        <f t="shared" si="0"/>
        <v>1187.6961649469938</v>
      </c>
      <c r="AP64" s="52">
        <f t="shared" si="12"/>
        <v>-1.6506787271265755E-2</v>
      </c>
      <c r="AQ64" s="48">
        <f>(F64-E64)/E64</f>
        <v>-1.3815522145469321E-2</v>
      </c>
      <c r="AR64" s="48">
        <f>(M64-L64)/L64</f>
        <v>-1.7770597738287562E-2</v>
      </c>
      <c r="AS64" s="48">
        <f>(T64-S64)/S64</f>
        <v>-4.0017785682525571E-3</v>
      </c>
      <c r="AT64" s="48" t="e">
        <f>(#REF!-#REF!)/#REF!</f>
        <v>#REF!</v>
      </c>
    </row>
    <row r="65" spans="1:46" x14ac:dyDescent="0.3">
      <c r="A65" s="48">
        <v>20180403</v>
      </c>
      <c r="B65" s="48" t="s">
        <v>88</v>
      </c>
      <c r="C65" s="79">
        <v>0.4</v>
      </c>
      <c r="D65" s="79">
        <f t="shared" si="1"/>
        <v>0.32213712972372804</v>
      </c>
      <c r="E65" s="49">
        <v>2427000</v>
      </c>
      <c r="F65" s="49">
        <v>2406000</v>
      </c>
      <c r="G65" s="49">
        <v>128386494</v>
      </c>
      <c r="H65" s="49">
        <f t="shared" si="2"/>
        <v>0.37505621673717698</v>
      </c>
      <c r="I65" s="49">
        <f t="shared" si="13"/>
        <v>0.37505621673717698</v>
      </c>
      <c r="J65" s="48">
        <v>0.6</v>
      </c>
      <c r="K65" s="48">
        <f t="shared" si="3"/>
        <v>0.6778628702762719</v>
      </c>
      <c r="L65" s="48">
        <v>304000</v>
      </c>
      <c r="M65" s="48">
        <v>299000</v>
      </c>
      <c r="N65" s="51">
        <v>122666424</v>
      </c>
      <c r="O65" s="48">
        <f t="shared" si="4"/>
        <v>6.6468441985697098</v>
      </c>
      <c r="P65" s="48">
        <f t="shared" si="14"/>
        <v>6.6468441985697098</v>
      </c>
      <c r="Q65" s="49">
        <v>0</v>
      </c>
      <c r="R65" s="49">
        <f t="shared" si="5"/>
        <v>0</v>
      </c>
      <c r="S65" s="49">
        <v>224000</v>
      </c>
      <c r="T65" s="49">
        <v>237300</v>
      </c>
      <c r="U65" s="49">
        <v>15956260</v>
      </c>
      <c r="V65" s="49">
        <f t="shared" si="6"/>
        <v>0</v>
      </c>
      <c r="W65" s="49">
        <f t="shared" si="15"/>
        <v>0</v>
      </c>
      <c r="X65" s="48">
        <v>0</v>
      </c>
      <c r="Y65" s="48">
        <f t="shared" si="7"/>
        <v>0</v>
      </c>
      <c r="Z65" s="48">
        <v>0</v>
      </c>
      <c r="AA65" s="48">
        <v>0</v>
      </c>
      <c r="AB65" s="48">
        <v>0</v>
      </c>
      <c r="AC65" s="48">
        <f t="shared" si="8"/>
        <v>0</v>
      </c>
      <c r="AD65" s="48">
        <f t="shared" si="16"/>
        <v>0</v>
      </c>
      <c r="AE65" s="49">
        <v>0</v>
      </c>
      <c r="AF65" s="49">
        <f t="shared" si="9"/>
        <v>0</v>
      </c>
      <c r="AG65" s="49">
        <v>0</v>
      </c>
      <c r="AH65" s="49">
        <v>0</v>
      </c>
      <c r="AI65" s="49">
        <v>0</v>
      </c>
      <c r="AJ65" s="49">
        <f t="shared" si="10"/>
        <v>0</v>
      </c>
      <c r="AK65" s="49">
        <f t="shared" si="17"/>
        <v>0</v>
      </c>
      <c r="AL65" s="82">
        <f t="shared" si="18"/>
        <v>0</v>
      </c>
      <c r="AM65" s="82">
        <f t="shared" si="19"/>
        <v>307090353970462.75</v>
      </c>
      <c r="AN65" s="81">
        <f t="shared" si="11"/>
        <v>359642117452199.37</v>
      </c>
      <c r="AO65" s="80">
        <f t="shared" si="0"/>
        <v>1171.1280175436291</v>
      </c>
      <c r="AP65" s="52">
        <f t="shared" si="12"/>
        <v>-1.3949819737023523E-2</v>
      </c>
      <c r="AQ65" s="48">
        <f>(F65-E65)/E65</f>
        <v>-8.65265760197775E-3</v>
      </c>
      <c r="AR65" s="48">
        <f>(M65-L65)/L65</f>
        <v>-1.6447368421052631E-2</v>
      </c>
      <c r="AS65" s="48">
        <f>(T65-S65)/S65</f>
        <v>5.9374999999999997E-2</v>
      </c>
      <c r="AT65" s="48" t="e">
        <f>(#REF!-#REF!)/#REF!</f>
        <v>#REF!</v>
      </c>
    </row>
    <row r="66" spans="1:46" x14ac:dyDescent="0.3">
      <c r="A66" s="48">
        <v>20180404</v>
      </c>
      <c r="B66" s="48" t="s">
        <v>88</v>
      </c>
      <c r="C66" s="79">
        <v>0.4</v>
      </c>
      <c r="D66" s="79">
        <f t="shared" si="1"/>
        <v>0.32030777631725948</v>
      </c>
      <c r="E66" s="49">
        <v>2406000</v>
      </c>
      <c r="F66" s="49">
        <v>2346000</v>
      </c>
      <c r="G66" s="49">
        <v>128386494</v>
      </c>
      <c r="H66" s="49">
        <f t="shared" si="2"/>
        <v>0.37505621673717698</v>
      </c>
      <c r="I66" s="49">
        <f t="shared" si="13"/>
        <v>0.37505621673717698</v>
      </c>
      <c r="J66" s="48">
        <v>0.6</v>
      </c>
      <c r="K66" s="48">
        <f t="shared" si="3"/>
        <v>0.6796922236827404</v>
      </c>
      <c r="L66" s="48">
        <v>299000</v>
      </c>
      <c r="M66" s="48">
        <v>294000</v>
      </c>
      <c r="N66" s="51">
        <v>122666424</v>
      </c>
      <c r="O66" s="48">
        <f t="shared" si="4"/>
        <v>6.6468441985697098</v>
      </c>
      <c r="P66" s="48">
        <f t="shared" si="14"/>
        <v>6.6468441985697098</v>
      </c>
      <c r="Q66" s="49">
        <v>0</v>
      </c>
      <c r="R66" s="49">
        <f t="shared" si="5"/>
        <v>0</v>
      </c>
      <c r="S66" s="49">
        <v>237300</v>
      </c>
      <c r="T66" s="49">
        <v>241600</v>
      </c>
      <c r="U66" s="49">
        <v>15956260</v>
      </c>
      <c r="V66" s="49">
        <f t="shared" si="6"/>
        <v>0</v>
      </c>
      <c r="W66" s="49">
        <f t="shared" si="15"/>
        <v>0</v>
      </c>
      <c r="X66" s="48">
        <v>0</v>
      </c>
      <c r="Y66" s="48">
        <f t="shared" si="7"/>
        <v>0</v>
      </c>
      <c r="Z66" s="48">
        <v>0</v>
      </c>
      <c r="AA66" s="48">
        <v>0</v>
      </c>
      <c r="AB66" s="48">
        <v>0</v>
      </c>
      <c r="AC66" s="48">
        <f t="shared" si="8"/>
        <v>0</v>
      </c>
      <c r="AD66" s="48">
        <f t="shared" si="16"/>
        <v>0</v>
      </c>
      <c r="AE66" s="49">
        <v>0</v>
      </c>
      <c r="AF66" s="49">
        <f t="shared" si="9"/>
        <v>0</v>
      </c>
      <c r="AG66" s="49">
        <v>0</v>
      </c>
      <c r="AH66" s="49">
        <v>0</v>
      </c>
      <c r="AI66" s="49">
        <v>0</v>
      </c>
      <c r="AJ66" s="49">
        <f t="shared" si="10"/>
        <v>0</v>
      </c>
      <c r="AK66" s="49">
        <f t="shared" si="17"/>
        <v>0</v>
      </c>
      <c r="AL66" s="82">
        <f t="shared" si="18"/>
        <v>0</v>
      </c>
      <c r="AM66" s="82">
        <f t="shared" si="19"/>
        <v>307090353970462.75</v>
      </c>
      <c r="AN66" s="81">
        <f t="shared" si="11"/>
        <v>352676265245393.5</v>
      </c>
      <c r="AO66" s="80">
        <f t="shared" si="0"/>
        <v>1148.4446212182731</v>
      </c>
      <c r="AP66" s="52">
        <f t="shared" si="12"/>
        <v>-1.9368844383838592E-2</v>
      </c>
      <c r="AQ66" s="48">
        <f>(F66-E66)/E66</f>
        <v>-2.4937655860349128E-2</v>
      </c>
      <c r="AR66" s="48">
        <f>(M66-L66)/L66</f>
        <v>-1.6722408026755852E-2</v>
      </c>
      <c r="AS66" s="48">
        <f>(T66-S66)/S66</f>
        <v>1.8120522545301308E-2</v>
      </c>
      <c r="AT66" s="48" t="e">
        <f>(#REF!-#REF!)/#REF!</f>
        <v>#REF!</v>
      </c>
    </row>
    <row r="67" spans="1:46" x14ac:dyDescent="0.3">
      <c r="A67" s="48">
        <v>20180405</v>
      </c>
      <c r="B67" s="48" t="s">
        <v>88</v>
      </c>
      <c r="C67" s="79">
        <v>0.4</v>
      </c>
      <c r="D67" s="79">
        <f t="shared" si="1"/>
        <v>0.32790025158941488</v>
      </c>
      <c r="E67" s="49">
        <v>2346000</v>
      </c>
      <c r="F67" s="49">
        <v>2437000</v>
      </c>
      <c r="G67" s="49">
        <v>128386494</v>
      </c>
      <c r="H67" s="49">
        <f t="shared" si="2"/>
        <v>0.37505621673717698</v>
      </c>
      <c r="I67" s="49">
        <f t="shared" si="13"/>
        <v>0.37505621673717698</v>
      </c>
      <c r="J67" s="48">
        <v>0.6</v>
      </c>
      <c r="K67" s="48">
        <f t="shared" si="3"/>
        <v>0.67209974841058517</v>
      </c>
      <c r="L67" s="48">
        <v>294000</v>
      </c>
      <c r="M67" s="48">
        <v>295000</v>
      </c>
      <c r="N67" s="51">
        <v>122666424</v>
      </c>
      <c r="O67" s="48">
        <f t="shared" si="4"/>
        <v>6.6468441985697098</v>
      </c>
      <c r="P67" s="48">
        <f t="shared" si="14"/>
        <v>6.6468441985697098</v>
      </c>
      <c r="Q67" s="49">
        <v>0</v>
      </c>
      <c r="R67" s="49">
        <f t="shared" si="5"/>
        <v>0</v>
      </c>
      <c r="S67" s="49">
        <v>241600</v>
      </c>
      <c r="T67" s="49">
        <v>240400</v>
      </c>
      <c r="U67" s="49">
        <v>15956260</v>
      </c>
      <c r="V67" s="49">
        <f t="shared" si="6"/>
        <v>0</v>
      </c>
      <c r="W67" s="49">
        <f t="shared" si="15"/>
        <v>0</v>
      </c>
      <c r="X67" s="48">
        <v>0</v>
      </c>
      <c r="Y67" s="48">
        <f t="shared" si="7"/>
        <v>0</v>
      </c>
      <c r="Z67" s="48">
        <v>0</v>
      </c>
      <c r="AA67" s="48">
        <v>0</v>
      </c>
      <c r="AB67" s="48">
        <v>0</v>
      </c>
      <c r="AC67" s="48">
        <f t="shared" si="8"/>
        <v>0</v>
      </c>
      <c r="AD67" s="48">
        <f t="shared" si="16"/>
        <v>0</v>
      </c>
      <c r="AE67" s="49">
        <v>0</v>
      </c>
      <c r="AF67" s="49">
        <f t="shared" si="9"/>
        <v>0</v>
      </c>
      <c r="AG67" s="49">
        <v>0</v>
      </c>
      <c r="AH67" s="49">
        <v>0</v>
      </c>
      <c r="AI67" s="49">
        <v>0</v>
      </c>
      <c r="AJ67" s="49">
        <f t="shared" si="10"/>
        <v>0</v>
      </c>
      <c r="AK67" s="49">
        <f t="shared" si="17"/>
        <v>0</v>
      </c>
      <c r="AL67" s="82">
        <f t="shared" si="18"/>
        <v>0</v>
      </c>
      <c r="AM67" s="82">
        <f t="shared" si="19"/>
        <v>307090353970462.75</v>
      </c>
      <c r="AN67" s="81">
        <f t="shared" si="11"/>
        <v>357873455751618.06</v>
      </c>
      <c r="AO67" s="80">
        <f t="shared" ref="AO67:AO130" si="20">AN67/AM67*1000</f>
        <v>1165.3685995817368</v>
      </c>
      <c r="AP67" s="52">
        <f t="shared" si="12"/>
        <v>1.4736434000196435E-2</v>
      </c>
      <c r="AQ67" s="48">
        <f>(F67-E67)/E67</f>
        <v>3.8789428815004259E-2</v>
      </c>
      <c r="AR67" s="48">
        <f>(M67-L67)/L67</f>
        <v>3.4013605442176869E-3</v>
      </c>
      <c r="AS67" s="48">
        <f>(T67-S67)/S67</f>
        <v>-4.9668874172185433E-3</v>
      </c>
      <c r="AT67" s="48" t="e">
        <f>(#REF!-#REF!)/#REF!</f>
        <v>#REF!</v>
      </c>
    </row>
    <row r="68" spans="1:46" x14ac:dyDescent="0.3">
      <c r="A68" s="48">
        <v>20180406</v>
      </c>
      <c r="B68" s="48" t="s">
        <v>88</v>
      </c>
      <c r="C68" s="79">
        <v>0.4</v>
      </c>
      <c r="D68" s="79">
        <f t="shared" ref="D68:D131" si="21">F68*G68*I68/AN68</f>
        <v>0.32861056457803817</v>
      </c>
      <c r="E68" s="49">
        <v>2437000</v>
      </c>
      <c r="F68" s="49">
        <v>2420000</v>
      </c>
      <c r="G68" s="49">
        <v>128386494</v>
      </c>
      <c r="H68" s="49">
        <f t="shared" ref="H68:H131" si="22">I67</f>
        <v>0.37505621673717698</v>
      </c>
      <c r="I68" s="49">
        <f t="shared" si="13"/>
        <v>0.37505621673717698</v>
      </c>
      <c r="J68" s="48">
        <v>0.6</v>
      </c>
      <c r="K68" s="48">
        <f t="shared" ref="K68:K131" si="23">M68*N68*P68/AN68</f>
        <v>0.67138943542196183</v>
      </c>
      <c r="L68" s="48">
        <v>295000</v>
      </c>
      <c r="M68" s="48">
        <v>292000</v>
      </c>
      <c r="N68" s="51">
        <v>122666424</v>
      </c>
      <c r="O68" s="48">
        <f t="shared" ref="O68:O131" si="24">P67</f>
        <v>6.6468441985697098</v>
      </c>
      <c r="P68" s="48">
        <f t="shared" si="14"/>
        <v>6.6468441985697098</v>
      </c>
      <c r="Q68" s="49">
        <v>0</v>
      </c>
      <c r="R68" s="49">
        <f t="shared" ref="R68:R131" si="25">T68*U68*W68/AN68</f>
        <v>0</v>
      </c>
      <c r="S68" s="49">
        <v>240400</v>
      </c>
      <c r="T68" s="49">
        <v>241600</v>
      </c>
      <c r="U68" s="49">
        <v>15956260</v>
      </c>
      <c r="V68" s="49">
        <f t="shared" ref="V68:V131" si="26">W67</f>
        <v>0</v>
      </c>
      <c r="W68" s="49">
        <f t="shared" si="15"/>
        <v>0</v>
      </c>
      <c r="X68" s="48">
        <v>0</v>
      </c>
      <c r="Y68" s="48">
        <f t="shared" ref="Y68:Y131" si="27">AA68*AB68*AD68/AN68</f>
        <v>0</v>
      </c>
      <c r="Z68" s="48">
        <v>0</v>
      </c>
      <c r="AA68" s="48">
        <v>0</v>
      </c>
      <c r="AB68" s="48">
        <v>0</v>
      </c>
      <c r="AC68" s="48">
        <f t="shared" ref="AC68:AC131" si="28">AD67</f>
        <v>0</v>
      </c>
      <c r="AD68" s="48">
        <f t="shared" si="16"/>
        <v>0</v>
      </c>
      <c r="AE68" s="49">
        <v>0</v>
      </c>
      <c r="AF68" s="49">
        <f t="shared" ref="AF68:AF131" si="29">AH68*AI68*AK68/AN68</f>
        <v>0</v>
      </c>
      <c r="AG68" s="49">
        <v>0</v>
      </c>
      <c r="AH68" s="49">
        <v>0</v>
      </c>
      <c r="AI68" s="49">
        <v>0</v>
      </c>
      <c r="AJ68" s="49">
        <f t="shared" ref="AJ68:AJ131" si="30">AK67</f>
        <v>0</v>
      </c>
      <c r="AK68" s="49">
        <f t="shared" si="17"/>
        <v>0</v>
      </c>
      <c r="AL68" s="82">
        <f t="shared" si="18"/>
        <v>0</v>
      </c>
      <c r="AM68" s="82">
        <f t="shared" si="19"/>
        <v>307090353970462.75</v>
      </c>
      <c r="AN68" s="81">
        <f t="shared" ref="AN68:AN131" si="31">F68*G68*I68+M68*N68*P68+T68*U68*W68+AA68*AB68*AD68+AH68*AI68*AK68</f>
        <v>354608835329210.56</v>
      </c>
      <c r="AO68" s="80">
        <f t="shared" si="20"/>
        <v>1154.7377856203141</v>
      </c>
      <c r="AP68" s="52">
        <f t="shared" ref="AP68:AP131" si="32">(AO68-AO67)/AO67</f>
        <v>-9.1222759607889371E-3</v>
      </c>
      <c r="AQ68" s="48">
        <f>(F68-E68)/E68</f>
        <v>-6.9757899056216658E-3</v>
      </c>
      <c r="AR68" s="48">
        <f>(M68-L68)/L68</f>
        <v>-1.0169491525423728E-2</v>
      </c>
      <c r="AS68" s="48">
        <f>(T68-S68)/S68</f>
        <v>4.9916805324459234E-3</v>
      </c>
      <c r="AT68" s="48" t="e">
        <f>(#REF!-#REF!)/#REF!</f>
        <v>#REF!</v>
      </c>
    </row>
    <row r="69" spans="1:46" x14ac:dyDescent="0.3">
      <c r="A69" s="48">
        <v>20180409</v>
      </c>
      <c r="B69" s="48" t="s">
        <v>88</v>
      </c>
      <c r="C69" s="79">
        <v>0.4</v>
      </c>
      <c r="D69" s="79">
        <f t="shared" si="21"/>
        <v>0.3219306358850379</v>
      </c>
      <c r="E69" s="49">
        <v>2420000</v>
      </c>
      <c r="F69" s="49">
        <v>2460000</v>
      </c>
      <c r="G69" s="49">
        <v>128386494</v>
      </c>
      <c r="H69" s="49">
        <f t="shared" si="22"/>
        <v>0.37505621673717698</v>
      </c>
      <c r="I69" s="49">
        <f t="shared" ref="I69:I132" si="33">IF(B69="Y",ROUND(C69*(E69*G69+L69*N69+S69*U69+Z69*AB69+AG69*AI69)/(E69*G69),17),IF(AL69=0,H69,ROUND(F68*G68*I68/AN68*(E69*G69+L69*N69+S69*U69+Z69*AB69+AG69*AI69)/(E69*G69),17)))</f>
        <v>0.37505621673717698</v>
      </c>
      <c r="J69" s="48">
        <v>0.6</v>
      </c>
      <c r="K69" s="48">
        <f t="shared" si="23"/>
        <v>0.6780693641149621</v>
      </c>
      <c r="L69" s="48">
        <v>292000</v>
      </c>
      <c r="M69" s="48">
        <v>306000</v>
      </c>
      <c r="N69" s="51">
        <v>122666424</v>
      </c>
      <c r="O69" s="48">
        <f t="shared" si="24"/>
        <v>6.6468441985697098</v>
      </c>
      <c r="P69" s="48">
        <f t="shared" ref="P69:P132" si="34">IF(B69="Y",ROUND(J69*(E69*G69+L69*N69+S69*U69+Z69*AB69+AG69*AI69)/(L69*N69),17),IF(AL69=0,O69,ROUND(M68*N68*P68/AN68*(E69*G69+L69*N69+S69*U69+Z69*AB69+AG69*AI69)/(L69*N69),17)))</f>
        <v>6.6468441985697098</v>
      </c>
      <c r="Q69" s="49">
        <v>0</v>
      </c>
      <c r="R69" s="49">
        <f t="shared" si="25"/>
        <v>0</v>
      </c>
      <c r="S69" s="49">
        <v>241600</v>
      </c>
      <c r="T69" s="49">
        <v>255100</v>
      </c>
      <c r="U69" s="49">
        <v>15956260</v>
      </c>
      <c r="V69" s="49">
        <f t="shared" si="26"/>
        <v>0</v>
      </c>
      <c r="W69" s="49">
        <f t="shared" ref="W69:W132" si="35">IF(B69="Y",ROUND(Q69*(E69*G69+L69*N69+S69*U69+Z69*AB69+AG69*AI69)/(S69*U69),17),IF(AL69=0,V69,ROUND(T68*U68*W68/AN68*(E69*G69+L69*N69+S69*U69+Z69*AB69+AG69*AI69)/(S69*U69),17)))</f>
        <v>0</v>
      </c>
      <c r="X69" s="48">
        <v>0</v>
      </c>
      <c r="Y69" s="48">
        <f t="shared" si="27"/>
        <v>0</v>
      </c>
      <c r="Z69" s="48">
        <v>0</v>
      </c>
      <c r="AA69" s="48">
        <v>0</v>
      </c>
      <c r="AB69" s="48">
        <v>0</v>
      </c>
      <c r="AC69" s="48">
        <f t="shared" si="28"/>
        <v>0</v>
      </c>
      <c r="AD69" s="48">
        <f t="shared" ref="AD69:AD132" si="36">IFERROR(IF(B69="Y",ROUND(X69*(E69*G69+L69*N69+S69*U69+Z69*AB69+AG69*AI69)/(Z69*AB69),17),IF(AL69=0,AC69,ROUND(AA68*AB68*AD68/AN68*(E69*G69+L69*N69+S69*U69+Z69*AB69+AG69*AI69)/(Z69*AB69),17))),0)</f>
        <v>0</v>
      </c>
      <c r="AE69" s="49">
        <v>0</v>
      </c>
      <c r="AF69" s="49">
        <f t="shared" si="29"/>
        <v>0</v>
      </c>
      <c r="AG69" s="49">
        <v>0</v>
      </c>
      <c r="AH69" s="49">
        <v>0</v>
      </c>
      <c r="AI69" s="49">
        <v>0</v>
      </c>
      <c r="AJ69" s="49">
        <f t="shared" si="30"/>
        <v>0</v>
      </c>
      <c r="AK69" s="49">
        <f t="shared" ref="AK69:AK132" si="37">IFERROR(IF(B69="Y",ROUND(AE69*(E69*G69+L69*N69+S69*U69+Z69*AB69+AG69*AI69)/(AG69*AI69),17),IF(AL69=0,AJ69,ROUND(AH68*AI68*AK68/AN68*(E69*G69+L69*N69+S69*U69+Z69*AB69+AG69*AI69)/(AG69*AI69),17))),0)</f>
        <v>0</v>
      </c>
      <c r="AL69" s="82">
        <f t="shared" ref="AL69:AL132" si="38">IF(AN68&lt;&gt;(E69*G69*H69+L69*N69*O69+S69*U69*V69+Z69*AB69*AC69+AG69*AI69*AJ69),1,0)</f>
        <v>0</v>
      </c>
      <c r="AM69" s="82">
        <f t="shared" ref="AM69:AM132" si="39">IF(AND(AL69=0,B69="N"),AM68,AM68*(E69*G69*I69+L69*N69*P69+S69*U69*W69+Z69*AB69*AD69+AG69*AI69*AK69)/AN68)</f>
        <v>307090353970462.75</v>
      </c>
      <c r="AN69" s="81">
        <f t="shared" si="31"/>
        <v>367949745960133.87</v>
      </c>
      <c r="AO69" s="80">
        <f t="shared" si="20"/>
        <v>1198.1807347668266</v>
      </c>
      <c r="AP69" s="52">
        <f t="shared" si="32"/>
        <v>3.762148401784169E-2</v>
      </c>
      <c r="AQ69" s="48">
        <f>(F69-E69)/E69</f>
        <v>1.6528925619834711E-2</v>
      </c>
      <c r="AR69" s="48">
        <f>(M69-L69)/L69</f>
        <v>4.7945205479452052E-2</v>
      </c>
      <c r="AS69" s="48">
        <f>(T69-S69)/S69</f>
        <v>5.587748344370861E-2</v>
      </c>
      <c r="AT69" s="48" t="e">
        <f>(#REF!-#REF!)/#REF!</f>
        <v>#REF!</v>
      </c>
    </row>
    <row r="70" spans="1:46" x14ac:dyDescent="0.3">
      <c r="A70" s="48">
        <v>20180410</v>
      </c>
      <c r="B70" s="48" t="s">
        <v>88</v>
      </c>
      <c r="C70" s="79">
        <v>0.4</v>
      </c>
      <c r="D70" s="79">
        <f t="shared" si="21"/>
        <v>0.32265731822542176</v>
      </c>
      <c r="E70" s="49">
        <v>2460000</v>
      </c>
      <c r="F70" s="49">
        <v>2444000</v>
      </c>
      <c r="G70" s="49">
        <v>128386494</v>
      </c>
      <c r="H70" s="49">
        <f t="shared" si="22"/>
        <v>0.37505621673717698</v>
      </c>
      <c r="I70" s="49">
        <f t="shared" si="33"/>
        <v>0.37505621673717698</v>
      </c>
      <c r="J70" s="48">
        <v>0.6</v>
      </c>
      <c r="K70" s="48">
        <f t="shared" si="23"/>
        <v>0.67734268177457824</v>
      </c>
      <c r="L70" s="48">
        <v>306000</v>
      </c>
      <c r="M70" s="48">
        <v>303000</v>
      </c>
      <c r="N70" s="51">
        <v>122666424</v>
      </c>
      <c r="O70" s="48">
        <f t="shared" si="24"/>
        <v>6.6468441985697098</v>
      </c>
      <c r="P70" s="48">
        <f t="shared" si="34"/>
        <v>6.6468441985697098</v>
      </c>
      <c r="Q70" s="49">
        <v>0</v>
      </c>
      <c r="R70" s="49">
        <f t="shared" si="25"/>
        <v>0</v>
      </c>
      <c r="S70" s="49">
        <v>255100</v>
      </c>
      <c r="T70" s="49">
        <v>260200</v>
      </c>
      <c r="U70" s="49">
        <v>15956260</v>
      </c>
      <c r="V70" s="49">
        <f t="shared" si="26"/>
        <v>0</v>
      </c>
      <c r="W70" s="49">
        <f t="shared" si="35"/>
        <v>0</v>
      </c>
      <c r="X70" s="48">
        <v>0</v>
      </c>
      <c r="Y70" s="48">
        <f t="shared" si="27"/>
        <v>0</v>
      </c>
      <c r="Z70" s="48">
        <v>0</v>
      </c>
      <c r="AA70" s="48">
        <v>0</v>
      </c>
      <c r="AB70" s="48">
        <v>0</v>
      </c>
      <c r="AC70" s="48">
        <f t="shared" si="28"/>
        <v>0</v>
      </c>
      <c r="AD70" s="48">
        <f t="shared" si="36"/>
        <v>0</v>
      </c>
      <c r="AE70" s="49">
        <v>0</v>
      </c>
      <c r="AF70" s="49">
        <f t="shared" si="29"/>
        <v>0</v>
      </c>
      <c r="AG70" s="49">
        <v>0</v>
      </c>
      <c r="AH70" s="49">
        <v>0</v>
      </c>
      <c r="AI70" s="49">
        <v>0</v>
      </c>
      <c r="AJ70" s="49">
        <f t="shared" si="30"/>
        <v>0</v>
      </c>
      <c r="AK70" s="49">
        <f t="shared" si="37"/>
        <v>0</v>
      </c>
      <c r="AL70" s="82">
        <f t="shared" si="38"/>
        <v>0</v>
      </c>
      <c r="AM70" s="82">
        <f t="shared" si="39"/>
        <v>307090353970462.75</v>
      </c>
      <c r="AN70" s="81">
        <f t="shared" si="31"/>
        <v>364733277690446.19</v>
      </c>
      <c r="AO70" s="80">
        <f t="shared" si="20"/>
        <v>1187.7067220598137</v>
      </c>
      <c r="AP70" s="52">
        <f t="shared" si="32"/>
        <v>-8.7415966582463853E-3</v>
      </c>
      <c r="AQ70" s="48">
        <f>(F70-E70)/E70</f>
        <v>-6.5040650406504065E-3</v>
      </c>
      <c r="AR70" s="48">
        <f>(M70-L70)/L70</f>
        <v>-9.8039215686274508E-3</v>
      </c>
      <c r="AS70" s="48">
        <f>(T70-S70)/S70</f>
        <v>1.9992159937279499E-2</v>
      </c>
      <c r="AT70" s="48" t="e">
        <f>(#REF!-#REF!)/#REF!</f>
        <v>#REF!</v>
      </c>
    </row>
    <row r="71" spans="1:46" x14ac:dyDescent="0.3">
      <c r="A71" s="48">
        <v>20180411</v>
      </c>
      <c r="B71" s="48" t="s">
        <v>88</v>
      </c>
      <c r="C71" s="79">
        <v>0.4</v>
      </c>
      <c r="D71" s="79">
        <f t="shared" si="21"/>
        <v>0.32621455373982783</v>
      </c>
      <c r="E71" s="49">
        <v>2444000</v>
      </c>
      <c r="F71" s="49">
        <v>2443000</v>
      </c>
      <c r="G71" s="49">
        <v>128386494</v>
      </c>
      <c r="H71" s="49">
        <f t="shared" si="22"/>
        <v>0.37505621673717698</v>
      </c>
      <c r="I71" s="49">
        <f t="shared" si="33"/>
        <v>0.37505621673717698</v>
      </c>
      <c r="J71" s="48">
        <v>0.6</v>
      </c>
      <c r="K71" s="48">
        <f t="shared" si="23"/>
        <v>0.67378544626017212</v>
      </c>
      <c r="L71" s="48">
        <v>303000</v>
      </c>
      <c r="M71" s="48">
        <v>298000</v>
      </c>
      <c r="N71" s="51">
        <v>122666424</v>
      </c>
      <c r="O71" s="48">
        <f t="shared" si="24"/>
        <v>6.6468441985697098</v>
      </c>
      <c r="P71" s="48">
        <f t="shared" si="34"/>
        <v>6.6468441985697098</v>
      </c>
      <c r="Q71" s="49">
        <v>0</v>
      </c>
      <c r="R71" s="49">
        <f t="shared" si="25"/>
        <v>0</v>
      </c>
      <c r="S71" s="49">
        <v>260200</v>
      </c>
      <c r="T71" s="49">
        <v>256500</v>
      </c>
      <c r="U71" s="49">
        <v>15956260</v>
      </c>
      <c r="V71" s="49">
        <f t="shared" si="26"/>
        <v>0</v>
      </c>
      <c r="W71" s="49">
        <f t="shared" si="35"/>
        <v>0</v>
      </c>
      <c r="X71" s="48">
        <v>0</v>
      </c>
      <c r="Y71" s="48">
        <f t="shared" si="27"/>
        <v>0</v>
      </c>
      <c r="Z71" s="48">
        <v>0</v>
      </c>
      <c r="AA71" s="48">
        <v>0</v>
      </c>
      <c r="AB71" s="48">
        <v>0</v>
      </c>
      <c r="AC71" s="48">
        <f t="shared" si="28"/>
        <v>0</v>
      </c>
      <c r="AD71" s="48">
        <f t="shared" si="36"/>
        <v>0</v>
      </c>
      <c r="AE71" s="49">
        <v>0</v>
      </c>
      <c r="AF71" s="49">
        <f t="shared" si="29"/>
        <v>0</v>
      </c>
      <c r="AG71" s="49">
        <v>0</v>
      </c>
      <c r="AH71" s="49">
        <v>0</v>
      </c>
      <c r="AI71" s="49">
        <v>0</v>
      </c>
      <c r="AJ71" s="49">
        <f t="shared" si="30"/>
        <v>0</v>
      </c>
      <c r="AK71" s="49">
        <f t="shared" si="37"/>
        <v>0</v>
      </c>
      <c r="AL71" s="82">
        <f t="shared" si="38"/>
        <v>0</v>
      </c>
      <c r="AM71" s="82">
        <f t="shared" si="39"/>
        <v>307090353970462.75</v>
      </c>
      <c r="AN71" s="81">
        <f t="shared" si="31"/>
        <v>360608402494107.94</v>
      </c>
      <c r="AO71" s="80">
        <f t="shared" si="20"/>
        <v>1174.2745997446498</v>
      </c>
      <c r="AP71" s="52">
        <f t="shared" si="32"/>
        <v>-1.1309292155784819E-2</v>
      </c>
      <c r="AQ71" s="48">
        <f>(F71-E71)/E71</f>
        <v>-4.0916530278232408E-4</v>
      </c>
      <c r="AR71" s="48">
        <f>(M71-L71)/L71</f>
        <v>-1.65016501650165E-2</v>
      </c>
      <c r="AS71" s="48">
        <f>(T71-S71)/S71</f>
        <v>-1.4219830899308224E-2</v>
      </c>
      <c r="AT71" s="48" t="e">
        <f>(#REF!-#REF!)/#REF!</f>
        <v>#REF!</v>
      </c>
    </row>
    <row r="72" spans="1:46" x14ac:dyDescent="0.3">
      <c r="A72" s="48">
        <v>20180412</v>
      </c>
      <c r="B72" s="48" t="s">
        <v>88</v>
      </c>
      <c r="C72" s="79">
        <v>0.4</v>
      </c>
      <c r="D72" s="79">
        <f t="shared" si="21"/>
        <v>0.32647502165538511</v>
      </c>
      <c r="E72" s="49">
        <v>2443000</v>
      </c>
      <c r="F72" s="49">
        <v>2450000</v>
      </c>
      <c r="G72" s="49">
        <v>128386494</v>
      </c>
      <c r="H72" s="49">
        <f t="shared" si="22"/>
        <v>0.37505621673717698</v>
      </c>
      <c r="I72" s="49">
        <f t="shared" si="33"/>
        <v>0.37505621673717698</v>
      </c>
      <c r="J72" s="48">
        <v>0.6</v>
      </c>
      <c r="K72" s="48">
        <f t="shared" si="23"/>
        <v>0.67352497834461489</v>
      </c>
      <c r="L72" s="48">
        <v>298000</v>
      </c>
      <c r="M72" s="48">
        <v>298500</v>
      </c>
      <c r="N72" s="51">
        <v>122666424</v>
      </c>
      <c r="O72" s="48">
        <f t="shared" si="24"/>
        <v>6.6468441985697098</v>
      </c>
      <c r="P72" s="48">
        <f t="shared" si="34"/>
        <v>6.6468441985697098</v>
      </c>
      <c r="Q72" s="49">
        <v>0</v>
      </c>
      <c r="R72" s="49">
        <f t="shared" si="25"/>
        <v>0</v>
      </c>
      <c r="S72" s="49">
        <v>256500</v>
      </c>
      <c r="T72" s="49">
        <v>232100</v>
      </c>
      <c r="U72" s="49">
        <v>15956260</v>
      </c>
      <c r="V72" s="49">
        <f t="shared" si="26"/>
        <v>0</v>
      </c>
      <c r="W72" s="49">
        <f t="shared" si="35"/>
        <v>0</v>
      </c>
      <c r="X72" s="48">
        <v>0</v>
      </c>
      <c r="Y72" s="48">
        <f t="shared" si="27"/>
        <v>0</v>
      </c>
      <c r="Z72" s="48">
        <v>0</v>
      </c>
      <c r="AA72" s="48">
        <v>0</v>
      </c>
      <c r="AB72" s="48">
        <v>0</v>
      </c>
      <c r="AC72" s="48">
        <f t="shared" si="28"/>
        <v>0</v>
      </c>
      <c r="AD72" s="48">
        <f t="shared" si="36"/>
        <v>0</v>
      </c>
      <c r="AE72" s="49">
        <v>0</v>
      </c>
      <c r="AF72" s="49">
        <f t="shared" si="29"/>
        <v>0</v>
      </c>
      <c r="AG72" s="49">
        <v>0</v>
      </c>
      <c r="AH72" s="49">
        <v>0</v>
      </c>
      <c r="AI72" s="49">
        <v>0</v>
      </c>
      <c r="AJ72" s="49">
        <f t="shared" si="30"/>
        <v>0</v>
      </c>
      <c r="AK72" s="49">
        <f t="shared" si="37"/>
        <v>0</v>
      </c>
      <c r="AL72" s="82">
        <f t="shared" si="38"/>
        <v>0</v>
      </c>
      <c r="AM72" s="82">
        <f t="shared" si="39"/>
        <v>307090353970462.75</v>
      </c>
      <c r="AN72" s="81">
        <f t="shared" si="31"/>
        <v>361353139867508.31</v>
      </c>
      <c r="AO72" s="80">
        <f t="shared" si="20"/>
        <v>1176.6997406315954</v>
      </c>
      <c r="AP72" s="52">
        <f t="shared" si="32"/>
        <v>2.0652246820914042E-3</v>
      </c>
      <c r="AQ72" s="48">
        <f>(F72-E72)/E72</f>
        <v>2.8653295128939827E-3</v>
      </c>
      <c r="AR72" s="48">
        <f>(M72-L72)/L72</f>
        <v>1.6778523489932886E-3</v>
      </c>
      <c r="AS72" s="48">
        <f>(T72-S72)/S72</f>
        <v>-9.5126705653021448E-2</v>
      </c>
      <c r="AT72" s="48" t="e">
        <f>(#REF!-#REF!)/#REF!</f>
        <v>#REF!</v>
      </c>
    </row>
    <row r="73" spans="1:46" x14ac:dyDescent="0.3">
      <c r="A73" s="48">
        <v>20180413</v>
      </c>
      <c r="B73" s="48" t="s">
        <v>88</v>
      </c>
      <c r="C73" s="79">
        <v>0.4</v>
      </c>
      <c r="D73" s="79">
        <f t="shared" si="21"/>
        <v>0.33646489436260918</v>
      </c>
      <c r="E73" s="49">
        <v>2450000</v>
      </c>
      <c r="F73" s="49">
        <v>2490000</v>
      </c>
      <c r="G73" s="49">
        <v>128386494</v>
      </c>
      <c r="H73" s="49">
        <f t="shared" si="22"/>
        <v>0.37505621673717698</v>
      </c>
      <c r="I73" s="49">
        <f t="shared" si="33"/>
        <v>0.37505621673717698</v>
      </c>
      <c r="J73" s="48">
        <v>0.6</v>
      </c>
      <c r="K73" s="48">
        <f t="shared" si="23"/>
        <v>0.66353510563739093</v>
      </c>
      <c r="L73" s="48">
        <v>298500</v>
      </c>
      <c r="M73" s="48">
        <v>290000</v>
      </c>
      <c r="N73" s="51">
        <v>122666424</v>
      </c>
      <c r="O73" s="48">
        <f t="shared" si="24"/>
        <v>6.6468441985697098</v>
      </c>
      <c r="P73" s="48">
        <f t="shared" si="34"/>
        <v>6.6468441985697098</v>
      </c>
      <c r="Q73" s="49">
        <v>0</v>
      </c>
      <c r="R73" s="49">
        <f t="shared" si="25"/>
        <v>0</v>
      </c>
      <c r="S73" s="49">
        <v>232100</v>
      </c>
      <c r="T73" s="49">
        <v>236000</v>
      </c>
      <c r="U73" s="49">
        <v>15956260</v>
      </c>
      <c r="V73" s="49">
        <f t="shared" si="26"/>
        <v>0</v>
      </c>
      <c r="W73" s="49">
        <f t="shared" si="35"/>
        <v>0</v>
      </c>
      <c r="X73" s="48">
        <v>0</v>
      </c>
      <c r="Y73" s="48">
        <f t="shared" si="27"/>
        <v>0</v>
      </c>
      <c r="Z73" s="48">
        <v>0</v>
      </c>
      <c r="AA73" s="48">
        <v>0</v>
      </c>
      <c r="AB73" s="48">
        <v>0</v>
      </c>
      <c r="AC73" s="48">
        <f t="shared" si="28"/>
        <v>0</v>
      </c>
      <c r="AD73" s="48">
        <f t="shared" si="36"/>
        <v>0</v>
      </c>
      <c r="AE73" s="49">
        <v>0</v>
      </c>
      <c r="AF73" s="49">
        <f t="shared" si="29"/>
        <v>0</v>
      </c>
      <c r="AG73" s="49">
        <v>0</v>
      </c>
      <c r="AH73" s="49">
        <v>0</v>
      </c>
      <c r="AI73" s="49">
        <v>0</v>
      </c>
      <c r="AJ73" s="49">
        <f t="shared" si="30"/>
        <v>0</v>
      </c>
      <c r="AK73" s="49">
        <f t="shared" si="37"/>
        <v>0</v>
      </c>
      <c r="AL73" s="82">
        <f t="shared" si="38"/>
        <v>0</v>
      </c>
      <c r="AM73" s="82">
        <f t="shared" si="39"/>
        <v>307090353970462.75</v>
      </c>
      <c r="AN73" s="81">
        <f t="shared" si="31"/>
        <v>356348796802148.5</v>
      </c>
      <c r="AO73" s="80">
        <f t="shared" si="20"/>
        <v>1160.4037450047149</v>
      </c>
      <c r="AP73" s="52">
        <f t="shared" si="32"/>
        <v>-1.3848898800754081E-2</v>
      </c>
      <c r="AQ73" s="48">
        <f>(F73-E73)/E73</f>
        <v>1.6326530612244899E-2</v>
      </c>
      <c r="AR73" s="48">
        <f>(M73-L73)/L73</f>
        <v>-2.8475711892797319E-2</v>
      </c>
      <c r="AS73" s="48">
        <f>(T73-S73)/S73</f>
        <v>1.6803102111158982E-2</v>
      </c>
      <c r="AT73" s="48" t="e">
        <f>(#REF!-#REF!)/#REF!</f>
        <v>#REF!</v>
      </c>
    </row>
    <row r="74" spans="1:46" x14ac:dyDescent="0.3">
      <c r="A74" s="48">
        <v>20180416</v>
      </c>
      <c r="B74" s="48" t="s">
        <v>88</v>
      </c>
      <c r="C74" s="79">
        <v>0.4</v>
      </c>
      <c r="D74" s="79">
        <f t="shared" si="21"/>
        <v>0.33468053974642992</v>
      </c>
      <c r="E74" s="49">
        <v>2490000</v>
      </c>
      <c r="F74" s="49">
        <v>2517000</v>
      </c>
      <c r="G74" s="49">
        <v>128386494</v>
      </c>
      <c r="H74" s="49">
        <f t="shared" si="22"/>
        <v>0.37505621673717698</v>
      </c>
      <c r="I74" s="49">
        <f t="shared" si="33"/>
        <v>0.37505621673717698</v>
      </c>
      <c r="J74" s="48">
        <v>0.6</v>
      </c>
      <c r="K74" s="48">
        <f t="shared" si="23"/>
        <v>0.66531946025357003</v>
      </c>
      <c r="L74" s="48">
        <v>290000</v>
      </c>
      <c r="M74" s="48">
        <v>295500</v>
      </c>
      <c r="N74" s="51">
        <v>122666424</v>
      </c>
      <c r="O74" s="48">
        <f t="shared" si="24"/>
        <v>6.6468441985697098</v>
      </c>
      <c r="P74" s="48">
        <f t="shared" si="34"/>
        <v>6.6468441985697098</v>
      </c>
      <c r="Q74" s="49">
        <v>0</v>
      </c>
      <c r="R74" s="49">
        <f t="shared" si="25"/>
        <v>0</v>
      </c>
      <c r="S74" s="49">
        <v>236000</v>
      </c>
      <c r="T74" s="49">
        <v>227300</v>
      </c>
      <c r="U74" s="49">
        <v>15956260</v>
      </c>
      <c r="V74" s="49">
        <f t="shared" si="26"/>
        <v>0</v>
      </c>
      <c r="W74" s="49">
        <f t="shared" si="35"/>
        <v>0</v>
      </c>
      <c r="X74" s="48">
        <v>0</v>
      </c>
      <c r="Y74" s="48">
        <f t="shared" si="27"/>
        <v>0</v>
      </c>
      <c r="Z74" s="48">
        <v>0</v>
      </c>
      <c r="AA74" s="48">
        <v>0</v>
      </c>
      <c r="AB74" s="48">
        <v>0</v>
      </c>
      <c r="AC74" s="48">
        <f t="shared" si="28"/>
        <v>0</v>
      </c>
      <c r="AD74" s="48">
        <f t="shared" si="36"/>
        <v>0</v>
      </c>
      <c r="AE74" s="49">
        <v>0</v>
      </c>
      <c r="AF74" s="49">
        <f t="shared" si="29"/>
        <v>0</v>
      </c>
      <c r="AG74" s="49">
        <v>0</v>
      </c>
      <c r="AH74" s="49">
        <v>0</v>
      </c>
      <c r="AI74" s="49">
        <v>0</v>
      </c>
      <c r="AJ74" s="49">
        <f t="shared" si="30"/>
        <v>0</v>
      </c>
      <c r="AK74" s="49">
        <f t="shared" si="37"/>
        <v>0</v>
      </c>
      <c r="AL74" s="82">
        <f t="shared" si="38"/>
        <v>0</v>
      </c>
      <c r="AM74" s="82">
        <f t="shared" si="39"/>
        <v>307090353970462.75</v>
      </c>
      <c r="AN74" s="81">
        <f t="shared" si="31"/>
        <v>362133300273563.19</v>
      </c>
      <c r="AO74" s="80">
        <f t="shared" si="20"/>
        <v>1179.2402320406152</v>
      </c>
      <c r="AP74" s="52">
        <f t="shared" si="32"/>
        <v>1.6232701003411322E-2</v>
      </c>
      <c r="AQ74" s="48">
        <f>(F74-E74)/E74</f>
        <v>1.0843373493975903E-2</v>
      </c>
      <c r="AR74" s="48">
        <f>(M74-L74)/L74</f>
        <v>1.896551724137931E-2</v>
      </c>
      <c r="AS74" s="48">
        <f>(T74-S74)/S74</f>
        <v>-3.6864406779661019E-2</v>
      </c>
      <c r="AT74" s="48" t="e">
        <f>(#REF!-#REF!)/#REF!</f>
        <v>#REF!</v>
      </c>
    </row>
    <row r="75" spans="1:46" s="47" customFormat="1" x14ac:dyDescent="0.3">
      <c r="A75" s="48">
        <v>20180417</v>
      </c>
      <c r="B75" s="48" t="s">
        <v>88</v>
      </c>
      <c r="C75" s="79">
        <v>0.4</v>
      </c>
      <c r="D75" s="79">
        <f t="shared" si="21"/>
        <v>0.33727086456217337</v>
      </c>
      <c r="E75" s="49">
        <v>2517000</v>
      </c>
      <c r="F75" s="49">
        <v>2499000</v>
      </c>
      <c r="G75" s="49">
        <v>128386494</v>
      </c>
      <c r="H75" s="49">
        <f t="shared" si="22"/>
        <v>0.37505621673717698</v>
      </c>
      <c r="I75" s="49">
        <f t="shared" si="33"/>
        <v>0.37672562624571299</v>
      </c>
      <c r="J75" s="48">
        <v>0.6</v>
      </c>
      <c r="K75" s="48">
        <f t="shared" si="23"/>
        <v>0.66272913543782663</v>
      </c>
      <c r="L75" s="48">
        <v>295500</v>
      </c>
      <c r="M75" s="48">
        <v>290000</v>
      </c>
      <c r="N75" s="51">
        <v>125108377</v>
      </c>
      <c r="O75" s="48">
        <f t="shared" si="24"/>
        <v>6.6468441985697098</v>
      </c>
      <c r="P75" s="48">
        <f t="shared" si="34"/>
        <v>6.5461146707734796</v>
      </c>
      <c r="Q75" s="49">
        <v>0</v>
      </c>
      <c r="R75" s="49">
        <f t="shared" si="25"/>
        <v>0</v>
      </c>
      <c r="S75" s="49">
        <v>227300</v>
      </c>
      <c r="T75" s="49">
        <v>234100</v>
      </c>
      <c r="U75" s="49">
        <v>15956260</v>
      </c>
      <c r="V75" s="49">
        <f t="shared" si="26"/>
        <v>0</v>
      </c>
      <c r="W75" s="49">
        <f t="shared" si="35"/>
        <v>0</v>
      </c>
      <c r="X75" s="48">
        <v>0</v>
      </c>
      <c r="Y75" s="48">
        <f t="shared" si="27"/>
        <v>0</v>
      </c>
      <c r="Z75" s="48">
        <v>0</v>
      </c>
      <c r="AA75" s="48">
        <v>0</v>
      </c>
      <c r="AB75" s="48">
        <v>0</v>
      </c>
      <c r="AC75" s="48">
        <f t="shared" si="28"/>
        <v>0</v>
      </c>
      <c r="AD75" s="48">
        <f t="shared" si="36"/>
        <v>0</v>
      </c>
      <c r="AE75" s="49">
        <v>0</v>
      </c>
      <c r="AF75" s="49">
        <f t="shared" si="29"/>
        <v>0</v>
      </c>
      <c r="AG75" s="49">
        <v>0</v>
      </c>
      <c r="AH75" s="49">
        <v>0</v>
      </c>
      <c r="AI75" s="49">
        <v>0</v>
      </c>
      <c r="AJ75" s="49">
        <f t="shared" si="30"/>
        <v>0</v>
      </c>
      <c r="AK75" s="49">
        <f t="shared" si="37"/>
        <v>0</v>
      </c>
      <c r="AL75" s="82">
        <f t="shared" si="38"/>
        <v>1</v>
      </c>
      <c r="AM75" s="82">
        <f t="shared" si="39"/>
        <v>308457241210348.81</v>
      </c>
      <c r="AN75" s="81">
        <f t="shared" si="31"/>
        <v>358370236215494.25</v>
      </c>
      <c r="AO75" s="80">
        <f t="shared" si="20"/>
        <v>1161.8149562944054</v>
      </c>
      <c r="AP75" s="52">
        <f t="shared" si="32"/>
        <v>-1.4776697124771778E-2</v>
      </c>
      <c r="AQ75" s="48">
        <f>(F75-E75)/E75</f>
        <v>-7.1513706793802142E-3</v>
      </c>
      <c r="AR75" s="48">
        <f>(M75-L75)/L75</f>
        <v>-1.8612521150592216E-2</v>
      </c>
      <c r="AS75" s="48">
        <f>(T75-S75)/S75</f>
        <v>2.9916410030796304E-2</v>
      </c>
      <c r="AT75" s="48" t="e">
        <f>(#REF!-#REF!)/#REF!</f>
        <v>#REF!</v>
      </c>
    </row>
    <row r="76" spans="1:46" x14ac:dyDescent="0.3">
      <c r="A76" s="48">
        <v>20180418</v>
      </c>
      <c r="B76" s="48" t="s">
        <v>88</v>
      </c>
      <c r="C76" s="79">
        <v>0.4</v>
      </c>
      <c r="D76" s="79">
        <f t="shared" si="21"/>
        <v>0.34771563613279038</v>
      </c>
      <c r="E76" s="49">
        <v>2499000</v>
      </c>
      <c r="F76" s="49">
        <v>2568000</v>
      </c>
      <c r="G76" s="49">
        <v>128386494</v>
      </c>
      <c r="H76" s="49">
        <f t="shared" si="22"/>
        <v>0.37672562624571299</v>
      </c>
      <c r="I76" s="49">
        <f t="shared" si="33"/>
        <v>0.37672562624571299</v>
      </c>
      <c r="J76" s="48">
        <v>0.6</v>
      </c>
      <c r="K76" s="48">
        <f t="shared" si="23"/>
        <v>0.65228436386720956</v>
      </c>
      <c r="L76" s="48">
        <v>290000</v>
      </c>
      <c r="M76" s="48">
        <v>284500</v>
      </c>
      <c r="N76" s="51">
        <v>125108377</v>
      </c>
      <c r="O76" s="48">
        <f t="shared" si="24"/>
        <v>6.5461146707734796</v>
      </c>
      <c r="P76" s="48">
        <f t="shared" si="34"/>
        <v>6.5461146707734796</v>
      </c>
      <c r="Q76" s="49">
        <v>0</v>
      </c>
      <c r="R76" s="49">
        <f t="shared" si="25"/>
        <v>0</v>
      </c>
      <c r="S76" s="49">
        <v>234100</v>
      </c>
      <c r="T76" s="49">
        <v>233500</v>
      </c>
      <c r="U76" s="49">
        <v>15956260</v>
      </c>
      <c r="V76" s="49">
        <f t="shared" si="26"/>
        <v>0</v>
      </c>
      <c r="W76" s="49">
        <f t="shared" si="35"/>
        <v>0</v>
      </c>
      <c r="X76" s="48">
        <v>0</v>
      </c>
      <c r="Y76" s="48">
        <f t="shared" si="27"/>
        <v>0</v>
      </c>
      <c r="Z76" s="48">
        <v>0</v>
      </c>
      <c r="AA76" s="48">
        <v>0</v>
      </c>
      <c r="AB76" s="48">
        <v>0</v>
      </c>
      <c r="AC76" s="48">
        <f t="shared" si="28"/>
        <v>0</v>
      </c>
      <c r="AD76" s="48">
        <f t="shared" si="36"/>
        <v>0</v>
      </c>
      <c r="AE76" s="49">
        <v>0</v>
      </c>
      <c r="AF76" s="49">
        <f t="shared" si="29"/>
        <v>0</v>
      </c>
      <c r="AG76" s="49">
        <v>0</v>
      </c>
      <c r="AH76" s="49">
        <v>0</v>
      </c>
      <c r="AI76" s="49">
        <v>0</v>
      </c>
      <c r="AJ76" s="49">
        <f t="shared" si="30"/>
        <v>0</v>
      </c>
      <c r="AK76" s="49">
        <f t="shared" si="37"/>
        <v>0</v>
      </c>
      <c r="AL76" s="82">
        <f t="shared" si="38"/>
        <v>0</v>
      </c>
      <c r="AM76" s="82">
        <f t="shared" si="39"/>
        <v>308457241210348.81</v>
      </c>
      <c r="AN76" s="81">
        <f t="shared" si="31"/>
        <v>357203167696255.56</v>
      </c>
      <c r="AO76" s="80">
        <f t="shared" si="20"/>
        <v>1158.0313896818686</v>
      </c>
      <c r="AP76" s="52">
        <f t="shared" si="32"/>
        <v>-3.2566000222655311E-3</v>
      </c>
      <c r="AQ76" s="48">
        <f>(F76-E76)/E76</f>
        <v>2.7611044417767107E-2</v>
      </c>
      <c r="AR76" s="48">
        <f>(M76-L76)/L76</f>
        <v>-1.896551724137931E-2</v>
      </c>
      <c r="AS76" s="48">
        <f>(T76-S76)/S76</f>
        <v>-2.5630072618539087E-3</v>
      </c>
      <c r="AT76" s="48" t="e">
        <f>(#REF!-#REF!)/#REF!</f>
        <v>#REF!</v>
      </c>
    </row>
    <row r="77" spans="1:46" x14ac:dyDescent="0.3">
      <c r="A77" s="48">
        <v>20180419</v>
      </c>
      <c r="B77" s="48" t="s">
        <v>88</v>
      </c>
      <c r="C77" s="79">
        <v>0.4</v>
      </c>
      <c r="D77" s="79">
        <f t="shared" si="21"/>
        <v>0.36901054780790477</v>
      </c>
      <c r="E77" s="49">
        <v>2568000</v>
      </c>
      <c r="F77" s="49">
        <v>2639000</v>
      </c>
      <c r="G77" s="49">
        <v>128386494</v>
      </c>
      <c r="H77" s="49">
        <f t="shared" si="22"/>
        <v>0.37672562624571299</v>
      </c>
      <c r="I77" s="49">
        <f t="shared" si="33"/>
        <v>0.37672562624571299</v>
      </c>
      <c r="J77" s="48">
        <v>0.6</v>
      </c>
      <c r="K77" s="48">
        <f t="shared" si="23"/>
        <v>0.63098945219209523</v>
      </c>
      <c r="L77" s="48">
        <v>284500</v>
      </c>
      <c r="M77" s="48">
        <v>266500</v>
      </c>
      <c r="N77" s="51">
        <v>125108377</v>
      </c>
      <c r="O77" s="48">
        <f t="shared" si="24"/>
        <v>6.5461146707734796</v>
      </c>
      <c r="P77" s="48">
        <f t="shared" si="34"/>
        <v>6.5461146707734796</v>
      </c>
      <c r="Q77" s="49">
        <v>0</v>
      </c>
      <c r="R77" s="49">
        <f t="shared" si="25"/>
        <v>0</v>
      </c>
      <c r="S77" s="49">
        <v>233500</v>
      </c>
      <c r="T77" s="49">
        <v>223200</v>
      </c>
      <c r="U77" s="49">
        <v>15956260</v>
      </c>
      <c r="V77" s="49">
        <f t="shared" si="26"/>
        <v>0</v>
      </c>
      <c r="W77" s="49">
        <f t="shared" si="35"/>
        <v>0</v>
      </c>
      <c r="X77" s="48">
        <v>0</v>
      </c>
      <c r="Y77" s="48">
        <f t="shared" si="27"/>
        <v>0</v>
      </c>
      <c r="Z77" s="48">
        <v>0</v>
      </c>
      <c r="AA77" s="48">
        <v>0</v>
      </c>
      <c r="AB77" s="48">
        <v>0</v>
      </c>
      <c r="AC77" s="48">
        <f t="shared" si="28"/>
        <v>0</v>
      </c>
      <c r="AD77" s="48">
        <f t="shared" si="36"/>
        <v>0</v>
      </c>
      <c r="AE77" s="49">
        <v>0</v>
      </c>
      <c r="AF77" s="49">
        <f t="shared" si="29"/>
        <v>0</v>
      </c>
      <c r="AG77" s="49">
        <v>0</v>
      </c>
      <c r="AH77" s="49">
        <v>0</v>
      </c>
      <c r="AI77" s="49">
        <v>0</v>
      </c>
      <c r="AJ77" s="49">
        <f t="shared" si="30"/>
        <v>0</v>
      </c>
      <c r="AK77" s="49">
        <f t="shared" si="37"/>
        <v>0</v>
      </c>
      <c r="AL77" s="82">
        <f t="shared" si="38"/>
        <v>0</v>
      </c>
      <c r="AM77" s="82">
        <f t="shared" si="39"/>
        <v>308457241210348.81</v>
      </c>
      <c r="AN77" s="81">
        <f t="shared" si="31"/>
        <v>345895659865269.62</v>
      </c>
      <c r="AO77" s="80">
        <f t="shared" si="20"/>
        <v>1121.3731229262669</v>
      </c>
      <c r="AP77" s="52">
        <f t="shared" si="32"/>
        <v>-3.1655676246973241E-2</v>
      </c>
      <c r="AQ77" s="48">
        <f>(F77-E77)/E77</f>
        <v>2.764797507788162E-2</v>
      </c>
      <c r="AR77" s="48">
        <f>(M77-L77)/L77</f>
        <v>-6.32688927943761E-2</v>
      </c>
      <c r="AS77" s="48">
        <f>(T77-S77)/S77</f>
        <v>-4.411134903640257E-2</v>
      </c>
      <c r="AT77" s="48" t="e">
        <f>(#REF!-#REF!)/#REF!</f>
        <v>#REF!</v>
      </c>
    </row>
    <row r="78" spans="1:46" x14ac:dyDescent="0.3">
      <c r="A78" s="48">
        <v>20180420</v>
      </c>
      <c r="B78" s="48" t="s">
        <v>88</v>
      </c>
      <c r="C78" s="79">
        <v>0.4</v>
      </c>
      <c r="D78" s="79">
        <f t="shared" si="21"/>
        <v>0.36169285742094864</v>
      </c>
      <c r="E78" s="49">
        <v>2639000</v>
      </c>
      <c r="F78" s="49">
        <v>2581000</v>
      </c>
      <c r="G78" s="49">
        <v>128386494</v>
      </c>
      <c r="H78" s="49">
        <f t="shared" si="22"/>
        <v>0.37672562624571299</v>
      </c>
      <c r="I78" s="49">
        <f t="shared" si="33"/>
        <v>0.37672562624571299</v>
      </c>
      <c r="J78" s="48">
        <v>0.6</v>
      </c>
      <c r="K78" s="48">
        <f t="shared" si="23"/>
        <v>0.6383071425790513</v>
      </c>
      <c r="L78" s="48">
        <v>266500</v>
      </c>
      <c r="M78" s="48">
        <v>269000</v>
      </c>
      <c r="N78" s="51">
        <v>125108377</v>
      </c>
      <c r="O78" s="48">
        <f t="shared" si="24"/>
        <v>6.5461146707734796</v>
      </c>
      <c r="P78" s="48">
        <f t="shared" si="34"/>
        <v>6.5461146707734796</v>
      </c>
      <c r="Q78" s="49">
        <v>0</v>
      </c>
      <c r="R78" s="49">
        <f t="shared" si="25"/>
        <v>0</v>
      </c>
      <c r="S78" s="49">
        <v>223200</v>
      </c>
      <c r="T78" s="49">
        <v>224200</v>
      </c>
      <c r="U78" s="49">
        <v>15956260</v>
      </c>
      <c r="V78" s="49">
        <f t="shared" si="26"/>
        <v>0</v>
      </c>
      <c r="W78" s="49">
        <f t="shared" si="35"/>
        <v>0</v>
      </c>
      <c r="X78" s="48">
        <v>0</v>
      </c>
      <c r="Y78" s="48">
        <f t="shared" si="27"/>
        <v>0</v>
      </c>
      <c r="Z78" s="48">
        <v>0</v>
      </c>
      <c r="AA78" s="48">
        <v>0</v>
      </c>
      <c r="AB78" s="48">
        <v>0</v>
      </c>
      <c r="AC78" s="48">
        <f t="shared" si="28"/>
        <v>0</v>
      </c>
      <c r="AD78" s="48">
        <f t="shared" si="36"/>
        <v>0</v>
      </c>
      <c r="AE78" s="49">
        <v>0</v>
      </c>
      <c r="AF78" s="49">
        <f t="shared" si="29"/>
        <v>0</v>
      </c>
      <c r="AG78" s="49">
        <v>0</v>
      </c>
      <c r="AH78" s="49">
        <v>0</v>
      </c>
      <c r="AI78" s="49">
        <v>0</v>
      </c>
      <c r="AJ78" s="49">
        <f t="shared" si="30"/>
        <v>0</v>
      </c>
      <c r="AK78" s="49">
        <f t="shared" si="37"/>
        <v>0</v>
      </c>
      <c r="AL78" s="82">
        <f t="shared" si="38"/>
        <v>0</v>
      </c>
      <c r="AM78" s="82">
        <f t="shared" si="39"/>
        <v>308457241210348.81</v>
      </c>
      <c r="AN78" s="81">
        <f t="shared" si="31"/>
        <v>345137838344049.31</v>
      </c>
      <c r="AO78" s="80">
        <f t="shared" si="20"/>
        <v>1118.9163107008617</v>
      </c>
      <c r="AP78" s="52">
        <f t="shared" si="32"/>
        <v>-2.1908962995243315E-3</v>
      </c>
      <c r="AQ78" s="48">
        <f>(F78-E78)/E78</f>
        <v>-2.197802197802198E-2</v>
      </c>
      <c r="AR78" s="48">
        <f>(M78-L78)/L78</f>
        <v>9.3808630393996256E-3</v>
      </c>
      <c r="AS78" s="48">
        <f>(T78-S78)/S78</f>
        <v>4.4802867383512543E-3</v>
      </c>
      <c r="AT78" s="48" t="e">
        <f>(#REF!-#REF!)/#REF!</f>
        <v>#REF!</v>
      </c>
    </row>
    <row r="79" spans="1:46" x14ac:dyDescent="0.3">
      <c r="A79" s="48">
        <v>20180423</v>
      </c>
      <c r="B79" s="48" t="s">
        <v>88</v>
      </c>
      <c r="C79" s="79">
        <v>0.4</v>
      </c>
      <c r="D79" s="79">
        <f t="shared" si="21"/>
        <v>0.37957273582705708</v>
      </c>
      <c r="E79" s="49">
        <v>2581000</v>
      </c>
      <c r="F79" s="49">
        <v>2595000</v>
      </c>
      <c r="G79" s="49">
        <v>128386494</v>
      </c>
      <c r="H79" s="49">
        <f t="shared" si="22"/>
        <v>0.37672562624571299</v>
      </c>
      <c r="I79" s="49">
        <f t="shared" si="33"/>
        <v>0.37672562624571299</v>
      </c>
      <c r="J79" s="48">
        <v>0.6</v>
      </c>
      <c r="K79" s="48">
        <f t="shared" si="23"/>
        <v>0.62042726417294303</v>
      </c>
      <c r="L79" s="48">
        <v>269000</v>
      </c>
      <c r="M79" s="48">
        <v>250500</v>
      </c>
      <c r="N79" s="51">
        <v>125108377</v>
      </c>
      <c r="O79" s="48">
        <f t="shared" si="24"/>
        <v>6.5461146707734796</v>
      </c>
      <c r="P79" s="48">
        <f t="shared" si="34"/>
        <v>6.5461146707734796</v>
      </c>
      <c r="Q79" s="49">
        <v>0</v>
      </c>
      <c r="R79" s="49">
        <f t="shared" si="25"/>
        <v>0</v>
      </c>
      <c r="S79" s="49">
        <v>224200</v>
      </c>
      <c r="T79" s="49">
        <v>214000</v>
      </c>
      <c r="U79" s="49">
        <v>15956260</v>
      </c>
      <c r="V79" s="49">
        <f t="shared" si="26"/>
        <v>0</v>
      </c>
      <c r="W79" s="49">
        <f t="shared" si="35"/>
        <v>0</v>
      </c>
      <c r="X79" s="48">
        <v>0</v>
      </c>
      <c r="Y79" s="48">
        <f t="shared" si="27"/>
        <v>0</v>
      </c>
      <c r="Z79" s="48">
        <v>0</v>
      </c>
      <c r="AA79" s="48">
        <v>0</v>
      </c>
      <c r="AB79" s="48">
        <v>0</v>
      </c>
      <c r="AC79" s="48">
        <f t="shared" si="28"/>
        <v>0</v>
      </c>
      <c r="AD79" s="48">
        <f t="shared" si="36"/>
        <v>0</v>
      </c>
      <c r="AE79" s="49">
        <v>0</v>
      </c>
      <c r="AF79" s="49">
        <f t="shared" si="29"/>
        <v>0</v>
      </c>
      <c r="AG79" s="49">
        <v>0</v>
      </c>
      <c r="AH79" s="49">
        <v>0</v>
      </c>
      <c r="AI79" s="49">
        <v>0</v>
      </c>
      <c r="AJ79" s="49">
        <f t="shared" si="30"/>
        <v>0</v>
      </c>
      <c r="AK79" s="49">
        <f t="shared" si="37"/>
        <v>0</v>
      </c>
      <c r="AL79" s="82">
        <f t="shared" si="38"/>
        <v>0</v>
      </c>
      <c r="AM79" s="82">
        <f t="shared" si="39"/>
        <v>308457241210348.81</v>
      </c>
      <c r="AN79" s="81">
        <f t="shared" si="31"/>
        <v>330663954127847.62</v>
      </c>
      <c r="AO79" s="80">
        <f t="shared" si="20"/>
        <v>1071.9928403378128</v>
      </c>
      <c r="AP79" s="52">
        <f t="shared" si="32"/>
        <v>-4.1936532620261077E-2</v>
      </c>
      <c r="AQ79" s="48">
        <f>(F79-E79)/E79</f>
        <v>5.424254165052305E-3</v>
      </c>
      <c r="AR79" s="48">
        <f>(M79-L79)/L79</f>
        <v>-6.8773234200743494E-2</v>
      </c>
      <c r="AS79" s="48">
        <f>(T79-S79)/S79</f>
        <v>-4.5495093666369314E-2</v>
      </c>
      <c r="AT79" s="48" t="e">
        <f>(#REF!-#REF!)/#REF!</f>
        <v>#REF!</v>
      </c>
    </row>
    <row r="80" spans="1:46" x14ac:dyDescent="0.3">
      <c r="A80" s="48">
        <v>20180424</v>
      </c>
      <c r="B80" s="48" t="s">
        <v>88</v>
      </c>
      <c r="C80" s="79">
        <v>0.4</v>
      </c>
      <c r="D80" s="79">
        <f t="shared" si="21"/>
        <v>0.37484572740330335</v>
      </c>
      <c r="E80" s="49">
        <v>2595000</v>
      </c>
      <c r="F80" s="49">
        <v>2523000</v>
      </c>
      <c r="G80" s="49">
        <v>128386494</v>
      </c>
      <c r="H80" s="49">
        <f t="shared" si="22"/>
        <v>0.37672562624571299</v>
      </c>
      <c r="I80" s="49">
        <f t="shared" si="33"/>
        <v>0.37672562624571299</v>
      </c>
      <c r="J80" s="48">
        <v>0.6</v>
      </c>
      <c r="K80" s="48">
        <f t="shared" si="23"/>
        <v>0.62515427259669665</v>
      </c>
      <c r="L80" s="48">
        <v>250500</v>
      </c>
      <c r="M80" s="48">
        <v>248500</v>
      </c>
      <c r="N80" s="51">
        <v>125108377</v>
      </c>
      <c r="O80" s="48">
        <f t="shared" si="24"/>
        <v>6.5461146707734796</v>
      </c>
      <c r="P80" s="48">
        <f t="shared" si="34"/>
        <v>6.5461146707734796</v>
      </c>
      <c r="Q80" s="49">
        <v>0</v>
      </c>
      <c r="R80" s="49">
        <f t="shared" si="25"/>
        <v>0</v>
      </c>
      <c r="S80" s="49">
        <v>214000</v>
      </c>
      <c r="T80" s="49">
        <v>208900</v>
      </c>
      <c r="U80" s="49">
        <v>15956260</v>
      </c>
      <c r="V80" s="49">
        <f t="shared" si="26"/>
        <v>0</v>
      </c>
      <c r="W80" s="49">
        <f t="shared" si="35"/>
        <v>0</v>
      </c>
      <c r="X80" s="48">
        <v>0</v>
      </c>
      <c r="Y80" s="48">
        <f t="shared" si="27"/>
        <v>0</v>
      </c>
      <c r="Z80" s="48">
        <v>0</v>
      </c>
      <c r="AA80" s="48">
        <v>0</v>
      </c>
      <c r="AB80" s="48">
        <v>0</v>
      </c>
      <c r="AC80" s="48">
        <f t="shared" si="28"/>
        <v>0</v>
      </c>
      <c r="AD80" s="48">
        <f t="shared" si="36"/>
        <v>0</v>
      </c>
      <c r="AE80" s="49">
        <v>0</v>
      </c>
      <c r="AF80" s="49">
        <f t="shared" si="29"/>
        <v>0</v>
      </c>
      <c r="AG80" s="49">
        <v>0</v>
      </c>
      <c r="AH80" s="49">
        <v>0</v>
      </c>
      <c r="AI80" s="49">
        <v>0</v>
      </c>
      <c r="AJ80" s="49">
        <f t="shared" si="30"/>
        <v>0</v>
      </c>
      <c r="AK80" s="49">
        <f t="shared" si="37"/>
        <v>0</v>
      </c>
      <c r="AL80" s="82">
        <f t="shared" si="38"/>
        <v>0</v>
      </c>
      <c r="AM80" s="82">
        <f t="shared" si="39"/>
        <v>308457241210348.81</v>
      </c>
      <c r="AN80" s="81">
        <f t="shared" si="31"/>
        <v>325543619834152.75</v>
      </c>
      <c r="AO80" s="80">
        <f t="shared" si="20"/>
        <v>1055.3930215959886</v>
      </c>
      <c r="AP80" s="52">
        <f t="shared" si="32"/>
        <v>-1.5485008963859527E-2</v>
      </c>
      <c r="AQ80" s="48">
        <f>(F80-E80)/E80</f>
        <v>-2.7745664739884393E-2</v>
      </c>
      <c r="AR80" s="48">
        <f>(M80-L80)/L80</f>
        <v>-7.9840319361277438E-3</v>
      </c>
      <c r="AS80" s="48">
        <f>(T80-S80)/S80</f>
        <v>-2.3831775700934581E-2</v>
      </c>
      <c r="AT80" s="48" t="e">
        <f>(#REF!-#REF!)/#REF!</f>
        <v>#REF!</v>
      </c>
    </row>
    <row r="81" spans="1:46" x14ac:dyDescent="0.3">
      <c r="A81" s="48">
        <v>20180425</v>
      </c>
      <c r="B81" s="48" t="s">
        <v>88</v>
      </c>
      <c r="C81" s="79">
        <v>0.4</v>
      </c>
      <c r="D81" s="79">
        <f t="shared" si="21"/>
        <v>0.37222489308150286</v>
      </c>
      <c r="E81" s="49">
        <v>2523000</v>
      </c>
      <c r="F81" s="49">
        <v>2520000</v>
      </c>
      <c r="G81" s="49">
        <v>128386494</v>
      </c>
      <c r="H81" s="49">
        <f t="shared" si="22"/>
        <v>0.37672562624571299</v>
      </c>
      <c r="I81" s="49">
        <f t="shared" si="33"/>
        <v>0.37672562624571299</v>
      </c>
      <c r="J81" s="48">
        <v>0.6</v>
      </c>
      <c r="K81" s="48">
        <f t="shared" si="23"/>
        <v>0.62777510691849714</v>
      </c>
      <c r="L81" s="48">
        <v>248500</v>
      </c>
      <c r="M81" s="48">
        <v>251000</v>
      </c>
      <c r="N81" s="51">
        <v>125108377</v>
      </c>
      <c r="O81" s="48">
        <f t="shared" si="24"/>
        <v>6.5461146707734796</v>
      </c>
      <c r="P81" s="48">
        <f t="shared" si="34"/>
        <v>6.5461146707734796</v>
      </c>
      <c r="Q81" s="49">
        <v>0</v>
      </c>
      <c r="R81" s="49">
        <f t="shared" si="25"/>
        <v>0</v>
      </c>
      <c r="S81" s="49">
        <v>208900</v>
      </c>
      <c r="T81" s="49">
        <v>215000</v>
      </c>
      <c r="U81" s="49">
        <v>15956260</v>
      </c>
      <c r="V81" s="49">
        <f t="shared" si="26"/>
        <v>0</v>
      </c>
      <c r="W81" s="49">
        <f t="shared" si="35"/>
        <v>0</v>
      </c>
      <c r="X81" s="48">
        <v>0</v>
      </c>
      <c r="Y81" s="48">
        <f t="shared" si="27"/>
        <v>0</v>
      </c>
      <c r="Z81" s="48">
        <v>0</v>
      </c>
      <c r="AA81" s="48">
        <v>0</v>
      </c>
      <c r="AB81" s="48">
        <v>0</v>
      </c>
      <c r="AC81" s="48">
        <f t="shared" si="28"/>
        <v>0</v>
      </c>
      <c r="AD81" s="48">
        <f t="shared" si="36"/>
        <v>0</v>
      </c>
      <c r="AE81" s="49">
        <v>0</v>
      </c>
      <c r="AF81" s="49">
        <f t="shared" si="29"/>
        <v>0</v>
      </c>
      <c r="AG81" s="49">
        <v>0</v>
      </c>
      <c r="AH81" s="49">
        <v>0</v>
      </c>
      <c r="AI81" s="49">
        <v>0</v>
      </c>
      <c r="AJ81" s="49">
        <f t="shared" si="30"/>
        <v>0</v>
      </c>
      <c r="AK81" s="49">
        <f t="shared" si="37"/>
        <v>0</v>
      </c>
      <c r="AL81" s="82">
        <f t="shared" si="38"/>
        <v>0</v>
      </c>
      <c r="AM81" s="82">
        <f t="shared" si="39"/>
        <v>308457241210348.81</v>
      </c>
      <c r="AN81" s="81">
        <f t="shared" si="31"/>
        <v>327445954842382.69</v>
      </c>
      <c r="AO81" s="80">
        <f t="shared" si="20"/>
        <v>1061.5602783631355</v>
      </c>
      <c r="AP81" s="52">
        <f t="shared" si="32"/>
        <v>5.843564095033193E-3</v>
      </c>
      <c r="AQ81" s="48">
        <f>(F81-E81)/E81</f>
        <v>-1.1890606420927466E-3</v>
      </c>
      <c r="AR81" s="48">
        <f>(M81-L81)/L81</f>
        <v>1.0060362173038229E-2</v>
      </c>
      <c r="AS81" s="48">
        <f>(T81-S81)/S81</f>
        <v>2.9200574437529919E-2</v>
      </c>
      <c r="AT81" s="48" t="e">
        <f>(#REF!-#REF!)/#REF!</f>
        <v>#REF!</v>
      </c>
    </row>
    <row r="82" spans="1:46" x14ac:dyDescent="0.3">
      <c r="A82" s="48">
        <v>20180426</v>
      </c>
      <c r="B82" s="48" t="s">
        <v>88</v>
      </c>
      <c r="C82" s="79">
        <v>0.4</v>
      </c>
      <c r="D82" s="79">
        <f t="shared" si="21"/>
        <v>0.37463911845023778</v>
      </c>
      <c r="E82" s="49">
        <v>2520000</v>
      </c>
      <c r="F82" s="49">
        <v>2607000</v>
      </c>
      <c r="G82" s="49">
        <v>128386494</v>
      </c>
      <c r="H82" s="49">
        <f t="shared" si="22"/>
        <v>0.37672562624571299</v>
      </c>
      <c r="I82" s="49">
        <f t="shared" si="33"/>
        <v>0.37672562624571299</v>
      </c>
      <c r="J82" s="48">
        <v>0.6</v>
      </c>
      <c r="K82" s="48">
        <f t="shared" si="23"/>
        <v>0.62536088154976233</v>
      </c>
      <c r="L82" s="48">
        <v>251000</v>
      </c>
      <c r="M82" s="48">
        <v>257000</v>
      </c>
      <c r="N82" s="51">
        <v>125108377</v>
      </c>
      <c r="O82" s="48">
        <f t="shared" si="24"/>
        <v>6.5461146707734796</v>
      </c>
      <c r="P82" s="48">
        <f t="shared" si="34"/>
        <v>6.5461146707734796</v>
      </c>
      <c r="Q82" s="49">
        <v>0</v>
      </c>
      <c r="R82" s="49">
        <f t="shared" si="25"/>
        <v>0</v>
      </c>
      <c r="S82" s="49">
        <v>215000</v>
      </c>
      <c r="T82" s="49">
        <v>218700</v>
      </c>
      <c r="U82" s="49">
        <v>15956260</v>
      </c>
      <c r="V82" s="49">
        <f t="shared" si="26"/>
        <v>0</v>
      </c>
      <c r="W82" s="49">
        <f t="shared" si="35"/>
        <v>0</v>
      </c>
      <c r="X82" s="48">
        <v>0</v>
      </c>
      <c r="Y82" s="48">
        <f t="shared" si="27"/>
        <v>0</v>
      </c>
      <c r="Z82" s="48">
        <v>0</v>
      </c>
      <c r="AA82" s="48">
        <v>0</v>
      </c>
      <c r="AB82" s="48">
        <v>0</v>
      </c>
      <c r="AC82" s="48">
        <f t="shared" si="28"/>
        <v>0</v>
      </c>
      <c r="AD82" s="48">
        <f t="shared" si="36"/>
        <v>0</v>
      </c>
      <c r="AE82" s="49">
        <v>0</v>
      </c>
      <c r="AF82" s="49">
        <f t="shared" si="29"/>
        <v>0</v>
      </c>
      <c r="AG82" s="49">
        <v>0</v>
      </c>
      <c r="AH82" s="49">
        <v>0</v>
      </c>
      <c r="AI82" s="49">
        <v>0</v>
      </c>
      <c r="AJ82" s="49">
        <f t="shared" si="30"/>
        <v>0</v>
      </c>
      <c r="AK82" s="49">
        <f t="shared" si="37"/>
        <v>0</v>
      </c>
      <c r="AL82" s="82">
        <f t="shared" si="38"/>
        <v>0</v>
      </c>
      <c r="AM82" s="82">
        <f t="shared" si="39"/>
        <v>308457241210348.81</v>
      </c>
      <c r="AN82" s="81">
        <f t="shared" si="31"/>
        <v>336567681499847.62</v>
      </c>
      <c r="AO82" s="80">
        <f t="shared" si="20"/>
        <v>1091.1323727697131</v>
      </c>
      <c r="AP82" s="52">
        <f t="shared" si="32"/>
        <v>2.7857197569766005E-2</v>
      </c>
      <c r="AQ82" s="48">
        <f>(F82-E82)/E82</f>
        <v>3.4523809523809526E-2</v>
      </c>
      <c r="AR82" s="48">
        <f>(M82-L82)/L82</f>
        <v>2.3904382470119521E-2</v>
      </c>
      <c r="AS82" s="48">
        <f>(T82-S82)/S82</f>
        <v>1.7209302325581394E-2</v>
      </c>
      <c r="AT82" s="48" t="e">
        <f>(#REF!-#REF!)/#REF!</f>
        <v>#REF!</v>
      </c>
    </row>
    <row r="83" spans="1:46" x14ac:dyDescent="0.3">
      <c r="A83" s="48">
        <v>20180427</v>
      </c>
      <c r="B83" s="48" t="s">
        <v>88</v>
      </c>
      <c r="C83" s="79">
        <v>0.4</v>
      </c>
      <c r="D83" s="79">
        <f t="shared" si="21"/>
        <v>0.36143507836419553</v>
      </c>
      <c r="E83" s="49">
        <v>2607000</v>
      </c>
      <c r="F83" s="49">
        <v>2650000</v>
      </c>
      <c r="G83" s="49">
        <v>128386494</v>
      </c>
      <c r="H83" s="49">
        <f t="shared" si="22"/>
        <v>0.37672562624571299</v>
      </c>
      <c r="I83" s="49">
        <f t="shared" si="33"/>
        <v>0.37672562624571299</v>
      </c>
      <c r="J83" s="48">
        <v>0.6</v>
      </c>
      <c r="K83" s="48">
        <f t="shared" si="23"/>
        <v>0.63856492163580458</v>
      </c>
      <c r="L83" s="48">
        <v>257000</v>
      </c>
      <c r="M83" s="48">
        <v>276500</v>
      </c>
      <c r="N83" s="51">
        <v>125108377</v>
      </c>
      <c r="O83" s="48">
        <f t="shared" si="24"/>
        <v>6.5461146707734796</v>
      </c>
      <c r="P83" s="48">
        <f t="shared" si="34"/>
        <v>6.5461146707734796</v>
      </c>
      <c r="Q83" s="49">
        <v>0</v>
      </c>
      <c r="R83" s="49">
        <f t="shared" si="25"/>
        <v>0</v>
      </c>
      <c r="S83" s="49">
        <v>218700</v>
      </c>
      <c r="T83" s="49">
        <v>223000</v>
      </c>
      <c r="U83" s="49">
        <v>15956260</v>
      </c>
      <c r="V83" s="49">
        <f t="shared" si="26"/>
        <v>0</v>
      </c>
      <c r="W83" s="49">
        <f t="shared" si="35"/>
        <v>0</v>
      </c>
      <c r="X83" s="48">
        <v>0</v>
      </c>
      <c r="Y83" s="48">
        <f t="shared" si="27"/>
        <v>0</v>
      </c>
      <c r="Z83" s="48">
        <v>0</v>
      </c>
      <c r="AA83" s="48">
        <v>0</v>
      </c>
      <c r="AB83" s="48">
        <v>0</v>
      </c>
      <c r="AC83" s="48">
        <f t="shared" si="28"/>
        <v>0</v>
      </c>
      <c r="AD83" s="48">
        <f t="shared" si="36"/>
        <v>0</v>
      </c>
      <c r="AE83" s="49">
        <v>0</v>
      </c>
      <c r="AF83" s="49">
        <f t="shared" si="29"/>
        <v>0</v>
      </c>
      <c r="AG83" s="49">
        <v>0</v>
      </c>
      <c r="AH83" s="49">
        <v>0</v>
      </c>
      <c r="AI83" s="49">
        <v>0</v>
      </c>
      <c r="AJ83" s="49">
        <f t="shared" si="30"/>
        <v>0</v>
      </c>
      <c r="AK83" s="49">
        <f t="shared" si="37"/>
        <v>0</v>
      </c>
      <c r="AL83" s="82">
        <f t="shared" si="38"/>
        <v>0</v>
      </c>
      <c r="AM83" s="82">
        <f t="shared" si="39"/>
        <v>308457241210348.81</v>
      </c>
      <c r="AN83" s="81">
        <f t="shared" si="31"/>
        <v>354617428992323.25</v>
      </c>
      <c r="AO83" s="80">
        <f t="shared" si="20"/>
        <v>1149.6485788462849</v>
      </c>
      <c r="AP83" s="52">
        <f t="shared" si="32"/>
        <v>5.362887907727925E-2</v>
      </c>
      <c r="AQ83" s="48">
        <f>(F83-E83)/E83</f>
        <v>1.6494054468738015E-2</v>
      </c>
      <c r="AR83" s="48">
        <f>(M83-L83)/L83</f>
        <v>7.5875486381322951E-2</v>
      </c>
      <c r="AS83" s="48">
        <f>(T83-S83)/S83</f>
        <v>1.9661636945587563E-2</v>
      </c>
      <c r="AT83" s="48" t="e">
        <f>(#REF!-#REF!)/#REF!</f>
        <v>#REF!</v>
      </c>
    </row>
    <row r="84" spans="1:46" x14ac:dyDescent="0.3">
      <c r="A84" s="48">
        <v>20180430</v>
      </c>
      <c r="B84" s="48" t="s">
        <v>88</v>
      </c>
      <c r="C84" s="79">
        <v>0.4</v>
      </c>
      <c r="D84" s="79">
        <f t="shared" si="21"/>
        <v>0.36608509664917199</v>
      </c>
      <c r="E84" s="49">
        <v>2650000</v>
      </c>
      <c r="F84" s="49">
        <v>2650000</v>
      </c>
      <c r="G84" s="49">
        <v>128386494</v>
      </c>
      <c r="H84" s="49">
        <f t="shared" si="22"/>
        <v>0.37672562624571299</v>
      </c>
      <c r="I84" s="49">
        <f t="shared" si="33"/>
        <v>0.37672562624571299</v>
      </c>
      <c r="J84" s="48">
        <v>0.6</v>
      </c>
      <c r="K84" s="48">
        <f t="shared" si="23"/>
        <v>0.63391490335082812</v>
      </c>
      <c r="L84" s="48">
        <v>276500</v>
      </c>
      <c r="M84" s="48">
        <v>271000</v>
      </c>
      <c r="N84" s="51">
        <v>125108377</v>
      </c>
      <c r="O84" s="48">
        <f t="shared" si="24"/>
        <v>6.5461146707734796</v>
      </c>
      <c r="P84" s="48">
        <f t="shared" si="34"/>
        <v>6.5461146707734796</v>
      </c>
      <c r="Q84" s="49">
        <v>0</v>
      </c>
      <c r="R84" s="49">
        <f t="shared" si="25"/>
        <v>0</v>
      </c>
      <c r="S84" s="49">
        <v>223000</v>
      </c>
      <c r="T84" s="49">
        <v>216500</v>
      </c>
      <c r="U84" s="49">
        <v>15956260</v>
      </c>
      <c r="V84" s="49">
        <f t="shared" si="26"/>
        <v>0</v>
      </c>
      <c r="W84" s="49">
        <f t="shared" si="35"/>
        <v>0</v>
      </c>
      <c r="X84" s="48">
        <v>0</v>
      </c>
      <c r="Y84" s="48">
        <f t="shared" si="27"/>
        <v>0</v>
      </c>
      <c r="Z84" s="48">
        <v>0</v>
      </c>
      <c r="AA84" s="48">
        <v>0</v>
      </c>
      <c r="AB84" s="48">
        <v>0</v>
      </c>
      <c r="AC84" s="48">
        <f t="shared" si="28"/>
        <v>0</v>
      </c>
      <c r="AD84" s="48">
        <f t="shared" si="36"/>
        <v>0</v>
      </c>
      <c r="AE84" s="49">
        <v>0</v>
      </c>
      <c r="AF84" s="49">
        <f t="shared" si="29"/>
        <v>0</v>
      </c>
      <c r="AG84" s="49">
        <v>0</v>
      </c>
      <c r="AH84" s="49">
        <v>0</v>
      </c>
      <c r="AI84" s="49">
        <v>0</v>
      </c>
      <c r="AJ84" s="49">
        <f t="shared" si="30"/>
        <v>0</v>
      </c>
      <c r="AK84" s="49">
        <f t="shared" si="37"/>
        <v>0</v>
      </c>
      <c r="AL84" s="82">
        <f t="shared" si="38"/>
        <v>0</v>
      </c>
      <c r="AM84" s="82">
        <f t="shared" si="39"/>
        <v>308457241210348.81</v>
      </c>
      <c r="AN84" s="81">
        <f t="shared" si="31"/>
        <v>350113073190683.25</v>
      </c>
      <c r="AO84" s="80">
        <f t="shared" si="20"/>
        <v>1135.0457256794557</v>
      </c>
      <c r="AP84" s="52">
        <f t="shared" si="32"/>
        <v>-1.2702014716082779E-2</v>
      </c>
      <c r="AQ84" s="48">
        <f>(F84-E84)/E84</f>
        <v>0</v>
      </c>
      <c r="AR84" s="48">
        <f>(M84-L84)/L84</f>
        <v>-1.9891500904159132E-2</v>
      </c>
      <c r="AS84" s="48">
        <f>(T84-S84)/S84</f>
        <v>-2.914798206278027E-2</v>
      </c>
      <c r="AT84" s="48" t="e">
        <f>(#REF!-#REF!)/#REF!</f>
        <v>#REF!</v>
      </c>
    </row>
    <row r="85" spans="1:46" x14ac:dyDescent="0.3">
      <c r="A85" s="48">
        <v>20180502</v>
      </c>
      <c r="B85" s="48" t="s">
        <v>88</v>
      </c>
      <c r="C85" s="79">
        <v>0.4</v>
      </c>
      <c r="D85" s="79">
        <f t="shared" si="21"/>
        <v>0.37665789607895267</v>
      </c>
      <c r="E85" s="49">
        <v>2650000</v>
      </c>
      <c r="F85" s="49">
        <v>2650000</v>
      </c>
      <c r="G85" s="49">
        <v>128386494</v>
      </c>
      <c r="H85" s="49">
        <f t="shared" si="22"/>
        <v>0.37672562624571299</v>
      </c>
      <c r="I85" s="49">
        <f t="shared" si="33"/>
        <v>0.37672562624571299</v>
      </c>
      <c r="J85" s="48">
        <v>0.6</v>
      </c>
      <c r="K85" s="48">
        <f t="shared" si="23"/>
        <v>0.62334210392104716</v>
      </c>
      <c r="L85" s="48">
        <v>271000</v>
      </c>
      <c r="M85" s="48">
        <v>259000</v>
      </c>
      <c r="N85" s="51">
        <v>125108377</v>
      </c>
      <c r="O85" s="48">
        <f t="shared" si="24"/>
        <v>6.5461146707734796</v>
      </c>
      <c r="P85" s="48">
        <f t="shared" si="34"/>
        <v>6.5461146707734796</v>
      </c>
      <c r="Q85" s="49">
        <v>0</v>
      </c>
      <c r="R85" s="49">
        <f t="shared" si="25"/>
        <v>0</v>
      </c>
      <c r="S85" s="49">
        <v>216500</v>
      </c>
      <c r="T85" s="49">
        <v>214700</v>
      </c>
      <c r="U85" s="49">
        <v>15956260</v>
      </c>
      <c r="V85" s="49">
        <f t="shared" si="26"/>
        <v>0</v>
      </c>
      <c r="W85" s="49">
        <f t="shared" si="35"/>
        <v>0</v>
      </c>
      <c r="X85" s="48">
        <v>0</v>
      </c>
      <c r="Y85" s="48">
        <f t="shared" si="27"/>
        <v>0</v>
      </c>
      <c r="Z85" s="48">
        <v>0</v>
      </c>
      <c r="AA85" s="48">
        <v>0</v>
      </c>
      <c r="AB85" s="48">
        <v>0</v>
      </c>
      <c r="AC85" s="48">
        <f t="shared" si="28"/>
        <v>0</v>
      </c>
      <c r="AD85" s="48">
        <f t="shared" si="36"/>
        <v>0</v>
      </c>
      <c r="AE85" s="49">
        <v>0</v>
      </c>
      <c r="AF85" s="49">
        <f t="shared" si="29"/>
        <v>0</v>
      </c>
      <c r="AG85" s="49">
        <v>0</v>
      </c>
      <c r="AH85" s="49">
        <v>0</v>
      </c>
      <c r="AI85" s="49">
        <v>0</v>
      </c>
      <c r="AJ85" s="49">
        <f t="shared" si="30"/>
        <v>0</v>
      </c>
      <c r="AK85" s="49">
        <f t="shared" si="37"/>
        <v>0</v>
      </c>
      <c r="AL85" s="82">
        <f t="shared" si="38"/>
        <v>0</v>
      </c>
      <c r="AM85" s="82">
        <f t="shared" si="39"/>
        <v>308457241210348.81</v>
      </c>
      <c r="AN85" s="81">
        <f t="shared" si="31"/>
        <v>340285387805287</v>
      </c>
      <c r="AO85" s="80">
        <f t="shared" si="20"/>
        <v>1103.1849551336463</v>
      </c>
      <c r="AP85" s="52">
        <f t="shared" si="32"/>
        <v>-2.8070032620700836E-2</v>
      </c>
      <c r="AQ85" s="48">
        <f>(F85-E85)/E85</f>
        <v>0</v>
      </c>
      <c r="AR85" s="48">
        <f>(M85-L85)/L85</f>
        <v>-4.4280442804428041E-2</v>
      </c>
      <c r="AS85" s="48">
        <f>(T85-S85)/S85</f>
        <v>-8.3140877598152432E-3</v>
      </c>
      <c r="AT85" s="48" t="e">
        <f>(#REF!-#REF!)/#REF!</f>
        <v>#REF!</v>
      </c>
    </row>
    <row r="86" spans="1:46" x14ac:dyDescent="0.3">
      <c r="A86" s="48">
        <v>20180503</v>
      </c>
      <c r="B86" s="48" t="s">
        <v>88</v>
      </c>
      <c r="C86" s="79">
        <v>0.4</v>
      </c>
      <c r="D86" s="79">
        <f t="shared" si="21"/>
        <v>0.37395785350925093</v>
      </c>
      <c r="E86" s="49">
        <v>2650000</v>
      </c>
      <c r="F86" s="49">
        <v>2650000</v>
      </c>
      <c r="G86" s="49">
        <v>128386494</v>
      </c>
      <c r="H86" s="49">
        <f t="shared" si="22"/>
        <v>0.37672562624571299</v>
      </c>
      <c r="I86" s="49">
        <f t="shared" si="33"/>
        <v>0.37672562624571299</v>
      </c>
      <c r="J86" s="48">
        <v>0.6</v>
      </c>
      <c r="K86" s="48">
        <f t="shared" si="23"/>
        <v>0.62604214649074907</v>
      </c>
      <c r="L86" s="48">
        <v>259000</v>
      </c>
      <c r="M86" s="48">
        <v>262000</v>
      </c>
      <c r="N86" s="51">
        <v>125108377</v>
      </c>
      <c r="O86" s="48">
        <f t="shared" si="24"/>
        <v>6.5461146707734796</v>
      </c>
      <c r="P86" s="48">
        <f t="shared" si="34"/>
        <v>6.5461146707734796</v>
      </c>
      <c r="Q86" s="49">
        <v>0</v>
      </c>
      <c r="R86" s="49">
        <f t="shared" si="25"/>
        <v>0</v>
      </c>
      <c r="S86" s="49">
        <v>214700</v>
      </c>
      <c r="T86" s="49">
        <v>207700</v>
      </c>
      <c r="U86" s="49">
        <v>15956260</v>
      </c>
      <c r="V86" s="49">
        <f t="shared" si="26"/>
        <v>0</v>
      </c>
      <c r="W86" s="49">
        <f t="shared" si="35"/>
        <v>0</v>
      </c>
      <c r="X86" s="48">
        <v>0</v>
      </c>
      <c r="Y86" s="48">
        <f t="shared" si="27"/>
        <v>0</v>
      </c>
      <c r="Z86" s="48">
        <v>0</v>
      </c>
      <c r="AA86" s="48">
        <v>0</v>
      </c>
      <c r="AB86" s="48">
        <v>0</v>
      </c>
      <c r="AC86" s="48">
        <f t="shared" si="28"/>
        <v>0</v>
      </c>
      <c r="AD86" s="48">
        <f t="shared" si="36"/>
        <v>0</v>
      </c>
      <c r="AE86" s="49">
        <v>0</v>
      </c>
      <c r="AF86" s="49">
        <f t="shared" si="29"/>
        <v>0</v>
      </c>
      <c r="AG86" s="49">
        <v>0</v>
      </c>
      <c r="AH86" s="49">
        <v>0</v>
      </c>
      <c r="AI86" s="49">
        <v>0</v>
      </c>
      <c r="AJ86" s="49">
        <f t="shared" si="30"/>
        <v>0</v>
      </c>
      <c r="AK86" s="49">
        <f t="shared" si="37"/>
        <v>0</v>
      </c>
      <c r="AL86" s="82">
        <f t="shared" si="38"/>
        <v>0</v>
      </c>
      <c r="AM86" s="82">
        <f t="shared" si="39"/>
        <v>308457241210348.81</v>
      </c>
      <c r="AN86" s="81">
        <f t="shared" si="31"/>
        <v>342742309151636.06</v>
      </c>
      <c r="AO86" s="80">
        <f t="shared" si="20"/>
        <v>1111.1501477700988</v>
      </c>
      <c r="AP86" s="52">
        <f t="shared" si="32"/>
        <v>7.2201788098963937E-3</v>
      </c>
      <c r="AQ86" s="48">
        <f>(F86-E86)/E86</f>
        <v>0</v>
      </c>
      <c r="AR86" s="48">
        <f>(M86-L86)/L86</f>
        <v>1.1583011583011582E-2</v>
      </c>
      <c r="AS86" s="48">
        <f>(T86-S86)/S86</f>
        <v>-3.2603632976245925E-2</v>
      </c>
      <c r="AT86" s="48" t="e">
        <f>(#REF!-#REF!)/#REF!</f>
        <v>#REF!</v>
      </c>
    </row>
    <row r="87" spans="1:46" x14ac:dyDescent="0.3">
      <c r="A87" s="48">
        <v>20180504</v>
      </c>
      <c r="B87" s="48" t="s">
        <v>88</v>
      </c>
      <c r="C87" s="79">
        <v>0.4</v>
      </c>
      <c r="D87" s="79">
        <f t="shared" si="21"/>
        <v>0.38004337309299541</v>
      </c>
      <c r="E87" s="49">
        <v>53000</v>
      </c>
      <c r="F87" s="49">
        <v>51900</v>
      </c>
      <c r="G87" s="49">
        <v>6419324700</v>
      </c>
      <c r="H87" s="49">
        <f t="shared" si="22"/>
        <v>0.37672562624571299</v>
      </c>
      <c r="I87" s="49">
        <f t="shared" si="33"/>
        <v>0.37672562624571299</v>
      </c>
      <c r="J87" s="48">
        <v>0.6</v>
      </c>
      <c r="K87" s="48">
        <f t="shared" si="23"/>
        <v>0.61995662690700448</v>
      </c>
      <c r="L87" s="48">
        <v>262000</v>
      </c>
      <c r="M87" s="48">
        <v>250000</v>
      </c>
      <c r="N87" s="51">
        <v>125108377</v>
      </c>
      <c r="O87" s="48">
        <f t="shared" si="24"/>
        <v>6.5461146707734796</v>
      </c>
      <c r="P87" s="48">
        <f t="shared" si="34"/>
        <v>6.5461146707734796</v>
      </c>
      <c r="Q87" s="49">
        <v>0</v>
      </c>
      <c r="R87" s="49">
        <f t="shared" si="25"/>
        <v>0</v>
      </c>
      <c r="S87" s="49">
        <v>207700</v>
      </c>
      <c r="T87" s="49">
        <v>200200</v>
      </c>
      <c r="U87" s="49">
        <v>15956260</v>
      </c>
      <c r="V87" s="49">
        <f t="shared" si="26"/>
        <v>0</v>
      </c>
      <c r="W87" s="49">
        <f t="shared" si="35"/>
        <v>0</v>
      </c>
      <c r="X87" s="48">
        <v>0</v>
      </c>
      <c r="Y87" s="48">
        <f t="shared" si="27"/>
        <v>0</v>
      </c>
      <c r="Z87" s="48">
        <v>0</v>
      </c>
      <c r="AA87" s="48">
        <v>0</v>
      </c>
      <c r="AB87" s="48">
        <v>0</v>
      </c>
      <c r="AC87" s="48">
        <f t="shared" si="28"/>
        <v>0</v>
      </c>
      <c r="AD87" s="48">
        <f t="shared" si="36"/>
        <v>0</v>
      </c>
      <c r="AE87" s="49">
        <v>0</v>
      </c>
      <c r="AF87" s="49">
        <f t="shared" si="29"/>
        <v>0</v>
      </c>
      <c r="AG87" s="49">
        <v>0</v>
      </c>
      <c r="AH87" s="49">
        <v>0</v>
      </c>
      <c r="AI87" s="49">
        <v>0</v>
      </c>
      <c r="AJ87" s="49">
        <f t="shared" si="30"/>
        <v>0</v>
      </c>
      <c r="AK87" s="49">
        <f t="shared" si="37"/>
        <v>0</v>
      </c>
      <c r="AL87" s="82">
        <f t="shared" si="38"/>
        <v>0</v>
      </c>
      <c r="AM87" s="82">
        <f t="shared" si="39"/>
        <v>308457241210348.81</v>
      </c>
      <c r="AN87" s="81">
        <f t="shared" si="31"/>
        <v>330254467236789.5</v>
      </c>
      <c r="AO87" s="80">
        <f t="shared" si="20"/>
        <v>1070.6653082317375</v>
      </c>
      <c r="AP87" s="52">
        <f t="shared" si="32"/>
        <v>-3.6435075511268997E-2</v>
      </c>
      <c r="AQ87" s="48">
        <f>(F87-E87)/E87</f>
        <v>-2.0754716981132074E-2</v>
      </c>
      <c r="AR87" s="48">
        <f>(M87-L87)/L87</f>
        <v>-4.5801526717557252E-2</v>
      </c>
      <c r="AS87" s="48">
        <f>(T87-S87)/S87</f>
        <v>-3.6109773712084736E-2</v>
      </c>
      <c r="AT87" s="48" t="e">
        <f>(#REF!-#REF!)/#REF!</f>
        <v>#REF!</v>
      </c>
    </row>
    <row r="88" spans="1:46" x14ac:dyDescent="0.3">
      <c r="A88" s="48">
        <v>20180508</v>
      </c>
      <c r="B88" s="48" t="s">
        <v>88</v>
      </c>
      <c r="C88" s="79">
        <v>0.4</v>
      </c>
      <c r="D88" s="79">
        <f t="shared" si="21"/>
        <v>0.39691459450712541</v>
      </c>
      <c r="E88" s="49">
        <v>51900</v>
      </c>
      <c r="F88" s="49">
        <v>52600</v>
      </c>
      <c r="G88" s="49">
        <v>6419324700</v>
      </c>
      <c r="H88" s="49">
        <f t="shared" si="22"/>
        <v>0.37672562624571299</v>
      </c>
      <c r="I88" s="49">
        <f t="shared" si="33"/>
        <v>0.37672562624571299</v>
      </c>
      <c r="J88" s="48">
        <v>0.6</v>
      </c>
      <c r="K88" s="48">
        <f t="shared" si="23"/>
        <v>0.6030854054928747</v>
      </c>
      <c r="L88" s="48">
        <v>250000</v>
      </c>
      <c r="M88" s="48">
        <v>236000</v>
      </c>
      <c r="N88" s="51">
        <v>125108377</v>
      </c>
      <c r="O88" s="48">
        <f t="shared" si="24"/>
        <v>6.5461146707734796</v>
      </c>
      <c r="P88" s="48">
        <f t="shared" si="34"/>
        <v>6.5461146707734796</v>
      </c>
      <c r="Q88" s="49">
        <v>0</v>
      </c>
      <c r="R88" s="49">
        <f t="shared" si="25"/>
        <v>0</v>
      </c>
      <c r="S88" s="49">
        <v>200200</v>
      </c>
      <c r="T88" s="49">
        <v>194500</v>
      </c>
      <c r="U88" s="49">
        <v>15956260</v>
      </c>
      <c r="V88" s="49">
        <f t="shared" si="26"/>
        <v>0</v>
      </c>
      <c r="W88" s="49">
        <f t="shared" si="35"/>
        <v>0</v>
      </c>
      <c r="X88" s="48">
        <v>0</v>
      </c>
      <c r="Y88" s="48">
        <f t="shared" si="27"/>
        <v>0</v>
      </c>
      <c r="Z88" s="48">
        <v>0</v>
      </c>
      <c r="AA88" s="48">
        <v>0</v>
      </c>
      <c r="AB88" s="48">
        <v>0</v>
      </c>
      <c r="AC88" s="48">
        <f t="shared" si="28"/>
        <v>0</v>
      </c>
      <c r="AD88" s="48">
        <f t="shared" si="36"/>
        <v>0</v>
      </c>
      <c r="AE88" s="49">
        <v>0</v>
      </c>
      <c r="AF88" s="49">
        <f t="shared" si="29"/>
        <v>0</v>
      </c>
      <c r="AG88" s="49">
        <v>0</v>
      </c>
      <c r="AH88" s="49">
        <v>0</v>
      </c>
      <c r="AI88" s="49">
        <v>0</v>
      </c>
      <c r="AJ88" s="49">
        <f t="shared" si="30"/>
        <v>0</v>
      </c>
      <c r="AK88" s="49">
        <f t="shared" si="37"/>
        <v>0</v>
      </c>
      <c r="AL88" s="82">
        <f t="shared" si="38"/>
        <v>0</v>
      </c>
      <c r="AM88" s="82">
        <f t="shared" si="39"/>
        <v>308457241210348.81</v>
      </c>
      <c r="AN88" s="81">
        <f t="shared" si="31"/>
        <v>320481661169537.87</v>
      </c>
      <c r="AO88" s="80">
        <f t="shared" si="20"/>
        <v>1038.9824531659774</v>
      </c>
      <c r="AP88" s="52">
        <f t="shared" si="32"/>
        <v>-2.9591745265461246E-2</v>
      </c>
      <c r="AQ88" s="48">
        <f>(F88-E88)/E88</f>
        <v>1.348747591522158E-2</v>
      </c>
      <c r="AR88" s="48">
        <f>(M88-L88)/L88</f>
        <v>-5.6000000000000001E-2</v>
      </c>
      <c r="AS88" s="48">
        <f>(T88-S88)/S88</f>
        <v>-2.8471528471528472E-2</v>
      </c>
      <c r="AT88" s="48" t="e">
        <f>(#REF!-#REF!)/#REF!</f>
        <v>#REF!</v>
      </c>
    </row>
    <row r="89" spans="1:46" x14ac:dyDescent="0.3">
      <c r="A89" s="48">
        <v>20180509</v>
      </c>
      <c r="B89" s="48" t="s">
        <v>88</v>
      </c>
      <c r="C89" s="79">
        <v>0.4</v>
      </c>
      <c r="D89" s="79">
        <f t="shared" si="21"/>
        <v>0.36721408467857419</v>
      </c>
      <c r="E89" s="49">
        <v>52600</v>
      </c>
      <c r="F89" s="49">
        <v>50900</v>
      </c>
      <c r="G89" s="49">
        <v>6419324700</v>
      </c>
      <c r="H89" s="49">
        <f t="shared" si="22"/>
        <v>0.37672562624571299</v>
      </c>
      <c r="I89" s="49">
        <f t="shared" si="33"/>
        <v>0.37672562624571299</v>
      </c>
      <c r="J89" s="48">
        <v>0.6</v>
      </c>
      <c r="K89" s="48">
        <f t="shared" si="23"/>
        <v>0.63278591532142581</v>
      </c>
      <c r="L89" s="48">
        <v>236000</v>
      </c>
      <c r="M89" s="48">
        <v>259000</v>
      </c>
      <c r="N89" s="51">
        <v>125108377</v>
      </c>
      <c r="O89" s="48">
        <f t="shared" si="24"/>
        <v>6.5461146707734796</v>
      </c>
      <c r="P89" s="48">
        <f t="shared" si="34"/>
        <v>6.5461146707734796</v>
      </c>
      <c r="Q89" s="49">
        <v>0</v>
      </c>
      <c r="R89" s="49">
        <f t="shared" si="25"/>
        <v>0</v>
      </c>
      <c r="S89" s="49">
        <v>194500</v>
      </c>
      <c r="T89" s="49">
        <v>201900</v>
      </c>
      <c r="U89" s="49">
        <v>15956260</v>
      </c>
      <c r="V89" s="49">
        <f t="shared" si="26"/>
        <v>0</v>
      </c>
      <c r="W89" s="49">
        <f t="shared" si="35"/>
        <v>0</v>
      </c>
      <c r="X89" s="48">
        <v>0</v>
      </c>
      <c r="Y89" s="48">
        <f t="shared" si="27"/>
        <v>0</v>
      </c>
      <c r="Z89" s="48">
        <v>0</v>
      </c>
      <c r="AA89" s="48">
        <v>0</v>
      </c>
      <c r="AB89" s="48">
        <v>0</v>
      </c>
      <c r="AC89" s="48">
        <f t="shared" si="28"/>
        <v>0</v>
      </c>
      <c r="AD89" s="48">
        <f t="shared" si="36"/>
        <v>0</v>
      </c>
      <c r="AE89" s="49">
        <v>0</v>
      </c>
      <c r="AF89" s="49">
        <f t="shared" si="29"/>
        <v>0</v>
      </c>
      <c r="AG89" s="49">
        <v>0</v>
      </c>
      <c r="AH89" s="49">
        <v>0</v>
      </c>
      <c r="AI89" s="49">
        <v>0</v>
      </c>
      <c r="AJ89" s="49">
        <f t="shared" si="30"/>
        <v>0</v>
      </c>
      <c r="AK89" s="49">
        <f t="shared" si="37"/>
        <v>0</v>
      </c>
      <c r="AL89" s="82">
        <f t="shared" si="38"/>
        <v>0</v>
      </c>
      <c r="AM89" s="82">
        <f t="shared" si="39"/>
        <v>308457241210348.81</v>
      </c>
      <c r="AN89" s="81">
        <f t="shared" si="31"/>
        <v>335206907158154.62</v>
      </c>
      <c r="AO89" s="80">
        <f t="shared" si="20"/>
        <v>1086.7208234205928</v>
      </c>
      <c r="AP89" s="52">
        <f t="shared" si="32"/>
        <v>4.5947234343705651E-2</v>
      </c>
      <c r="AQ89" s="48">
        <f>(F89-E89)/E89</f>
        <v>-3.2319391634980987E-2</v>
      </c>
      <c r="AR89" s="48">
        <f>(M89-L89)/L89</f>
        <v>9.7457627118644072E-2</v>
      </c>
      <c r="AS89" s="48">
        <f>(T89-S89)/S89</f>
        <v>3.8046272493573265E-2</v>
      </c>
      <c r="AT89" s="48" t="e">
        <f>(#REF!-#REF!)/#REF!</f>
        <v>#REF!</v>
      </c>
    </row>
    <row r="90" spans="1:46" x14ac:dyDescent="0.3">
      <c r="A90" s="48">
        <v>20180510</v>
      </c>
      <c r="B90" s="48" t="s">
        <v>88</v>
      </c>
      <c r="C90" s="79">
        <v>0.4</v>
      </c>
      <c r="D90" s="79">
        <f t="shared" si="21"/>
        <v>0.37039365681832859</v>
      </c>
      <c r="E90" s="49">
        <v>50900</v>
      </c>
      <c r="F90" s="49">
        <v>51600</v>
      </c>
      <c r="G90" s="49">
        <v>6419324700</v>
      </c>
      <c r="H90" s="49">
        <f t="shared" si="22"/>
        <v>0.37672562624571299</v>
      </c>
      <c r="I90" s="49">
        <f t="shared" si="33"/>
        <v>0.37672562624571299</v>
      </c>
      <c r="J90" s="48">
        <v>0.6</v>
      </c>
      <c r="K90" s="48">
        <f t="shared" si="23"/>
        <v>0.62960634318167141</v>
      </c>
      <c r="L90" s="48">
        <v>259000</v>
      </c>
      <c r="M90" s="48">
        <v>259000</v>
      </c>
      <c r="N90" s="51">
        <v>125108377</v>
      </c>
      <c r="O90" s="48">
        <f t="shared" si="24"/>
        <v>6.5461146707734796</v>
      </c>
      <c r="P90" s="48">
        <f t="shared" si="34"/>
        <v>6.5461146707734796</v>
      </c>
      <c r="Q90" s="49">
        <v>0</v>
      </c>
      <c r="R90" s="49">
        <f t="shared" si="25"/>
        <v>0</v>
      </c>
      <c r="S90" s="49">
        <v>201900</v>
      </c>
      <c r="T90" s="49">
        <v>198600</v>
      </c>
      <c r="U90" s="49">
        <v>15956260</v>
      </c>
      <c r="V90" s="49">
        <f t="shared" si="26"/>
        <v>0</v>
      </c>
      <c r="W90" s="49">
        <f t="shared" si="35"/>
        <v>0</v>
      </c>
      <c r="X90" s="48">
        <v>0</v>
      </c>
      <c r="Y90" s="48">
        <f t="shared" si="27"/>
        <v>0</v>
      </c>
      <c r="Z90" s="48">
        <v>0</v>
      </c>
      <c r="AA90" s="48">
        <v>0</v>
      </c>
      <c r="AB90" s="48">
        <v>0</v>
      </c>
      <c r="AC90" s="48">
        <f t="shared" si="28"/>
        <v>0</v>
      </c>
      <c r="AD90" s="48">
        <f t="shared" si="36"/>
        <v>0</v>
      </c>
      <c r="AE90" s="49">
        <v>0</v>
      </c>
      <c r="AF90" s="49">
        <f t="shared" si="29"/>
        <v>0</v>
      </c>
      <c r="AG90" s="49">
        <v>0</v>
      </c>
      <c r="AH90" s="49">
        <v>0</v>
      </c>
      <c r="AI90" s="49">
        <v>0</v>
      </c>
      <c r="AJ90" s="49">
        <f t="shared" si="30"/>
        <v>0</v>
      </c>
      <c r="AK90" s="49">
        <f t="shared" si="37"/>
        <v>0</v>
      </c>
      <c r="AL90" s="82">
        <f t="shared" si="38"/>
        <v>0</v>
      </c>
      <c r="AM90" s="82">
        <f t="shared" si="39"/>
        <v>308457241210348.81</v>
      </c>
      <c r="AN90" s="81">
        <f t="shared" si="31"/>
        <v>336899734040532.06</v>
      </c>
      <c r="AO90" s="80">
        <f t="shared" si="20"/>
        <v>1092.2088673249439</v>
      </c>
      <c r="AP90" s="52">
        <f t="shared" si="32"/>
        <v>5.0500954670922712E-3</v>
      </c>
      <c r="AQ90" s="48">
        <f>(F90-E90)/E90</f>
        <v>1.37524557956778E-2</v>
      </c>
      <c r="AR90" s="48">
        <f>(M90-L90)/L90</f>
        <v>0</v>
      </c>
      <c r="AS90" s="48">
        <f>(T90-S90)/S90</f>
        <v>-1.6344725111441308E-2</v>
      </c>
      <c r="AT90" s="48" t="e">
        <f>(#REF!-#REF!)/#REF!</f>
        <v>#REF!</v>
      </c>
    </row>
    <row r="91" spans="1:46" x14ac:dyDescent="0.3">
      <c r="A91" s="48">
        <v>20180511</v>
      </c>
      <c r="B91" s="48" t="s">
        <v>88</v>
      </c>
      <c r="C91" s="79">
        <v>0.4</v>
      </c>
      <c r="D91" s="79">
        <f t="shared" si="21"/>
        <v>0.36813806135995075</v>
      </c>
      <c r="E91" s="49">
        <v>51600</v>
      </c>
      <c r="F91" s="49">
        <v>51300</v>
      </c>
      <c r="G91" s="49">
        <v>6419324700</v>
      </c>
      <c r="H91" s="49">
        <f t="shared" si="22"/>
        <v>0.37672562624571299</v>
      </c>
      <c r="I91" s="49">
        <f t="shared" si="33"/>
        <v>0.37672562624571299</v>
      </c>
      <c r="J91" s="48">
        <v>0.6</v>
      </c>
      <c r="K91" s="48">
        <f t="shared" si="23"/>
        <v>0.63186193864004925</v>
      </c>
      <c r="L91" s="48">
        <v>259000</v>
      </c>
      <c r="M91" s="48">
        <v>260000</v>
      </c>
      <c r="N91" s="51">
        <v>125108377</v>
      </c>
      <c r="O91" s="48">
        <f t="shared" si="24"/>
        <v>6.5461146707734796</v>
      </c>
      <c r="P91" s="48">
        <f t="shared" si="34"/>
        <v>6.5461146707734796</v>
      </c>
      <c r="Q91" s="49">
        <v>0</v>
      </c>
      <c r="R91" s="49">
        <f t="shared" si="25"/>
        <v>0</v>
      </c>
      <c r="S91" s="49">
        <v>198600</v>
      </c>
      <c r="T91" s="49">
        <v>198700</v>
      </c>
      <c r="U91" s="49">
        <v>15956260</v>
      </c>
      <c r="V91" s="49">
        <f t="shared" si="26"/>
        <v>0</v>
      </c>
      <c r="W91" s="49">
        <f t="shared" si="35"/>
        <v>0</v>
      </c>
      <c r="X91" s="48">
        <v>0</v>
      </c>
      <c r="Y91" s="48">
        <f t="shared" si="27"/>
        <v>0</v>
      </c>
      <c r="Z91" s="48">
        <v>0</v>
      </c>
      <c r="AA91" s="48">
        <v>0</v>
      </c>
      <c r="AB91" s="48">
        <v>0</v>
      </c>
      <c r="AC91" s="48">
        <f t="shared" si="28"/>
        <v>0</v>
      </c>
      <c r="AD91" s="48">
        <f t="shared" si="36"/>
        <v>0</v>
      </c>
      <c r="AE91" s="49">
        <v>0</v>
      </c>
      <c r="AF91" s="49">
        <f t="shared" si="29"/>
        <v>0</v>
      </c>
      <c r="AG91" s="49">
        <v>0</v>
      </c>
      <c r="AH91" s="49">
        <v>0</v>
      </c>
      <c r="AI91" s="49">
        <v>0</v>
      </c>
      <c r="AJ91" s="49">
        <f t="shared" si="30"/>
        <v>0</v>
      </c>
      <c r="AK91" s="49">
        <f t="shared" si="37"/>
        <v>0</v>
      </c>
      <c r="AL91" s="82">
        <f t="shared" si="38"/>
        <v>0</v>
      </c>
      <c r="AM91" s="82">
        <f t="shared" si="39"/>
        <v>308457241210348.81</v>
      </c>
      <c r="AN91" s="81">
        <f t="shared" si="31"/>
        <v>336993210587343.81</v>
      </c>
      <c r="AO91" s="80">
        <f t="shared" si="20"/>
        <v>1092.5119127209441</v>
      </c>
      <c r="AP91" s="52">
        <f t="shared" si="32"/>
        <v>2.7746102880712466E-4</v>
      </c>
      <c r="AQ91" s="48">
        <f>(F91-E91)/E91</f>
        <v>-5.8139534883720929E-3</v>
      </c>
      <c r="AR91" s="48">
        <f>(M91-L91)/L91</f>
        <v>3.8610038610038611E-3</v>
      </c>
      <c r="AS91" s="48">
        <f>(T91-S91)/S91</f>
        <v>5.0352467270896274E-4</v>
      </c>
      <c r="AT91" s="48" t="e">
        <f>(#REF!-#REF!)/#REF!</f>
        <v>#REF!</v>
      </c>
    </row>
    <row r="92" spans="1:46" x14ac:dyDescent="0.3">
      <c r="A92" s="48">
        <v>20180514</v>
      </c>
      <c r="B92" s="48" t="s">
        <v>88</v>
      </c>
      <c r="C92" s="79">
        <v>0.4</v>
      </c>
      <c r="D92" s="79">
        <f t="shared" si="21"/>
        <v>0.36714962844746046</v>
      </c>
      <c r="E92" s="49">
        <v>51300</v>
      </c>
      <c r="F92" s="49">
        <v>50100</v>
      </c>
      <c r="G92" s="49">
        <v>6419324700</v>
      </c>
      <c r="H92" s="49">
        <f t="shared" si="22"/>
        <v>0.37672562624571299</v>
      </c>
      <c r="I92" s="49">
        <f t="shared" si="33"/>
        <v>0.37672562624571299</v>
      </c>
      <c r="J92" s="48">
        <v>0.6</v>
      </c>
      <c r="K92" s="48">
        <f t="shared" si="23"/>
        <v>0.63285037155253965</v>
      </c>
      <c r="L92" s="48">
        <v>260000</v>
      </c>
      <c r="M92" s="48">
        <v>255000</v>
      </c>
      <c r="N92" s="51">
        <v>125108377</v>
      </c>
      <c r="O92" s="48">
        <f t="shared" si="24"/>
        <v>6.5461146707734796</v>
      </c>
      <c r="P92" s="48">
        <f t="shared" si="34"/>
        <v>6.5461146707734796</v>
      </c>
      <c r="Q92" s="49">
        <v>0</v>
      </c>
      <c r="R92" s="49">
        <f t="shared" si="25"/>
        <v>0</v>
      </c>
      <c r="S92" s="49">
        <v>198700</v>
      </c>
      <c r="T92" s="49">
        <v>187700</v>
      </c>
      <c r="U92" s="49">
        <v>15956260</v>
      </c>
      <c r="V92" s="49">
        <f t="shared" si="26"/>
        <v>0</v>
      </c>
      <c r="W92" s="49">
        <f t="shared" si="35"/>
        <v>0</v>
      </c>
      <c r="X92" s="48">
        <v>0</v>
      </c>
      <c r="Y92" s="48">
        <f t="shared" si="27"/>
        <v>0</v>
      </c>
      <c r="Z92" s="48">
        <v>0</v>
      </c>
      <c r="AA92" s="48">
        <v>0</v>
      </c>
      <c r="AB92" s="48">
        <v>0</v>
      </c>
      <c r="AC92" s="48">
        <f t="shared" si="28"/>
        <v>0</v>
      </c>
      <c r="AD92" s="48">
        <f t="shared" si="36"/>
        <v>0</v>
      </c>
      <c r="AE92" s="49">
        <v>0</v>
      </c>
      <c r="AF92" s="49">
        <f t="shared" si="29"/>
        <v>0</v>
      </c>
      <c r="AG92" s="49">
        <v>0</v>
      </c>
      <c r="AH92" s="49">
        <v>0</v>
      </c>
      <c r="AI92" s="49">
        <v>0</v>
      </c>
      <c r="AJ92" s="49">
        <f t="shared" si="30"/>
        <v>0</v>
      </c>
      <c r="AK92" s="49">
        <f t="shared" si="37"/>
        <v>0</v>
      </c>
      <c r="AL92" s="82">
        <f t="shared" si="38"/>
        <v>0</v>
      </c>
      <c r="AM92" s="82">
        <f t="shared" si="39"/>
        <v>308457241210348.81</v>
      </c>
      <c r="AN92" s="81">
        <f t="shared" si="31"/>
        <v>329996352735543.5</v>
      </c>
      <c r="AO92" s="80">
        <f t="shared" si="20"/>
        <v>1069.8285163955882</v>
      </c>
      <c r="AP92" s="52">
        <f t="shared" si="32"/>
        <v>-2.0762607767692023E-2</v>
      </c>
      <c r="AQ92" s="48">
        <f>(F92-E92)/E92</f>
        <v>-2.3391812865497075E-2</v>
      </c>
      <c r="AR92" s="48">
        <f>(M92-L92)/L92</f>
        <v>-1.9230769230769232E-2</v>
      </c>
      <c r="AS92" s="48">
        <f>(T92-S92)/S92</f>
        <v>-5.5359838953195774E-2</v>
      </c>
      <c r="AT92" s="48" t="e">
        <f>(#REF!-#REF!)/#REF!</f>
        <v>#REF!</v>
      </c>
    </row>
    <row r="93" spans="1:46" s="47" customFormat="1" x14ac:dyDescent="0.3">
      <c r="A93" s="48">
        <v>20180515</v>
      </c>
      <c r="B93" s="48" t="s">
        <v>88</v>
      </c>
      <c r="C93" s="79">
        <v>0.4</v>
      </c>
      <c r="D93" s="79">
        <f t="shared" si="21"/>
        <v>0.35153121354707817</v>
      </c>
      <c r="E93" s="49">
        <v>50100</v>
      </c>
      <c r="F93" s="49">
        <v>49200</v>
      </c>
      <c r="G93" s="49">
        <v>6419324700</v>
      </c>
      <c r="H93" s="49">
        <f t="shared" si="22"/>
        <v>0.37672562624571299</v>
      </c>
      <c r="I93" s="49">
        <f t="shared" si="33"/>
        <v>0.40707264925330899</v>
      </c>
      <c r="J93" s="48">
        <v>0.6</v>
      </c>
      <c r="K93" s="48">
        <f t="shared" si="23"/>
        <v>0.64846878645292183</v>
      </c>
      <c r="L93" s="48">
        <v>255000</v>
      </c>
      <c r="M93" s="48">
        <v>268000</v>
      </c>
      <c r="N93" s="51">
        <v>125395903</v>
      </c>
      <c r="O93" s="48">
        <f t="shared" si="24"/>
        <v>6.5461146707734796</v>
      </c>
      <c r="P93" s="48">
        <f t="shared" si="34"/>
        <v>7.0572160272718403</v>
      </c>
      <c r="Q93" s="49">
        <v>0</v>
      </c>
      <c r="R93" s="49">
        <f t="shared" si="25"/>
        <v>0</v>
      </c>
      <c r="S93" s="49">
        <v>187700</v>
      </c>
      <c r="T93" s="49">
        <v>196900</v>
      </c>
      <c r="U93" s="49">
        <v>15956260</v>
      </c>
      <c r="V93" s="49">
        <f t="shared" si="26"/>
        <v>0</v>
      </c>
      <c r="W93" s="49">
        <f t="shared" si="35"/>
        <v>0</v>
      </c>
      <c r="X93" s="48">
        <v>0</v>
      </c>
      <c r="Y93" s="48">
        <f t="shared" si="27"/>
        <v>0</v>
      </c>
      <c r="Z93" s="48">
        <v>0</v>
      </c>
      <c r="AA93" s="48">
        <v>0</v>
      </c>
      <c r="AB93" s="48">
        <v>0</v>
      </c>
      <c r="AC93" s="48">
        <f t="shared" si="28"/>
        <v>0</v>
      </c>
      <c r="AD93" s="48">
        <f t="shared" si="36"/>
        <v>0</v>
      </c>
      <c r="AE93" s="49">
        <v>0</v>
      </c>
      <c r="AF93" s="49">
        <f t="shared" si="29"/>
        <v>0</v>
      </c>
      <c r="AG93" s="49">
        <v>0</v>
      </c>
      <c r="AH93" s="49">
        <v>0</v>
      </c>
      <c r="AI93" s="49">
        <v>0</v>
      </c>
      <c r="AJ93" s="49">
        <f t="shared" si="30"/>
        <v>0</v>
      </c>
      <c r="AK93" s="49">
        <f t="shared" si="37"/>
        <v>0</v>
      </c>
      <c r="AL93" s="82">
        <f t="shared" si="38"/>
        <v>1</v>
      </c>
      <c r="AM93" s="82">
        <f t="shared" si="39"/>
        <v>333304924361493.37</v>
      </c>
      <c r="AN93" s="81">
        <f t="shared" si="31"/>
        <v>365731592069434.31</v>
      </c>
      <c r="AO93" s="80">
        <f t="shared" si="20"/>
        <v>1097.2882947050969</v>
      </c>
      <c r="AP93" s="52">
        <f t="shared" si="32"/>
        <v>2.5667457810925418E-2</v>
      </c>
      <c r="AQ93" s="48">
        <f>(F93-E93)/E93</f>
        <v>-1.7964071856287425E-2</v>
      </c>
      <c r="AR93" s="48">
        <f>(M93-L93)/L93</f>
        <v>5.0980392156862744E-2</v>
      </c>
      <c r="AS93" s="48">
        <f>(T93-S93)/S93</f>
        <v>4.9014384656366546E-2</v>
      </c>
      <c r="AT93" s="48" t="e">
        <f>(#REF!-#REF!)/#REF!</f>
        <v>#REF!</v>
      </c>
    </row>
    <row r="94" spans="1:46" x14ac:dyDescent="0.3">
      <c r="A94" s="48">
        <v>20180516</v>
      </c>
      <c r="B94" s="48" t="s">
        <v>88</v>
      </c>
      <c r="C94" s="79">
        <v>0.4</v>
      </c>
      <c r="D94" s="79">
        <f t="shared" si="21"/>
        <v>0.35410249549469686</v>
      </c>
      <c r="E94" s="49">
        <v>49200</v>
      </c>
      <c r="F94" s="49">
        <v>49850</v>
      </c>
      <c r="G94" s="49">
        <v>6419324700</v>
      </c>
      <c r="H94" s="49">
        <f t="shared" si="22"/>
        <v>0.40707264925330899</v>
      </c>
      <c r="I94" s="49">
        <f t="shared" si="33"/>
        <v>0.40707264925330899</v>
      </c>
      <c r="J94" s="48">
        <v>0.6</v>
      </c>
      <c r="K94" s="48">
        <f t="shared" si="23"/>
        <v>0.64589750450530314</v>
      </c>
      <c r="L94" s="48">
        <v>268000</v>
      </c>
      <c r="M94" s="48">
        <v>268500</v>
      </c>
      <c r="N94" s="51">
        <v>125395903</v>
      </c>
      <c r="O94" s="48">
        <f t="shared" si="24"/>
        <v>7.0572160272718403</v>
      </c>
      <c r="P94" s="48">
        <f t="shared" si="34"/>
        <v>7.0572160272718403</v>
      </c>
      <c r="Q94" s="49">
        <v>0</v>
      </c>
      <c r="R94" s="49">
        <f t="shared" si="25"/>
        <v>0</v>
      </c>
      <c r="S94" s="49">
        <v>196900</v>
      </c>
      <c r="T94" s="49">
        <v>205500</v>
      </c>
      <c r="U94" s="49">
        <v>15956260</v>
      </c>
      <c r="V94" s="49">
        <f t="shared" si="26"/>
        <v>0</v>
      </c>
      <c r="W94" s="49">
        <f t="shared" si="35"/>
        <v>0</v>
      </c>
      <c r="X94" s="48">
        <v>0</v>
      </c>
      <c r="Y94" s="48">
        <f t="shared" si="27"/>
        <v>0</v>
      </c>
      <c r="Z94" s="48">
        <v>0</v>
      </c>
      <c r="AA94" s="48">
        <v>0</v>
      </c>
      <c r="AB94" s="48">
        <v>0</v>
      </c>
      <c r="AC94" s="48">
        <f t="shared" si="28"/>
        <v>0</v>
      </c>
      <c r="AD94" s="48">
        <f t="shared" si="36"/>
        <v>0</v>
      </c>
      <c r="AE94" s="49">
        <v>0</v>
      </c>
      <c r="AF94" s="49">
        <f t="shared" si="29"/>
        <v>0</v>
      </c>
      <c r="AG94" s="49">
        <v>0</v>
      </c>
      <c r="AH94" s="49">
        <v>0</v>
      </c>
      <c r="AI94" s="49">
        <v>0</v>
      </c>
      <c r="AJ94" s="49">
        <f t="shared" si="30"/>
        <v>0</v>
      </c>
      <c r="AK94" s="49">
        <f t="shared" si="37"/>
        <v>0</v>
      </c>
      <c r="AL94" s="82">
        <f t="shared" si="38"/>
        <v>0</v>
      </c>
      <c r="AM94" s="82">
        <f t="shared" si="39"/>
        <v>333304924361493.37</v>
      </c>
      <c r="AN94" s="81">
        <f t="shared" si="31"/>
        <v>367872600540467.25</v>
      </c>
      <c r="AO94" s="80">
        <f t="shared" si="20"/>
        <v>1103.7118675794982</v>
      </c>
      <c r="AP94" s="52">
        <f t="shared" si="32"/>
        <v>5.8540430125773755E-3</v>
      </c>
      <c r="AQ94" s="48">
        <f>(F94-E94)/E94</f>
        <v>1.3211382113821139E-2</v>
      </c>
      <c r="AR94" s="48">
        <f>(M94-L94)/L94</f>
        <v>1.8656716417910447E-3</v>
      </c>
      <c r="AS94" s="48">
        <f>(T94-S94)/S94</f>
        <v>4.3676993397663788E-2</v>
      </c>
      <c r="AT94" s="48" t="e">
        <f>(#REF!-#REF!)/#REF!</f>
        <v>#REF!</v>
      </c>
    </row>
    <row r="95" spans="1:46" x14ac:dyDescent="0.3">
      <c r="A95" s="48">
        <v>20180517</v>
      </c>
      <c r="B95" s="48" t="s">
        <v>88</v>
      </c>
      <c r="C95" s="79">
        <v>0.4</v>
      </c>
      <c r="D95" s="79">
        <f t="shared" si="21"/>
        <v>0.35288286481808345</v>
      </c>
      <c r="E95" s="49">
        <v>49850</v>
      </c>
      <c r="F95" s="49">
        <v>49400</v>
      </c>
      <c r="G95" s="49">
        <v>6419324700</v>
      </c>
      <c r="H95" s="49">
        <f t="shared" si="22"/>
        <v>0.40707264925330899</v>
      </c>
      <c r="I95" s="49">
        <f t="shared" si="33"/>
        <v>0.40707264925330899</v>
      </c>
      <c r="J95" s="48">
        <v>0.6</v>
      </c>
      <c r="K95" s="48">
        <f t="shared" si="23"/>
        <v>0.64711713518191649</v>
      </c>
      <c r="L95" s="48">
        <v>268500</v>
      </c>
      <c r="M95" s="48">
        <v>267500</v>
      </c>
      <c r="N95" s="51">
        <v>125395903</v>
      </c>
      <c r="O95" s="48">
        <f t="shared" si="24"/>
        <v>7.0572160272718403</v>
      </c>
      <c r="P95" s="48">
        <f t="shared" si="34"/>
        <v>7.0572160272718403</v>
      </c>
      <c r="Q95" s="49">
        <v>0</v>
      </c>
      <c r="R95" s="49">
        <f t="shared" si="25"/>
        <v>0</v>
      </c>
      <c r="S95" s="49">
        <v>205500</v>
      </c>
      <c r="T95" s="49">
        <v>213000</v>
      </c>
      <c r="U95" s="49">
        <v>15956260</v>
      </c>
      <c r="V95" s="49">
        <f t="shared" si="26"/>
        <v>0</v>
      </c>
      <c r="W95" s="49">
        <f t="shared" si="35"/>
        <v>0</v>
      </c>
      <c r="X95" s="48">
        <v>0</v>
      </c>
      <c r="Y95" s="48">
        <f t="shared" si="27"/>
        <v>0</v>
      </c>
      <c r="Z95" s="48">
        <v>0</v>
      </c>
      <c r="AA95" s="48">
        <v>0</v>
      </c>
      <c r="AB95" s="48">
        <v>0</v>
      </c>
      <c r="AC95" s="48">
        <f t="shared" si="28"/>
        <v>0</v>
      </c>
      <c r="AD95" s="48">
        <f t="shared" si="36"/>
        <v>0</v>
      </c>
      <c r="AE95" s="49">
        <v>0</v>
      </c>
      <c r="AF95" s="49">
        <f t="shared" si="29"/>
        <v>0</v>
      </c>
      <c r="AG95" s="49">
        <v>0</v>
      </c>
      <c r="AH95" s="49">
        <v>0</v>
      </c>
      <c r="AI95" s="49">
        <v>0</v>
      </c>
      <c r="AJ95" s="49">
        <f t="shared" si="30"/>
        <v>0</v>
      </c>
      <c r="AK95" s="49">
        <f t="shared" si="37"/>
        <v>0</v>
      </c>
      <c r="AL95" s="82">
        <f t="shared" si="38"/>
        <v>0</v>
      </c>
      <c r="AM95" s="82">
        <f t="shared" si="39"/>
        <v>333304924361493.37</v>
      </c>
      <c r="AN95" s="81">
        <f t="shared" si="31"/>
        <v>365811745383640.62</v>
      </c>
      <c r="AO95" s="80">
        <f t="shared" si="20"/>
        <v>1097.5287751431215</v>
      </c>
      <c r="AP95" s="52">
        <f t="shared" si="32"/>
        <v>-5.6020892934100187E-3</v>
      </c>
      <c r="AQ95" s="48">
        <f>(F95-E95)/E95</f>
        <v>-9.0270812437311942E-3</v>
      </c>
      <c r="AR95" s="48">
        <f>(M95-L95)/L95</f>
        <v>-3.7243947858472998E-3</v>
      </c>
      <c r="AS95" s="48">
        <f>(T95-S95)/S95</f>
        <v>3.6496350364963501E-2</v>
      </c>
      <c r="AT95" s="48" t="e">
        <f>(#REF!-#REF!)/#REF!</f>
        <v>#REF!</v>
      </c>
    </row>
    <row r="96" spans="1:46" x14ac:dyDescent="0.3">
      <c r="A96" s="48">
        <v>20180518</v>
      </c>
      <c r="B96" s="48" t="s">
        <v>88</v>
      </c>
      <c r="C96" s="79">
        <v>0.4</v>
      </c>
      <c r="D96" s="79">
        <f t="shared" si="21"/>
        <v>0.35122218149577572</v>
      </c>
      <c r="E96" s="49">
        <v>49400</v>
      </c>
      <c r="F96" s="49">
        <v>49500</v>
      </c>
      <c r="G96" s="49">
        <v>6419324700</v>
      </c>
      <c r="H96" s="49">
        <f t="shared" si="22"/>
        <v>0.40707264925330899</v>
      </c>
      <c r="I96" s="49">
        <f t="shared" si="33"/>
        <v>0.40707264925330899</v>
      </c>
      <c r="J96" s="48">
        <v>0.6</v>
      </c>
      <c r="K96" s="48">
        <f t="shared" si="23"/>
        <v>0.64877781850422422</v>
      </c>
      <c r="L96" s="48">
        <v>267500</v>
      </c>
      <c r="M96" s="48">
        <v>270000</v>
      </c>
      <c r="N96" s="51">
        <v>125395903</v>
      </c>
      <c r="O96" s="48">
        <f t="shared" si="24"/>
        <v>7.0572160272718403</v>
      </c>
      <c r="P96" s="48">
        <f t="shared" si="34"/>
        <v>7.0572160272718403</v>
      </c>
      <c r="Q96" s="49">
        <v>0</v>
      </c>
      <c r="R96" s="49">
        <f t="shared" si="25"/>
        <v>0</v>
      </c>
      <c r="S96" s="49">
        <v>213000</v>
      </c>
      <c r="T96" s="49">
        <v>220100</v>
      </c>
      <c r="U96" s="49">
        <v>15956260</v>
      </c>
      <c r="V96" s="49">
        <f t="shared" si="26"/>
        <v>0</v>
      </c>
      <c r="W96" s="49">
        <f t="shared" si="35"/>
        <v>0</v>
      </c>
      <c r="X96" s="48">
        <v>0</v>
      </c>
      <c r="Y96" s="48">
        <f t="shared" si="27"/>
        <v>0</v>
      </c>
      <c r="Z96" s="48">
        <v>0</v>
      </c>
      <c r="AA96" s="48">
        <v>0</v>
      </c>
      <c r="AB96" s="48">
        <v>0</v>
      </c>
      <c r="AC96" s="48">
        <f t="shared" si="28"/>
        <v>0</v>
      </c>
      <c r="AD96" s="48">
        <f t="shared" si="36"/>
        <v>0</v>
      </c>
      <c r="AE96" s="49">
        <v>0</v>
      </c>
      <c r="AF96" s="49">
        <f t="shared" si="29"/>
        <v>0</v>
      </c>
      <c r="AG96" s="49">
        <v>0</v>
      </c>
      <c r="AH96" s="49">
        <v>0</v>
      </c>
      <c r="AI96" s="49">
        <v>0</v>
      </c>
      <c r="AJ96" s="49">
        <f t="shared" si="30"/>
        <v>0</v>
      </c>
      <c r="AK96" s="49">
        <f t="shared" si="37"/>
        <v>0</v>
      </c>
      <c r="AL96" s="82">
        <f t="shared" si="38"/>
        <v>0</v>
      </c>
      <c r="AM96" s="82">
        <f t="shared" si="39"/>
        <v>333304924361493.37</v>
      </c>
      <c r="AN96" s="81">
        <f t="shared" si="31"/>
        <v>368285423475859.81</v>
      </c>
      <c r="AO96" s="80">
        <f t="shared" si="20"/>
        <v>1104.9504419455486</v>
      </c>
      <c r="AP96" s="52">
        <f t="shared" si="32"/>
        <v>6.7621614763214884E-3</v>
      </c>
      <c r="AQ96" s="48">
        <f>(F96-E96)/E96</f>
        <v>2.0242914979757085E-3</v>
      </c>
      <c r="AR96" s="48">
        <f>(M96-L96)/L96</f>
        <v>9.3457943925233638E-3</v>
      </c>
      <c r="AS96" s="48">
        <f>(T96-S96)/S96</f>
        <v>3.3333333333333333E-2</v>
      </c>
      <c r="AT96" s="48" t="e">
        <f>(#REF!-#REF!)/#REF!</f>
        <v>#REF!</v>
      </c>
    </row>
    <row r="97" spans="1:46" x14ac:dyDescent="0.3">
      <c r="A97" s="48">
        <v>20180521</v>
      </c>
      <c r="B97" s="48" t="s">
        <v>88</v>
      </c>
      <c r="C97" s="79">
        <v>0.4</v>
      </c>
      <c r="D97" s="79">
        <f t="shared" si="21"/>
        <v>0.35351571302682083</v>
      </c>
      <c r="E97" s="49">
        <v>49500</v>
      </c>
      <c r="F97" s="49">
        <v>50000</v>
      </c>
      <c r="G97" s="49">
        <v>6419324700</v>
      </c>
      <c r="H97" s="49">
        <f t="shared" si="22"/>
        <v>0.40707264925330899</v>
      </c>
      <c r="I97" s="49">
        <f t="shared" si="33"/>
        <v>0.40707264925330899</v>
      </c>
      <c r="J97" s="48">
        <v>0.6</v>
      </c>
      <c r="K97" s="48">
        <f t="shared" si="23"/>
        <v>0.64648428697317928</v>
      </c>
      <c r="L97" s="48">
        <v>270000</v>
      </c>
      <c r="M97" s="48">
        <v>270000</v>
      </c>
      <c r="N97" s="51">
        <v>125395903</v>
      </c>
      <c r="O97" s="48">
        <f t="shared" si="24"/>
        <v>7.0572160272718403</v>
      </c>
      <c r="P97" s="48">
        <f t="shared" si="34"/>
        <v>7.0572160272718403</v>
      </c>
      <c r="Q97" s="49">
        <v>0</v>
      </c>
      <c r="R97" s="49">
        <f t="shared" si="25"/>
        <v>0</v>
      </c>
      <c r="S97" s="49">
        <v>220100</v>
      </c>
      <c r="T97" s="49">
        <v>224300</v>
      </c>
      <c r="U97" s="49">
        <v>15956260</v>
      </c>
      <c r="V97" s="49">
        <f t="shared" si="26"/>
        <v>0</v>
      </c>
      <c r="W97" s="49">
        <f t="shared" si="35"/>
        <v>0</v>
      </c>
      <c r="X97" s="48">
        <v>0</v>
      </c>
      <c r="Y97" s="48">
        <f t="shared" si="27"/>
        <v>0</v>
      </c>
      <c r="Z97" s="48">
        <v>0</v>
      </c>
      <c r="AA97" s="48">
        <v>0</v>
      </c>
      <c r="AB97" s="48">
        <v>0</v>
      </c>
      <c r="AC97" s="48">
        <f t="shared" si="28"/>
        <v>0</v>
      </c>
      <c r="AD97" s="48">
        <f t="shared" si="36"/>
        <v>0</v>
      </c>
      <c r="AE97" s="49">
        <v>0</v>
      </c>
      <c r="AF97" s="49">
        <f t="shared" si="29"/>
        <v>0</v>
      </c>
      <c r="AG97" s="49">
        <v>0</v>
      </c>
      <c r="AH97" s="49">
        <v>0</v>
      </c>
      <c r="AI97" s="49">
        <v>0</v>
      </c>
      <c r="AJ97" s="49">
        <f t="shared" si="30"/>
        <v>0</v>
      </c>
      <c r="AK97" s="49">
        <f t="shared" si="37"/>
        <v>0</v>
      </c>
      <c r="AL97" s="82">
        <f t="shared" si="38"/>
        <v>0</v>
      </c>
      <c r="AM97" s="82">
        <f t="shared" si="39"/>
        <v>333304924361493.37</v>
      </c>
      <c r="AN97" s="81">
        <f t="shared" si="31"/>
        <v>369591989231882.87</v>
      </c>
      <c r="AO97" s="80">
        <f t="shared" si="20"/>
        <v>1108.8704733057994</v>
      </c>
      <c r="AP97" s="52">
        <f t="shared" si="32"/>
        <v>3.5476988029875E-3</v>
      </c>
      <c r="AQ97" s="48">
        <f>(F97-E97)/E97</f>
        <v>1.0101010101010102E-2</v>
      </c>
      <c r="AR97" s="48">
        <f>(M97-L97)/L97</f>
        <v>0</v>
      </c>
      <c r="AS97" s="48">
        <f>(T97-S97)/S97</f>
        <v>1.9082235347569285E-2</v>
      </c>
      <c r="AT97" s="48" t="e">
        <f>(#REF!-#REF!)/#REF!</f>
        <v>#REF!</v>
      </c>
    </row>
    <row r="98" spans="1:46" x14ac:dyDescent="0.3">
      <c r="A98" s="48">
        <v>20180523</v>
      </c>
      <c r="B98" s="48" t="s">
        <v>88</v>
      </c>
      <c r="C98" s="79">
        <v>0.4</v>
      </c>
      <c r="D98" s="79">
        <f t="shared" si="21"/>
        <v>0.37265312825716768</v>
      </c>
      <c r="E98" s="49">
        <v>50000</v>
      </c>
      <c r="F98" s="49">
        <v>51800</v>
      </c>
      <c r="G98" s="49">
        <v>6419324700</v>
      </c>
      <c r="H98" s="49">
        <f t="shared" si="22"/>
        <v>0.40707264925330899</v>
      </c>
      <c r="I98" s="49">
        <f t="shared" si="33"/>
        <v>0.40707264925330899</v>
      </c>
      <c r="J98" s="48">
        <v>0.6</v>
      </c>
      <c r="K98" s="48">
        <f t="shared" si="23"/>
        <v>0.62734687174283232</v>
      </c>
      <c r="L98" s="48">
        <v>270000</v>
      </c>
      <c r="M98" s="48">
        <v>257500</v>
      </c>
      <c r="N98" s="51">
        <v>125395903</v>
      </c>
      <c r="O98" s="48">
        <f t="shared" si="24"/>
        <v>7.0572160272718403</v>
      </c>
      <c r="P98" s="48">
        <f t="shared" si="34"/>
        <v>7.0572160272718403</v>
      </c>
      <c r="Q98" s="49">
        <v>0</v>
      </c>
      <c r="R98" s="49">
        <f t="shared" si="25"/>
        <v>0</v>
      </c>
      <c r="S98" s="49">
        <v>224300</v>
      </c>
      <c r="T98" s="49">
        <v>256000</v>
      </c>
      <c r="U98" s="49">
        <v>15956260</v>
      </c>
      <c r="V98" s="49">
        <f t="shared" si="26"/>
        <v>0</v>
      </c>
      <c r="W98" s="49">
        <f t="shared" si="35"/>
        <v>0</v>
      </c>
      <c r="X98" s="48">
        <v>0</v>
      </c>
      <c r="Y98" s="48">
        <f t="shared" si="27"/>
        <v>0</v>
      </c>
      <c r="Z98" s="48">
        <v>0</v>
      </c>
      <c r="AA98" s="48">
        <v>0</v>
      </c>
      <c r="AB98" s="48">
        <v>0</v>
      </c>
      <c r="AC98" s="48">
        <f t="shared" si="28"/>
        <v>0</v>
      </c>
      <c r="AD98" s="48">
        <f t="shared" si="36"/>
        <v>0</v>
      </c>
      <c r="AE98" s="49">
        <v>0</v>
      </c>
      <c r="AF98" s="49">
        <f t="shared" si="29"/>
        <v>0</v>
      </c>
      <c r="AG98" s="49">
        <v>0</v>
      </c>
      <c r="AH98" s="49">
        <v>0</v>
      </c>
      <c r="AI98" s="49">
        <v>0</v>
      </c>
      <c r="AJ98" s="49">
        <f t="shared" si="30"/>
        <v>0</v>
      </c>
      <c r="AK98" s="49">
        <f t="shared" si="37"/>
        <v>0</v>
      </c>
      <c r="AL98" s="82">
        <f t="shared" si="38"/>
        <v>0</v>
      </c>
      <c r="AM98" s="82">
        <f t="shared" si="39"/>
        <v>333304924361493.37</v>
      </c>
      <c r="AN98" s="81">
        <f t="shared" si="31"/>
        <v>363233801248493.25</v>
      </c>
      <c r="AO98" s="80">
        <f t="shared" si="20"/>
        <v>1089.7942835508181</v>
      </c>
      <c r="AP98" s="52">
        <f t="shared" si="32"/>
        <v>-1.7203262431644231E-2</v>
      </c>
      <c r="AQ98" s="48">
        <f>(F98-E98)/E98</f>
        <v>3.5999999999999997E-2</v>
      </c>
      <c r="AR98" s="48">
        <f>(M98-L98)/L98</f>
        <v>-4.6296296296296294E-2</v>
      </c>
      <c r="AS98" s="48">
        <f>(T98-S98)/S98</f>
        <v>0.1413285777975925</v>
      </c>
      <c r="AT98" s="48" t="e">
        <f>(#REF!-#REF!)/#REF!</f>
        <v>#REF!</v>
      </c>
    </row>
    <row r="99" spans="1:46" x14ac:dyDescent="0.3">
      <c r="A99" s="48">
        <v>20180524</v>
      </c>
      <c r="B99" s="48" t="s">
        <v>88</v>
      </c>
      <c r="C99" s="79">
        <v>0.4</v>
      </c>
      <c r="D99" s="79">
        <f t="shared" si="21"/>
        <v>0.36460666632708782</v>
      </c>
      <c r="E99" s="49">
        <v>51800</v>
      </c>
      <c r="F99" s="49">
        <v>51400</v>
      </c>
      <c r="G99" s="49">
        <v>6419324700</v>
      </c>
      <c r="H99" s="49">
        <f t="shared" si="22"/>
        <v>0.40707264925330899</v>
      </c>
      <c r="I99" s="49">
        <f t="shared" si="33"/>
        <v>0.40707264925330899</v>
      </c>
      <c r="J99" s="48">
        <v>0.6</v>
      </c>
      <c r="K99" s="48">
        <f t="shared" si="23"/>
        <v>0.63539333367291218</v>
      </c>
      <c r="L99" s="48">
        <v>257500</v>
      </c>
      <c r="M99" s="48">
        <v>264500</v>
      </c>
      <c r="N99" s="51">
        <v>125395903</v>
      </c>
      <c r="O99" s="48">
        <f t="shared" si="24"/>
        <v>7.0572160272718403</v>
      </c>
      <c r="P99" s="48">
        <f t="shared" si="34"/>
        <v>7.0572160272718403</v>
      </c>
      <c r="Q99" s="49">
        <v>0</v>
      </c>
      <c r="R99" s="49">
        <f t="shared" si="25"/>
        <v>0</v>
      </c>
      <c r="S99" s="49">
        <v>256000</v>
      </c>
      <c r="T99" s="49">
        <v>255000</v>
      </c>
      <c r="U99" s="49">
        <v>15956260</v>
      </c>
      <c r="V99" s="49">
        <f t="shared" si="26"/>
        <v>0</v>
      </c>
      <c r="W99" s="49">
        <f t="shared" si="35"/>
        <v>0</v>
      </c>
      <c r="X99" s="48">
        <v>0</v>
      </c>
      <c r="Y99" s="48">
        <f t="shared" si="27"/>
        <v>0</v>
      </c>
      <c r="Z99" s="48">
        <v>0</v>
      </c>
      <c r="AA99" s="48">
        <v>0</v>
      </c>
      <c r="AB99" s="48">
        <v>0</v>
      </c>
      <c r="AC99" s="48">
        <f t="shared" si="28"/>
        <v>0</v>
      </c>
      <c r="AD99" s="48">
        <f t="shared" si="36"/>
        <v>0</v>
      </c>
      <c r="AE99" s="49">
        <v>0</v>
      </c>
      <c r="AF99" s="49">
        <f t="shared" si="29"/>
        <v>0</v>
      </c>
      <c r="AG99" s="49">
        <v>0</v>
      </c>
      <c r="AH99" s="49">
        <v>0</v>
      </c>
      <c r="AI99" s="49">
        <v>0</v>
      </c>
      <c r="AJ99" s="49">
        <f t="shared" si="30"/>
        <v>0</v>
      </c>
      <c r="AK99" s="49">
        <f t="shared" si="37"/>
        <v>0</v>
      </c>
      <c r="AL99" s="82">
        <f t="shared" si="38"/>
        <v>0</v>
      </c>
      <c r="AM99" s="82">
        <f t="shared" si="39"/>
        <v>333304924361493.37</v>
      </c>
      <c r="AN99" s="81">
        <f t="shared" si="31"/>
        <v>368383170478515.56</v>
      </c>
      <c r="AO99" s="80">
        <f t="shared" si="20"/>
        <v>1105.2437079476729</v>
      </c>
      <c r="AP99" s="52">
        <f t="shared" si="32"/>
        <v>1.4176459383248652E-2</v>
      </c>
      <c r="AQ99" s="48">
        <f>(F99-E99)/E99</f>
        <v>-7.7220077220077222E-3</v>
      </c>
      <c r="AR99" s="48">
        <f>(M99-L99)/L99</f>
        <v>2.7184466019417475E-2</v>
      </c>
      <c r="AS99" s="48">
        <f>(T99-S99)/S99</f>
        <v>-3.90625E-3</v>
      </c>
      <c r="AT99" s="48" t="e">
        <f>(#REF!-#REF!)/#REF!</f>
        <v>#REF!</v>
      </c>
    </row>
    <row r="100" spans="1:46" x14ac:dyDescent="0.3">
      <c r="A100" s="48">
        <v>20180525</v>
      </c>
      <c r="B100" s="48" t="s">
        <v>88</v>
      </c>
      <c r="C100" s="79">
        <v>0.4</v>
      </c>
      <c r="D100" s="79">
        <f t="shared" si="21"/>
        <v>0.36138044184209184</v>
      </c>
      <c r="E100" s="49">
        <v>51400</v>
      </c>
      <c r="F100" s="49">
        <v>52700</v>
      </c>
      <c r="G100" s="49">
        <v>6419324700</v>
      </c>
      <c r="H100" s="49">
        <f t="shared" si="22"/>
        <v>0.40707264925330899</v>
      </c>
      <c r="I100" s="49">
        <f t="shared" si="33"/>
        <v>0.40707264925330899</v>
      </c>
      <c r="J100" s="48">
        <v>0.6</v>
      </c>
      <c r="K100" s="48">
        <f t="shared" si="23"/>
        <v>0.63861955815790827</v>
      </c>
      <c r="L100" s="48">
        <v>264500</v>
      </c>
      <c r="M100" s="48">
        <v>275000</v>
      </c>
      <c r="N100" s="51">
        <v>125395903</v>
      </c>
      <c r="O100" s="48">
        <f t="shared" si="24"/>
        <v>7.0572160272718403</v>
      </c>
      <c r="P100" s="48">
        <f t="shared" si="34"/>
        <v>7.0572160272718403</v>
      </c>
      <c r="Q100" s="49">
        <v>0</v>
      </c>
      <c r="R100" s="49">
        <f t="shared" si="25"/>
        <v>0</v>
      </c>
      <c r="S100" s="49">
        <v>255000</v>
      </c>
      <c r="T100" s="49">
        <v>259800</v>
      </c>
      <c r="U100" s="49">
        <v>15956260</v>
      </c>
      <c r="V100" s="49">
        <f t="shared" si="26"/>
        <v>0</v>
      </c>
      <c r="W100" s="49">
        <f t="shared" si="35"/>
        <v>0</v>
      </c>
      <c r="X100" s="48">
        <v>0</v>
      </c>
      <c r="Y100" s="48">
        <f t="shared" si="27"/>
        <v>0</v>
      </c>
      <c r="Z100" s="48">
        <v>0</v>
      </c>
      <c r="AA100" s="48">
        <v>0</v>
      </c>
      <c r="AB100" s="48">
        <v>0</v>
      </c>
      <c r="AC100" s="48">
        <f t="shared" si="28"/>
        <v>0</v>
      </c>
      <c r="AD100" s="48">
        <f t="shared" si="36"/>
        <v>0</v>
      </c>
      <c r="AE100" s="49">
        <v>0</v>
      </c>
      <c r="AF100" s="49">
        <f t="shared" si="29"/>
        <v>0</v>
      </c>
      <c r="AG100" s="49">
        <v>0</v>
      </c>
      <c r="AH100" s="49">
        <v>0</v>
      </c>
      <c r="AI100" s="49">
        <v>0</v>
      </c>
      <c r="AJ100" s="49">
        <f t="shared" si="30"/>
        <v>0</v>
      </c>
      <c r="AK100" s="49">
        <f t="shared" si="37"/>
        <v>0</v>
      </c>
      <c r="AL100" s="82">
        <f t="shared" si="38"/>
        <v>0</v>
      </c>
      <c r="AM100" s="82">
        <f t="shared" si="39"/>
        <v>333304924361493.37</v>
      </c>
      <c r="AN100" s="81">
        <f t="shared" si="31"/>
        <v>381072174196436.75</v>
      </c>
      <c r="AO100" s="80">
        <f t="shared" si="20"/>
        <v>1143.3139637119084</v>
      </c>
      <c r="AP100" s="52">
        <f t="shared" si="32"/>
        <v>3.4445123270530252E-2</v>
      </c>
      <c r="AQ100" s="48">
        <f>(F100-E100)/E100</f>
        <v>2.5291828793774319E-2</v>
      </c>
      <c r="AR100" s="48">
        <f>(M100-L100)/L100</f>
        <v>3.9697542533081283E-2</v>
      </c>
      <c r="AS100" s="48">
        <f>(T100-S100)/S100</f>
        <v>1.8823529411764704E-2</v>
      </c>
      <c r="AT100" s="48" t="e">
        <f>(#REF!-#REF!)/#REF!</f>
        <v>#REF!</v>
      </c>
    </row>
    <row r="101" spans="1:46" x14ac:dyDescent="0.3">
      <c r="A101" s="48">
        <v>20180528</v>
      </c>
      <c r="B101" s="48" t="s">
        <v>88</v>
      </c>
      <c r="C101" s="79">
        <v>0.4</v>
      </c>
      <c r="D101" s="79">
        <f t="shared" si="21"/>
        <v>0.3630051717570279</v>
      </c>
      <c r="E101" s="49">
        <v>52700</v>
      </c>
      <c r="F101" s="49">
        <v>52300</v>
      </c>
      <c r="G101" s="49">
        <v>6419324700</v>
      </c>
      <c r="H101" s="49">
        <f t="shared" si="22"/>
        <v>0.40707264925330899</v>
      </c>
      <c r="I101" s="49">
        <f t="shared" si="33"/>
        <v>0.40707264925330899</v>
      </c>
      <c r="J101" s="48">
        <v>0.6</v>
      </c>
      <c r="K101" s="48">
        <f t="shared" si="23"/>
        <v>0.63699482824297216</v>
      </c>
      <c r="L101" s="48">
        <v>275000</v>
      </c>
      <c r="M101" s="48">
        <v>271000</v>
      </c>
      <c r="N101" s="51">
        <v>125395903</v>
      </c>
      <c r="O101" s="48">
        <f t="shared" si="24"/>
        <v>7.0572160272718403</v>
      </c>
      <c r="P101" s="48">
        <f t="shared" si="34"/>
        <v>7.0572160272718403</v>
      </c>
      <c r="Q101" s="49">
        <v>0</v>
      </c>
      <c r="R101" s="49">
        <f t="shared" si="25"/>
        <v>0</v>
      </c>
      <c r="S101" s="49">
        <v>259800</v>
      </c>
      <c r="T101" s="49">
        <v>261000</v>
      </c>
      <c r="U101" s="49">
        <v>15956260</v>
      </c>
      <c r="V101" s="49">
        <f t="shared" si="26"/>
        <v>0</v>
      </c>
      <c r="W101" s="49">
        <f t="shared" si="35"/>
        <v>0</v>
      </c>
      <c r="X101" s="48">
        <v>0</v>
      </c>
      <c r="Y101" s="48">
        <f t="shared" si="27"/>
        <v>0</v>
      </c>
      <c r="Z101" s="48">
        <v>0</v>
      </c>
      <c r="AA101" s="48">
        <v>0</v>
      </c>
      <c r="AB101" s="48">
        <v>0</v>
      </c>
      <c r="AC101" s="48">
        <f t="shared" si="28"/>
        <v>0</v>
      </c>
      <c r="AD101" s="48">
        <f t="shared" si="36"/>
        <v>0</v>
      </c>
      <c r="AE101" s="49">
        <v>0</v>
      </c>
      <c r="AF101" s="49">
        <f t="shared" si="29"/>
        <v>0</v>
      </c>
      <c r="AG101" s="49">
        <v>0</v>
      </c>
      <c r="AH101" s="49">
        <v>0</v>
      </c>
      <c r="AI101" s="49">
        <v>0</v>
      </c>
      <c r="AJ101" s="49">
        <f t="shared" si="30"/>
        <v>0</v>
      </c>
      <c r="AK101" s="49">
        <f t="shared" si="37"/>
        <v>0</v>
      </c>
      <c r="AL101" s="82">
        <f t="shared" si="38"/>
        <v>0</v>
      </c>
      <c r="AM101" s="82">
        <f t="shared" si="39"/>
        <v>333304924361493.37</v>
      </c>
      <c r="AN101" s="81">
        <f t="shared" si="31"/>
        <v>376487137685995</v>
      </c>
      <c r="AO101" s="80">
        <f t="shared" si="20"/>
        <v>1129.5576817751046</v>
      </c>
      <c r="AP101" s="52">
        <f t="shared" si="32"/>
        <v>-1.2031937309802784E-2</v>
      </c>
      <c r="AQ101" s="48">
        <f>(F101-E101)/E101</f>
        <v>-7.5901328273244783E-3</v>
      </c>
      <c r="AR101" s="48">
        <f>(M101-L101)/L101</f>
        <v>-1.4545454545454545E-2</v>
      </c>
      <c r="AS101" s="48">
        <f>(T101-S101)/S101</f>
        <v>4.6189376443418013E-3</v>
      </c>
      <c r="AT101" s="48" t="e">
        <f>(#REF!-#REF!)/#REF!</f>
        <v>#REF!</v>
      </c>
    </row>
    <row r="102" spans="1:46" x14ac:dyDescent="0.3">
      <c r="A102" s="48">
        <v>20180529</v>
      </c>
      <c r="B102" s="48" t="s">
        <v>88</v>
      </c>
      <c r="C102" s="79">
        <v>0.4</v>
      </c>
      <c r="D102" s="79">
        <f t="shared" si="21"/>
        <v>0.35897784374114855</v>
      </c>
      <c r="E102" s="49">
        <v>52300</v>
      </c>
      <c r="F102" s="49">
        <v>51300</v>
      </c>
      <c r="G102" s="49">
        <v>6419324700</v>
      </c>
      <c r="H102" s="49">
        <f t="shared" si="22"/>
        <v>0.40707264925330899</v>
      </c>
      <c r="I102" s="49">
        <f t="shared" si="33"/>
        <v>0.40707264925330899</v>
      </c>
      <c r="J102" s="48">
        <v>0.6</v>
      </c>
      <c r="K102" s="48">
        <f t="shared" si="23"/>
        <v>0.64102215625885151</v>
      </c>
      <c r="L102" s="48">
        <v>271000</v>
      </c>
      <c r="M102" s="48">
        <v>270500</v>
      </c>
      <c r="N102" s="51">
        <v>125395903</v>
      </c>
      <c r="O102" s="48">
        <f t="shared" si="24"/>
        <v>7.0572160272718403</v>
      </c>
      <c r="P102" s="48">
        <f t="shared" si="34"/>
        <v>7.0572160272718403</v>
      </c>
      <c r="Q102" s="49">
        <v>0</v>
      </c>
      <c r="R102" s="49">
        <f t="shared" si="25"/>
        <v>0</v>
      </c>
      <c r="S102" s="49">
        <v>261000</v>
      </c>
      <c r="T102" s="49">
        <v>249000</v>
      </c>
      <c r="U102" s="49">
        <v>15956260</v>
      </c>
      <c r="V102" s="49">
        <f t="shared" si="26"/>
        <v>0</v>
      </c>
      <c r="W102" s="49">
        <f t="shared" si="35"/>
        <v>0</v>
      </c>
      <c r="X102" s="48">
        <v>0</v>
      </c>
      <c r="Y102" s="48">
        <f t="shared" si="27"/>
        <v>0</v>
      </c>
      <c r="Z102" s="48">
        <v>0</v>
      </c>
      <c r="AA102" s="48">
        <v>0</v>
      </c>
      <c r="AB102" s="48">
        <v>0</v>
      </c>
      <c r="AC102" s="48">
        <f t="shared" si="28"/>
        <v>0</v>
      </c>
      <c r="AD102" s="48">
        <f t="shared" si="36"/>
        <v>0</v>
      </c>
      <c r="AE102" s="49">
        <v>0</v>
      </c>
      <c r="AF102" s="49">
        <f t="shared" si="29"/>
        <v>0</v>
      </c>
      <c r="AG102" s="49">
        <v>0</v>
      </c>
      <c r="AH102" s="49">
        <v>0</v>
      </c>
      <c r="AI102" s="49">
        <v>0</v>
      </c>
      <c r="AJ102" s="49">
        <f t="shared" si="30"/>
        <v>0</v>
      </c>
      <c r="AK102" s="49">
        <f t="shared" si="37"/>
        <v>0</v>
      </c>
      <c r="AL102" s="82">
        <f t="shared" si="38"/>
        <v>0</v>
      </c>
      <c r="AM102" s="82">
        <f t="shared" si="39"/>
        <v>333304924361493.37</v>
      </c>
      <c r="AN102" s="81">
        <f t="shared" si="31"/>
        <v>373431533185745.87</v>
      </c>
      <c r="AO102" s="80">
        <f t="shared" si="20"/>
        <v>1120.3900869485274</v>
      </c>
      <c r="AP102" s="52">
        <f t="shared" si="32"/>
        <v>-8.1160926745859514E-3</v>
      </c>
      <c r="AQ102" s="48">
        <f>(F102-E102)/E102</f>
        <v>-1.9120458891013385E-2</v>
      </c>
      <c r="AR102" s="48">
        <f>(M102-L102)/L102</f>
        <v>-1.8450184501845018E-3</v>
      </c>
      <c r="AS102" s="48">
        <f>(T102-S102)/S102</f>
        <v>-4.5977011494252873E-2</v>
      </c>
      <c r="AT102" s="48" t="e">
        <f>(#REF!-#REF!)/#REF!</f>
        <v>#REF!</v>
      </c>
    </row>
    <row r="103" spans="1:46" x14ac:dyDescent="0.3">
      <c r="A103" s="48">
        <v>20180530</v>
      </c>
      <c r="B103" s="48" t="s">
        <v>88</v>
      </c>
      <c r="C103" s="79">
        <v>0.4</v>
      </c>
      <c r="D103" s="79">
        <f t="shared" si="21"/>
        <v>0.35164466160029739</v>
      </c>
      <c r="E103" s="49">
        <v>51300</v>
      </c>
      <c r="F103" s="49">
        <v>49500</v>
      </c>
      <c r="G103" s="49">
        <v>6419324700</v>
      </c>
      <c r="H103" s="49">
        <f t="shared" si="22"/>
        <v>0.40707264925330899</v>
      </c>
      <c r="I103" s="49">
        <f t="shared" si="33"/>
        <v>0.40707264925330899</v>
      </c>
      <c r="J103" s="48">
        <v>0.6</v>
      </c>
      <c r="K103" s="48">
        <f t="shared" si="23"/>
        <v>0.64835533839970261</v>
      </c>
      <c r="L103" s="48">
        <v>270500</v>
      </c>
      <c r="M103" s="48">
        <v>269500</v>
      </c>
      <c r="N103" s="51">
        <v>125395903</v>
      </c>
      <c r="O103" s="48">
        <f t="shared" si="24"/>
        <v>7.0572160272718403</v>
      </c>
      <c r="P103" s="48">
        <f t="shared" si="34"/>
        <v>7.0572160272718403</v>
      </c>
      <c r="Q103" s="49">
        <v>0</v>
      </c>
      <c r="R103" s="49">
        <f t="shared" si="25"/>
        <v>0</v>
      </c>
      <c r="S103" s="49">
        <v>249000</v>
      </c>
      <c r="T103" s="49">
        <v>261400</v>
      </c>
      <c r="U103" s="49">
        <v>15956260</v>
      </c>
      <c r="V103" s="49">
        <f t="shared" si="26"/>
        <v>0</v>
      </c>
      <c r="W103" s="49">
        <f t="shared" si="35"/>
        <v>0</v>
      </c>
      <c r="X103" s="48">
        <v>0</v>
      </c>
      <c r="Y103" s="48">
        <f t="shared" si="27"/>
        <v>0</v>
      </c>
      <c r="Z103" s="48">
        <v>0</v>
      </c>
      <c r="AA103" s="48">
        <v>0</v>
      </c>
      <c r="AB103" s="48">
        <v>0</v>
      </c>
      <c r="AC103" s="48">
        <f t="shared" si="28"/>
        <v>0</v>
      </c>
      <c r="AD103" s="48">
        <f t="shared" si="36"/>
        <v>0</v>
      </c>
      <c r="AE103" s="49">
        <v>0</v>
      </c>
      <c r="AF103" s="49">
        <f t="shared" si="29"/>
        <v>0</v>
      </c>
      <c r="AG103" s="49">
        <v>0</v>
      </c>
      <c r="AH103" s="49">
        <v>0</v>
      </c>
      <c r="AI103" s="49">
        <v>0</v>
      </c>
      <c r="AJ103" s="49">
        <f t="shared" si="30"/>
        <v>0</v>
      </c>
      <c r="AK103" s="49">
        <f t="shared" si="37"/>
        <v>0</v>
      </c>
      <c r="AL103" s="82">
        <f t="shared" si="38"/>
        <v>0</v>
      </c>
      <c r="AM103" s="82">
        <f t="shared" si="39"/>
        <v>333304924361493.37</v>
      </c>
      <c r="AN103" s="81">
        <f t="shared" si="31"/>
        <v>367842950487656.87</v>
      </c>
      <c r="AO103" s="80">
        <f t="shared" si="20"/>
        <v>1103.6229098394733</v>
      </c>
      <c r="AP103" s="52">
        <f t="shared" si="32"/>
        <v>-1.4965481491112442E-2</v>
      </c>
      <c r="AQ103" s="48">
        <f>(F103-E103)/E103</f>
        <v>-3.5087719298245612E-2</v>
      </c>
      <c r="AR103" s="48">
        <f>(M103-L103)/L103</f>
        <v>-3.6968576709796672E-3</v>
      </c>
      <c r="AS103" s="48">
        <f>(T103-S103)/S103</f>
        <v>4.9799196787148593E-2</v>
      </c>
      <c r="AT103" s="48" t="e">
        <f>(#REF!-#REF!)/#REF!</f>
        <v>#REF!</v>
      </c>
    </row>
    <row r="104" spans="1:46" x14ac:dyDescent="0.3">
      <c r="A104" s="48">
        <v>20180531</v>
      </c>
      <c r="B104" s="48" t="s">
        <v>88</v>
      </c>
      <c r="C104" s="79">
        <v>0.4</v>
      </c>
      <c r="D104" s="79">
        <f t="shared" si="21"/>
        <v>0.36056541336318043</v>
      </c>
      <c r="E104" s="49">
        <v>49500</v>
      </c>
      <c r="F104" s="49">
        <v>50700</v>
      </c>
      <c r="G104" s="49">
        <v>6419324700</v>
      </c>
      <c r="H104" s="49">
        <f t="shared" si="22"/>
        <v>0.40707264925330899</v>
      </c>
      <c r="I104" s="49">
        <f t="shared" si="33"/>
        <v>0.40707264925330899</v>
      </c>
      <c r="J104" s="48">
        <v>0.6</v>
      </c>
      <c r="K104" s="48">
        <f t="shared" si="23"/>
        <v>0.63943458663681951</v>
      </c>
      <c r="L104" s="48">
        <v>269500</v>
      </c>
      <c r="M104" s="48">
        <v>265500</v>
      </c>
      <c r="N104" s="51">
        <v>125395903</v>
      </c>
      <c r="O104" s="48">
        <f t="shared" si="24"/>
        <v>7.0572160272718403</v>
      </c>
      <c r="P104" s="48">
        <f t="shared" si="34"/>
        <v>7.0572160272718403</v>
      </c>
      <c r="Q104" s="49">
        <v>0</v>
      </c>
      <c r="R104" s="49">
        <f t="shared" si="25"/>
        <v>0</v>
      </c>
      <c r="S104" s="49">
        <v>261400</v>
      </c>
      <c r="T104" s="49">
        <v>265000</v>
      </c>
      <c r="U104" s="49">
        <v>15956260</v>
      </c>
      <c r="V104" s="49">
        <f t="shared" si="26"/>
        <v>0</v>
      </c>
      <c r="W104" s="49">
        <f t="shared" si="35"/>
        <v>0</v>
      </c>
      <c r="X104" s="48">
        <v>0</v>
      </c>
      <c r="Y104" s="48">
        <f t="shared" si="27"/>
        <v>0</v>
      </c>
      <c r="Z104" s="48">
        <v>0</v>
      </c>
      <c r="AA104" s="48">
        <v>0</v>
      </c>
      <c r="AB104" s="48">
        <v>0</v>
      </c>
      <c r="AC104" s="48">
        <f t="shared" si="28"/>
        <v>0</v>
      </c>
      <c r="AD104" s="48">
        <f t="shared" si="36"/>
        <v>0</v>
      </c>
      <c r="AE104" s="49">
        <v>0</v>
      </c>
      <c r="AF104" s="49">
        <f t="shared" si="29"/>
        <v>0</v>
      </c>
      <c r="AG104" s="49">
        <v>0</v>
      </c>
      <c r="AH104" s="49">
        <v>0</v>
      </c>
      <c r="AI104" s="49">
        <v>0</v>
      </c>
      <c r="AJ104" s="49">
        <f t="shared" si="30"/>
        <v>0</v>
      </c>
      <c r="AK104" s="49">
        <f t="shared" si="37"/>
        <v>0</v>
      </c>
      <c r="AL104" s="82">
        <f t="shared" si="38"/>
        <v>0</v>
      </c>
      <c r="AM104" s="82">
        <f t="shared" si="39"/>
        <v>333304924361493.37</v>
      </c>
      <c r="AN104" s="81">
        <f t="shared" si="31"/>
        <v>367438924396489.06</v>
      </c>
      <c r="AO104" s="80">
        <f t="shared" si="20"/>
        <v>1102.4107282554726</v>
      </c>
      <c r="AP104" s="52">
        <f t="shared" si="32"/>
        <v>-1.0983657308972162E-3</v>
      </c>
      <c r="AQ104" s="48">
        <f>(F104-E104)/E104</f>
        <v>2.4242424242424242E-2</v>
      </c>
      <c r="AR104" s="48">
        <f>(M104-L104)/L104</f>
        <v>-1.4842300556586271E-2</v>
      </c>
      <c r="AS104" s="48">
        <f>(T104-S104)/S104</f>
        <v>1.3771996939556235E-2</v>
      </c>
      <c r="AT104" s="48" t="e">
        <f>(#REF!-#REF!)/#REF!</f>
        <v>#REF!</v>
      </c>
    </row>
    <row r="105" spans="1:46" x14ac:dyDescent="0.3">
      <c r="A105" s="48">
        <v>20180601</v>
      </c>
      <c r="B105" s="48" t="s">
        <v>88</v>
      </c>
      <c r="C105" s="79">
        <v>0.4</v>
      </c>
      <c r="D105" s="79">
        <f t="shared" si="21"/>
        <v>0.35644377691897866</v>
      </c>
      <c r="E105" s="49">
        <v>50700</v>
      </c>
      <c r="F105" s="49">
        <v>51300</v>
      </c>
      <c r="G105" s="49">
        <v>6419324700</v>
      </c>
      <c r="H105" s="49">
        <f t="shared" si="22"/>
        <v>0.40707264925330899</v>
      </c>
      <c r="I105" s="49">
        <f t="shared" si="33"/>
        <v>0.40707264925330899</v>
      </c>
      <c r="J105" s="48">
        <v>0.6</v>
      </c>
      <c r="K105" s="48">
        <f t="shared" si="23"/>
        <v>0.64355622308102134</v>
      </c>
      <c r="L105" s="48">
        <v>265500</v>
      </c>
      <c r="M105" s="48">
        <v>273500</v>
      </c>
      <c r="N105" s="51">
        <v>125395903</v>
      </c>
      <c r="O105" s="48">
        <f t="shared" si="24"/>
        <v>7.0572160272718403</v>
      </c>
      <c r="P105" s="48">
        <f t="shared" si="34"/>
        <v>7.0572160272718403</v>
      </c>
      <c r="Q105" s="49">
        <v>0</v>
      </c>
      <c r="R105" s="49">
        <f t="shared" si="25"/>
        <v>0</v>
      </c>
      <c r="S105" s="49">
        <v>265000</v>
      </c>
      <c r="T105" s="49">
        <v>263500</v>
      </c>
      <c r="U105" s="49">
        <v>15956260</v>
      </c>
      <c r="V105" s="49">
        <f t="shared" si="26"/>
        <v>0</v>
      </c>
      <c r="W105" s="49">
        <f t="shared" si="35"/>
        <v>0</v>
      </c>
      <c r="X105" s="48">
        <v>0</v>
      </c>
      <c r="Y105" s="48">
        <f t="shared" si="27"/>
        <v>0</v>
      </c>
      <c r="Z105" s="48">
        <v>0</v>
      </c>
      <c r="AA105" s="48">
        <v>0</v>
      </c>
      <c r="AB105" s="48">
        <v>0</v>
      </c>
      <c r="AC105" s="48">
        <f t="shared" si="28"/>
        <v>0</v>
      </c>
      <c r="AD105" s="48">
        <f t="shared" si="36"/>
        <v>0</v>
      </c>
      <c r="AE105" s="49">
        <v>0</v>
      </c>
      <c r="AF105" s="49">
        <f t="shared" si="29"/>
        <v>0</v>
      </c>
      <c r="AG105" s="49">
        <v>0</v>
      </c>
      <c r="AH105" s="49">
        <v>0</v>
      </c>
      <c r="AI105" s="49">
        <v>0</v>
      </c>
      <c r="AJ105" s="49">
        <f t="shared" si="30"/>
        <v>0</v>
      </c>
      <c r="AK105" s="49">
        <f t="shared" si="37"/>
        <v>0</v>
      </c>
      <c r="AL105" s="82">
        <f t="shared" si="38"/>
        <v>0</v>
      </c>
      <c r="AM105" s="82">
        <f t="shared" si="39"/>
        <v>333304924361493.37</v>
      </c>
      <c r="AN105" s="81">
        <f t="shared" si="31"/>
        <v>376086371114963.37</v>
      </c>
      <c r="AO105" s="80">
        <f t="shared" si="20"/>
        <v>1128.3552795849796</v>
      </c>
      <c r="AP105" s="52">
        <f t="shared" si="32"/>
        <v>2.3534378489370646E-2</v>
      </c>
      <c r="AQ105" s="48">
        <f>(F105-E105)/E105</f>
        <v>1.1834319526627219E-2</v>
      </c>
      <c r="AR105" s="48">
        <f>(M105-L105)/L105</f>
        <v>3.0131826741996232E-2</v>
      </c>
      <c r="AS105" s="48">
        <f>(T105-S105)/S105</f>
        <v>-5.6603773584905656E-3</v>
      </c>
      <c r="AT105" s="48" t="e">
        <f>(#REF!-#REF!)/#REF!</f>
        <v>#REF!</v>
      </c>
    </row>
    <row r="106" spans="1:46" x14ac:dyDescent="0.3">
      <c r="A106" s="48">
        <v>20180604</v>
      </c>
      <c r="B106" s="48" t="s">
        <v>88</v>
      </c>
      <c r="C106" s="79">
        <v>0.4</v>
      </c>
      <c r="D106" s="79">
        <f t="shared" si="21"/>
        <v>0.36151105211254442</v>
      </c>
      <c r="E106" s="49">
        <v>51300</v>
      </c>
      <c r="F106" s="49">
        <v>51100</v>
      </c>
      <c r="G106" s="49">
        <v>6419324700</v>
      </c>
      <c r="H106" s="49">
        <f t="shared" si="22"/>
        <v>0.40707264925330899</v>
      </c>
      <c r="I106" s="49">
        <f t="shared" si="33"/>
        <v>0.40707264925330899</v>
      </c>
      <c r="J106" s="48">
        <v>0.6</v>
      </c>
      <c r="K106" s="48">
        <f t="shared" si="23"/>
        <v>0.63848894788745547</v>
      </c>
      <c r="L106" s="48">
        <v>273500</v>
      </c>
      <c r="M106" s="48">
        <v>266500</v>
      </c>
      <c r="N106" s="51">
        <v>125395903</v>
      </c>
      <c r="O106" s="48">
        <f t="shared" si="24"/>
        <v>7.0572160272718403</v>
      </c>
      <c r="P106" s="48">
        <f t="shared" si="34"/>
        <v>7.0572160272718403</v>
      </c>
      <c r="Q106" s="49">
        <v>0</v>
      </c>
      <c r="R106" s="49">
        <f t="shared" si="25"/>
        <v>0</v>
      </c>
      <c r="S106" s="49">
        <v>263500</v>
      </c>
      <c r="T106" s="49">
        <v>253000</v>
      </c>
      <c r="U106" s="49">
        <v>15956260</v>
      </c>
      <c r="V106" s="49">
        <f t="shared" si="26"/>
        <v>0</v>
      </c>
      <c r="W106" s="49">
        <f t="shared" si="35"/>
        <v>0</v>
      </c>
      <c r="X106" s="48">
        <v>0</v>
      </c>
      <c r="Y106" s="48">
        <f t="shared" si="27"/>
        <v>0</v>
      </c>
      <c r="Z106" s="48">
        <v>0</v>
      </c>
      <c r="AA106" s="48">
        <v>0</v>
      </c>
      <c r="AB106" s="48">
        <v>0</v>
      </c>
      <c r="AC106" s="48">
        <f t="shared" si="28"/>
        <v>0</v>
      </c>
      <c r="AD106" s="48">
        <f t="shared" si="36"/>
        <v>0</v>
      </c>
      <c r="AE106" s="49">
        <v>0</v>
      </c>
      <c r="AF106" s="49">
        <f t="shared" si="29"/>
        <v>0</v>
      </c>
      <c r="AG106" s="49">
        <v>0</v>
      </c>
      <c r="AH106" s="49">
        <v>0</v>
      </c>
      <c r="AI106" s="49">
        <v>0</v>
      </c>
      <c r="AJ106" s="49">
        <f t="shared" si="30"/>
        <v>0</v>
      </c>
      <c r="AK106" s="49">
        <f t="shared" si="37"/>
        <v>0</v>
      </c>
      <c r="AL106" s="82">
        <f t="shared" si="38"/>
        <v>0</v>
      </c>
      <c r="AM106" s="82">
        <f t="shared" si="39"/>
        <v>333304924361493.37</v>
      </c>
      <c r="AN106" s="81">
        <f t="shared" si="31"/>
        <v>369369122977713.37</v>
      </c>
      <c r="AO106" s="80">
        <f t="shared" si="20"/>
        <v>1108.2018175558239</v>
      </c>
      <c r="AP106" s="52">
        <f t="shared" si="32"/>
        <v>-1.7860918802602942E-2</v>
      </c>
      <c r="AQ106" s="48">
        <f>(F106-E106)/E106</f>
        <v>-3.8986354775828458E-3</v>
      </c>
      <c r="AR106" s="48">
        <f>(M106-L106)/L106</f>
        <v>-2.5594149908592323E-2</v>
      </c>
      <c r="AS106" s="48">
        <f>(T106-S106)/S106</f>
        <v>-3.9848197343453511E-2</v>
      </c>
      <c r="AT106" s="48" t="e">
        <f>(#REF!-#REF!)/#REF!</f>
        <v>#REF!</v>
      </c>
    </row>
    <row r="107" spans="1:46" x14ac:dyDescent="0.3">
      <c r="A107" s="48">
        <v>20180605</v>
      </c>
      <c r="B107" s="48" t="s">
        <v>88</v>
      </c>
      <c r="C107" s="79">
        <v>0.4</v>
      </c>
      <c r="D107" s="79">
        <f t="shared" si="21"/>
        <v>0.36198017495353618</v>
      </c>
      <c r="E107" s="49">
        <v>51100</v>
      </c>
      <c r="F107" s="49">
        <v>51300</v>
      </c>
      <c r="G107" s="49">
        <v>6419324700</v>
      </c>
      <c r="H107" s="49">
        <f t="shared" si="22"/>
        <v>0.40707264925330899</v>
      </c>
      <c r="I107" s="49">
        <f t="shared" si="33"/>
        <v>0.40707264925330899</v>
      </c>
      <c r="J107" s="48">
        <v>0.6</v>
      </c>
      <c r="K107" s="48">
        <f t="shared" si="23"/>
        <v>0.63801982504646382</v>
      </c>
      <c r="L107" s="48">
        <v>266500</v>
      </c>
      <c r="M107" s="48">
        <v>267000</v>
      </c>
      <c r="N107" s="51">
        <v>125395903</v>
      </c>
      <c r="O107" s="48">
        <f t="shared" si="24"/>
        <v>7.0572160272718403</v>
      </c>
      <c r="P107" s="48">
        <f t="shared" si="34"/>
        <v>7.0572160272718403</v>
      </c>
      <c r="Q107" s="49">
        <v>0</v>
      </c>
      <c r="R107" s="49">
        <f t="shared" si="25"/>
        <v>0</v>
      </c>
      <c r="S107" s="49">
        <v>253000</v>
      </c>
      <c r="T107" s="49">
        <v>245000</v>
      </c>
      <c r="U107" s="49">
        <v>15956260</v>
      </c>
      <c r="V107" s="49">
        <f t="shared" si="26"/>
        <v>0</v>
      </c>
      <c r="W107" s="49">
        <f t="shared" si="35"/>
        <v>0</v>
      </c>
      <c r="X107" s="48">
        <v>0</v>
      </c>
      <c r="Y107" s="48">
        <f t="shared" si="27"/>
        <v>0</v>
      </c>
      <c r="Z107" s="48">
        <v>0</v>
      </c>
      <c r="AA107" s="48">
        <v>0</v>
      </c>
      <c r="AB107" s="48">
        <v>0</v>
      </c>
      <c r="AC107" s="48">
        <f t="shared" si="28"/>
        <v>0</v>
      </c>
      <c r="AD107" s="48">
        <f t="shared" si="36"/>
        <v>0</v>
      </c>
      <c r="AE107" s="49">
        <v>0</v>
      </c>
      <c r="AF107" s="49">
        <f t="shared" si="29"/>
        <v>0</v>
      </c>
      <c r="AG107" s="49">
        <v>0</v>
      </c>
      <c r="AH107" s="49">
        <v>0</v>
      </c>
      <c r="AI107" s="49">
        <v>0</v>
      </c>
      <c r="AJ107" s="49">
        <f t="shared" si="30"/>
        <v>0</v>
      </c>
      <c r="AK107" s="49">
        <f t="shared" si="37"/>
        <v>0</v>
      </c>
      <c r="AL107" s="82">
        <f t="shared" si="38"/>
        <v>0</v>
      </c>
      <c r="AM107" s="82">
        <f t="shared" si="39"/>
        <v>333304924361493.37</v>
      </c>
      <c r="AN107" s="81">
        <f t="shared" si="31"/>
        <v>370334222268325.5</v>
      </c>
      <c r="AO107" s="80">
        <f t="shared" si="20"/>
        <v>1111.0973622059996</v>
      </c>
      <c r="AP107" s="52">
        <f t="shared" si="32"/>
        <v>2.6128315296954662E-3</v>
      </c>
      <c r="AQ107" s="48">
        <f>(F107-E107)/E107</f>
        <v>3.9138943248532287E-3</v>
      </c>
      <c r="AR107" s="48">
        <f>(M107-L107)/L107</f>
        <v>1.876172607879925E-3</v>
      </c>
      <c r="AS107" s="48">
        <f>(T107-S107)/S107</f>
        <v>-3.1620553359683792E-2</v>
      </c>
      <c r="AT107" s="48" t="e">
        <f>(#REF!-#REF!)/#REF!</f>
        <v>#REF!</v>
      </c>
    </row>
    <row r="108" spans="1:46" x14ac:dyDescent="0.3">
      <c r="A108" s="48">
        <v>20180607</v>
      </c>
      <c r="B108" s="48" t="s">
        <v>88</v>
      </c>
      <c r="C108" s="79">
        <v>0.4</v>
      </c>
      <c r="D108" s="79">
        <f t="shared" si="21"/>
        <v>0.355399267757253</v>
      </c>
      <c r="E108" s="49">
        <v>51300</v>
      </c>
      <c r="F108" s="49">
        <v>50600</v>
      </c>
      <c r="G108" s="49">
        <v>6419324700</v>
      </c>
      <c r="H108" s="49">
        <f t="shared" si="22"/>
        <v>0.40707264925330899</v>
      </c>
      <c r="I108" s="49">
        <f t="shared" si="33"/>
        <v>0.40707264925330899</v>
      </c>
      <c r="J108" s="48">
        <v>0.6</v>
      </c>
      <c r="K108" s="48">
        <f t="shared" si="23"/>
        <v>0.64460073224274694</v>
      </c>
      <c r="L108" s="48">
        <v>267000</v>
      </c>
      <c r="M108" s="48">
        <v>271000</v>
      </c>
      <c r="N108" s="51">
        <v>125395903</v>
      </c>
      <c r="O108" s="48">
        <f t="shared" si="24"/>
        <v>7.0572160272718403</v>
      </c>
      <c r="P108" s="48">
        <f t="shared" si="34"/>
        <v>7.0572160272718403</v>
      </c>
      <c r="Q108" s="49">
        <v>0</v>
      </c>
      <c r="R108" s="49">
        <f t="shared" si="25"/>
        <v>0</v>
      </c>
      <c r="S108" s="49">
        <v>245000</v>
      </c>
      <c r="T108" s="49">
        <v>257100</v>
      </c>
      <c r="U108" s="49">
        <v>15956260</v>
      </c>
      <c r="V108" s="49">
        <f t="shared" si="26"/>
        <v>0</v>
      </c>
      <c r="W108" s="49">
        <f t="shared" si="35"/>
        <v>0</v>
      </c>
      <c r="X108" s="48">
        <v>0</v>
      </c>
      <c r="Y108" s="48">
        <f t="shared" si="27"/>
        <v>0</v>
      </c>
      <c r="Z108" s="48">
        <v>0</v>
      </c>
      <c r="AA108" s="48">
        <v>0</v>
      </c>
      <c r="AB108" s="48">
        <v>0</v>
      </c>
      <c r="AC108" s="48">
        <f t="shared" si="28"/>
        <v>0</v>
      </c>
      <c r="AD108" s="48">
        <f t="shared" si="36"/>
        <v>0</v>
      </c>
      <c r="AE108" s="49">
        <v>0</v>
      </c>
      <c r="AF108" s="49">
        <f t="shared" si="29"/>
        <v>0</v>
      </c>
      <c r="AG108" s="49">
        <v>0</v>
      </c>
      <c r="AH108" s="49">
        <v>0</v>
      </c>
      <c r="AI108" s="49">
        <v>0</v>
      </c>
      <c r="AJ108" s="49">
        <f t="shared" si="30"/>
        <v>0</v>
      </c>
      <c r="AK108" s="49">
        <f t="shared" si="37"/>
        <v>0</v>
      </c>
      <c r="AL108" s="82">
        <f t="shared" si="38"/>
        <v>0</v>
      </c>
      <c r="AM108" s="82">
        <f t="shared" si="39"/>
        <v>333304924361493.37</v>
      </c>
      <c r="AN108" s="81">
        <f t="shared" si="31"/>
        <v>372044814115516.5</v>
      </c>
      <c r="AO108" s="80">
        <f t="shared" si="20"/>
        <v>1116.2295751502515</v>
      </c>
      <c r="AP108" s="52">
        <f t="shared" si="32"/>
        <v>4.6190488060041043E-3</v>
      </c>
      <c r="AQ108" s="48">
        <f>(F108-E108)/E108</f>
        <v>-1.364522417153996E-2</v>
      </c>
      <c r="AR108" s="48">
        <f>(M108-L108)/L108</f>
        <v>1.4981273408239701E-2</v>
      </c>
      <c r="AS108" s="48">
        <f>(T108-S108)/S108</f>
        <v>4.9387755102040819E-2</v>
      </c>
      <c r="AT108" s="48" t="e">
        <f>(#REF!-#REF!)/#REF!</f>
        <v>#REF!</v>
      </c>
    </row>
    <row r="109" spans="1:46" x14ac:dyDescent="0.3">
      <c r="A109" s="48">
        <v>20180608</v>
      </c>
      <c r="B109" s="48" t="s">
        <v>88</v>
      </c>
      <c r="C109" s="79">
        <v>0.4</v>
      </c>
      <c r="D109" s="79">
        <f t="shared" si="21"/>
        <v>0.35233480707785919</v>
      </c>
      <c r="E109" s="49">
        <v>50600</v>
      </c>
      <c r="F109" s="49">
        <v>49650</v>
      </c>
      <c r="G109" s="49">
        <v>6419324700</v>
      </c>
      <c r="H109" s="49">
        <f t="shared" si="22"/>
        <v>0.40707264925330899</v>
      </c>
      <c r="I109" s="49">
        <f t="shared" si="33"/>
        <v>0.40707264925330899</v>
      </c>
      <c r="J109" s="48">
        <v>0.6</v>
      </c>
      <c r="K109" s="48">
        <f t="shared" si="23"/>
        <v>0.64766519292214086</v>
      </c>
      <c r="L109" s="48">
        <v>271000</v>
      </c>
      <c r="M109" s="48">
        <v>269500</v>
      </c>
      <c r="N109" s="51">
        <v>125395903</v>
      </c>
      <c r="O109" s="48">
        <f t="shared" si="24"/>
        <v>7.0572160272718403</v>
      </c>
      <c r="P109" s="48">
        <f t="shared" si="34"/>
        <v>7.0572160272718403</v>
      </c>
      <c r="Q109" s="49">
        <v>0</v>
      </c>
      <c r="R109" s="49">
        <f t="shared" si="25"/>
        <v>0</v>
      </c>
      <c r="S109" s="49">
        <v>257100</v>
      </c>
      <c r="T109" s="49">
        <v>248300</v>
      </c>
      <c r="U109" s="49">
        <v>15956260</v>
      </c>
      <c r="V109" s="49">
        <f t="shared" si="26"/>
        <v>0</v>
      </c>
      <c r="W109" s="49">
        <f t="shared" si="35"/>
        <v>0</v>
      </c>
      <c r="X109" s="48">
        <v>0</v>
      </c>
      <c r="Y109" s="48">
        <f t="shared" si="27"/>
        <v>0</v>
      </c>
      <c r="Z109" s="48">
        <v>0</v>
      </c>
      <c r="AA109" s="48">
        <v>0</v>
      </c>
      <c r="AB109" s="48">
        <v>0</v>
      </c>
      <c r="AC109" s="48">
        <f t="shared" si="28"/>
        <v>0</v>
      </c>
      <c r="AD109" s="48">
        <f t="shared" si="36"/>
        <v>0</v>
      </c>
      <c r="AE109" s="49">
        <v>0</v>
      </c>
      <c r="AF109" s="49">
        <f t="shared" si="29"/>
        <v>0</v>
      </c>
      <c r="AG109" s="49">
        <v>0</v>
      </c>
      <c r="AH109" s="49">
        <v>0</v>
      </c>
      <c r="AI109" s="49">
        <v>0</v>
      </c>
      <c r="AJ109" s="49">
        <f t="shared" si="30"/>
        <v>0</v>
      </c>
      <c r="AK109" s="49">
        <f t="shared" si="37"/>
        <v>0</v>
      </c>
      <c r="AL109" s="82">
        <f t="shared" si="38"/>
        <v>0</v>
      </c>
      <c r="AM109" s="82">
        <f t="shared" si="39"/>
        <v>333304924361493.37</v>
      </c>
      <c r="AN109" s="81">
        <f t="shared" si="31"/>
        <v>368234920214463.81</v>
      </c>
      <c r="AO109" s="80">
        <f t="shared" si="20"/>
        <v>1104.7989192475486</v>
      </c>
      <c r="AP109" s="52">
        <f t="shared" si="32"/>
        <v>-1.0240416628599274E-2</v>
      </c>
      <c r="AQ109" s="48">
        <f>(F109-E109)/E109</f>
        <v>-1.8774703557312252E-2</v>
      </c>
      <c r="AR109" s="48">
        <f>(M109-L109)/L109</f>
        <v>-5.5350553505535052E-3</v>
      </c>
      <c r="AS109" s="48">
        <f>(T109-S109)/S109</f>
        <v>-3.4227926876701675E-2</v>
      </c>
      <c r="AT109" s="48" t="e">
        <f>(#REF!-#REF!)/#REF!</f>
        <v>#REF!</v>
      </c>
    </row>
    <row r="110" spans="1:46" x14ac:dyDescent="0.3">
      <c r="A110" s="48">
        <v>20180611</v>
      </c>
      <c r="B110" s="48" t="s">
        <v>88</v>
      </c>
      <c r="C110" s="79">
        <v>0.4</v>
      </c>
      <c r="D110" s="79">
        <f t="shared" si="21"/>
        <v>0.35518594004835385</v>
      </c>
      <c r="E110" s="49">
        <v>49650</v>
      </c>
      <c r="F110" s="49">
        <v>49900</v>
      </c>
      <c r="G110" s="49">
        <v>6419324700</v>
      </c>
      <c r="H110" s="49">
        <f t="shared" si="22"/>
        <v>0.40707264925330899</v>
      </c>
      <c r="I110" s="49">
        <f t="shared" si="33"/>
        <v>0.40707264925330899</v>
      </c>
      <c r="J110" s="48">
        <v>0.6</v>
      </c>
      <c r="K110" s="48">
        <f t="shared" si="23"/>
        <v>0.64481405995164609</v>
      </c>
      <c r="L110" s="48">
        <v>269500</v>
      </c>
      <c r="M110" s="48">
        <v>267500</v>
      </c>
      <c r="N110" s="51">
        <v>125395903</v>
      </c>
      <c r="O110" s="48">
        <f t="shared" si="24"/>
        <v>7.0572160272718403</v>
      </c>
      <c r="P110" s="48">
        <f t="shared" si="34"/>
        <v>7.0572160272718403</v>
      </c>
      <c r="Q110" s="49">
        <v>0</v>
      </c>
      <c r="R110" s="49">
        <f t="shared" si="25"/>
        <v>0</v>
      </c>
      <c r="S110" s="49">
        <v>248300</v>
      </c>
      <c r="T110" s="49">
        <v>245000</v>
      </c>
      <c r="U110" s="49">
        <v>15956260</v>
      </c>
      <c r="V110" s="49">
        <f t="shared" si="26"/>
        <v>0</v>
      </c>
      <c r="W110" s="49">
        <f t="shared" si="35"/>
        <v>0</v>
      </c>
      <c r="X110" s="48">
        <v>0</v>
      </c>
      <c r="Y110" s="48">
        <f t="shared" si="27"/>
        <v>0</v>
      </c>
      <c r="Z110" s="48">
        <v>0</v>
      </c>
      <c r="AA110" s="48">
        <v>0</v>
      </c>
      <c r="AB110" s="48">
        <v>0</v>
      </c>
      <c r="AC110" s="48">
        <f t="shared" si="28"/>
        <v>0</v>
      </c>
      <c r="AD110" s="48">
        <f t="shared" si="36"/>
        <v>0</v>
      </c>
      <c r="AE110" s="49">
        <v>0</v>
      </c>
      <c r="AF110" s="49">
        <f t="shared" si="29"/>
        <v>0</v>
      </c>
      <c r="AG110" s="49">
        <v>0</v>
      </c>
      <c r="AH110" s="49">
        <v>0</v>
      </c>
      <c r="AI110" s="49">
        <v>0</v>
      </c>
      <c r="AJ110" s="49">
        <f t="shared" si="30"/>
        <v>0</v>
      </c>
      <c r="AK110" s="49">
        <f t="shared" si="37"/>
        <v>0</v>
      </c>
      <c r="AL110" s="82">
        <f t="shared" si="38"/>
        <v>0</v>
      </c>
      <c r="AM110" s="82">
        <f t="shared" si="39"/>
        <v>333304924361493.37</v>
      </c>
      <c r="AN110" s="81">
        <f t="shared" si="31"/>
        <v>367118311139663.75</v>
      </c>
      <c r="AO110" s="80">
        <f t="shared" si="20"/>
        <v>1101.4488065033725</v>
      </c>
      <c r="AP110" s="52">
        <f t="shared" si="32"/>
        <v>-3.0323280425164044E-3</v>
      </c>
      <c r="AQ110" s="48">
        <f>(F110-E110)/E110</f>
        <v>5.0352467270896274E-3</v>
      </c>
      <c r="AR110" s="48">
        <f>(M110-L110)/L110</f>
        <v>-7.4211502782931356E-3</v>
      </c>
      <c r="AS110" s="48">
        <f>(T110-S110)/S110</f>
        <v>-1.3290374546919049E-2</v>
      </c>
      <c r="AT110" s="48" t="e">
        <f>(#REF!-#REF!)/#REF!</f>
        <v>#REF!</v>
      </c>
    </row>
    <row r="111" spans="1:46" x14ac:dyDescent="0.3">
      <c r="A111" s="48">
        <v>20180612</v>
      </c>
      <c r="B111" s="48" t="s">
        <v>88</v>
      </c>
      <c r="C111" s="79">
        <v>0.4</v>
      </c>
      <c r="D111" s="79">
        <f t="shared" si="21"/>
        <v>0.3482493335625616</v>
      </c>
      <c r="E111" s="49">
        <v>49900</v>
      </c>
      <c r="F111" s="49">
        <v>49400</v>
      </c>
      <c r="G111" s="49">
        <v>6419324700</v>
      </c>
      <c r="H111" s="49">
        <f t="shared" si="22"/>
        <v>0.40707264925330899</v>
      </c>
      <c r="I111" s="49">
        <f t="shared" si="33"/>
        <v>0.40707264925330899</v>
      </c>
      <c r="J111" s="48">
        <v>0.6</v>
      </c>
      <c r="K111" s="48">
        <f t="shared" si="23"/>
        <v>0.6517506664374384</v>
      </c>
      <c r="L111" s="48">
        <v>267500</v>
      </c>
      <c r="M111" s="48">
        <v>273000</v>
      </c>
      <c r="N111" s="51">
        <v>125395903</v>
      </c>
      <c r="O111" s="48">
        <f t="shared" si="24"/>
        <v>7.0572160272718403</v>
      </c>
      <c r="P111" s="48">
        <f t="shared" si="34"/>
        <v>7.0572160272718403</v>
      </c>
      <c r="Q111" s="49">
        <v>0</v>
      </c>
      <c r="R111" s="49">
        <f t="shared" si="25"/>
        <v>0</v>
      </c>
      <c r="S111" s="49">
        <v>245000</v>
      </c>
      <c r="T111" s="49">
        <v>246500</v>
      </c>
      <c r="U111" s="49">
        <v>15956260</v>
      </c>
      <c r="V111" s="49">
        <f t="shared" si="26"/>
        <v>0</v>
      </c>
      <c r="W111" s="49">
        <f t="shared" si="35"/>
        <v>0</v>
      </c>
      <c r="X111" s="48">
        <v>0</v>
      </c>
      <c r="Y111" s="48">
        <f t="shared" si="27"/>
        <v>0</v>
      </c>
      <c r="Z111" s="48">
        <v>0</v>
      </c>
      <c r="AA111" s="48">
        <v>0</v>
      </c>
      <c r="AB111" s="48">
        <v>0</v>
      </c>
      <c r="AC111" s="48">
        <f t="shared" si="28"/>
        <v>0</v>
      </c>
      <c r="AD111" s="48">
        <f t="shared" si="36"/>
        <v>0</v>
      </c>
      <c r="AE111" s="49">
        <v>0</v>
      </c>
      <c r="AF111" s="49">
        <f t="shared" si="29"/>
        <v>0</v>
      </c>
      <c r="AG111" s="49">
        <v>0</v>
      </c>
      <c r="AH111" s="49">
        <v>0</v>
      </c>
      <c r="AI111" s="49">
        <v>0</v>
      </c>
      <c r="AJ111" s="49">
        <f t="shared" si="30"/>
        <v>0</v>
      </c>
      <c r="AK111" s="49">
        <f t="shared" si="37"/>
        <v>0</v>
      </c>
      <c r="AL111" s="82">
        <f t="shared" si="38"/>
        <v>0</v>
      </c>
      <c r="AM111" s="82">
        <f t="shared" si="39"/>
        <v>333304924361493.37</v>
      </c>
      <c r="AN111" s="81">
        <f t="shared" si="31"/>
        <v>370678948253872.69</v>
      </c>
      <c r="AO111" s="80">
        <f t="shared" si="20"/>
        <v>1112.1316283099509</v>
      </c>
      <c r="AP111" s="52">
        <f t="shared" si="32"/>
        <v>9.6988818213819741E-3</v>
      </c>
      <c r="AQ111" s="48">
        <f>(F111-E111)/E111</f>
        <v>-1.002004008016032E-2</v>
      </c>
      <c r="AR111" s="48">
        <f>(M111-L111)/L111</f>
        <v>2.0560747663551402E-2</v>
      </c>
      <c r="AS111" s="48">
        <f>(T111-S111)/S111</f>
        <v>6.1224489795918364E-3</v>
      </c>
      <c r="AT111" s="48" t="e">
        <f>(#REF!-#REF!)/#REF!</f>
        <v>#REF!</v>
      </c>
    </row>
    <row r="112" spans="1:46" x14ac:dyDescent="0.3">
      <c r="A112" s="48">
        <v>20180614</v>
      </c>
      <c r="B112" s="48" t="s">
        <v>88</v>
      </c>
      <c r="C112" s="79">
        <v>0.4</v>
      </c>
      <c r="D112" s="79">
        <f t="shared" si="21"/>
        <v>0.33700881940251637</v>
      </c>
      <c r="E112" s="49">
        <v>49400</v>
      </c>
      <c r="F112" s="49">
        <v>48200</v>
      </c>
      <c r="G112" s="49">
        <v>6419324700</v>
      </c>
      <c r="H112" s="49">
        <f t="shared" si="22"/>
        <v>0.40707264925330899</v>
      </c>
      <c r="I112" s="49">
        <f t="shared" si="33"/>
        <v>0.40707264925330899</v>
      </c>
      <c r="J112" s="48">
        <v>0.6</v>
      </c>
      <c r="K112" s="48">
        <f t="shared" si="23"/>
        <v>0.66299118059748363</v>
      </c>
      <c r="L112" s="48">
        <v>273000</v>
      </c>
      <c r="M112" s="48">
        <v>280000</v>
      </c>
      <c r="N112" s="51">
        <v>125395903</v>
      </c>
      <c r="O112" s="48">
        <f t="shared" si="24"/>
        <v>7.0572160272718403</v>
      </c>
      <c r="P112" s="48">
        <f t="shared" si="34"/>
        <v>7.0572160272718403</v>
      </c>
      <c r="Q112" s="49">
        <v>0</v>
      </c>
      <c r="R112" s="49">
        <f t="shared" si="25"/>
        <v>0</v>
      </c>
      <c r="S112" s="49">
        <v>246500</v>
      </c>
      <c r="T112" s="49">
        <v>236100</v>
      </c>
      <c r="U112" s="49">
        <v>15956260</v>
      </c>
      <c r="V112" s="49">
        <f t="shared" si="26"/>
        <v>0</v>
      </c>
      <c r="W112" s="49">
        <f t="shared" si="35"/>
        <v>0</v>
      </c>
      <c r="X112" s="48">
        <v>0</v>
      </c>
      <c r="Y112" s="48">
        <f t="shared" si="27"/>
        <v>0</v>
      </c>
      <c r="Z112" s="48">
        <v>0</v>
      </c>
      <c r="AA112" s="48">
        <v>0</v>
      </c>
      <c r="AB112" s="48">
        <v>0</v>
      </c>
      <c r="AC112" s="48">
        <f t="shared" si="28"/>
        <v>0</v>
      </c>
      <c r="AD112" s="48">
        <f t="shared" si="36"/>
        <v>0</v>
      </c>
      <c r="AE112" s="49">
        <v>0</v>
      </c>
      <c r="AF112" s="49">
        <f t="shared" si="29"/>
        <v>0</v>
      </c>
      <c r="AG112" s="49">
        <v>0</v>
      </c>
      <c r="AH112" s="49">
        <v>0</v>
      </c>
      <c r="AI112" s="49">
        <v>0</v>
      </c>
      <c r="AJ112" s="49">
        <f t="shared" si="30"/>
        <v>0</v>
      </c>
      <c r="AK112" s="49">
        <f t="shared" si="37"/>
        <v>0</v>
      </c>
      <c r="AL112" s="82">
        <f t="shared" si="38"/>
        <v>0</v>
      </c>
      <c r="AM112" s="82">
        <f t="shared" si="39"/>
        <v>333304924361493.37</v>
      </c>
      <c r="AN112" s="81">
        <f t="shared" si="31"/>
        <v>373737812274258</v>
      </c>
      <c r="AO112" s="80">
        <f t="shared" si="20"/>
        <v>1121.3090025304045</v>
      </c>
      <c r="AP112" s="52">
        <f t="shared" si="32"/>
        <v>8.2520575684013591E-3</v>
      </c>
      <c r="AQ112" s="48">
        <f>(F112-E112)/E112</f>
        <v>-2.4291497975708502E-2</v>
      </c>
      <c r="AR112" s="48">
        <f>(M112-L112)/L112</f>
        <v>2.564102564102564E-2</v>
      </c>
      <c r="AS112" s="48">
        <f>(T112-S112)/S112</f>
        <v>-4.2190669371196754E-2</v>
      </c>
      <c r="AT112" s="48" t="e">
        <f>(#REF!-#REF!)/#REF!</f>
        <v>#REF!</v>
      </c>
    </row>
    <row r="113" spans="1:46" x14ac:dyDescent="0.3">
      <c r="A113" s="48">
        <v>20180615</v>
      </c>
      <c r="B113" s="48" t="s">
        <v>88</v>
      </c>
      <c r="C113" s="79">
        <v>0.4</v>
      </c>
      <c r="D113" s="79">
        <f t="shared" si="21"/>
        <v>0.3203618669579632</v>
      </c>
      <c r="E113" s="49">
        <v>48200</v>
      </c>
      <c r="F113" s="49">
        <v>47650</v>
      </c>
      <c r="G113" s="49">
        <v>6419324700</v>
      </c>
      <c r="H113" s="49">
        <f t="shared" si="22"/>
        <v>0.40707264925330899</v>
      </c>
      <c r="I113" s="49">
        <f t="shared" si="33"/>
        <v>0.40707264925330899</v>
      </c>
      <c r="J113" s="48">
        <v>0.6</v>
      </c>
      <c r="K113" s="48">
        <f t="shared" si="23"/>
        <v>0.6796381330420368</v>
      </c>
      <c r="L113" s="48">
        <v>280000</v>
      </c>
      <c r="M113" s="48">
        <v>298500</v>
      </c>
      <c r="N113" s="51">
        <v>125395903</v>
      </c>
      <c r="O113" s="48">
        <f t="shared" si="24"/>
        <v>7.0572160272718403</v>
      </c>
      <c r="P113" s="48">
        <f t="shared" si="34"/>
        <v>7.0572160272718403</v>
      </c>
      <c r="Q113" s="49">
        <v>0</v>
      </c>
      <c r="R113" s="49">
        <f t="shared" si="25"/>
        <v>0</v>
      </c>
      <c r="S113" s="49">
        <v>236100</v>
      </c>
      <c r="T113" s="49">
        <v>232700</v>
      </c>
      <c r="U113" s="49">
        <v>15956260</v>
      </c>
      <c r="V113" s="49">
        <f t="shared" si="26"/>
        <v>0</v>
      </c>
      <c r="W113" s="49">
        <f t="shared" si="35"/>
        <v>0</v>
      </c>
      <c r="X113" s="48">
        <v>0</v>
      </c>
      <c r="Y113" s="48">
        <f t="shared" si="27"/>
        <v>0</v>
      </c>
      <c r="Z113" s="48">
        <v>0</v>
      </c>
      <c r="AA113" s="48">
        <v>0</v>
      </c>
      <c r="AB113" s="48">
        <v>0</v>
      </c>
      <c r="AC113" s="48">
        <f t="shared" si="28"/>
        <v>0</v>
      </c>
      <c r="AD113" s="48">
        <f t="shared" si="36"/>
        <v>0</v>
      </c>
      <c r="AE113" s="49">
        <v>0</v>
      </c>
      <c r="AF113" s="49">
        <f t="shared" si="29"/>
        <v>0</v>
      </c>
      <c r="AG113" s="49">
        <v>0</v>
      </c>
      <c r="AH113" s="49">
        <v>0</v>
      </c>
      <c r="AI113" s="49">
        <v>0</v>
      </c>
      <c r="AJ113" s="49">
        <f t="shared" si="30"/>
        <v>0</v>
      </c>
      <c r="AK113" s="49">
        <f t="shared" si="37"/>
        <v>0</v>
      </c>
      <c r="AL113" s="82">
        <f t="shared" si="38"/>
        <v>0</v>
      </c>
      <c r="AM113" s="82">
        <f t="shared" si="39"/>
        <v>333304924361493.37</v>
      </c>
      <c r="AN113" s="81">
        <f t="shared" si="31"/>
        <v>388672090506140.37</v>
      </c>
      <c r="AO113" s="80">
        <f t="shared" si="20"/>
        <v>1166.1156559589178</v>
      </c>
      <c r="AP113" s="52">
        <f t="shared" si="32"/>
        <v>3.9959238111350451E-2</v>
      </c>
      <c r="AQ113" s="48">
        <f>(F113-E113)/E113</f>
        <v>-1.1410788381742738E-2</v>
      </c>
      <c r="AR113" s="48">
        <f>(M113-L113)/L113</f>
        <v>6.6071428571428573E-2</v>
      </c>
      <c r="AS113" s="48">
        <f>(T113-S113)/S113</f>
        <v>-1.4400677678949597E-2</v>
      </c>
      <c r="AT113" s="48" t="e">
        <f>(#REF!-#REF!)/#REF!</f>
        <v>#REF!</v>
      </c>
    </row>
    <row r="114" spans="1:46" x14ac:dyDescent="0.3">
      <c r="A114" s="48">
        <v>20180618</v>
      </c>
      <c r="B114" s="48" t="s">
        <v>88</v>
      </c>
      <c r="C114" s="79">
        <v>0.4</v>
      </c>
      <c r="D114" s="79">
        <f t="shared" si="21"/>
        <v>0.31089610948932778</v>
      </c>
      <c r="E114" s="49">
        <v>47650</v>
      </c>
      <c r="F114" s="49">
        <v>46600</v>
      </c>
      <c r="G114" s="49">
        <v>6419324700</v>
      </c>
      <c r="H114" s="49">
        <f t="shared" si="22"/>
        <v>0.40707264925330899</v>
      </c>
      <c r="I114" s="49">
        <f t="shared" si="33"/>
        <v>0.40707264925330899</v>
      </c>
      <c r="J114" s="48">
        <v>0.6</v>
      </c>
      <c r="K114" s="48">
        <f t="shared" si="23"/>
        <v>0.68910389051067222</v>
      </c>
      <c r="L114" s="48">
        <v>298500</v>
      </c>
      <c r="M114" s="48">
        <v>305000</v>
      </c>
      <c r="N114" s="51">
        <v>125395903</v>
      </c>
      <c r="O114" s="48">
        <f t="shared" si="24"/>
        <v>7.0572160272718403</v>
      </c>
      <c r="P114" s="48">
        <f t="shared" si="34"/>
        <v>7.0572160272718403</v>
      </c>
      <c r="Q114" s="49">
        <v>0</v>
      </c>
      <c r="R114" s="49">
        <f t="shared" si="25"/>
        <v>0</v>
      </c>
      <c r="S114" s="49">
        <v>232700</v>
      </c>
      <c r="T114" s="49">
        <v>218900</v>
      </c>
      <c r="U114" s="49">
        <v>15956260</v>
      </c>
      <c r="V114" s="49">
        <f t="shared" si="26"/>
        <v>0</v>
      </c>
      <c r="W114" s="49">
        <f t="shared" si="35"/>
        <v>0</v>
      </c>
      <c r="X114" s="48">
        <v>0</v>
      </c>
      <c r="Y114" s="48">
        <f t="shared" si="27"/>
        <v>0</v>
      </c>
      <c r="Z114" s="48">
        <v>0</v>
      </c>
      <c r="AA114" s="48">
        <v>0</v>
      </c>
      <c r="AB114" s="48">
        <v>0</v>
      </c>
      <c r="AC114" s="48">
        <f t="shared" si="28"/>
        <v>0</v>
      </c>
      <c r="AD114" s="48">
        <f t="shared" si="36"/>
        <v>0</v>
      </c>
      <c r="AE114" s="49">
        <v>0</v>
      </c>
      <c r="AF114" s="49">
        <f t="shared" si="29"/>
        <v>0</v>
      </c>
      <c r="AG114" s="49">
        <v>0</v>
      </c>
      <c r="AH114" s="49">
        <v>0</v>
      </c>
      <c r="AI114" s="49">
        <v>0</v>
      </c>
      <c r="AJ114" s="49">
        <f t="shared" si="30"/>
        <v>0</v>
      </c>
      <c r="AK114" s="49">
        <f t="shared" si="37"/>
        <v>0</v>
      </c>
      <c r="AL114" s="82">
        <f t="shared" si="38"/>
        <v>0</v>
      </c>
      <c r="AM114" s="82">
        <f t="shared" si="39"/>
        <v>333304924361493.37</v>
      </c>
      <c r="AN114" s="81">
        <f t="shared" si="31"/>
        <v>391680451265129.69</v>
      </c>
      <c r="AO114" s="80">
        <f t="shared" si="20"/>
        <v>1175.141507481371</v>
      </c>
      <c r="AP114" s="52">
        <f t="shared" si="32"/>
        <v>7.7400997716912346E-3</v>
      </c>
      <c r="AQ114" s="48">
        <f>(F114-E114)/E114</f>
        <v>-2.2035676810073453E-2</v>
      </c>
      <c r="AR114" s="48">
        <f>(M114-L114)/L114</f>
        <v>2.1775544388609715E-2</v>
      </c>
      <c r="AS114" s="48">
        <f>(T114-S114)/S114</f>
        <v>-5.9303824666953157E-2</v>
      </c>
      <c r="AT114" s="48" t="e">
        <f>(#REF!-#REF!)/#REF!</f>
        <v>#REF!</v>
      </c>
    </row>
    <row r="115" spans="1:46" x14ac:dyDescent="0.3">
      <c r="A115" s="48">
        <v>20180619</v>
      </c>
      <c r="B115" s="48" t="s">
        <v>88</v>
      </c>
      <c r="C115" s="79">
        <v>0.4</v>
      </c>
      <c r="D115" s="79">
        <f t="shared" si="21"/>
        <v>0.32556849229369278</v>
      </c>
      <c r="E115" s="49">
        <v>46600</v>
      </c>
      <c r="F115" s="49">
        <v>47000</v>
      </c>
      <c r="G115" s="49">
        <v>6419324700</v>
      </c>
      <c r="H115" s="49">
        <f t="shared" si="22"/>
        <v>0.40707264925330899</v>
      </c>
      <c r="I115" s="49">
        <f t="shared" si="33"/>
        <v>0.40707264925330899</v>
      </c>
      <c r="J115" s="48">
        <v>0.6</v>
      </c>
      <c r="K115" s="48">
        <f t="shared" si="23"/>
        <v>0.67443150770630722</v>
      </c>
      <c r="L115" s="48">
        <v>305000</v>
      </c>
      <c r="M115" s="48">
        <v>287500</v>
      </c>
      <c r="N115" s="51">
        <v>125395903</v>
      </c>
      <c r="O115" s="48">
        <f t="shared" si="24"/>
        <v>7.0572160272718403</v>
      </c>
      <c r="P115" s="48">
        <f t="shared" si="34"/>
        <v>7.0572160272718403</v>
      </c>
      <c r="Q115" s="49">
        <v>0</v>
      </c>
      <c r="R115" s="49">
        <f t="shared" si="25"/>
        <v>0</v>
      </c>
      <c r="S115" s="49">
        <v>218900</v>
      </c>
      <c r="T115" s="49">
        <v>222300</v>
      </c>
      <c r="U115" s="49">
        <v>15956260</v>
      </c>
      <c r="V115" s="49">
        <f t="shared" si="26"/>
        <v>0</v>
      </c>
      <c r="W115" s="49">
        <f t="shared" si="35"/>
        <v>0</v>
      </c>
      <c r="X115" s="48">
        <v>0</v>
      </c>
      <c r="Y115" s="48">
        <f t="shared" si="27"/>
        <v>0</v>
      </c>
      <c r="Z115" s="48">
        <v>0</v>
      </c>
      <c r="AA115" s="48">
        <v>0</v>
      </c>
      <c r="AB115" s="48">
        <v>0</v>
      </c>
      <c r="AC115" s="48">
        <f t="shared" si="28"/>
        <v>0</v>
      </c>
      <c r="AD115" s="48">
        <f t="shared" si="36"/>
        <v>0</v>
      </c>
      <c r="AE115" s="49">
        <v>0</v>
      </c>
      <c r="AF115" s="49">
        <f t="shared" si="29"/>
        <v>0</v>
      </c>
      <c r="AG115" s="49">
        <v>0</v>
      </c>
      <c r="AH115" s="49">
        <v>0</v>
      </c>
      <c r="AI115" s="49">
        <v>0</v>
      </c>
      <c r="AJ115" s="49">
        <f t="shared" si="30"/>
        <v>0</v>
      </c>
      <c r="AK115" s="49">
        <f t="shared" si="37"/>
        <v>0</v>
      </c>
      <c r="AL115" s="82">
        <f t="shared" si="38"/>
        <v>0</v>
      </c>
      <c r="AM115" s="82">
        <f t="shared" si="39"/>
        <v>333304924361493.37</v>
      </c>
      <c r="AN115" s="81">
        <f t="shared" si="31"/>
        <v>377239149282846.25</v>
      </c>
      <c r="AO115" s="80">
        <f t="shared" si="20"/>
        <v>1131.8139088569333</v>
      </c>
      <c r="AP115" s="52">
        <f t="shared" si="32"/>
        <v>-3.6870111683230303E-2</v>
      </c>
      <c r="AQ115" s="48">
        <f>(F115-E115)/E115</f>
        <v>8.5836909871244635E-3</v>
      </c>
      <c r="AR115" s="48">
        <f>(M115-L115)/L115</f>
        <v>-5.737704918032787E-2</v>
      </c>
      <c r="AS115" s="48">
        <f>(T115-S115)/S115</f>
        <v>1.5532206486980357E-2</v>
      </c>
      <c r="AT115" s="48" t="e">
        <f>(#REF!-#REF!)/#REF!</f>
        <v>#REF!</v>
      </c>
    </row>
    <row r="116" spans="1:46" x14ac:dyDescent="0.3">
      <c r="A116" s="48">
        <v>20180620</v>
      </c>
      <c r="B116" s="48" t="s">
        <v>88</v>
      </c>
      <c r="C116" s="79">
        <v>0.4</v>
      </c>
      <c r="D116" s="79">
        <f t="shared" si="21"/>
        <v>0.31847118273078401</v>
      </c>
      <c r="E116" s="49">
        <v>47000</v>
      </c>
      <c r="F116" s="49">
        <v>47000</v>
      </c>
      <c r="G116" s="49">
        <v>6419324700</v>
      </c>
      <c r="H116" s="49">
        <f t="shared" si="22"/>
        <v>0.40707264925330899</v>
      </c>
      <c r="I116" s="49">
        <f t="shared" si="33"/>
        <v>0.40707264925330899</v>
      </c>
      <c r="J116" s="48">
        <v>0.6</v>
      </c>
      <c r="K116" s="48">
        <f t="shared" si="23"/>
        <v>0.68152881726921599</v>
      </c>
      <c r="L116" s="48">
        <v>287500</v>
      </c>
      <c r="M116" s="48">
        <v>297000</v>
      </c>
      <c r="N116" s="51">
        <v>125395903</v>
      </c>
      <c r="O116" s="48">
        <f t="shared" si="24"/>
        <v>7.0572160272718403</v>
      </c>
      <c r="P116" s="48">
        <f t="shared" si="34"/>
        <v>7.0572160272718403</v>
      </c>
      <c r="Q116" s="49">
        <v>0</v>
      </c>
      <c r="R116" s="49">
        <f t="shared" si="25"/>
        <v>0</v>
      </c>
      <c r="S116" s="49">
        <v>222300</v>
      </c>
      <c r="T116" s="49">
        <v>234400</v>
      </c>
      <c r="U116" s="49">
        <v>15956260</v>
      </c>
      <c r="V116" s="49">
        <f t="shared" si="26"/>
        <v>0</v>
      </c>
      <c r="W116" s="49">
        <f t="shared" si="35"/>
        <v>0</v>
      </c>
      <c r="X116" s="48">
        <v>0</v>
      </c>
      <c r="Y116" s="48">
        <f t="shared" si="27"/>
        <v>0</v>
      </c>
      <c r="Z116" s="48">
        <v>0</v>
      </c>
      <c r="AA116" s="48">
        <v>0</v>
      </c>
      <c r="AB116" s="48">
        <v>0</v>
      </c>
      <c r="AC116" s="48">
        <f t="shared" si="28"/>
        <v>0</v>
      </c>
      <c r="AD116" s="48">
        <f t="shared" si="36"/>
        <v>0</v>
      </c>
      <c r="AE116" s="49">
        <v>0</v>
      </c>
      <c r="AF116" s="49">
        <f t="shared" si="29"/>
        <v>0</v>
      </c>
      <c r="AG116" s="49">
        <v>0</v>
      </c>
      <c r="AH116" s="49">
        <v>0</v>
      </c>
      <c r="AI116" s="49">
        <v>0</v>
      </c>
      <c r="AJ116" s="49">
        <f t="shared" si="30"/>
        <v>0</v>
      </c>
      <c r="AK116" s="49">
        <f t="shared" si="37"/>
        <v>0</v>
      </c>
      <c r="AL116" s="82">
        <f t="shared" si="38"/>
        <v>0</v>
      </c>
      <c r="AM116" s="82">
        <f t="shared" si="39"/>
        <v>333304924361493.37</v>
      </c>
      <c r="AN116" s="81">
        <f t="shared" si="31"/>
        <v>385646136058701.56</v>
      </c>
      <c r="AO116" s="80">
        <f t="shared" si="20"/>
        <v>1157.0370188723655</v>
      </c>
      <c r="AP116" s="52">
        <f t="shared" si="32"/>
        <v>2.2285562863338635E-2</v>
      </c>
      <c r="AQ116" s="48">
        <f>(F116-E116)/E116</f>
        <v>0</v>
      </c>
      <c r="AR116" s="48">
        <f>(M116-L116)/L116</f>
        <v>3.3043478260869563E-2</v>
      </c>
      <c r="AS116" s="48">
        <f>(T116-S116)/S116</f>
        <v>5.4430949167791273E-2</v>
      </c>
      <c r="AT116" s="48" t="e">
        <f>(#REF!-#REF!)/#REF!</f>
        <v>#REF!</v>
      </c>
    </row>
    <row r="117" spans="1:46" x14ac:dyDescent="0.3">
      <c r="A117" s="48">
        <v>20180621</v>
      </c>
      <c r="B117" s="48" t="s">
        <v>88</v>
      </c>
      <c r="C117" s="79">
        <v>0.4</v>
      </c>
      <c r="D117" s="79">
        <f t="shared" si="21"/>
        <v>0.32239982328780642</v>
      </c>
      <c r="E117" s="49">
        <v>47000</v>
      </c>
      <c r="F117" s="49">
        <v>47050</v>
      </c>
      <c r="G117" s="49">
        <v>6419324700</v>
      </c>
      <c r="H117" s="49">
        <f t="shared" si="22"/>
        <v>0.40707264925330899</v>
      </c>
      <c r="I117" s="49">
        <f t="shared" si="33"/>
        <v>0.40707264925330899</v>
      </c>
      <c r="J117" s="48">
        <v>0.6</v>
      </c>
      <c r="K117" s="48">
        <f t="shared" si="23"/>
        <v>0.67760017671219364</v>
      </c>
      <c r="L117" s="48">
        <v>297000</v>
      </c>
      <c r="M117" s="48">
        <v>292000</v>
      </c>
      <c r="N117" s="51">
        <v>125395903</v>
      </c>
      <c r="O117" s="48">
        <f t="shared" si="24"/>
        <v>7.0572160272718403</v>
      </c>
      <c r="P117" s="48">
        <f t="shared" si="34"/>
        <v>7.0572160272718403</v>
      </c>
      <c r="Q117" s="49">
        <v>0</v>
      </c>
      <c r="R117" s="49">
        <f t="shared" si="25"/>
        <v>0</v>
      </c>
      <c r="S117" s="49">
        <v>234400</v>
      </c>
      <c r="T117" s="49">
        <v>231000</v>
      </c>
      <c r="U117" s="49">
        <v>15956260</v>
      </c>
      <c r="V117" s="49">
        <f t="shared" si="26"/>
        <v>0</v>
      </c>
      <c r="W117" s="49">
        <f t="shared" si="35"/>
        <v>0</v>
      </c>
      <c r="X117" s="48">
        <v>0</v>
      </c>
      <c r="Y117" s="48">
        <f t="shared" si="27"/>
        <v>0</v>
      </c>
      <c r="Z117" s="48">
        <v>0</v>
      </c>
      <c r="AA117" s="48">
        <v>0</v>
      </c>
      <c r="AB117" s="48">
        <v>0</v>
      </c>
      <c r="AC117" s="48">
        <f t="shared" si="28"/>
        <v>0</v>
      </c>
      <c r="AD117" s="48">
        <f t="shared" si="36"/>
        <v>0</v>
      </c>
      <c r="AE117" s="49">
        <v>0</v>
      </c>
      <c r="AF117" s="49">
        <f t="shared" si="29"/>
        <v>0</v>
      </c>
      <c r="AG117" s="49">
        <v>0</v>
      </c>
      <c r="AH117" s="49">
        <v>0</v>
      </c>
      <c r="AI117" s="49">
        <v>0</v>
      </c>
      <c r="AJ117" s="49">
        <f t="shared" si="30"/>
        <v>0</v>
      </c>
      <c r="AK117" s="49">
        <f t="shared" si="37"/>
        <v>0</v>
      </c>
      <c r="AL117" s="82">
        <f t="shared" si="38"/>
        <v>0</v>
      </c>
      <c r="AM117" s="82">
        <f t="shared" si="39"/>
        <v>333304924361493.37</v>
      </c>
      <c r="AN117" s="81">
        <f t="shared" si="31"/>
        <v>381352062752274.75</v>
      </c>
      <c r="AO117" s="80">
        <f t="shared" si="20"/>
        <v>1144.1537009476365</v>
      </c>
      <c r="AP117" s="52">
        <f t="shared" si="32"/>
        <v>-1.1134749981711845E-2</v>
      </c>
      <c r="AQ117" s="48">
        <f>(F117-E117)/E117</f>
        <v>1.0638297872340426E-3</v>
      </c>
      <c r="AR117" s="48">
        <f>(M117-L117)/L117</f>
        <v>-1.6835016835016835E-2</v>
      </c>
      <c r="AS117" s="48">
        <f>(T117-S117)/S117</f>
        <v>-1.4505119453924915E-2</v>
      </c>
      <c r="AT117" s="48" t="e">
        <f>(#REF!-#REF!)/#REF!</f>
        <v>#REF!</v>
      </c>
    </row>
    <row r="118" spans="1:46" x14ac:dyDescent="0.3">
      <c r="A118" s="48">
        <v>20180622</v>
      </c>
      <c r="B118" s="48" t="s">
        <v>88</v>
      </c>
      <c r="C118" s="79">
        <v>0.4</v>
      </c>
      <c r="D118" s="79">
        <f t="shared" si="21"/>
        <v>0.32072582928922089</v>
      </c>
      <c r="E118" s="49">
        <v>47050</v>
      </c>
      <c r="F118" s="49">
        <v>47250</v>
      </c>
      <c r="G118" s="49">
        <v>6419324700</v>
      </c>
      <c r="H118" s="49">
        <f t="shared" si="22"/>
        <v>0.40707264925330899</v>
      </c>
      <c r="I118" s="49">
        <f t="shared" si="33"/>
        <v>0.40707264925330899</v>
      </c>
      <c r="J118" s="48">
        <v>0.6</v>
      </c>
      <c r="K118" s="48">
        <f t="shared" si="23"/>
        <v>0.67927417071077922</v>
      </c>
      <c r="L118" s="48">
        <v>292000</v>
      </c>
      <c r="M118" s="48">
        <v>295500</v>
      </c>
      <c r="N118" s="51">
        <v>125395903</v>
      </c>
      <c r="O118" s="48">
        <f t="shared" si="24"/>
        <v>7.0572160272718403</v>
      </c>
      <c r="P118" s="48">
        <f t="shared" si="34"/>
        <v>7.0572160272718403</v>
      </c>
      <c r="Q118" s="49">
        <v>0</v>
      </c>
      <c r="R118" s="49">
        <f t="shared" si="25"/>
        <v>0</v>
      </c>
      <c r="S118" s="49">
        <v>231000</v>
      </c>
      <c r="T118" s="49">
        <v>232000</v>
      </c>
      <c r="U118" s="49">
        <v>15956260</v>
      </c>
      <c r="V118" s="49">
        <f t="shared" si="26"/>
        <v>0</v>
      </c>
      <c r="W118" s="49">
        <f t="shared" si="35"/>
        <v>0</v>
      </c>
      <c r="X118" s="48">
        <v>0</v>
      </c>
      <c r="Y118" s="48">
        <f t="shared" si="27"/>
        <v>0</v>
      </c>
      <c r="Z118" s="48">
        <v>0</v>
      </c>
      <c r="AA118" s="48">
        <v>0</v>
      </c>
      <c r="AB118" s="48">
        <v>0</v>
      </c>
      <c r="AC118" s="48">
        <f t="shared" si="28"/>
        <v>0</v>
      </c>
      <c r="AD118" s="48">
        <f t="shared" si="36"/>
        <v>0</v>
      </c>
      <c r="AE118" s="49">
        <v>0</v>
      </c>
      <c r="AF118" s="49">
        <f t="shared" si="29"/>
        <v>0</v>
      </c>
      <c r="AG118" s="49">
        <v>0</v>
      </c>
      <c r="AH118" s="49">
        <v>0</v>
      </c>
      <c r="AI118" s="49">
        <v>0</v>
      </c>
      <c r="AJ118" s="49">
        <f t="shared" si="30"/>
        <v>0</v>
      </c>
      <c r="AK118" s="49">
        <f t="shared" si="37"/>
        <v>0</v>
      </c>
      <c r="AL118" s="82">
        <f t="shared" si="38"/>
        <v>0</v>
      </c>
      <c r="AM118" s="82">
        <f t="shared" si="39"/>
        <v>333304924361493.37</v>
      </c>
      <c r="AN118" s="81">
        <f t="shared" si="31"/>
        <v>384971999972104.37</v>
      </c>
      <c r="AO118" s="80">
        <f t="shared" si="20"/>
        <v>1155.0144382342648</v>
      </c>
      <c r="AP118" s="52">
        <f t="shared" si="32"/>
        <v>9.4923761358574835E-3</v>
      </c>
      <c r="AQ118" s="48">
        <f>(F118-E118)/E118</f>
        <v>4.2507970244420826E-3</v>
      </c>
      <c r="AR118" s="48">
        <f>(M118-L118)/L118</f>
        <v>1.1986301369863013E-2</v>
      </c>
      <c r="AS118" s="48">
        <f>(T118-S118)/S118</f>
        <v>4.329004329004329E-3</v>
      </c>
      <c r="AT118" s="48" t="e">
        <f>(#REF!-#REF!)/#REF!</f>
        <v>#REF!</v>
      </c>
    </row>
    <row r="119" spans="1:46" x14ac:dyDescent="0.3">
      <c r="A119" s="48">
        <v>20180625</v>
      </c>
      <c r="B119" s="48" t="s">
        <v>88</v>
      </c>
      <c r="C119" s="79">
        <v>0.4</v>
      </c>
      <c r="D119" s="79">
        <f t="shared" si="21"/>
        <v>0.31758152065326978</v>
      </c>
      <c r="E119" s="49">
        <v>47250</v>
      </c>
      <c r="F119" s="49">
        <v>46650</v>
      </c>
      <c r="G119" s="49">
        <v>6419324700</v>
      </c>
      <c r="H119" s="49">
        <f t="shared" si="22"/>
        <v>0.40707264925330899</v>
      </c>
      <c r="I119" s="49">
        <f t="shared" si="33"/>
        <v>0.40707264925330899</v>
      </c>
      <c r="J119" s="48">
        <v>0.6</v>
      </c>
      <c r="K119" s="48">
        <f t="shared" si="23"/>
        <v>0.68241847934673017</v>
      </c>
      <c r="L119" s="48">
        <v>295500</v>
      </c>
      <c r="M119" s="48">
        <v>296000</v>
      </c>
      <c r="N119" s="51">
        <v>125395903</v>
      </c>
      <c r="O119" s="48">
        <f t="shared" si="24"/>
        <v>7.0572160272718403</v>
      </c>
      <c r="P119" s="48">
        <f t="shared" si="34"/>
        <v>7.0572160272718403</v>
      </c>
      <c r="Q119" s="49">
        <v>0</v>
      </c>
      <c r="R119" s="49">
        <f t="shared" si="25"/>
        <v>0</v>
      </c>
      <c r="S119" s="49">
        <v>232000</v>
      </c>
      <c r="T119" s="49">
        <v>230900</v>
      </c>
      <c r="U119" s="49">
        <v>15956260</v>
      </c>
      <c r="V119" s="49">
        <f t="shared" si="26"/>
        <v>0</v>
      </c>
      <c r="W119" s="49">
        <f t="shared" si="35"/>
        <v>0</v>
      </c>
      <c r="X119" s="48">
        <v>0</v>
      </c>
      <c r="Y119" s="48">
        <f t="shared" si="27"/>
        <v>0</v>
      </c>
      <c r="Z119" s="48">
        <v>0</v>
      </c>
      <c r="AA119" s="48">
        <v>0</v>
      </c>
      <c r="AB119" s="48">
        <v>0</v>
      </c>
      <c r="AC119" s="48">
        <f t="shared" si="28"/>
        <v>0</v>
      </c>
      <c r="AD119" s="48">
        <f t="shared" si="36"/>
        <v>0</v>
      </c>
      <c r="AE119" s="49">
        <v>0</v>
      </c>
      <c r="AF119" s="49">
        <f t="shared" si="29"/>
        <v>0</v>
      </c>
      <c r="AG119" s="49">
        <v>0</v>
      </c>
      <c r="AH119" s="49">
        <v>0</v>
      </c>
      <c r="AI119" s="49">
        <v>0</v>
      </c>
      <c r="AJ119" s="49">
        <f t="shared" si="30"/>
        <v>0</v>
      </c>
      <c r="AK119" s="49">
        <f t="shared" si="37"/>
        <v>0</v>
      </c>
      <c r="AL119" s="82">
        <f t="shared" si="38"/>
        <v>0</v>
      </c>
      <c r="AM119" s="82">
        <f t="shared" si="39"/>
        <v>333304924361493.37</v>
      </c>
      <c r="AN119" s="81">
        <f t="shared" si="31"/>
        <v>383846594053079.62</v>
      </c>
      <c r="AO119" s="80">
        <f t="shared" si="20"/>
        <v>1151.6379327080392</v>
      </c>
      <c r="AP119" s="52">
        <f t="shared" si="32"/>
        <v>-2.9233448643183032E-3</v>
      </c>
      <c r="AQ119" s="48">
        <f>(F119-E119)/E119</f>
        <v>-1.2698412698412698E-2</v>
      </c>
      <c r="AR119" s="48">
        <f>(M119-L119)/L119</f>
        <v>1.6920473773265651E-3</v>
      </c>
      <c r="AS119" s="48">
        <f>(T119-S119)/S119</f>
        <v>-4.7413793103448275E-3</v>
      </c>
      <c r="AT119" s="48" t="e">
        <f>(#REF!-#REF!)/#REF!</f>
        <v>#REF!</v>
      </c>
    </row>
    <row r="120" spans="1:46" x14ac:dyDescent="0.3">
      <c r="A120" s="48">
        <v>20180626</v>
      </c>
      <c r="B120" s="48" t="s">
        <v>88</v>
      </c>
      <c r="C120" s="79">
        <v>0.4</v>
      </c>
      <c r="D120" s="79">
        <f t="shared" si="21"/>
        <v>0.31557457442815429</v>
      </c>
      <c r="E120" s="49">
        <v>46650</v>
      </c>
      <c r="F120" s="49">
        <v>47000</v>
      </c>
      <c r="G120" s="49">
        <v>6419324700</v>
      </c>
      <c r="H120" s="49">
        <f t="shared" si="22"/>
        <v>0.40707264925330899</v>
      </c>
      <c r="I120" s="49">
        <f t="shared" si="33"/>
        <v>0.40707264925330899</v>
      </c>
      <c r="J120" s="48">
        <v>0.6</v>
      </c>
      <c r="K120" s="48">
        <f t="shared" si="23"/>
        <v>0.68442542557184571</v>
      </c>
      <c r="L120" s="48">
        <v>296000</v>
      </c>
      <c r="M120" s="48">
        <v>301000</v>
      </c>
      <c r="N120" s="51">
        <v>125395903</v>
      </c>
      <c r="O120" s="48">
        <f t="shared" si="24"/>
        <v>7.0572160272718403</v>
      </c>
      <c r="P120" s="48">
        <f t="shared" si="34"/>
        <v>7.0572160272718403</v>
      </c>
      <c r="Q120" s="49">
        <v>0</v>
      </c>
      <c r="R120" s="49">
        <f t="shared" si="25"/>
        <v>0</v>
      </c>
      <c r="S120" s="49">
        <v>230900</v>
      </c>
      <c r="T120" s="49">
        <v>223800</v>
      </c>
      <c r="U120" s="49">
        <v>15956260</v>
      </c>
      <c r="V120" s="49">
        <f t="shared" si="26"/>
        <v>0</v>
      </c>
      <c r="W120" s="49">
        <f t="shared" si="35"/>
        <v>0</v>
      </c>
      <c r="X120" s="48">
        <v>0</v>
      </c>
      <c r="Y120" s="48">
        <f t="shared" si="27"/>
        <v>0</v>
      </c>
      <c r="Z120" s="48">
        <v>0</v>
      </c>
      <c r="AA120" s="48">
        <v>0</v>
      </c>
      <c r="AB120" s="48">
        <v>0</v>
      </c>
      <c r="AC120" s="48">
        <f t="shared" si="28"/>
        <v>0</v>
      </c>
      <c r="AD120" s="48">
        <f t="shared" si="36"/>
        <v>0</v>
      </c>
      <c r="AE120" s="49">
        <v>0</v>
      </c>
      <c r="AF120" s="49">
        <f t="shared" si="29"/>
        <v>0</v>
      </c>
      <c r="AG120" s="49">
        <v>0</v>
      </c>
      <c r="AH120" s="49">
        <v>0</v>
      </c>
      <c r="AI120" s="49">
        <v>0</v>
      </c>
      <c r="AJ120" s="49">
        <f t="shared" si="30"/>
        <v>0</v>
      </c>
      <c r="AK120" s="49">
        <f t="shared" si="37"/>
        <v>0</v>
      </c>
      <c r="AL120" s="82">
        <f t="shared" si="38"/>
        <v>0</v>
      </c>
      <c r="AM120" s="82">
        <f t="shared" si="39"/>
        <v>333304924361493.37</v>
      </c>
      <c r="AN120" s="81">
        <f t="shared" si="31"/>
        <v>389185919964324.87</v>
      </c>
      <c r="AO120" s="80">
        <f t="shared" si="20"/>
        <v>1167.6572757209688</v>
      </c>
      <c r="AP120" s="52">
        <f t="shared" si="32"/>
        <v>1.3910051551758611E-2</v>
      </c>
      <c r="AQ120" s="48">
        <f>(F120-E120)/E120</f>
        <v>7.502679528403001E-3</v>
      </c>
      <c r="AR120" s="48">
        <f>(M120-L120)/L120</f>
        <v>1.6891891891891893E-2</v>
      </c>
      <c r="AS120" s="48">
        <f>(T120-S120)/S120</f>
        <v>-3.0749242096145518E-2</v>
      </c>
      <c r="AT120" s="48" t="e">
        <f>(#REF!-#REF!)/#REF!</f>
        <v>#REF!</v>
      </c>
    </row>
    <row r="121" spans="1:46" x14ac:dyDescent="0.3">
      <c r="A121" s="48">
        <v>20180627</v>
      </c>
      <c r="B121" s="48" t="s">
        <v>88</v>
      </c>
      <c r="C121" s="79">
        <v>0.4</v>
      </c>
      <c r="D121" s="79">
        <f t="shared" si="21"/>
        <v>0.31919141414674712</v>
      </c>
      <c r="E121" s="49">
        <v>47000</v>
      </c>
      <c r="F121" s="49">
        <v>47950</v>
      </c>
      <c r="G121" s="49">
        <v>6419324700</v>
      </c>
      <c r="H121" s="49">
        <f t="shared" si="22"/>
        <v>0.40707264925330899</v>
      </c>
      <c r="I121" s="49">
        <f t="shared" si="33"/>
        <v>0.40707264925330899</v>
      </c>
      <c r="J121" s="48">
        <v>0.6</v>
      </c>
      <c r="K121" s="48">
        <f t="shared" si="23"/>
        <v>0.68080858585325277</v>
      </c>
      <c r="L121" s="48">
        <v>301000</v>
      </c>
      <c r="M121" s="48">
        <v>302000</v>
      </c>
      <c r="N121" s="51">
        <v>125395903</v>
      </c>
      <c r="O121" s="48">
        <f t="shared" si="24"/>
        <v>7.0572160272718403</v>
      </c>
      <c r="P121" s="48">
        <f t="shared" si="34"/>
        <v>7.0572160272718403</v>
      </c>
      <c r="Q121" s="49">
        <v>0</v>
      </c>
      <c r="R121" s="49">
        <f t="shared" si="25"/>
        <v>0</v>
      </c>
      <c r="S121" s="49">
        <v>223800</v>
      </c>
      <c r="T121" s="49">
        <v>227100</v>
      </c>
      <c r="U121" s="49">
        <v>15956260</v>
      </c>
      <c r="V121" s="49">
        <f t="shared" si="26"/>
        <v>0</v>
      </c>
      <c r="W121" s="49">
        <f t="shared" si="35"/>
        <v>0</v>
      </c>
      <c r="X121" s="48">
        <v>0</v>
      </c>
      <c r="Y121" s="48">
        <f t="shared" si="27"/>
        <v>0</v>
      </c>
      <c r="Z121" s="48">
        <v>0</v>
      </c>
      <c r="AA121" s="48">
        <v>0</v>
      </c>
      <c r="AB121" s="48">
        <v>0</v>
      </c>
      <c r="AC121" s="48">
        <f t="shared" si="28"/>
        <v>0</v>
      </c>
      <c r="AD121" s="48">
        <f t="shared" si="36"/>
        <v>0</v>
      </c>
      <c r="AE121" s="49">
        <v>0</v>
      </c>
      <c r="AF121" s="49">
        <f t="shared" si="29"/>
        <v>0</v>
      </c>
      <c r="AG121" s="49">
        <v>0</v>
      </c>
      <c r="AH121" s="49">
        <v>0</v>
      </c>
      <c r="AI121" s="49">
        <v>0</v>
      </c>
      <c r="AJ121" s="49">
        <f t="shared" si="30"/>
        <v>0</v>
      </c>
      <c r="AK121" s="49">
        <f t="shared" si="37"/>
        <v>0</v>
      </c>
      <c r="AL121" s="82">
        <f t="shared" si="38"/>
        <v>0</v>
      </c>
      <c r="AM121" s="82">
        <f t="shared" si="39"/>
        <v>333304924361493.37</v>
      </c>
      <c r="AN121" s="81">
        <f t="shared" si="31"/>
        <v>392553340877174.62</v>
      </c>
      <c r="AO121" s="80">
        <f t="shared" si="20"/>
        <v>1177.7603995175962</v>
      </c>
      <c r="AP121" s="52">
        <f t="shared" si="32"/>
        <v>8.6524736381994038E-3</v>
      </c>
      <c r="AQ121" s="48">
        <f>(F121-E121)/E121</f>
        <v>2.021276595744681E-2</v>
      </c>
      <c r="AR121" s="48">
        <f>(M121-L121)/L121</f>
        <v>3.3222591362126247E-3</v>
      </c>
      <c r="AS121" s="48">
        <f>(T121-S121)/S121</f>
        <v>1.4745308310991957E-2</v>
      </c>
      <c r="AT121" s="48" t="e">
        <f>(#REF!-#REF!)/#REF!</f>
        <v>#REF!</v>
      </c>
    </row>
    <row r="122" spans="1:46" x14ac:dyDescent="0.3">
      <c r="A122" s="48">
        <v>20180628</v>
      </c>
      <c r="B122" s="48" t="s">
        <v>88</v>
      </c>
      <c r="C122" s="79">
        <v>0.4</v>
      </c>
      <c r="D122" s="79">
        <f t="shared" si="21"/>
        <v>0.31681833117264252</v>
      </c>
      <c r="E122" s="49">
        <v>47950</v>
      </c>
      <c r="F122" s="49">
        <v>46800</v>
      </c>
      <c r="G122" s="49">
        <v>6419324700</v>
      </c>
      <c r="H122" s="49">
        <f t="shared" si="22"/>
        <v>0.40707264925330899</v>
      </c>
      <c r="I122" s="49">
        <f t="shared" si="33"/>
        <v>0.40707264925330899</v>
      </c>
      <c r="J122" s="48">
        <v>0.6</v>
      </c>
      <c r="K122" s="48">
        <f t="shared" si="23"/>
        <v>0.68318166882735742</v>
      </c>
      <c r="L122" s="48">
        <v>302000</v>
      </c>
      <c r="M122" s="48">
        <v>298000</v>
      </c>
      <c r="N122" s="51">
        <v>125395903</v>
      </c>
      <c r="O122" s="48">
        <f t="shared" si="24"/>
        <v>7.0572160272718403</v>
      </c>
      <c r="P122" s="48">
        <f t="shared" si="34"/>
        <v>7.0572160272718403</v>
      </c>
      <c r="Q122" s="49">
        <v>0</v>
      </c>
      <c r="R122" s="49">
        <f t="shared" si="25"/>
        <v>0</v>
      </c>
      <c r="S122" s="49">
        <v>227100</v>
      </c>
      <c r="T122" s="49">
        <v>227600</v>
      </c>
      <c r="U122" s="49">
        <v>15956260</v>
      </c>
      <c r="V122" s="49">
        <f t="shared" si="26"/>
        <v>0</v>
      </c>
      <c r="W122" s="49">
        <f t="shared" si="35"/>
        <v>0</v>
      </c>
      <c r="X122" s="48">
        <v>0</v>
      </c>
      <c r="Y122" s="48">
        <f t="shared" si="27"/>
        <v>0</v>
      </c>
      <c r="Z122" s="48">
        <v>0</v>
      </c>
      <c r="AA122" s="48">
        <v>0</v>
      </c>
      <c r="AB122" s="48">
        <v>0</v>
      </c>
      <c r="AC122" s="48">
        <f t="shared" si="28"/>
        <v>0</v>
      </c>
      <c r="AD122" s="48">
        <f t="shared" si="36"/>
        <v>0</v>
      </c>
      <c r="AE122" s="49">
        <v>0</v>
      </c>
      <c r="AF122" s="49">
        <f t="shared" si="29"/>
        <v>0</v>
      </c>
      <c r="AG122" s="49">
        <v>0</v>
      </c>
      <c r="AH122" s="49">
        <v>0</v>
      </c>
      <c r="AI122" s="49">
        <v>0</v>
      </c>
      <c r="AJ122" s="49">
        <f t="shared" si="30"/>
        <v>0</v>
      </c>
      <c r="AK122" s="49">
        <f t="shared" si="37"/>
        <v>0</v>
      </c>
      <c r="AL122" s="82">
        <f t="shared" si="38"/>
        <v>0</v>
      </c>
      <c r="AM122" s="82">
        <f t="shared" si="39"/>
        <v>333304924361493.37</v>
      </c>
      <c r="AN122" s="81">
        <f t="shared" si="31"/>
        <v>386008455732698.19</v>
      </c>
      <c r="AO122" s="80">
        <f t="shared" si="20"/>
        <v>1158.1240705404161</v>
      </c>
      <c r="AP122" s="52">
        <f t="shared" si="32"/>
        <v>-1.6672600798280326E-2</v>
      </c>
      <c r="AQ122" s="48">
        <f>(F122-E122)/E122</f>
        <v>-2.3983315954118872E-2</v>
      </c>
      <c r="AR122" s="48">
        <f>(M122-L122)/L122</f>
        <v>-1.3245033112582781E-2</v>
      </c>
      <c r="AS122" s="48">
        <f>(T122-S122)/S122</f>
        <v>2.2016732716864818E-3</v>
      </c>
      <c r="AT122" s="48" t="e">
        <f>(#REF!-#REF!)/#REF!</f>
        <v>#REF!</v>
      </c>
    </row>
    <row r="123" spans="1:46" x14ac:dyDescent="0.3">
      <c r="A123" s="48">
        <v>20180629</v>
      </c>
      <c r="B123" s="48" t="s">
        <v>88</v>
      </c>
      <c r="C123" s="79">
        <v>0.4</v>
      </c>
      <c r="D123" s="79">
        <f t="shared" si="21"/>
        <v>0.31218355211663568</v>
      </c>
      <c r="E123" s="49">
        <v>46800</v>
      </c>
      <c r="F123" s="49">
        <v>46650</v>
      </c>
      <c r="G123" s="49">
        <v>6419324700</v>
      </c>
      <c r="H123" s="49">
        <f t="shared" si="22"/>
        <v>0.40707264925330899</v>
      </c>
      <c r="I123" s="49">
        <f t="shared" si="33"/>
        <v>0.40707264925330899</v>
      </c>
      <c r="J123" s="48">
        <v>0.6</v>
      </c>
      <c r="K123" s="48">
        <f t="shared" si="23"/>
        <v>0.68781644788336438</v>
      </c>
      <c r="L123" s="48">
        <v>298000</v>
      </c>
      <c r="M123" s="48">
        <v>303500</v>
      </c>
      <c r="N123" s="51">
        <v>125395903</v>
      </c>
      <c r="O123" s="48">
        <f t="shared" si="24"/>
        <v>7.0572160272718403</v>
      </c>
      <c r="P123" s="48">
        <f t="shared" si="34"/>
        <v>7.0572160272718403</v>
      </c>
      <c r="Q123" s="49">
        <v>0</v>
      </c>
      <c r="R123" s="49">
        <f t="shared" si="25"/>
        <v>0</v>
      </c>
      <c r="S123" s="49">
        <v>227600</v>
      </c>
      <c r="T123" s="49">
        <v>235600</v>
      </c>
      <c r="U123" s="49">
        <v>15956260</v>
      </c>
      <c r="V123" s="49">
        <f t="shared" si="26"/>
        <v>0</v>
      </c>
      <c r="W123" s="49">
        <f t="shared" si="35"/>
        <v>0</v>
      </c>
      <c r="X123" s="48">
        <v>0</v>
      </c>
      <c r="Y123" s="48">
        <f t="shared" si="27"/>
        <v>0</v>
      </c>
      <c r="Z123" s="48">
        <v>0</v>
      </c>
      <c r="AA123" s="48">
        <v>0</v>
      </c>
      <c r="AB123" s="48">
        <v>0</v>
      </c>
      <c r="AC123" s="48">
        <f t="shared" si="28"/>
        <v>0</v>
      </c>
      <c r="AD123" s="48">
        <f t="shared" si="36"/>
        <v>0</v>
      </c>
      <c r="AE123" s="49">
        <v>0</v>
      </c>
      <c r="AF123" s="49">
        <f t="shared" si="29"/>
        <v>0</v>
      </c>
      <c r="AG123" s="49">
        <v>0</v>
      </c>
      <c r="AH123" s="49">
        <v>0</v>
      </c>
      <c r="AI123" s="49">
        <v>0</v>
      </c>
      <c r="AJ123" s="49">
        <f t="shared" si="30"/>
        <v>0</v>
      </c>
      <c r="AK123" s="49">
        <f t="shared" si="37"/>
        <v>0</v>
      </c>
      <c r="AL123" s="82">
        <f t="shared" si="38"/>
        <v>0</v>
      </c>
      <c r="AM123" s="82">
        <f t="shared" si="39"/>
        <v>333304924361493.37</v>
      </c>
      <c r="AN123" s="81">
        <f t="shared" si="31"/>
        <v>390483688876123.25</v>
      </c>
      <c r="AO123" s="80">
        <f t="shared" si="20"/>
        <v>1171.55091429917</v>
      </c>
      <c r="AP123" s="52">
        <f t="shared" si="32"/>
        <v>1.1593614276999268E-2</v>
      </c>
      <c r="AQ123" s="48">
        <f>(F123-E123)/E123</f>
        <v>-3.205128205128205E-3</v>
      </c>
      <c r="AR123" s="48">
        <f>(M123-L123)/L123</f>
        <v>1.8456375838926176E-2</v>
      </c>
      <c r="AS123" s="48">
        <f>(T123-S123)/S123</f>
        <v>3.5149384885764502E-2</v>
      </c>
      <c r="AT123" s="48" t="e">
        <f>(#REF!-#REF!)/#REF!</f>
        <v>#REF!</v>
      </c>
    </row>
    <row r="124" spans="1:46" s="147" customFormat="1" x14ac:dyDescent="0.3">
      <c r="A124" s="139">
        <v>20180702</v>
      </c>
      <c r="B124" s="139" t="s">
        <v>89</v>
      </c>
      <c r="C124" s="140">
        <v>0.4</v>
      </c>
      <c r="D124" s="140">
        <f t="shared" si="21"/>
        <v>0.40030757223884039</v>
      </c>
      <c r="E124" s="139">
        <v>46650</v>
      </c>
      <c r="F124" s="139">
        <v>45550</v>
      </c>
      <c r="G124" s="139">
        <v>6419324700</v>
      </c>
      <c r="H124" s="139">
        <f t="shared" si="22"/>
        <v>0.40707264925330899</v>
      </c>
      <c r="I124" s="141">
        <f t="shared" si="33"/>
        <v>0.45585619760779</v>
      </c>
      <c r="J124" s="141">
        <v>0.3</v>
      </c>
      <c r="K124" s="141">
        <f t="shared" si="23"/>
        <v>0.30748103586622205</v>
      </c>
      <c r="L124" s="139">
        <v>303500</v>
      </c>
      <c r="M124" s="139">
        <v>303500</v>
      </c>
      <c r="N124" s="142">
        <v>125395903</v>
      </c>
      <c r="O124" s="139">
        <f t="shared" si="24"/>
        <v>7.0572160272718403</v>
      </c>
      <c r="P124" s="141">
        <f t="shared" si="34"/>
        <v>2.6902217281479599</v>
      </c>
      <c r="Q124" s="141">
        <v>0.3</v>
      </c>
      <c r="R124" s="141">
        <f t="shared" si="25"/>
        <v>0.29221139189493761</v>
      </c>
      <c r="S124" s="139">
        <v>235600</v>
      </c>
      <c r="T124" s="139">
        <v>223900</v>
      </c>
      <c r="U124" s="139">
        <v>15956260</v>
      </c>
      <c r="V124" s="139">
        <f t="shared" si="26"/>
        <v>0</v>
      </c>
      <c r="W124" s="141">
        <f t="shared" si="35"/>
        <v>27.2347710204326</v>
      </c>
      <c r="X124" s="141">
        <v>0</v>
      </c>
      <c r="Y124" s="141">
        <f t="shared" si="27"/>
        <v>0</v>
      </c>
      <c r="Z124" s="141">
        <v>0</v>
      </c>
      <c r="AA124" s="141">
        <v>0</v>
      </c>
      <c r="AB124" s="141">
        <v>0</v>
      </c>
      <c r="AC124" s="139">
        <f t="shared" si="28"/>
        <v>0</v>
      </c>
      <c r="AD124" s="141">
        <f t="shared" si="36"/>
        <v>0</v>
      </c>
      <c r="AE124" s="141">
        <v>0</v>
      </c>
      <c r="AF124" s="141">
        <f t="shared" si="29"/>
        <v>0</v>
      </c>
      <c r="AG124" s="141">
        <v>0</v>
      </c>
      <c r="AH124" s="141">
        <v>0</v>
      </c>
      <c r="AI124" s="141">
        <v>0</v>
      </c>
      <c r="AJ124" s="139">
        <f t="shared" si="30"/>
        <v>0</v>
      </c>
      <c r="AK124" s="141">
        <f t="shared" si="37"/>
        <v>0</v>
      </c>
      <c r="AL124" s="82">
        <f t="shared" si="38"/>
        <v>0</v>
      </c>
      <c r="AM124" s="82">
        <f t="shared" si="39"/>
        <v>291304837464665.44</v>
      </c>
      <c r="AN124" s="144">
        <f t="shared" si="31"/>
        <v>332975119304575.87</v>
      </c>
      <c r="AO124" s="145">
        <f t="shared" si="20"/>
        <v>1143.0469957264781</v>
      </c>
      <c r="AP124" s="146">
        <f t="shared" si="32"/>
        <v>-2.4330072406407634E-2</v>
      </c>
      <c r="AQ124" s="139">
        <f>(F124-E124)/E124</f>
        <v>-2.3579849946409433E-2</v>
      </c>
      <c r="AR124" s="139">
        <f>(M124-L124)/L124</f>
        <v>0</v>
      </c>
      <c r="AS124" s="139">
        <f>(T124-S124)/S124</f>
        <v>-4.9660441426146007E-2</v>
      </c>
      <c r="AT124" s="139" t="e">
        <f>(#REF!-#REF!)/#REF!</f>
        <v>#REF!</v>
      </c>
    </row>
    <row r="125" spans="1:46" s="73" customFormat="1" x14ac:dyDescent="0.3">
      <c r="A125" s="48">
        <v>20180703</v>
      </c>
      <c r="B125" s="48" t="s">
        <v>88</v>
      </c>
      <c r="C125" s="79">
        <v>0.4</v>
      </c>
      <c r="D125" s="79">
        <f t="shared" si="21"/>
        <v>0.40465521669314358</v>
      </c>
      <c r="E125" s="49">
        <v>45550</v>
      </c>
      <c r="F125" s="49">
        <v>46150</v>
      </c>
      <c r="G125" s="49">
        <v>6419324700</v>
      </c>
      <c r="H125" s="49">
        <f t="shared" si="22"/>
        <v>0.45585619760779</v>
      </c>
      <c r="I125" s="49">
        <f t="shared" si="33"/>
        <v>0.45585619760779</v>
      </c>
      <c r="J125" s="48">
        <v>0.3</v>
      </c>
      <c r="K125" s="48">
        <f t="shared" si="23"/>
        <v>0.30627410734622312</v>
      </c>
      <c r="L125" s="48">
        <v>303500</v>
      </c>
      <c r="M125" s="48">
        <v>303000</v>
      </c>
      <c r="N125" s="51">
        <v>125395903</v>
      </c>
      <c r="O125" s="48">
        <f t="shared" si="24"/>
        <v>2.6902217281479599</v>
      </c>
      <c r="P125" s="48">
        <f t="shared" si="34"/>
        <v>2.6902217281479599</v>
      </c>
      <c r="Q125" s="49">
        <v>0.3</v>
      </c>
      <c r="R125" s="49">
        <f t="shared" si="25"/>
        <v>0.28907067596063329</v>
      </c>
      <c r="S125" s="49">
        <v>223900</v>
      </c>
      <c r="T125" s="49">
        <v>222000</v>
      </c>
      <c r="U125" s="49">
        <v>15956260</v>
      </c>
      <c r="V125" s="49">
        <f t="shared" si="26"/>
        <v>27.2347710204326</v>
      </c>
      <c r="W125" s="49">
        <f t="shared" si="35"/>
        <v>27.2347710204326</v>
      </c>
      <c r="X125" s="48">
        <v>0</v>
      </c>
      <c r="Y125" s="48">
        <f t="shared" si="27"/>
        <v>0</v>
      </c>
      <c r="Z125" s="48">
        <v>0</v>
      </c>
      <c r="AA125" s="48">
        <v>0</v>
      </c>
      <c r="AB125" s="48">
        <v>0</v>
      </c>
      <c r="AC125" s="48">
        <f t="shared" si="28"/>
        <v>0</v>
      </c>
      <c r="AD125" s="48">
        <f t="shared" si="36"/>
        <v>0</v>
      </c>
      <c r="AE125" s="49">
        <v>0</v>
      </c>
      <c r="AF125" s="49">
        <f t="shared" si="29"/>
        <v>0</v>
      </c>
      <c r="AG125" s="49">
        <v>0</v>
      </c>
      <c r="AH125" s="49">
        <v>0</v>
      </c>
      <c r="AI125" s="49">
        <v>0</v>
      </c>
      <c r="AJ125" s="49">
        <f t="shared" si="30"/>
        <v>0</v>
      </c>
      <c r="AK125" s="49">
        <f t="shared" si="37"/>
        <v>0</v>
      </c>
      <c r="AL125" s="82">
        <f t="shared" si="38"/>
        <v>0</v>
      </c>
      <c r="AM125" s="82">
        <f t="shared" si="39"/>
        <v>291304837464665.44</v>
      </c>
      <c r="AN125" s="81">
        <f t="shared" si="31"/>
        <v>333736547616370.56</v>
      </c>
      <c r="AO125" s="80">
        <f t="shared" si="20"/>
        <v>1145.6608497167574</v>
      </c>
      <c r="AP125" s="52">
        <f t="shared" si="32"/>
        <v>2.2867423649698664E-3</v>
      </c>
      <c r="AQ125" s="48">
        <f>(F125-E125)/E125</f>
        <v>1.3172338090010977E-2</v>
      </c>
      <c r="AR125" s="48">
        <f>(M125-L125)/L125</f>
        <v>-1.6474464579901153E-3</v>
      </c>
      <c r="AS125" s="48">
        <f>(T125-S125)/S125</f>
        <v>-8.4859312192943279E-3</v>
      </c>
      <c r="AT125" s="48" t="e">
        <f>(#REF!-#REF!)/#REF!</f>
        <v>#REF!</v>
      </c>
    </row>
    <row r="126" spans="1:46" x14ac:dyDescent="0.3">
      <c r="A126" s="48">
        <v>20180704</v>
      </c>
      <c r="B126" s="48" t="s">
        <v>88</v>
      </c>
      <c r="C126" s="79">
        <v>0.4</v>
      </c>
      <c r="D126" s="79">
        <f t="shared" si="21"/>
        <v>0.41347540971555535</v>
      </c>
      <c r="E126" s="49">
        <v>46150</v>
      </c>
      <c r="F126" s="49">
        <v>46250</v>
      </c>
      <c r="G126" s="49">
        <v>6419324700</v>
      </c>
      <c r="H126" s="49">
        <f t="shared" si="22"/>
        <v>0.45585619760779</v>
      </c>
      <c r="I126" s="49">
        <f t="shared" si="33"/>
        <v>0.45585619760779</v>
      </c>
      <c r="J126" s="48">
        <v>0.3</v>
      </c>
      <c r="K126" s="48">
        <f t="shared" si="23"/>
        <v>0.30042130221995977</v>
      </c>
      <c r="L126" s="48">
        <v>303000</v>
      </c>
      <c r="M126" s="48">
        <v>291500</v>
      </c>
      <c r="N126" s="51">
        <v>125395903</v>
      </c>
      <c r="O126" s="48">
        <f t="shared" si="24"/>
        <v>2.6902217281479599</v>
      </c>
      <c r="P126" s="48">
        <f t="shared" si="34"/>
        <v>2.6902217281479599</v>
      </c>
      <c r="Q126" s="49">
        <v>0.3</v>
      </c>
      <c r="R126" s="49">
        <f t="shared" si="25"/>
        <v>0.28610328806448498</v>
      </c>
      <c r="S126" s="49">
        <v>222000</v>
      </c>
      <c r="T126" s="49">
        <v>215500</v>
      </c>
      <c r="U126" s="49">
        <v>15956260</v>
      </c>
      <c r="V126" s="49">
        <f t="shared" si="26"/>
        <v>27.2347710204326</v>
      </c>
      <c r="W126" s="49">
        <f t="shared" si="35"/>
        <v>27.2347710204326</v>
      </c>
      <c r="X126" s="48">
        <v>0</v>
      </c>
      <c r="Y126" s="48">
        <f t="shared" si="27"/>
        <v>0</v>
      </c>
      <c r="Z126" s="48">
        <v>0</v>
      </c>
      <c r="AA126" s="48">
        <v>0</v>
      </c>
      <c r="AB126" s="48">
        <v>0</v>
      </c>
      <c r="AC126" s="48">
        <f t="shared" si="28"/>
        <v>0</v>
      </c>
      <c r="AD126" s="48">
        <f t="shared" si="36"/>
        <v>0</v>
      </c>
      <c r="AE126" s="49">
        <v>0</v>
      </c>
      <c r="AF126" s="49">
        <f t="shared" si="29"/>
        <v>0</v>
      </c>
      <c r="AG126" s="49">
        <v>0</v>
      </c>
      <c r="AH126" s="49">
        <v>0</v>
      </c>
      <c r="AI126" s="49">
        <v>0</v>
      </c>
      <c r="AJ126" s="49">
        <f t="shared" si="30"/>
        <v>0</v>
      </c>
      <c r="AK126" s="49">
        <f t="shared" si="37"/>
        <v>0</v>
      </c>
      <c r="AL126" s="82">
        <f t="shared" si="38"/>
        <v>0</v>
      </c>
      <c r="AM126" s="82">
        <f t="shared" si="39"/>
        <v>291304837464665.44</v>
      </c>
      <c r="AN126" s="81">
        <f t="shared" si="31"/>
        <v>327325061439869.19</v>
      </c>
      <c r="AO126" s="80">
        <f t="shared" si="20"/>
        <v>1123.6513072996013</v>
      </c>
      <c r="AP126" s="52">
        <f t="shared" si="32"/>
        <v>-1.9211219814832252E-2</v>
      </c>
      <c r="AQ126" s="48">
        <f>(F126-E126)/E126</f>
        <v>2.1668472372697724E-3</v>
      </c>
      <c r="AR126" s="48">
        <f>(M126-L126)/L126</f>
        <v>-3.7953795379537955E-2</v>
      </c>
      <c r="AS126" s="48">
        <f>(T126-S126)/S126</f>
        <v>-2.9279279279279279E-2</v>
      </c>
      <c r="AT126" s="48" t="e">
        <f>(#REF!-#REF!)/#REF!</f>
        <v>#REF!</v>
      </c>
    </row>
    <row r="127" spans="1:46" x14ac:dyDescent="0.3">
      <c r="A127" s="48">
        <v>20180705</v>
      </c>
      <c r="B127" s="48" t="s">
        <v>88</v>
      </c>
      <c r="C127" s="79">
        <v>0.4</v>
      </c>
      <c r="D127" s="79">
        <f t="shared" si="21"/>
        <v>0.41953517284703584</v>
      </c>
      <c r="E127" s="49">
        <v>46250</v>
      </c>
      <c r="F127" s="49">
        <v>45950</v>
      </c>
      <c r="G127" s="49">
        <v>6419324700</v>
      </c>
      <c r="H127" s="49">
        <f t="shared" si="22"/>
        <v>0.45585619760779</v>
      </c>
      <c r="I127" s="49">
        <f t="shared" si="33"/>
        <v>0.45585619760779</v>
      </c>
      <c r="J127" s="48">
        <v>0.3</v>
      </c>
      <c r="K127" s="48">
        <f t="shared" si="23"/>
        <v>0.29681523283964584</v>
      </c>
      <c r="L127" s="48">
        <v>291500</v>
      </c>
      <c r="M127" s="48">
        <v>282000</v>
      </c>
      <c r="N127" s="51">
        <v>125395903</v>
      </c>
      <c r="O127" s="48">
        <f t="shared" si="24"/>
        <v>2.6902217281479599</v>
      </c>
      <c r="P127" s="48">
        <f t="shared" si="34"/>
        <v>2.6902217281479599</v>
      </c>
      <c r="Q127" s="49">
        <v>0.3</v>
      </c>
      <c r="R127" s="49">
        <f t="shared" si="25"/>
        <v>0.28364959431331827</v>
      </c>
      <c r="S127" s="49">
        <v>215500</v>
      </c>
      <c r="T127" s="49">
        <v>209200</v>
      </c>
      <c r="U127" s="49">
        <v>15956260</v>
      </c>
      <c r="V127" s="49">
        <f t="shared" si="26"/>
        <v>27.2347710204326</v>
      </c>
      <c r="W127" s="49">
        <f t="shared" si="35"/>
        <v>27.2347710204326</v>
      </c>
      <c r="X127" s="48">
        <v>0</v>
      </c>
      <c r="Y127" s="48">
        <f t="shared" si="27"/>
        <v>0</v>
      </c>
      <c r="Z127" s="48">
        <v>0</v>
      </c>
      <c r="AA127" s="48">
        <v>0</v>
      </c>
      <c r="AB127" s="48">
        <v>0</v>
      </c>
      <c r="AC127" s="48">
        <f t="shared" si="28"/>
        <v>0</v>
      </c>
      <c r="AD127" s="48">
        <f t="shared" si="36"/>
        <v>0</v>
      </c>
      <c r="AE127" s="49">
        <v>0</v>
      </c>
      <c r="AF127" s="49">
        <f t="shared" si="29"/>
        <v>0</v>
      </c>
      <c r="AG127" s="49">
        <v>0</v>
      </c>
      <c r="AH127" s="49">
        <v>0</v>
      </c>
      <c r="AI127" s="49">
        <v>0</v>
      </c>
      <c r="AJ127" s="49">
        <f t="shared" si="30"/>
        <v>0</v>
      </c>
      <c r="AK127" s="49">
        <f t="shared" si="37"/>
        <v>0</v>
      </c>
      <c r="AL127" s="82">
        <f t="shared" si="38"/>
        <v>0</v>
      </c>
      <c r="AM127" s="82">
        <f t="shared" si="39"/>
        <v>291304837464665.44</v>
      </c>
      <c r="AN127" s="81">
        <f t="shared" si="31"/>
        <v>320504658267018.37</v>
      </c>
      <c r="AO127" s="80">
        <f t="shared" si="20"/>
        <v>1100.2380223290827</v>
      </c>
      <c r="AP127" s="52">
        <f t="shared" si="32"/>
        <v>-2.0836788795971079E-2</v>
      </c>
      <c r="AQ127" s="48">
        <f>(F127-E127)/E127</f>
        <v>-6.4864864864864862E-3</v>
      </c>
      <c r="AR127" s="48">
        <f>(M127-L127)/L127</f>
        <v>-3.2590051457975985E-2</v>
      </c>
      <c r="AS127" s="48">
        <f>(T127-S127)/S127</f>
        <v>-2.923433874709977E-2</v>
      </c>
      <c r="AT127" s="48" t="e">
        <f>(#REF!-#REF!)/#REF!</f>
        <v>#REF!</v>
      </c>
    </row>
    <row r="128" spans="1:46" x14ac:dyDescent="0.3">
      <c r="A128" s="48">
        <v>20180706</v>
      </c>
      <c r="B128" s="48" t="s">
        <v>88</v>
      </c>
      <c r="C128" s="79">
        <v>0.4</v>
      </c>
      <c r="D128" s="79">
        <f t="shared" si="21"/>
        <v>0.40628425498590703</v>
      </c>
      <c r="E128" s="49">
        <v>45950</v>
      </c>
      <c r="F128" s="49">
        <v>44900</v>
      </c>
      <c r="G128" s="49">
        <v>6419324700</v>
      </c>
      <c r="H128" s="49">
        <f t="shared" si="22"/>
        <v>0.45585619760779</v>
      </c>
      <c r="I128" s="49">
        <f t="shared" si="33"/>
        <v>0.45585619760779</v>
      </c>
      <c r="J128" s="48">
        <v>0.3</v>
      </c>
      <c r="K128" s="48">
        <f t="shared" si="23"/>
        <v>0.30198573968122233</v>
      </c>
      <c r="L128" s="48">
        <v>282000</v>
      </c>
      <c r="M128" s="48">
        <v>289500</v>
      </c>
      <c r="N128" s="51">
        <v>125395903</v>
      </c>
      <c r="O128" s="48">
        <f t="shared" si="24"/>
        <v>2.6902217281479599</v>
      </c>
      <c r="P128" s="48">
        <f t="shared" si="34"/>
        <v>2.6902217281479599</v>
      </c>
      <c r="Q128" s="49">
        <v>0.3</v>
      </c>
      <c r="R128" s="49">
        <f t="shared" si="25"/>
        <v>0.29173000533287069</v>
      </c>
      <c r="S128" s="49">
        <v>209200</v>
      </c>
      <c r="T128" s="49">
        <v>217100</v>
      </c>
      <c r="U128" s="49">
        <v>15956260</v>
      </c>
      <c r="V128" s="49">
        <f t="shared" si="26"/>
        <v>27.2347710204326</v>
      </c>
      <c r="W128" s="49">
        <f t="shared" si="35"/>
        <v>27.2347710204326</v>
      </c>
      <c r="X128" s="48">
        <v>0</v>
      </c>
      <c r="Y128" s="48">
        <f t="shared" si="27"/>
        <v>0</v>
      </c>
      <c r="Z128" s="48">
        <v>0</v>
      </c>
      <c r="AA128" s="48">
        <v>0</v>
      </c>
      <c r="AB128" s="48">
        <v>0</v>
      </c>
      <c r="AC128" s="48">
        <f t="shared" si="28"/>
        <v>0</v>
      </c>
      <c r="AD128" s="48">
        <f t="shared" si="36"/>
        <v>0</v>
      </c>
      <c r="AE128" s="49">
        <v>0</v>
      </c>
      <c r="AF128" s="49">
        <f t="shared" si="29"/>
        <v>0</v>
      </c>
      <c r="AG128" s="49">
        <v>0</v>
      </c>
      <c r="AH128" s="49">
        <v>0</v>
      </c>
      <c r="AI128" s="49">
        <v>0</v>
      </c>
      <c r="AJ128" s="49">
        <f t="shared" si="30"/>
        <v>0</v>
      </c>
      <c r="AK128" s="49">
        <f t="shared" si="37"/>
        <v>0</v>
      </c>
      <c r="AL128" s="82">
        <f t="shared" si="38"/>
        <v>0</v>
      </c>
      <c r="AM128" s="82">
        <f t="shared" si="39"/>
        <v>291304837464665.44</v>
      </c>
      <c r="AN128" s="81">
        <f t="shared" si="31"/>
        <v>323395189932949.62</v>
      </c>
      <c r="AO128" s="80">
        <f t="shared" si="20"/>
        <v>1110.1607262947589</v>
      </c>
      <c r="AP128" s="52">
        <f t="shared" si="32"/>
        <v>9.0186884694921921E-3</v>
      </c>
      <c r="AQ128" s="48">
        <f>(F128-E128)/E128</f>
        <v>-2.2850924918389554E-2</v>
      </c>
      <c r="AR128" s="48">
        <f>(M128-L128)/L128</f>
        <v>2.6595744680851064E-2</v>
      </c>
      <c r="AS128" s="48">
        <f>(T128-S128)/S128</f>
        <v>3.7762906309751432E-2</v>
      </c>
      <c r="AT128" s="48" t="e">
        <f>(#REF!-#REF!)/#REF!</f>
        <v>#REF!</v>
      </c>
    </row>
    <row r="129" spans="1:46" x14ac:dyDescent="0.3">
      <c r="A129" s="48">
        <v>20180709</v>
      </c>
      <c r="B129" s="48" t="s">
        <v>88</v>
      </c>
      <c r="C129" s="79">
        <v>0.4</v>
      </c>
      <c r="D129" s="79">
        <f t="shared" si="21"/>
        <v>0.40604666761274177</v>
      </c>
      <c r="E129" s="49">
        <v>44900</v>
      </c>
      <c r="F129" s="49">
        <v>45600</v>
      </c>
      <c r="G129" s="49">
        <v>6419324700</v>
      </c>
      <c r="H129" s="49">
        <f t="shared" si="22"/>
        <v>0.45585619760779</v>
      </c>
      <c r="I129" s="49">
        <f t="shared" si="33"/>
        <v>0.45585619760779</v>
      </c>
      <c r="J129" s="48">
        <v>0.3</v>
      </c>
      <c r="K129" s="48">
        <f t="shared" si="23"/>
        <v>0.29153027619299865</v>
      </c>
      <c r="L129" s="48">
        <v>289500</v>
      </c>
      <c r="M129" s="48">
        <v>284000</v>
      </c>
      <c r="N129" s="51">
        <v>125395903</v>
      </c>
      <c r="O129" s="48">
        <f t="shared" si="24"/>
        <v>2.6902217281479599</v>
      </c>
      <c r="P129" s="48">
        <f t="shared" si="34"/>
        <v>2.6902217281479599</v>
      </c>
      <c r="Q129" s="49">
        <v>0.3</v>
      </c>
      <c r="R129" s="49">
        <f t="shared" si="25"/>
        <v>0.30242305619425952</v>
      </c>
      <c r="S129" s="49">
        <v>217100</v>
      </c>
      <c r="T129" s="49">
        <v>228700</v>
      </c>
      <c r="U129" s="49">
        <v>15956260</v>
      </c>
      <c r="V129" s="49">
        <f t="shared" si="26"/>
        <v>27.2347710204326</v>
      </c>
      <c r="W129" s="49">
        <f t="shared" si="35"/>
        <v>27.2347710204326</v>
      </c>
      <c r="X129" s="48">
        <v>0</v>
      </c>
      <c r="Y129" s="48">
        <f t="shared" si="27"/>
        <v>0</v>
      </c>
      <c r="Z129" s="48">
        <v>0</v>
      </c>
      <c r="AA129" s="48">
        <v>0</v>
      </c>
      <c r="AB129" s="48">
        <v>0</v>
      </c>
      <c r="AC129" s="48">
        <f t="shared" si="28"/>
        <v>0</v>
      </c>
      <c r="AD129" s="48">
        <f t="shared" si="36"/>
        <v>0</v>
      </c>
      <c r="AE129" s="49">
        <v>0</v>
      </c>
      <c r="AF129" s="49">
        <f t="shared" si="29"/>
        <v>0</v>
      </c>
      <c r="AG129" s="49">
        <v>0</v>
      </c>
      <c r="AH129" s="49">
        <v>0</v>
      </c>
      <c r="AI129" s="49">
        <v>0</v>
      </c>
      <c r="AJ129" s="49">
        <f t="shared" si="30"/>
        <v>0</v>
      </c>
      <c r="AK129" s="49">
        <f t="shared" si="37"/>
        <v>0</v>
      </c>
      <c r="AL129" s="82">
        <f t="shared" si="38"/>
        <v>0</v>
      </c>
      <c r="AM129" s="82">
        <f t="shared" si="39"/>
        <v>291304837464665.44</v>
      </c>
      <c r="AN129" s="81">
        <f t="shared" si="31"/>
        <v>328629161905756.44</v>
      </c>
      <c r="AO129" s="80">
        <f t="shared" si="20"/>
        <v>1128.1280625681966</v>
      </c>
      <c r="AP129" s="52">
        <f t="shared" si="32"/>
        <v>1.6184445952618923E-2</v>
      </c>
      <c r="AQ129" s="48">
        <f>(F129-E129)/E129</f>
        <v>1.5590200445434299E-2</v>
      </c>
      <c r="AR129" s="48">
        <f>(M129-L129)/L129</f>
        <v>-1.8998272884283247E-2</v>
      </c>
      <c r="AS129" s="48">
        <f>(T129-S129)/S129</f>
        <v>5.3431598341777985E-2</v>
      </c>
      <c r="AT129" s="48" t="e">
        <f>(#REF!-#REF!)/#REF!</f>
        <v>#REF!</v>
      </c>
    </row>
    <row r="130" spans="1:46" x14ac:dyDescent="0.3">
      <c r="A130" s="48">
        <v>20180710</v>
      </c>
      <c r="B130" s="48" t="s">
        <v>88</v>
      </c>
      <c r="C130" s="79">
        <v>0.4</v>
      </c>
      <c r="D130" s="79">
        <f t="shared" si="21"/>
        <v>0.40974147182621262</v>
      </c>
      <c r="E130" s="49">
        <v>45600</v>
      </c>
      <c r="F130" s="49">
        <v>46300</v>
      </c>
      <c r="G130" s="49">
        <v>6419324700</v>
      </c>
      <c r="H130" s="49">
        <f t="shared" si="22"/>
        <v>0.45585619760779</v>
      </c>
      <c r="I130" s="49">
        <f t="shared" si="33"/>
        <v>0.45585619760779</v>
      </c>
      <c r="J130" s="48">
        <v>0.3</v>
      </c>
      <c r="K130" s="48">
        <f t="shared" si="23"/>
        <v>0.28667476691948912</v>
      </c>
      <c r="L130" s="48">
        <v>284000</v>
      </c>
      <c r="M130" s="48">
        <v>281000</v>
      </c>
      <c r="N130" s="51">
        <v>125395903</v>
      </c>
      <c r="O130" s="48">
        <f t="shared" si="24"/>
        <v>2.6902217281479599</v>
      </c>
      <c r="P130" s="48">
        <f t="shared" si="34"/>
        <v>2.6902217281479599</v>
      </c>
      <c r="Q130" s="49">
        <v>0.3</v>
      </c>
      <c r="R130" s="49">
        <f t="shared" si="25"/>
        <v>0.30358376125429826</v>
      </c>
      <c r="S130" s="49">
        <v>228700</v>
      </c>
      <c r="T130" s="49">
        <v>231000</v>
      </c>
      <c r="U130" s="49">
        <v>15956260</v>
      </c>
      <c r="V130" s="49">
        <f t="shared" si="26"/>
        <v>27.2347710204326</v>
      </c>
      <c r="W130" s="49">
        <f t="shared" si="35"/>
        <v>27.2347710204326</v>
      </c>
      <c r="X130" s="48">
        <v>0</v>
      </c>
      <c r="Y130" s="48">
        <f t="shared" si="27"/>
        <v>0</v>
      </c>
      <c r="Z130" s="48">
        <v>0</v>
      </c>
      <c r="AA130" s="48">
        <v>0</v>
      </c>
      <c r="AB130" s="48">
        <v>0</v>
      </c>
      <c r="AC130" s="48">
        <f t="shared" si="28"/>
        <v>0</v>
      </c>
      <c r="AD130" s="48">
        <f t="shared" si="36"/>
        <v>0</v>
      </c>
      <c r="AE130" s="49">
        <v>0</v>
      </c>
      <c r="AF130" s="49">
        <f t="shared" si="29"/>
        <v>0</v>
      </c>
      <c r="AG130" s="49">
        <v>0</v>
      </c>
      <c r="AH130" s="49">
        <v>0</v>
      </c>
      <c r="AI130" s="49">
        <v>0</v>
      </c>
      <c r="AJ130" s="49">
        <f t="shared" si="30"/>
        <v>0</v>
      </c>
      <c r="AK130" s="49">
        <f t="shared" si="37"/>
        <v>0</v>
      </c>
      <c r="AL130" s="82">
        <f t="shared" si="38"/>
        <v>0</v>
      </c>
      <c r="AM130" s="82">
        <f t="shared" si="39"/>
        <v>291304837464665.44</v>
      </c>
      <c r="AN130" s="81">
        <f t="shared" si="31"/>
        <v>330665035522526.37</v>
      </c>
      <c r="AO130" s="80">
        <f t="shared" si="20"/>
        <v>1135.1168706995304</v>
      </c>
      <c r="AP130" s="52">
        <f t="shared" si="32"/>
        <v>6.1950485616178398E-3</v>
      </c>
      <c r="AQ130" s="48">
        <f>(F130-E130)/E130</f>
        <v>1.5350877192982455E-2</v>
      </c>
      <c r="AR130" s="48">
        <f>(M130-L130)/L130</f>
        <v>-1.0563380281690141E-2</v>
      </c>
      <c r="AS130" s="48">
        <f>(T130-S130)/S130</f>
        <v>1.0056843025797988E-2</v>
      </c>
      <c r="AT130" s="48" t="e">
        <f>(#REF!-#REF!)/#REF!</f>
        <v>#REF!</v>
      </c>
    </row>
    <row r="131" spans="1:46" x14ac:dyDescent="0.3">
      <c r="A131" s="48">
        <v>20180711</v>
      </c>
      <c r="B131" s="48" t="s">
        <v>88</v>
      </c>
      <c r="C131" s="79">
        <v>0.4</v>
      </c>
      <c r="D131" s="79">
        <f t="shared" si="21"/>
        <v>0.41224066061479514</v>
      </c>
      <c r="E131" s="49">
        <v>46300</v>
      </c>
      <c r="F131" s="49">
        <v>46000</v>
      </c>
      <c r="G131" s="49">
        <v>6419324700</v>
      </c>
      <c r="H131" s="49">
        <f t="shared" si="22"/>
        <v>0.45585619760779</v>
      </c>
      <c r="I131" s="49">
        <f t="shared" si="33"/>
        <v>0.45585619760779</v>
      </c>
      <c r="J131" s="48">
        <v>0.3</v>
      </c>
      <c r="K131" s="48">
        <f t="shared" si="23"/>
        <v>0.28565533889523859</v>
      </c>
      <c r="L131" s="48">
        <v>281000</v>
      </c>
      <c r="M131" s="48">
        <v>276500</v>
      </c>
      <c r="N131" s="51">
        <v>125395903</v>
      </c>
      <c r="O131" s="48">
        <f t="shared" si="24"/>
        <v>2.6902217281479599</v>
      </c>
      <c r="P131" s="48">
        <f t="shared" si="34"/>
        <v>2.6902217281479599</v>
      </c>
      <c r="Q131" s="49">
        <v>0.3</v>
      </c>
      <c r="R131" s="49">
        <f t="shared" si="25"/>
        <v>0.30210400048996633</v>
      </c>
      <c r="S131" s="49">
        <v>231000</v>
      </c>
      <c r="T131" s="49">
        <v>227000</v>
      </c>
      <c r="U131" s="49">
        <v>15956260</v>
      </c>
      <c r="V131" s="49">
        <f t="shared" si="26"/>
        <v>27.2347710204326</v>
      </c>
      <c r="W131" s="49">
        <f t="shared" si="35"/>
        <v>27.2347710204326</v>
      </c>
      <c r="X131" s="48">
        <v>0</v>
      </c>
      <c r="Y131" s="48">
        <f t="shared" si="27"/>
        <v>0</v>
      </c>
      <c r="Z131" s="48">
        <v>0</v>
      </c>
      <c r="AA131" s="48">
        <v>0</v>
      </c>
      <c r="AB131" s="48">
        <v>0</v>
      </c>
      <c r="AC131" s="48">
        <f t="shared" si="28"/>
        <v>0</v>
      </c>
      <c r="AD131" s="48">
        <f t="shared" si="36"/>
        <v>0</v>
      </c>
      <c r="AE131" s="49">
        <v>0</v>
      </c>
      <c r="AF131" s="49">
        <f t="shared" si="29"/>
        <v>0</v>
      </c>
      <c r="AG131" s="49">
        <v>0</v>
      </c>
      <c r="AH131" s="49">
        <v>0</v>
      </c>
      <c r="AI131" s="49">
        <v>0</v>
      </c>
      <c r="AJ131" s="49">
        <f t="shared" si="30"/>
        <v>0</v>
      </c>
      <c r="AK131" s="49">
        <f t="shared" si="37"/>
        <v>0</v>
      </c>
      <c r="AL131" s="82">
        <f t="shared" si="38"/>
        <v>0</v>
      </c>
      <c r="AM131" s="82">
        <f t="shared" si="39"/>
        <v>291304837464665.44</v>
      </c>
      <c r="AN131" s="81">
        <f t="shared" si="31"/>
        <v>326530845965149.87</v>
      </c>
      <c r="AO131" s="80">
        <f t="shared" ref="AO131:AO194" si="40">AN131/AM131*1000</f>
        <v>1120.9249005511531</v>
      </c>
      <c r="AP131" s="52">
        <f t="shared" si="32"/>
        <v>-1.2502651061499366E-2</v>
      </c>
      <c r="AQ131" s="48">
        <f>(F131-E131)/E131</f>
        <v>-6.4794816414686825E-3</v>
      </c>
      <c r="AR131" s="48">
        <f>(M131-L131)/L131</f>
        <v>-1.601423487544484E-2</v>
      </c>
      <c r="AS131" s="48">
        <f>(T131-S131)/S131</f>
        <v>-1.7316017316017316E-2</v>
      </c>
      <c r="AT131" s="48" t="e">
        <f>(#REF!-#REF!)/#REF!</f>
        <v>#REF!</v>
      </c>
    </row>
    <row r="132" spans="1:46" x14ac:dyDescent="0.3">
      <c r="A132" s="48">
        <v>20180712</v>
      </c>
      <c r="B132" s="48" t="s">
        <v>88</v>
      </c>
      <c r="C132" s="79">
        <v>0.4</v>
      </c>
      <c r="D132" s="79">
        <f t="shared" ref="D132:D195" si="41">F132*G132*I132/AN132</f>
        <v>0.40412390876940785</v>
      </c>
      <c r="E132" s="49">
        <v>46000</v>
      </c>
      <c r="F132" s="49">
        <v>45500</v>
      </c>
      <c r="G132" s="49">
        <v>6419324700</v>
      </c>
      <c r="H132" s="49">
        <f t="shared" ref="H132:H195" si="42">I131</f>
        <v>0.45585619760779</v>
      </c>
      <c r="I132" s="49">
        <f t="shared" si="33"/>
        <v>0.45585619760779</v>
      </c>
      <c r="J132" s="48">
        <v>0.3</v>
      </c>
      <c r="K132" s="48">
        <f t="shared" ref="K132:K195" si="43">M132*N132*P132/AN132</f>
        <v>0.29488307868450908</v>
      </c>
      <c r="L132" s="48">
        <v>276500</v>
      </c>
      <c r="M132" s="48">
        <v>288000</v>
      </c>
      <c r="N132" s="51">
        <v>125395903</v>
      </c>
      <c r="O132" s="48">
        <f t="shared" ref="O132:O195" si="44">P131</f>
        <v>2.6902217281479599</v>
      </c>
      <c r="P132" s="48">
        <f t="shared" si="34"/>
        <v>2.6902217281479599</v>
      </c>
      <c r="Q132" s="49">
        <v>0.3</v>
      </c>
      <c r="R132" s="49">
        <f t="shared" ref="R132:R195" si="45">T132*U132*W132/AN132</f>
        <v>0.30099301254608313</v>
      </c>
      <c r="S132" s="49">
        <v>227000</v>
      </c>
      <c r="T132" s="49">
        <v>228200</v>
      </c>
      <c r="U132" s="49">
        <v>15956260</v>
      </c>
      <c r="V132" s="49">
        <f t="shared" ref="V132:V195" si="46">W131</f>
        <v>27.2347710204326</v>
      </c>
      <c r="W132" s="49">
        <f t="shared" si="35"/>
        <v>27.2347710204326</v>
      </c>
      <c r="X132" s="48">
        <v>0</v>
      </c>
      <c r="Y132" s="48">
        <f t="shared" ref="Y132:Y195" si="47">AA132*AB132*AD132/AN132</f>
        <v>0</v>
      </c>
      <c r="Z132" s="48">
        <v>0</v>
      </c>
      <c r="AA132" s="48">
        <v>0</v>
      </c>
      <c r="AB132" s="48">
        <v>0</v>
      </c>
      <c r="AC132" s="48">
        <f t="shared" ref="AC132:AC195" si="48">AD131</f>
        <v>0</v>
      </c>
      <c r="AD132" s="48">
        <f t="shared" si="36"/>
        <v>0</v>
      </c>
      <c r="AE132" s="49">
        <v>0</v>
      </c>
      <c r="AF132" s="49">
        <f t="shared" ref="AF132:AF195" si="49">AH132*AI132*AK132/AN132</f>
        <v>0</v>
      </c>
      <c r="AG132" s="49">
        <v>0</v>
      </c>
      <c r="AH132" s="49">
        <v>0</v>
      </c>
      <c r="AI132" s="49">
        <v>0</v>
      </c>
      <c r="AJ132" s="49">
        <f t="shared" ref="AJ132:AJ195" si="50">AK131</f>
        <v>0</v>
      </c>
      <c r="AK132" s="49">
        <f t="shared" si="37"/>
        <v>0</v>
      </c>
      <c r="AL132" s="82">
        <f t="shared" si="38"/>
        <v>0</v>
      </c>
      <c r="AM132" s="82">
        <f t="shared" si="39"/>
        <v>291304837464665.44</v>
      </c>
      <c r="AN132" s="81">
        <f t="shared" ref="AN132:AN195" si="51">F132*G132*I132+M132*N132*P132+T132*U132*W132+AA132*AB132*AD132+AH132*AI132*AK132</f>
        <v>329468621598625.31</v>
      </c>
      <c r="AO132" s="80">
        <f t="shared" si="40"/>
        <v>1131.009785028335</v>
      </c>
      <c r="AP132" s="52">
        <f t="shared" ref="AP132:AP195" si="52">(AO132-AO131)/AO131</f>
        <v>8.9969314378004015E-3</v>
      </c>
      <c r="AQ132" s="48">
        <f>(F132-E132)/E132</f>
        <v>-1.0869565217391304E-2</v>
      </c>
      <c r="AR132" s="48">
        <f>(M132-L132)/L132</f>
        <v>4.1591320072332731E-2</v>
      </c>
      <c r="AS132" s="48">
        <f>(T132-S132)/S132</f>
        <v>5.2863436123348016E-3</v>
      </c>
      <c r="AT132" s="48" t="e">
        <f>(#REF!-#REF!)/#REF!</f>
        <v>#REF!</v>
      </c>
    </row>
    <row r="133" spans="1:46" x14ac:dyDescent="0.3">
      <c r="A133" s="48">
        <v>20180713</v>
      </c>
      <c r="B133" s="48" t="s">
        <v>88</v>
      </c>
      <c r="C133" s="79">
        <v>0.4</v>
      </c>
      <c r="D133" s="79">
        <f t="shared" si="41"/>
        <v>0.40549976772351431</v>
      </c>
      <c r="E133" s="49">
        <v>45500</v>
      </c>
      <c r="F133" s="49">
        <v>46500</v>
      </c>
      <c r="G133" s="49">
        <v>6419324700</v>
      </c>
      <c r="H133" s="49">
        <f t="shared" si="42"/>
        <v>0.45585619760779</v>
      </c>
      <c r="I133" s="49">
        <f t="shared" ref="I133:I196" si="53">IF(B133="Y",ROUND(C133*(E133*G133+L133*N133+S133*U133+Z133*AB133+AG133*AI133)/(E133*G133),17),IF(AL133=0,H133,ROUND(F132*G132*I132/AN132*(E133*G133+L133*N133+S133*U133+Z133*AB133+AG133*AI133)/(E133*G133),17)))</f>
        <v>0.45585619760779</v>
      </c>
      <c r="J133" s="48">
        <v>0.3</v>
      </c>
      <c r="K133" s="48">
        <f t="shared" si="43"/>
        <v>0.28952386030286198</v>
      </c>
      <c r="L133" s="48">
        <v>288000</v>
      </c>
      <c r="M133" s="48">
        <v>288000</v>
      </c>
      <c r="N133" s="51">
        <v>125395903</v>
      </c>
      <c r="O133" s="48">
        <f t="shared" si="44"/>
        <v>2.6902217281479599</v>
      </c>
      <c r="P133" s="48">
        <f t="shared" ref="P133:P196" si="54">IF(B133="Y",ROUND(J133*(E133*G133+L133*N133+S133*U133+Z133*AB133+AG133*AI133)/(L133*N133),17),IF(AL133=0,O133,ROUND(M132*N132*P132/AN132*(E133*G133+L133*N133+S133*U133+Z133*AB133+AG133*AI133)/(L133*N133),17)))</f>
        <v>2.6902217281479599</v>
      </c>
      <c r="Q133" s="49">
        <v>0.3</v>
      </c>
      <c r="R133" s="49">
        <f t="shared" si="45"/>
        <v>0.30497637197362365</v>
      </c>
      <c r="S133" s="49">
        <v>228200</v>
      </c>
      <c r="T133" s="49">
        <v>235500</v>
      </c>
      <c r="U133" s="49">
        <v>15956260</v>
      </c>
      <c r="V133" s="49">
        <f t="shared" si="46"/>
        <v>27.2347710204326</v>
      </c>
      <c r="W133" s="49">
        <f t="shared" ref="W133:W196" si="55">IF(B133="Y",ROUND(Q133*(E133*G133+L133*N133+S133*U133+Z133*AB133+AG133*AI133)/(S133*U133),17),IF(AL133=0,V133,ROUND(T132*U132*W132/AN132*(E133*G133+L133*N133+S133*U133+Z133*AB133+AG133*AI133)/(S133*U133),17)))</f>
        <v>27.2347710204326</v>
      </c>
      <c r="X133" s="48">
        <v>0</v>
      </c>
      <c r="Y133" s="48">
        <f t="shared" si="47"/>
        <v>0</v>
      </c>
      <c r="Z133" s="48">
        <v>0</v>
      </c>
      <c r="AA133" s="48">
        <v>0</v>
      </c>
      <c r="AB133" s="48">
        <v>0</v>
      </c>
      <c r="AC133" s="48">
        <f t="shared" si="48"/>
        <v>0</v>
      </c>
      <c r="AD133" s="48">
        <f t="shared" ref="AD133:AD196" si="56">IFERROR(IF(B133="Y",ROUND(X133*(E133*G133+L133*N133+S133*U133+Z133*AB133+AG133*AI133)/(Z133*AB133),17),IF(AL133=0,AC133,ROUND(AA132*AB132*AD132/AN132*(E133*G133+L133*N133+S133*U133+Z133*AB133+AG133*AI133)/(Z133*AB133),17))),0)</f>
        <v>0</v>
      </c>
      <c r="AE133" s="49">
        <v>0</v>
      </c>
      <c r="AF133" s="49">
        <f t="shared" si="49"/>
        <v>0</v>
      </c>
      <c r="AG133" s="49">
        <v>0</v>
      </c>
      <c r="AH133" s="49">
        <v>0</v>
      </c>
      <c r="AI133" s="49">
        <v>0</v>
      </c>
      <c r="AJ133" s="49">
        <f t="shared" si="50"/>
        <v>0</v>
      </c>
      <c r="AK133" s="49">
        <f t="shared" ref="AK133:AK196" si="57">IFERROR(IF(B133="Y",ROUND(AE133*(E133*G133+L133*N133+S133*U133+Z133*AB133+AG133*AI133)/(AG133*AI133),17),IF(AL133=0,AJ133,ROUND(AH132*AI132*AK132/AN132*(E133*G133+L133*N133+S133*U133+Z133*AB133+AG133*AI133)/(AG133*AI133),17))),0)</f>
        <v>0</v>
      </c>
      <c r="AL133" s="82">
        <f t="shared" ref="AL133:AL196" si="58">IF(AN132&lt;&gt;(E133*G133*H133+L133*N133*O133+S133*U133*V133+Z133*AB133*AC133+AG133*AI133*AJ133),1,0)</f>
        <v>0</v>
      </c>
      <c r="AM133" s="82">
        <f t="shared" ref="AM133:AM196" si="59">IF(AND(AL133=0,B133="N"),AM132,AM132*(E133*G133*I133+L133*N133*P133+S133*U133*W133+Z133*AB133*AD133+AG133*AI133*AK133)/AN132)</f>
        <v>291304837464665.44</v>
      </c>
      <c r="AN133" s="81">
        <f t="shared" si="51"/>
        <v>335567235685907.25</v>
      </c>
      <c r="AO133" s="80">
        <f t="shared" si="40"/>
        <v>1151.9452907355537</v>
      </c>
      <c r="AP133" s="52">
        <f t="shared" si="52"/>
        <v>1.851045497956871E-2</v>
      </c>
      <c r="AQ133" s="48">
        <f>(F133-E133)/E133</f>
        <v>2.197802197802198E-2</v>
      </c>
      <c r="AR133" s="48">
        <f>(M133-L133)/L133</f>
        <v>0</v>
      </c>
      <c r="AS133" s="48">
        <f>(T133-S133)/S133</f>
        <v>3.1989482909728306E-2</v>
      </c>
      <c r="AT133" s="48" t="e">
        <f>(#REF!-#REF!)/#REF!</f>
        <v>#REF!</v>
      </c>
    </row>
    <row r="134" spans="1:46" x14ac:dyDescent="0.3">
      <c r="A134" s="48">
        <v>20180716</v>
      </c>
      <c r="B134" s="48" t="s">
        <v>88</v>
      </c>
      <c r="C134" s="79">
        <v>0.4</v>
      </c>
      <c r="D134" s="79">
        <f t="shared" si="41"/>
        <v>0.39611783918665255</v>
      </c>
      <c r="E134" s="49">
        <v>46500</v>
      </c>
      <c r="F134" s="49">
        <v>46050</v>
      </c>
      <c r="G134" s="49">
        <v>6419324700</v>
      </c>
      <c r="H134" s="49">
        <f t="shared" si="42"/>
        <v>0.45585619760779</v>
      </c>
      <c r="I134" s="49">
        <f t="shared" si="53"/>
        <v>0.45585619760779</v>
      </c>
      <c r="J134" s="48">
        <v>0.3</v>
      </c>
      <c r="K134" s="48">
        <f t="shared" si="43"/>
        <v>0.29104295314865247</v>
      </c>
      <c r="L134" s="48">
        <v>288000</v>
      </c>
      <c r="M134" s="48">
        <v>293500</v>
      </c>
      <c r="N134" s="51">
        <v>125395903</v>
      </c>
      <c r="O134" s="48">
        <f t="shared" si="44"/>
        <v>2.6902217281479599</v>
      </c>
      <c r="P134" s="48">
        <f t="shared" si="54"/>
        <v>2.6902217281479599</v>
      </c>
      <c r="Q134" s="49">
        <v>0.3</v>
      </c>
      <c r="R134" s="49">
        <f t="shared" si="45"/>
        <v>0.31283920766469497</v>
      </c>
      <c r="S134" s="49">
        <v>235500</v>
      </c>
      <c r="T134" s="49">
        <v>244900</v>
      </c>
      <c r="U134" s="49">
        <v>15956260</v>
      </c>
      <c r="V134" s="49">
        <f t="shared" si="46"/>
        <v>27.2347710204326</v>
      </c>
      <c r="W134" s="49">
        <f t="shared" si="55"/>
        <v>27.2347710204326</v>
      </c>
      <c r="X134" s="48">
        <v>0</v>
      </c>
      <c r="Y134" s="48">
        <f t="shared" si="47"/>
        <v>0</v>
      </c>
      <c r="Z134" s="48">
        <v>0</v>
      </c>
      <c r="AA134" s="48">
        <v>0</v>
      </c>
      <c r="AB134" s="48">
        <v>0</v>
      </c>
      <c r="AC134" s="48">
        <f t="shared" si="48"/>
        <v>0</v>
      </c>
      <c r="AD134" s="48">
        <f t="shared" si="56"/>
        <v>0</v>
      </c>
      <c r="AE134" s="49">
        <v>0</v>
      </c>
      <c r="AF134" s="49">
        <f t="shared" si="49"/>
        <v>0</v>
      </c>
      <c r="AG134" s="49">
        <v>0</v>
      </c>
      <c r="AH134" s="49">
        <v>0</v>
      </c>
      <c r="AI134" s="49">
        <v>0</v>
      </c>
      <c r="AJ134" s="49">
        <f t="shared" si="50"/>
        <v>0</v>
      </c>
      <c r="AK134" s="49">
        <f t="shared" si="57"/>
        <v>0</v>
      </c>
      <c r="AL134" s="82">
        <f t="shared" si="58"/>
        <v>0</v>
      </c>
      <c r="AM134" s="82">
        <f t="shared" si="59"/>
        <v>291304837464665.44</v>
      </c>
      <c r="AN134" s="81">
        <f t="shared" si="51"/>
        <v>340190702786630.69</v>
      </c>
      <c r="AO134" s="80">
        <f t="shared" si="40"/>
        <v>1167.8168675379275</v>
      </c>
      <c r="AP134" s="52">
        <f t="shared" si="52"/>
        <v>1.377806474840418E-2</v>
      </c>
      <c r="AQ134" s="48">
        <f>(F134-E134)/E134</f>
        <v>-9.6774193548387101E-3</v>
      </c>
      <c r="AR134" s="48">
        <f>(M134-L134)/L134</f>
        <v>1.9097222222222224E-2</v>
      </c>
      <c r="AS134" s="48">
        <f>(T134-S134)/S134</f>
        <v>3.9915074309978767E-2</v>
      </c>
      <c r="AT134" s="48" t="e">
        <f>(#REF!-#REF!)/#REF!</f>
        <v>#REF!</v>
      </c>
    </row>
    <row r="135" spans="1:46" x14ac:dyDescent="0.3">
      <c r="A135" s="48">
        <v>20180717</v>
      </c>
      <c r="B135" s="48" t="s">
        <v>88</v>
      </c>
      <c r="C135" s="79">
        <v>0.4</v>
      </c>
      <c r="D135" s="79">
        <f t="shared" si="41"/>
        <v>0.39892994464334819</v>
      </c>
      <c r="E135" s="49">
        <v>46050</v>
      </c>
      <c r="F135" s="49">
        <v>45850</v>
      </c>
      <c r="G135" s="49">
        <v>6419324700</v>
      </c>
      <c r="H135" s="49">
        <f t="shared" si="42"/>
        <v>0.45585619760779</v>
      </c>
      <c r="I135" s="49">
        <f t="shared" si="53"/>
        <v>0.45585619760779</v>
      </c>
      <c r="J135" s="48">
        <v>0.3</v>
      </c>
      <c r="K135" s="48">
        <f t="shared" si="43"/>
        <v>0.29639372029993932</v>
      </c>
      <c r="L135" s="48">
        <v>293500</v>
      </c>
      <c r="M135" s="48">
        <v>295500</v>
      </c>
      <c r="N135" s="51">
        <v>125395903</v>
      </c>
      <c r="O135" s="48">
        <f t="shared" si="44"/>
        <v>2.6902217281479599</v>
      </c>
      <c r="P135" s="48">
        <f t="shared" si="54"/>
        <v>2.6902217281479599</v>
      </c>
      <c r="Q135" s="49">
        <v>0.3</v>
      </c>
      <c r="R135" s="49">
        <f t="shared" si="45"/>
        <v>0.30467633505671243</v>
      </c>
      <c r="S135" s="49">
        <v>244900</v>
      </c>
      <c r="T135" s="49">
        <v>235800</v>
      </c>
      <c r="U135" s="49">
        <v>15956260</v>
      </c>
      <c r="V135" s="49">
        <f t="shared" si="46"/>
        <v>27.2347710204326</v>
      </c>
      <c r="W135" s="49">
        <f t="shared" si="55"/>
        <v>27.2347710204326</v>
      </c>
      <c r="X135" s="48">
        <v>0</v>
      </c>
      <c r="Y135" s="48">
        <f t="shared" si="47"/>
        <v>0</v>
      </c>
      <c r="Z135" s="48">
        <v>0</v>
      </c>
      <c r="AA135" s="48">
        <v>0</v>
      </c>
      <c r="AB135" s="48">
        <v>0</v>
      </c>
      <c r="AC135" s="48">
        <f t="shared" si="48"/>
        <v>0</v>
      </c>
      <c r="AD135" s="48">
        <f t="shared" si="56"/>
        <v>0</v>
      </c>
      <c r="AE135" s="49">
        <v>0</v>
      </c>
      <c r="AF135" s="49">
        <f t="shared" si="49"/>
        <v>0</v>
      </c>
      <c r="AG135" s="49">
        <v>0</v>
      </c>
      <c r="AH135" s="49">
        <v>0</v>
      </c>
      <c r="AI135" s="49">
        <v>0</v>
      </c>
      <c r="AJ135" s="49">
        <f t="shared" si="50"/>
        <v>0</v>
      </c>
      <c r="AK135" s="49">
        <f t="shared" si="57"/>
        <v>0</v>
      </c>
      <c r="AL135" s="82">
        <f t="shared" si="58"/>
        <v>0</v>
      </c>
      <c r="AM135" s="82">
        <f t="shared" si="59"/>
        <v>291304837464665.44</v>
      </c>
      <c r="AN135" s="81">
        <f t="shared" si="51"/>
        <v>336325588266856.37</v>
      </c>
      <c r="AO135" s="80">
        <f t="shared" si="40"/>
        <v>1154.5485862645583</v>
      </c>
      <c r="AP135" s="52">
        <f t="shared" si="52"/>
        <v>-1.1361611261312164E-2</v>
      </c>
      <c r="AQ135" s="48">
        <f>(F135-E135)/E135</f>
        <v>-4.3431053203040176E-3</v>
      </c>
      <c r="AR135" s="48">
        <f>(M135-L135)/L135</f>
        <v>6.8143100511073255E-3</v>
      </c>
      <c r="AS135" s="48">
        <f>(T135-S135)/S135</f>
        <v>-3.7158023683135977E-2</v>
      </c>
      <c r="AT135" s="48" t="e">
        <f>(#REF!-#REF!)/#REF!</f>
        <v>#REF!</v>
      </c>
    </row>
    <row r="136" spans="1:46" x14ac:dyDescent="0.3">
      <c r="A136" s="48">
        <v>20180718</v>
      </c>
      <c r="B136" s="48" t="s">
        <v>88</v>
      </c>
      <c r="C136" s="79">
        <v>0.4</v>
      </c>
      <c r="D136" s="79">
        <f t="shared" si="41"/>
        <v>0.40379742327727008</v>
      </c>
      <c r="E136" s="49">
        <v>45850</v>
      </c>
      <c r="F136" s="49">
        <v>46550</v>
      </c>
      <c r="G136" s="49">
        <v>6419324700</v>
      </c>
      <c r="H136" s="49">
        <f t="shared" si="42"/>
        <v>0.45585619760779</v>
      </c>
      <c r="I136" s="49">
        <f t="shared" si="53"/>
        <v>0.45585619760779</v>
      </c>
      <c r="J136" s="48">
        <v>0.3</v>
      </c>
      <c r="K136" s="48">
        <f t="shared" si="43"/>
        <v>0.28999871393746124</v>
      </c>
      <c r="L136" s="48">
        <v>295500</v>
      </c>
      <c r="M136" s="48">
        <v>290000</v>
      </c>
      <c r="N136" s="51">
        <v>125395903</v>
      </c>
      <c r="O136" s="48">
        <f t="shared" si="44"/>
        <v>2.6902217281479599</v>
      </c>
      <c r="P136" s="48">
        <f t="shared" si="54"/>
        <v>2.6902217281479599</v>
      </c>
      <c r="Q136" s="49">
        <v>0.3</v>
      </c>
      <c r="R136" s="49">
        <f t="shared" si="45"/>
        <v>0.30620386278526862</v>
      </c>
      <c r="S136" s="49">
        <v>235800</v>
      </c>
      <c r="T136" s="49">
        <v>237700</v>
      </c>
      <c r="U136" s="49">
        <v>15956260</v>
      </c>
      <c r="V136" s="49">
        <f t="shared" si="46"/>
        <v>27.2347710204326</v>
      </c>
      <c r="W136" s="49">
        <f t="shared" si="55"/>
        <v>27.2347710204326</v>
      </c>
      <c r="X136" s="48">
        <v>0</v>
      </c>
      <c r="Y136" s="48">
        <f t="shared" si="47"/>
        <v>0</v>
      </c>
      <c r="Z136" s="48">
        <v>0</v>
      </c>
      <c r="AA136" s="48">
        <v>0</v>
      </c>
      <c r="AB136" s="48">
        <v>0</v>
      </c>
      <c r="AC136" s="48">
        <f t="shared" si="48"/>
        <v>0</v>
      </c>
      <c r="AD136" s="48">
        <f t="shared" si="56"/>
        <v>0</v>
      </c>
      <c r="AE136" s="49">
        <v>0</v>
      </c>
      <c r="AF136" s="49">
        <f t="shared" si="49"/>
        <v>0</v>
      </c>
      <c r="AG136" s="49">
        <v>0</v>
      </c>
      <c r="AH136" s="49">
        <v>0</v>
      </c>
      <c r="AI136" s="49">
        <v>0</v>
      </c>
      <c r="AJ136" s="49">
        <f t="shared" si="50"/>
        <v>0</v>
      </c>
      <c r="AK136" s="49">
        <f t="shared" si="57"/>
        <v>0</v>
      </c>
      <c r="AL136" s="82">
        <f t="shared" si="58"/>
        <v>0</v>
      </c>
      <c r="AM136" s="82">
        <f t="shared" si="59"/>
        <v>291304837464665.44</v>
      </c>
      <c r="AN136" s="81">
        <f t="shared" si="51"/>
        <v>337344278891471</v>
      </c>
      <c r="AO136" s="80">
        <f t="shared" si="40"/>
        <v>1158.0455780532311</v>
      </c>
      <c r="AP136" s="52">
        <f t="shared" si="52"/>
        <v>3.0288823097407028E-3</v>
      </c>
      <c r="AQ136" s="48">
        <f>(F136-E136)/E136</f>
        <v>1.5267175572519083E-2</v>
      </c>
      <c r="AR136" s="48">
        <f>(M136-L136)/L136</f>
        <v>-1.8612521150592216E-2</v>
      </c>
      <c r="AS136" s="48">
        <f>(T136-S136)/S136</f>
        <v>8.0576759966072935E-3</v>
      </c>
      <c r="AT136" s="48" t="e">
        <f>(#REF!-#REF!)/#REF!</f>
        <v>#REF!</v>
      </c>
    </row>
    <row r="137" spans="1:46" x14ac:dyDescent="0.3">
      <c r="A137" s="48">
        <v>20180719</v>
      </c>
      <c r="B137" s="48" t="s">
        <v>88</v>
      </c>
      <c r="C137" s="79">
        <v>0.4</v>
      </c>
      <c r="D137" s="79">
        <f t="shared" si="41"/>
        <v>0.40936875175697052</v>
      </c>
      <c r="E137" s="49">
        <v>46550</v>
      </c>
      <c r="F137" s="49">
        <v>46900</v>
      </c>
      <c r="G137" s="49">
        <v>6419324700</v>
      </c>
      <c r="H137" s="49">
        <f t="shared" si="42"/>
        <v>0.45585619760779</v>
      </c>
      <c r="I137" s="49">
        <f t="shared" si="53"/>
        <v>0.45585619760779</v>
      </c>
      <c r="J137" s="48">
        <v>0.3</v>
      </c>
      <c r="K137" s="48">
        <f t="shared" si="43"/>
        <v>0.29029655334564985</v>
      </c>
      <c r="L137" s="48">
        <v>290000</v>
      </c>
      <c r="M137" s="48">
        <v>288500</v>
      </c>
      <c r="N137" s="51">
        <v>125395903</v>
      </c>
      <c r="O137" s="48">
        <f t="shared" si="44"/>
        <v>2.6902217281479599</v>
      </c>
      <c r="P137" s="48">
        <f t="shared" si="54"/>
        <v>2.6902217281479599</v>
      </c>
      <c r="Q137" s="49">
        <v>0.3</v>
      </c>
      <c r="R137" s="49">
        <f t="shared" si="45"/>
        <v>0.30033469489737963</v>
      </c>
      <c r="S137" s="49">
        <v>237700</v>
      </c>
      <c r="T137" s="49">
        <v>231700</v>
      </c>
      <c r="U137" s="49">
        <v>15956260</v>
      </c>
      <c r="V137" s="49">
        <f t="shared" si="46"/>
        <v>27.2347710204326</v>
      </c>
      <c r="W137" s="49">
        <f t="shared" si="55"/>
        <v>27.2347710204326</v>
      </c>
      <c r="X137" s="48">
        <v>0</v>
      </c>
      <c r="Y137" s="48">
        <f t="shared" si="47"/>
        <v>0</v>
      </c>
      <c r="Z137" s="48">
        <v>0</v>
      </c>
      <c r="AA137" s="48">
        <v>0</v>
      </c>
      <c r="AB137" s="48">
        <v>0</v>
      </c>
      <c r="AC137" s="48">
        <f t="shared" si="48"/>
        <v>0</v>
      </c>
      <c r="AD137" s="48">
        <f t="shared" si="56"/>
        <v>0</v>
      </c>
      <c r="AE137" s="49">
        <v>0</v>
      </c>
      <c r="AF137" s="49">
        <f t="shared" si="49"/>
        <v>0</v>
      </c>
      <c r="AG137" s="49">
        <v>0</v>
      </c>
      <c r="AH137" s="49">
        <v>0</v>
      </c>
      <c r="AI137" s="49">
        <v>0</v>
      </c>
      <c r="AJ137" s="49">
        <f t="shared" si="50"/>
        <v>0</v>
      </c>
      <c r="AK137" s="49">
        <f t="shared" si="57"/>
        <v>0</v>
      </c>
      <c r="AL137" s="82">
        <f t="shared" si="58"/>
        <v>0</v>
      </c>
      <c r="AM137" s="82">
        <f t="shared" si="59"/>
        <v>291304837464665.44</v>
      </c>
      <c r="AN137" s="81">
        <f t="shared" si="51"/>
        <v>335255075324642.19</v>
      </c>
      <c r="AO137" s="80">
        <f t="shared" si="40"/>
        <v>1150.8736972667259</v>
      </c>
      <c r="AP137" s="52">
        <f t="shared" si="52"/>
        <v>-6.1930902569152018E-3</v>
      </c>
      <c r="AQ137" s="48">
        <f>(F137-E137)/E137</f>
        <v>7.5187969924812026E-3</v>
      </c>
      <c r="AR137" s="48">
        <f>(M137-L137)/L137</f>
        <v>-5.1724137931034482E-3</v>
      </c>
      <c r="AS137" s="48">
        <f>(T137-S137)/S137</f>
        <v>-2.5241901556583929E-2</v>
      </c>
      <c r="AT137" s="48" t="e">
        <f>(#REF!-#REF!)/#REF!</f>
        <v>#REF!</v>
      </c>
    </row>
    <row r="138" spans="1:46" x14ac:dyDescent="0.3">
      <c r="A138" s="48">
        <v>20180720</v>
      </c>
      <c r="B138" s="48" t="s">
        <v>88</v>
      </c>
      <c r="C138" s="79">
        <v>0.4</v>
      </c>
      <c r="D138" s="79">
        <f t="shared" si="41"/>
        <v>0.41737506066852043</v>
      </c>
      <c r="E138" s="49">
        <v>46900</v>
      </c>
      <c r="F138" s="49">
        <v>47450</v>
      </c>
      <c r="G138" s="49">
        <v>6419324700</v>
      </c>
      <c r="H138" s="49">
        <f t="shared" si="42"/>
        <v>0.45585619760779</v>
      </c>
      <c r="I138" s="49">
        <f t="shared" si="53"/>
        <v>0.45585619760779</v>
      </c>
      <c r="J138" s="48">
        <v>0.3</v>
      </c>
      <c r="K138" s="48">
        <f t="shared" si="43"/>
        <v>0.28950135920286679</v>
      </c>
      <c r="L138" s="48">
        <v>288500</v>
      </c>
      <c r="M138" s="48">
        <v>285500</v>
      </c>
      <c r="N138" s="51">
        <v>125395903</v>
      </c>
      <c r="O138" s="48">
        <f t="shared" si="44"/>
        <v>2.6902217281479599</v>
      </c>
      <c r="P138" s="48">
        <f t="shared" si="54"/>
        <v>2.6902217281479599</v>
      </c>
      <c r="Q138" s="49">
        <v>0.3</v>
      </c>
      <c r="R138" s="49">
        <f t="shared" si="45"/>
        <v>0.29312358012861273</v>
      </c>
      <c r="S138" s="49">
        <v>231700</v>
      </c>
      <c r="T138" s="49">
        <v>224400</v>
      </c>
      <c r="U138" s="49">
        <v>15956260</v>
      </c>
      <c r="V138" s="49">
        <f t="shared" si="46"/>
        <v>27.2347710204326</v>
      </c>
      <c r="W138" s="49">
        <f t="shared" si="55"/>
        <v>27.2347710204326</v>
      </c>
      <c r="X138" s="48">
        <v>0</v>
      </c>
      <c r="Y138" s="48">
        <f t="shared" si="47"/>
        <v>0</v>
      </c>
      <c r="Z138" s="48">
        <v>0</v>
      </c>
      <c r="AA138" s="48">
        <v>0</v>
      </c>
      <c r="AB138" s="48">
        <v>0</v>
      </c>
      <c r="AC138" s="48">
        <f t="shared" si="48"/>
        <v>0</v>
      </c>
      <c r="AD138" s="48">
        <f t="shared" si="56"/>
        <v>0</v>
      </c>
      <c r="AE138" s="49">
        <v>0</v>
      </c>
      <c r="AF138" s="49">
        <f t="shared" si="49"/>
        <v>0</v>
      </c>
      <c r="AG138" s="49">
        <v>0</v>
      </c>
      <c r="AH138" s="49">
        <v>0</v>
      </c>
      <c r="AI138" s="49">
        <v>0</v>
      </c>
      <c r="AJ138" s="49">
        <f t="shared" si="50"/>
        <v>0</v>
      </c>
      <c r="AK138" s="49">
        <f t="shared" si="57"/>
        <v>0</v>
      </c>
      <c r="AL138" s="82">
        <f t="shared" si="58"/>
        <v>0</v>
      </c>
      <c r="AM138" s="82">
        <f t="shared" si="59"/>
        <v>291304837464665.44</v>
      </c>
      <c r="AN138" s="81">
        <f t="shared" si="51"/>
        <v>332680180759621.5</v>
      </c>
      <c r="AO138" s="80">
        <f t="shared" si="40"/>
        <v>1142.0345218262116</v>
      </c>
      <c r="AP138" s="52">
        <f t="shared" si="52"/>
        <v>-7.6804044279636698E-3</v>
      </c>
      <c r="AQ138" s="48">
        <f>(F138-E138)/E138</f>
        <v>1.1727078891257996E-2</v>
      </c>
      <c r="AR138" s="48">
        <f>(M138-L138)/L138</f>
        <v>-1.0398613518197574E-2</v>
      </c>
      <c r="AS138" s="48">
        <f>(T138-S138)/S138</f>
        <v>-3.1506258092360809E-2</v>
      </c>
      <c r="AT138" s="48" t="e">
        <f>(#REF!-#REF!)/#REF!</f>
        <v>#REF!</v>
      </c>
    </row>
    <row r="139" spans="1:46" x14ac:dyDescent="0.3">
      <c r="A139" s="48">
        <v>20180723</v>
      </c>
      <c r="B139" s="48" t="s">
        <v>88</v>
      </c>
      <c r="C139" s="79">
        <v>0.4</v>
      </c>
      <c r="D139" s="79">
        <f t="shared" si="41"/>
        <v>0.4287730984424642</v>
      </c>
      <c r="E139" s="49">
        <v>47450</v>
      </c>
      <c r="F139" s="49">
        <v>46500</v>
      </c>
      <c r="G139" s="49">
        <v>6419324700</v>
      </c>
      <c r="H139" s="49">
        <f t="shared" si="42"/>
        <v>0.45585619760779</v>
      </c>
      <c r="I139" s="49">
        <f t="shared" si="53"/>
        <v>0.45585619760779</v>
      </c>
      <c r="J139" s="48">
        <v>0.3</v>
      </c>
      <c r="K139" s="48">
        <f t="shared" si="43"/>
        <v>0.28434957213297551</v>
      </c>
      <c r="L139" s="48">
        <v>285500</v>
      </c>
      <c r="M139" s="48">
        <v>267500</v>
      </c>
      <c r="N139" s="51">
        <v>125395903</v>
      </c>
      <c r="O139" s="48">
        <f t="shared" si="44"/>
        <v>2.6902217281479599</v>
      </c>
      <c r="P139" s="48">
        <f t="shared" si="54"/>
        <v>2.6902217281479599</v>
      </c>
      <c r="Q139" s="49">
        <v>0.3</v>
      </c>
      <c r="R139" s="49">
        <f t="shared" si="45"/>
        <v>0.28687732942456035</v>
      </c>
      <c r="S139" s="49">
        <v>224400</v>
      </c>
      <c r="T139" s="49">
        <v>209500</v>
      </c>
      <c r="U139" s="49">
        <v>15956260</v>
      </c>
      <c r="V139" s="49">
        <f t="shared" si="46"/>
        <v>27.2347710204326</v>
      </c>
      <c r="W139" s="49">
        <f t="shared" si="55"/>
        <v>27.2347710204326</v>
      </c>
      <c r="X139" s="48">
        <v>0</v>
      </c>
      <c r="Y139" s="48">
        <f t="shared" si="47"/>
        <v>0</v>
      </c>
      <c r="Z139" s="48">
        <v>0</v>
      </c>
      <c r="AA139" s="48">
        <v>0</v>
      </c>
      <c r="AB139" s="48">
        <v>0</v>
      </c>
      <c r="AC139" s="48">
        <f t="shared" si="48"/>
        <v>0</v>
      </c>
      <c r="AD139" s="48">
        <f t="shared" si="56"/>
        <v>0</v>
      </c>
      <c r="AE139" s="49">
        <v>0</v>
      </c>
      <c r="AF139" s="49">
        <f t="shared" si="49"/>
        <v>0</v>
      </c>
      <c r="AG139" s="49">
        <v>0</v>
      </c>
      <c r="AH139" s="49">
        <v>0</v>
      </c>
      <c r="AI139" s="49">
        <v>0</v>
      </c>
      <c r="AJ139" s="49">
        <f t="shared" si="50"/>
        <v>0</v>
      </c>
      <c r="AK139" s="49">
        <f t="shared" si="57"/>
        <v>0</v>
      </c>
      <c r="AL139" s="82">
        <f t="shared" si="58"/>
        <v>0</v>
      </c>
      <c r="AM139" s="82">
        <f t="shared" si="59"/>
        <v>291304837464665.44</v>
      </c>
      <c r="AN139" s="81">
        <f t="shared" si="51"/>
        <v>317353016363540.19</v>
      </c>
      <c r="AO139" s="80">
        <f t="shared" si="40"/>
        <v>1089.4189712933769</v>
      </c>
      <c r="AP139" s="52">
        <f t="shared" si="52"/>
        <v>-4.6071768871485543E-2</v>
      </c>
      <c r="AQ139" s="48">
        <f>(F139-E139)/E139</f>
        <v>-2.0021074815595362E-2</v>
      </c>
      <c r="AR139" s="48">
        <f>(M139-L139)/L139</f>
        <v>-6.3047285464098074E-2</v>
      </c>
      <c r="AS139" s="48">
        <f>(T139-S139)/S139</f>
        <v>-6.6399286987522288E-2</v>
      </c>
      <c r="AT139" s="48" t="e">
        <f>(#REF!-#REF!)/#REF!</f>
        <v>#REF!</v>
      </c>
    </row>
    <row r="140" spans="1:46" x14ac:dyDescent="0.3">
      <c r="A140" s="48">
        <v>20180724</v>
      </c>
      <c r="B140" s="48" t="s">
        <v>88</v>
      </c>
      <c r="C140" s="79">
        <v>0.4</v>
      </c>
      <c r="D140" s="79">
        <f t="shared" si="41"/>
        <v>0.43115308369930544</v>
      </c>
      <c r="E140" s="49">
        <v>46500</v>
      </c>
      <c r="F140" s="49">
        <v>46150</v>
      </c>
      <c r="G140" s="49">
        <v>6419324700</v>
      </c>
      <c r="H140" s="49">
        <f t="shared" si="42"/>
        <v>0.45585619760779</v>
      </c>
      <c r="I140" s="49">
        <f t="shared" si="53"/>
        <v>0.45585619760779</v>
      </c>
      <c r="J140" s="48">
        <v>0.3</v>
      </c>
      <c r="K140" s="48">
        <f t="shared" si="43"/>
        <v>0.28540388545490764</v>
      </c>
      <c r="L140" s="48">
        <v>267500</v>
      </c>
      <c r="M140" s="48">
        <v>265000</v>
      </c>
      <c r="N140" s="51">
        <v>125395903</v>
      </c>
      <c r="O140" s="48">
        <f t="shared" si="44"/>
        <v>2.6902217281479599</v>
      </c>
      <c r="P140" s="48">
        <f t="shared" si="54"/>
        <v>2.6902217281479599</v>
      </c>
      <c r="Q140" s="49">
        <v>0.3</v>
      </c>
      <c r="R140" s="49">
        <f t="shared" si="45"/>
        <v>0.28344303084578704</v>
      </c>
      <c r="S140" s="49">
        <v>209500</v>
      </c>
      <c r="T140" s="49">
        <v>204300</v>
      </c>
      <c r="U140" s="49">
        <v>15956260</v>
      </c>
      <c r="V140" s="49">
        <f t="shared" si="46"/>
        <v>27.2347710204326</v>
      </c>
      <c r="W140" s="49">
        <f t="shared" si="55"/>
        <v>27.2347710204326</v>
      </c>
      <c r="X140" s="48">
        <v>0</v>
      </c>
      <c r="Y140" s="48">
        <f t="shared" si="47"/>
        <v>0</v>
      </c>
      <c r="Z140" s="48">
        <v>0</v>
      </c>
      <c r="AA140" s="48">
        <v>0</v>
      </c>
      <c r="AB140" s="48">
        <v>0</v>
      </c>
      <c r="AC140" s="48">
        <f t="shared" si="48"/>
        <v>0</v>
      </c>
      <c r="AD140" s="48">
        <f t="shared" si="56"/>
        <v>0</v>
      </c>
      <c r="AE140" s="49">
        <v>0</v>
      </c>
      <c r="AF140" s="49">
        <f t="shared" si="49"/>
        <v>0</v>
      </c>
      <c r="AG140" s="49">
        <v>0</v>
      </c>
      <c r="AH140" s="49">
        <v>0</v>
      </c>
      <c r="AI140" s="49">
        <v>0</v>
      </c>
      <c r="AJ140" s="49">
        <f t="shared" si="50"/>
        <v>0</v>
      </c>
      <c r="AK140" s="49">
        <f t="shared" si="57"/>
        <v>0</v>
      </c>
      <c r="AL140" s="82">
        <f t="shared" si="58"/>
        <v>0</v>
      </c>
      <c r="AM140" s="82">
        <f t="shared" si="59"/>
        <v>291304837464665.44</v>
      </c>
      <c r="AN140" s="81">
        <f t="shared" si="51"/>
        <v>313225719819527.81</v>
      </c>
      <c r="AO140" s="80">
        <f t="shared" si="40"/>
        <v>1075.2506636884166</v>
      </c>
      <c r="AP140" s="52">
        <f t="shared" si="52"/>
        <v>-1.3005379911953857E-2</v>
      </c>
      <c r="AQ140" s="48">
        <f>(F140-E140)/E140</f>
        <v>-7.526881720430108E-3</v>
      </c>
      <c r="AR140" s="48">
        <f>(M140-L140)/L140</f>
        <v>-9.3457943925233638E-3</v>
      </c>
      <c r="AS140" s="48">
        <f>(T140-S140)/S140</f>
        <v>-2.4821002386634844E-2</v>
      </c>
      <c r="AT140" s="48" t="e">
        <f>(#REF!-#REF!)/#REF!</f>
        <v>#REF!</v>
      </c>
    </row>
    <row r="141" spans="1:46" x14ac:dyDescent="0.3">
      <c r="A141" s="48">
        <v>20180725</v>
      </c>
      <c r="B141" s="48" t="s">
        <v>88</v>
      </c>
      <c r="C141" s="79">
        <v>0.4</v>
      </c>
      <c r="D141" s="79">
        <f t="shared" si="41"/>
        <v>0.44445242244220973</v>
      </c>
      <c r="E141" s="49">
        <v>46150</v>
      </c>
      <c r="F141" s="49">
        <v>46150</v>
      </c>
      <c r="G141" s="49">
        <v>6419324700</v>
      </c>
      <c r="H141" s="49">
        <f t="shared" si="42"/>
        <v>0.45585619760779</v>
      </c>
      <c r="I141" s="49">
        <f t="shared" si="53"/>
        <v>0.45585619760779</v>
      </c>
      <c r="J141" s="48">
        <v>0.3</v>
      </c>
      <c r="K141" s="48">
        <f t="shared" si="43"/>
        <v>0.27866441259908481</v>
      </c>
      <c r="L141" s="48">
        <v>265000</v>
      </c>
      <c r="M141" s="48">
        <v>251000</v>
      </c>
      <c r="N141" s="51">
        <v>125395903</v>
      </c>
      <c r="O141" s="48">
        <f t="shared" si="44"/>
        <v>2.6902217281479599</v>
      </c>
      <c r="P141" s="48">
        <f t="shared" si="54"/>
        <v>2.6902217281479599</v>
      </c>
      <c r="Q141" s="49">
        <v>0.3</v>
      </c>
      <c r="R141" s="49">
        <f t="shared" si="45"/>
        <v>0.27688316495870563</v>
      </c>
      <c r="S141" s="49">
        <v>204300</v>
      </c>
      <c r="T141" s="49">
        <v>193600</v>
      </c>
      <c r="U141" s="49">
        <v>15956260</v>
      </c>
      <c r="V141" s="49">
        <f t="shared" si="46"/>
        <v>27.2347710204326</v>
      </c>
      <c r="W141" s="49">
        <f t="shared" si="55"/>
        <v>27.2347710204326</v>
      </c>
      <c r="X141" s="48">
        <v>0</v>
      </c>
      <c r="Y141" s="48">
        <f t="shared" si="47"/>
        <v>0</v>
      </c>
      <c r="Z141" s="48">
        <v>0</v>
      </c>
      <c r="AA141" s="48">
        <v>0</v>
      </c>
      <c r="AB141" s="48">
        <v>0</v>
      </c>
      <c r="AC141" s="48">
        <f t="shared" si="48"/>
        <v>0</v>
      </c>
      <c r="AD141" s="48">
        <f t="shared" si="56"/>
        <v>0</v>
      </c>
      <c r="AE141" s="49">
        <v>0</v>
      </c>
      <c r="AF141" s="49">
        <f t="shared" si="49"/>
        <v>0</v>
      </c>
      <c r="AG141" s="49">
        <v>0</v>
      </c>
      <c r="AH141" s="49">
        <v>0</v>
      </c>
      <c r="AI141" s="49">
        <v>0</v>
      </c>
      <c r="AJ141" s="49">
        <f t="shared" si="50"/>
        <v>0</v>
      </c>
      <c r="AK141" s="49">
        <f t="shared" si="57"/>
        <v>0</v>
      </c>
      <c r="AL141" s="82">
        <f t="shared" si="58"/>
        <v>0</v>
      </c>
      <c r="AM141" s="82">
        <f t="shared" si="59"/>
        <v>291304837464665.44</v>
      </c>
      <c r="AN141" s="81">
        <f t="shared" si="51"/>
        <v>303853074423694.5</v>
      </c>
      <c r="AO141" s="80">
        <f t="shared" si="40"/>
        <v>1043.0759649178538</v>
      </c>
      <c r="AP141" s="52">
        <f t="shared" si="52"/>
        <v>-2.9922975039321929E-2</v>
      </c>
      <c r="AQ141" s="48">
        <f>(F141-E141)/E141</f>
        <v>0</v>
      </c>
      <c r="AR141" s="48">
        <f>(M141-L141)/L141</f>
        <v>-5.2830188679245285E-2</v>
      </c>
      <c r="AS141" s="48">
        <f>(T141-S141)/S141</f>
        <v>-5.2373959862946649E-2</v>
      </c>
      <c r="AT141" s="48" t="e">
        <f>(#REF!-#REF!)/#REF!</f>
        <v>#REF!</v>
      </c>
    </row>
    <row r="142" spans="1:46" x14ac:dyDescent="0.3">
      <c r="A142" s="48">
        <v>20180726</v>
      </c>
      <c r="B142" s="48" t="s">
        <v>88</v>
      </c>
      <c r="C142" s="79">
        <v>0.4</v>
      </c>
      <c r="D142" s="79">
        <f t="shared" si="41"/>
        <v>0.44370048805928219</v>
      </c>
      <c r="E142" s="49">
        <v>46150</v>
      </c>
      <c r="F142" s="49">
        <v>46900</v>
      </c>
      <c r="G142" s="49">
        <v>6419324700</v>
      </c>
      <c r="H142" s="49">
        <f t="shared" si="42"/>
        <v>0.45585619760779</v>
      </c>
      <c r="I142" s="49">
        <f t="shared" si="53"/>
        <v>0.45585619760779</v>
      </c>
      <c r="J142" s="48">
        <v>0.3</v>
      </c>
      <c r="K142" s="48">
        <f t="shared" si="43"/>
        <v>0.27756139813128378</v>
      </c>
      <c r="L142" s="48">
        <v>251000</v>
      </c>
      <c r="M142" s="48">
        <v>254500</v>
      </c>
      <c r="N142" s="51">
        <v>125395903</v>
      </c>
      <c r="O142" s="48">
        <f t="shared" si="44"/>
        <v>2.6902217281479599</v>
      </c>
      <c r="P142" s="48">
        <f t="shared" si="54"/>
        <v>2.6902217281479599</v>
      </c>
      <c r="Q142" s="49">
        <v>0.3</v>
      </c>
      <c r="R142" s="49">
        <f t="shared" si="45"/>
        <v>0.27873811380943397</v>
      </c>
      <c r="S142" s="49">
        <v>193600</v>
      </c>
      <c r="T142" s="49">
        <v>198400</v>
      </c>
      <c r="U142" s="49">
        <v>15956260</v>
      </c>
      <c r="V142" s="49">
        <f t="shared" si="46"/>
        <v>27.2347710204326</v>
      </c>
      <c r="W142" s="49">
        <f t="shared" si="55"/>
        <v>27.2347710204326</v>
      </c>
      <c r="X142" s="48">
        <v>0</v>
      </c>
      <c r="Y142" s="48">
        <f t="shared" si="47"/>
        <v>0</v>
      </c>
      <c r="Z142" s="48">
        <v>0</v>
      </c>
      <c r="AA142" s="48">
        <v>0</v>
      </c>
      <c r="AB142" s="48">
        <v>0</v>
      </c>
      <c r="AC142" s="48">
        <f t="shared" si="48"/>
        <v>0</v>
      </c>
      <c r="AD142" s="48">
        <f t="shared" si="56"/>
        <v>0</v>
      </c>
      <c r="AE142" s="49">
        <v>0</v>
      </c>
      <c r="AF142" s="49">
        <f t="shared" si="49"/>
        <v>0</v>
      </c>
      <c r="AG142" s="49">
        <v>0</v>
      </c>
      <c r="AH142" s="49">
        <v>0</v>
      </c>
      <c r="AI142" s="49">
        <v>0</v>
      </c>
      <c r="AJ142" s="49">
        <f t="shared" si="50"/>
        <v>0</v>
      </c>
      <c r="AK142" s="49">
        <f t="shared" si="57"/>
        <v>0</v>
      </c>
      <c r="AL142" s="82">
        <f t="shared" si="58"/>
        <v>0</v>
      </c>
      <c r="AM142" s="82">
        <f t="shared" si="59"/>
        <v>291304837464665.44</v>
      </c>
      <c r="AN142" s="81">
        <f t="shared" si="51"/>
        <v>309314403295182</v>
      </c>
      <c r="AO142" s="80">
        <f t="shared" si="40"/>
        <v>1061.8237787853457</v>
      </c>
      <c r="AP142" s="52">
        <f t="shared" si="52"/>
        <v>1.7973584377402825E-2</v>
      </c>
      <c r="AQ142" s="48">
        <f>(F142-E142)/E142</f>
        <v>1.6251354279523293E-2</v>
      </c>
      <c r="AR142" s="48">
        <f>(M142-L142)/L142</f>
        <v>1.3944223107569721E-2</v>
      </c>
      <c r="AS142" s="48">
        <f>(T142-S142)/S142</f>
        <v>2.4793388429752067E-2</v>
      </c>
      <c r="AT142" s="48" t="e">
        <f>(#REF!-#REF!)/#REF!</f>
        <v>#REF!</v>
      </c>
    </row>
    <row r="143" spans="1:46" x14ac:dyDescent="0.3">
      <c r="A143" s="48">
        <v>20180727</v>
      </c>
      <c r="B143" s="48" t="s">
        <v>88</v>
      </c>
      <c r="C143" s="79">
        <v>0.4</v>
      </c>
      <c r="D143" s="79">
        <f t="shared" si="41"/>
        <v>0.44205310992127439</v>
      </c>
      <c r="E143" s="49">
        <v>46900</v>
      </c>
      <c r="F143" s="49">
        <v>46900</v>
      </c>
      <c r="G143" s="49">
        <v>6419324700</v>
      </c>
      <c r="H143" s="49">
        <f t="shared" si="42"/>
        <v>0.45585619760779</v>
      </c>
      <c r="I143" s="49">
        <f t="shared" si="53"/>
        <v>0.45585619760779</v>
      </c>
      <c r="J143" s="48">
        <v>0.3</v>
      </c>
      <c r="K143" s="48">
        <f t="shared" si="43"/>
        <v>0.27870399437511556</v>
      </c>
      <c r="L143" s="48">
        <v>254500</v>
      </c>
      <c r="M143" s="48">
        <v>256500</v>
      </c>
      <c r="N143" s="51">
        <v>125395903</v>
      </c>
      <c r="O143" s="48">
        <f t="shared" si="44"/>
        <v>2.6902217281479599</v>
      </c>
      <c r="P143" s="48">
        <f t="shared" si="54"/>
        <v>2.6902217281479599</v>
      </c>
      <c r="Q143" s="49">
        <v>0.3</v>
      </c>
      <c r="R143" s="49">
        <f t="shared" si="45"/>
        <v>0.27924289570361005</v>
      </c>
      <c r="S143" s="49">
        <v>198400</v>
      </c>
      <c r="T143" s="49">
        <v>199500</v>
      </c>
      <c r="U143" s="49">
        <v>15956260</v>
      </c>
      <c r="V143" s="49">
        <f t="shared" si="46"/>
        <v>27.2347710204326</v>
      </c>
      <c r="W143" s="49">
        <f t="shared" si="55"/>
        <v>27.2347710204326</v>
      </c>
      <c r="X143" s="48">
        <v>0</v>
      </c>
      <c r="Y143" s="48">
        <f t="shared" si="47"/>
        <v>0</v>
      </c>
      <c r="Z143" s="48">
        <v>0</v>
      </c>
      <c r="AA143" s="48">
        <v>0</v>
      </c>
      <c r="AB143" s="48">
        <v>0</v>
      </c>
      <c r="AC143" s="48">
        <f t="shared" si="48"/>
        <v>0</v>
      </c>
      <c r="AD143" s="48">
        <f t="shared" si="56"/>
        <v>0</v>
      </c>
      <c r="AE143" s="49">
        <v>0</v>
      </c>
      <c r="AF143" s="49">
        <f t="shared" si="49"/>
        <v>0</v>
      </c>
      <c r="AG143" s="49">
        <v>0</v>
      </c>
      <c r="AH143" s="49">
        <v>0</v>
      </c>
      <c r="AI143" s="49">
        <v>0</v>
      </c>
      <c r="AJ143" s="49">
        <f t="shared" si="50"/>
        <v>0</v>
      </c>
      <c r="AK143" s="49">
        <f t="shared" si="57"/>
        <v>0</v>
      </c>
      <c r="AL143" s="82">
        <f t="shared" si="58"/>
        <v>0</v>
      </c>
      <c r="AM143" s="82">
        <f t="shared" si="59"/>
        <v>291304837464665.44</v>
      </c>
      <c r="AN143" s="81">
        <f t="shared" si="51"/>
        <v>310467110457111.37</v>
      </c>
      <c r="AO143" s="80">
        <f t="shared" si="40"/>
        <v>1065.7808265706205</v>
      </c>
      <c r="AP143" s="52">
        <f t="shared" si="52"/>
        <v>3.7266520719676055E-3</v>
      </c>
      <c r="AQ143" s="48">
        <f>(F143-E143)/E143</f>
        <v>0</v>
      </c>
      <c r="AR143" s="48">
        <f>(M143-L143)/L143</f>
        <v>7.8585461689587421E-3</v>
      </c>
      <c r="AS143" s="48">
        <f>(T143-S143)/S143</f>
        <v>5.5443548387096777E-3</v>
      </c>
      <c r="AT143" s="48" t="e">
        <f>(#REF!-#REF!)/#REF!</f>
        <v>#REF!</v>
      </c>
    </row>
    <row r="144" spans="1:46" x14ac:dyDescent="0.3">
      <c r="A144" s="48">
        <v>20180730</v>
      </c>
      <c r="B144" s="48" t="s">
        <v>88</v>
      </c>
      <c r="C144" s="79">
        <v>0.4</v>
      </c>
      <c r="D144" s="79">
        <f t="shared" si="41"/>
        <v>0.44370423088361682</v>
      </c>
      <c r="E144" s="49">
        <v>46900</v>
      </c>
      <c r="F144" s="49">
        <v>46500</v>
      </c>
      <c r="G144" s="49">
        <v>6419324700</v>
      </c>
      <c r="H144" s="49">
        <f t="shared" si="42"/>
        <v>0.45585619760779</v>
      </c>
      <c r="I144" s="49">
        <f t="shared" si="53"/>
        <v>0.45585619760779</v>
      </c>
      <c r="J144" s="48">
        <v>0.3</v>
      </c>
      <c r="K144" s="48">
        <f t="shared" si="43"/>
        <v>0.28380140360556633</v>
      </c>
      <c r="L144" s="48">
        <v>256500</v>
      </c>
      <c r="M144" s="48">
        <v>258000</v>
      </c>
      <c r="N144" s="51">
        <v>125395903</v>
      </c>
      <c r="O144" s="48">
        <f t="shared" si="44"/>
        <v>2.6902217281479599</v>
      </c>
      <c r="P144" s="48">
        <f t="shared" si="54"/>
        <v>2.6902217281479599</v>
      </c>
      <c r="Q144" s="49">
        <v>0.3</v>
      </c>
      <c r="R144" s="49">
        <f t="shared" si="45"/>
        <v>0.27249436551081679</v>
      </c>
      <c r="S144" s="49">
        <v>199500</v>
      </c>
      <c r="T144" s="49">
        <v>192300</v>
      </c>
      <c r="U144" s="49">
        <v>15956260</v>
      </c>
      <c r="V144" s="49">
        <f t="shared" si="46"/>
        <v>27.2347710204326</v>
      </c>
      <c r="W144" s="49">
        <f t="shared" si="55"/>
        <v>27.2347710204326</v>
      </c>
      <c r="X144" s="48">
        <v>0</v>
      </c>
      <c r="Y144" s="48">
        <f t="shared" si="47"/>
        <v>0</v>
      </c>
      <c r="Z144" s="48">
        <v>0</v>
      </c>
      <c r="AA144" s="48">
        <v>0</v>
      </c>
      <c r="AB144" s="48">
        <v>0</v>
      </c>
      <c r="AC144" s="48">
        <f t="shared" si="48"/>
        <v>0</v>
      </c>
      <c r="AD144" s="48">
        <f t="shared" si="56"/>
        <v>0</v>
      </c>
      <c r="AE144" s="49">
        <v>0</v>
      </c>
      <c r="AF144" s="49">
        <f t="shared" si="49"/>
        <v>0</v>
      </c>
      <c r="AG144" s="49">
        <v>0</v>
      </c>
      <c r="AH144" s="49">
        <v>0</v>
      </c>
      <c r="AI144" s="49">
        <v>0</v>
      </c>
      <c r="AJ144" s="49">
        <f t="shared" si="50"/>
        <v>0</v>
      </c>
      <c r="AK144" s="49">
        <f t="shared" si="57"/>
        <v>0</v>
      </c>
      <c r="AL144" s="82">
        <f t="shared" si="58"/>
        <v>0</v>
      </c>
      <c r="AM144" s="82">
        <f t="shared" si="59"/>
        <v>291304837464665.44</v>
      </c>
      <c r="AN144" s="81">
        <f t="shared" si="51"/>
        <v>306673740422251.75</v>
      </c>
      <c r="AO144" s="80">
        <f t="shared" si="40"/>
        <v>1052.7588319210474</v>
      </c>
      <c r="AP144" s="52">
        <f t="shared" si="52"/>
        <v>-1.2218266950320536E-2</v>
      </c>
      <c r="AQ144" s="48">
        <f>(F144-E144)/E144</f>
        <v>-8.5287846481876331E-3</v>
      </c>
      <c r="AR144" s="48">
        <f>(M144-L144)/L144</f>
        <v>5.8479532163742687E-3</v>
      </c>
      <c r="AS144" s="48">
        <f>(T144-S144)/S144</f>
        <v>-3.6090225563909777E-2</v>
      </c>
      <c r="AT144" s="48" t="e">
        <f>(#REF!-#REF!)/#REF!</f>
        <v>#REF!</v>
      </c>
    </row>
    <row r="145" spans="1:46" x14ac:dyDescent="0.3">
      <c r="A145" s="48">
        <v>20180731</v>
      </c>
      <c r="B145" s="48" t="s">
        <v>88</v>
      </c>
      <c r="C145" s="79">
        <v>0.4</v>
      </c>
      <c r="D145" s="79">
        <f t="shared" si="41"/>
        <v>0.43147721791263466</v>
      </c>
      <c r="E145" s="49">
        <v>46500</v>
      </c>
      <c r="F145" s="49">
        <v>46250</v>
      </c>
      <c r="G145" s="49">
        <v>6419324700</v>
      </c>
      <c r="H145" s="49">
        <f t="shared" si="42"/>
        <v>0.45585619760779</v>
      </c>
      <c r="I145" s="49">
        <f t="shared" si="53"/>
        <v>0.45585619760779</v>
      </c>
      <c r="J145" s="48">
        <v>0.3</v>
      </c>
      <c r="K145" s="48">
        <f t="shared" si="43"/>
        <v>0.29199148224989646</v>
      </c>
      <c r="L145" s="48">
        <v>258000</v>
      </c>
      <c r="M145" s="48">
        <v>271500</v>
      </c>
      <c r="N145" s="51">
        <v>125395903</v>
      </c>
      <c r="O145" s="48">
        <f t="shared" si="44"/>
        <v>2.6902217281479599</v>
      </c>
      <c r="P145" s="48">
        <f t="shared" si="54"/>
        <v>2.6902217281479599</v>
      </c>
      <c r="Q145" s="49">
        <v>0.3</v>
      </c>
      <c r="R145" s="49">
        <f t="shared" si="45"/>
        <v>0.27653129983746882</v>
      </c>
      <c r="S145" s="49">
        <v>192300</v>
      </c>
      <c r="T145" s="49">
        <v>199600</v>
      </c>
      <c r="U145" s="49">
        <v>15956260</v>
      </c>
      <c r="V145" s="49">
        <f t="shared" si="46"/>
        <v>27.2347710204326</v>
      </c>
      <c r="W145" s="49">
        <f t="shared" si="55"/>
        <v>27.2347710204326</v>
      </c>
      <c r="X145" s="48">
        <v>0</v>
      </c>
      <c r="Y145" s="48">
        <f t="shared" si="47"/>
        <v>0</v>
      </c>
      <c r="Z145" s="48">
        <v>0</v>
      </c>
      <c r="AA145" s="48">
        <v>0</v>
      </c>
      <c r="AB145" s="48">
        <v>0</v>
      </c>
      <c r="AC145" s="48">
        <f t="shared" si="48"/>
        <v>0</v>
      </c>
      <c r="AD145" s="48">
        <f t="shared" si="56"/>
        <v>0</v>
      </c>
      <c r="AE145" s="49">
        <v>0</v>
      </c>
      <c r="AF145" s="49">
        <f t="shared" si="49"/>
        <v>0</v>
      </c>
      <c r="AG145" s="49">
        <v>0</v>
      </c>
      <c r="AH145" s="49">
        <v>0</v>
      </c>
      <c r="AI145" s="49">
        <v>0</v>
      </c>
      <c r="AJ145" s="49">
        <f t="shared" si="50"/>
        <v>0</v>
      </c>
      <c r="AK145" s="49">
        <f t="shared" si="57"/>
        <v>0</v>
      </c>
      <c r="AL145" s="82">
        <f t="shared" si="58"/>
        <v>0</v>
      </c>
      <c r="AM145" s="82">
        <f t="shared" si="59"/>
        <v>291304837464665.44</v>
      </c>
      <c r="AN145" s="81">
        <f t="shared" si="51"/>
        <v>313668620892107</v>
      </c>
      <c r="AO145" s="80">
        <f t="shared" si="40"/>
        <v>1076.7710677999098</v>
      </c>
      <c r="AP145" s="52">
        <f t="shared" si="52"/>
        <v>2.2808866713609488E-2</v>
      </c>
      <c r="AQ145" s="48">
        <f>(F145-E145)/E145</f>
        <v>-5.3763440860215058E-3</v>
      </c>
      <c r="AR145" s="48">
        <f>(M145-L145)/L145</f>
        <v>5.232558139534884E-2</v>
      </c>
      <c r="AS145" s="48">
        <f>(T145-S145)/S145</f>
        <v>3.7961518460738426E-2</v>
      </c>
      <c r="AT145" s="48" t="e">
        <f>(#REF!-#REF!)/#REF!</f>
        <v>#REF!</v>
      </c>
    </row>
    <row r="146" spans="1:46" x14ac:dyDescent="0.3">
      <c r="A146" s="48">
        <v>20180801</v>
      </c>
      <c r="B146" s="48" t="s">
        <v>88</v>
      </c>
      <c r="C146" s="79">
        <v>0.4</v>
      </c>
      <c r="D146" s="79">
        <f t="shared" si="41"/>
        <v>0.4245091812258342</v>
      </c>
      <c r="E146" s="49">
        <v>46250</v>
      </c>
      <c r="F146" s="49">
        <v>46550</v>
      </c>
      <c r="G146" s="49">
        <v>6419324700</v>
      </c>
      <c r="H146" s="49">
        <f t="shared" si="42"/>
        <v>0.45585619760779</v>
      </c>
      <c r="I146" s="49">
        <f t="shared" si="53"/>
        <v>0.45585619760779</v>
      </c>
      <c r="J146" s="48">
        <v>0.3</v>
      </c>
      <c r="K146" s="48">
        <f t="shared" si="43"/>
        <v>0.29488622365761069</v>
      </c>
      <c r="L146" s="48">
        <v>271500</v>
      </c>
      <c r="M146" s="48">
        <v>280500</v>
      </c>
      <c r="N146" s="51">
        <v>125395903</v>
      </c>
      <c r="O146" s="48">
        <f t="shared" si="44"/>
        <v>2.6902217281479599</v>
      </c>
      <c r="P146" s="48">
        <f t="shared" si="54"/>
        <v>2.6902217281479599</v>
      </c>
      <c r="Q146" s="49">
        <v>0.3</v>
      </c>
      <c r="R146" s="49">
        <f t="shared" si="45"/>
        <v>0.28060459511655506</v>
      </c>
      <c r="S146" s="49">
        <v>199600</v>
      </c>
      <c r="T146" s="49">
        <v>207200</v>
      </c>
      <c r="U146" s="49">
        <v>15956260</v>
      </c>
      <c r="V146" s="49">
        <f t="shared" si="46"/>
        <v>27.2347710204326</v>
      </c>
      <c r="W146" s="49">
        <f t="shared" si="55"/>
        <v>27.2347710204326</v>
      </c>
      <c r="X146" s="48">
        <v>0</v>
      </c>
      <c r="Y146" s="48">
        <f t="shared" si="47"/>
        <v>0</v>
      </c>
      <c r="Z146" s="48">
        <v>0</v>
      </c>
      <c r="AA146" s="48">
        <v>0</v>
      </c>
      <c r="AB146" s="48">
        <v>0</v>
      </c>
      <c r="AC146" s="48">
        <f t="shared" si="48"/>
        <v>0</v>
      </c>
      <c r="AD146" s="48">
        <f t="shared" si="56"/>
        <v>0</v>
      </c>
      <c r="AE146" s="49">
        <v>0</v>
      </c>
      <c r="AF146" s="49">
        <f t="shared" si="49"/>
        <v>0</v>
      </c>
      <c r="AG146" s="49">
        <v>0</v>
      </c>
      <c r="AH146" s="49">
        <v>0</v>
      </c>
      <c r="AI146" s="49">
        <v>0</v>
      </c>
      <c r="AJ146" s="49">
        <f t="shared" si="50"/>
        <v>0</v>
      </c>
      <c r="AK146" s="49">
        <f t="shared" si="57"/>
        <v>0</v>
      </c>
      <c r="AL146" s="82">
        <f t="shared" si="58"/>
        <v>0</v>
      </c>
      <c r="AM146" s="82">
        <f t="shared" si="59"/>
        <v>291304837464665.44</v>
      </c>
      <c r="AN146" s="81">
        <f t="shared" si="51"/>
        <v>320885287287197.44</v>
      </c>
      <c r="AO146" s="80">
        <f t="shared" si="40"/>
        <v>1101.5446570677702</v>
      </c>
      <c r="AP146" s="52">
        <f t="shared" si="52"/>
        <v>2.300729468751286E-2</v>
      </c>
      <c r="AQ146" s="48">
        <f>(F146-E146)/E146</f>
        <v>6.4864864864864862E-3</v>
      </c>
      <c r="AR146" s="48">
        <f>(M146-L146)/L146</f>
        <v>3.3149171270718231E-2</v>
      </c>
      <c r="AS146" s="48">
        <f>(T146-S146)/S146</f>
        <v>3.8076152304609222E-2</v>
      </c>
      <c r="AT146" s="48" t="e">
        <f>(#REF!-#REF!)/#REF!</f>
        <v>#REF!</v>
      </c>
    </row>
    <row r="147" spans="1:46" x14ac:dyDescent="0.3">
      <c r="A147" s="48">
        <v>20180802</v>
      </c>
      <c r="B147" s="48" t="s">
        <v>88</v>
      </c>
      <c r="C147" s="79">
        <v>0.4</v>
      </c>
      <c r="D147" s="79">
        <f t="shared" si="41"/>
        <v>0.42391949782041438</v>
      </c>
      <c r="E147" s="49">
        <v>46550</v>
      </c>
      <c r="F147" s="49">
        <v>45550</v>
      </c>
      <c r="G147" s="49">
        <v>6419324700</v>
      </c>
      <c r="H147" s="49">
        <f t="shared" si="42"/>
        <v>0.45585619760779</v>
      </c>
      <c r="I147" s="49">
        <f t="shared" si="53"/>
        <v>0.45585619760779</v>
      </c>
      <c r="J147" s="48">
        <v>0.3</v>
      </c>
      <c r="K147" s="48">
        <f t="shared" si="43"/>
        <v>0.30201438291593846</v>
      </c>
      <c r="L147" s="48">
        <v>280500</v>
      </c>
      <c r="M147" s="48">
        <v>281500</v>
      </c>
      <c r="N147" s="51">
        <v>125395903</v>
      </c>
      <c r="O147" s="48">
        <f t="shared" si="44"/>
        <v>2.6902217281479599</v>
      </c>
      <c r="P147" s="48">
        <f t="shared" si="54"/>
        <v>2.6902217281479599</v>
      </c>
      <c r="Q147" s="49">
        <v>0.3</v>
      </c>
      <c r="R147" s="49">
        <f t="shared" si="45"/>
        <v>0.27406611926364705</v>
      </c>
      <c r="S147" s="49">
        <v>207200</v>
      </c>
      <c r="T147" s="49">
        <v>198300</v>
      </c>
      <c r="U147" s="49">
        <v>15956260</v>
      </c>
      <c r="V147" s="49">
        <f t="shared" si="46"/>
        <v>27.2347710204326</v>
      </c>
      <c r="W147" s="49">
        <f t="shared" si="55"/>
        <v>27.2347710204326</v>
      </c>
      <c r="X147" s="48">
        <v>0</v>
      </c>
      <c r="Y147" s="48">
        <f t="shared" si="47"/>
        <v>0</v>
      </c>
      <c r="Z147" s="48">
        <v>0</v>
      </c>
      <c r="AA147" s="48">
        <v>0</v>
      </c>
      <c r="AB147" s="48">
        <v>0</v>
      </c>
      <c r="AC147" s="48">
        <f t="shared" si="48"/>
        <v>0</v>
      </c>
      <c r="AD147" s="48">
        <f t="shared" si="56"/>
        <v>0</v>
      </c>
      <c r="AE147" s="49">
        <v>0</v>
      </c>
      <c r="AF147" s="49">
        <f t="shared" si="49"/>
        <v>0</v>
      </c>
      <c r="AG147" s="49">
        <v>0</v>
      </c>
      <c r="AH147" s="49">
        <v>0</v>
      </c>
      <c r="AI147" s="49">
        <v>0</v>
      </c>
      <c r="AJ147" s="49">
        <f t="shared" si="50"/>
        <v>0</v>
      </c>
      <c r="AK147" s="49">
        <f t="shared" si="57"/>
        <v>0</v>
      </c>
      <c r="AL147" s="82">
        <f t="shared" si="58"/>
        <v>0</v>
      </c>
      <c r="AM147" s="82">
        <f t="shared" si="59"/>
        <v>291304837464665.44</v>
      </c>
      <c r="AN147" s="81">
        <f t="shared" si="51"/>
        <v>314428711842878.87</v>
      </c>
      <c r="AO147" s="80">
        <f t="shared" si="40"/>
        <v>1079.3803308570814</v>
      </c>
      <c r="AP147" s="52">
        <f t="shared" si="52"/>
        <v>-2.012113269169552E-2</v>
      </c>
      <c r="AQ147" s="48">
        <f>(F147-E147)/E147</f>
        <v>-2.1482277121374866E-2</v>
      </c>
      <c r="AR147" s="48">
        <f>(M147-L147)/L147</f>
        <v>3.5650623885918001E-3</v>
      </c>
      <c r="AS147" s="48">
        <f>(T147-S147)/S147</f>
        <v>-4.2953667953667951E-2</v>
      </c>
      <c r="AT147" s="48" t="e">
        <f>(#REF!-#REF!)/#REF!</f>
        <v>#REF!</v>
      </c>
    </row>
    <row r="148" spans="1:46" x14ac:dyDescent="0.3">
      <c r="A148" s="48">
        <v>20180803</v>
      </c>
      <c r="B148" s="48" t="s">
        <v>88</v>
      </c>
      <c r="C148" s="79">
        <v>0.4</v>
      </c>
      <c r="D148" s="79">
        <f t="shared" si="41"/>
        <v>0.41999332784123344</v>
      </c>
      <c r="E148" s="49">
        <v>45550</v>
      </c>
      <c r="F148" s="49">
        <v>45750</v>
      </c>
      <c r="G148" s="49">
        <v>6419324700</v>
      </c>
      <c r="H148" s="49">
        <f t="shared" si="42"/>
        <v>0.45585619760779</v>
      </c>
      <c r="I148" s="49">
        <f t="shared" si="53"/>
        <v>0.45585619760779</v>
      </c>
      <c r="J148" s="48">
        <v>0.3</v>
      </c>
      <c r="K148" s="48">
        <f t="shared" si="43"/>
        <v>0.2968509029969526</v>
      </c>
      <c r="L148" s="48">
        <v>281500</v>
      </c>
      <c r="M148" s="48">
        <v>280500</v>
      </c>
      <c r="N148" s="51">
        <v>125395903</v>
      </c>
      <c r="O148" s="48">
        <f t="shared" si="44"/>
        <v>2.6902217281479599</v>
      </c>
      <c r="P148" s="48">
        <f t="shared" si="54"/>
        <v>2.6902217281479599</v>
      </c>
      <c r="Q148" s="49">
        <v>0.3</v>
      </c>
      <c r="R148" s="49">
        <f t="shared" si="45"/>
        <v>0.28315576916181395</v>
      </c>
      <c r="S148" s="49">
        <v>198300</v>
      </c>
      <c r="T148" s="49">
        <v>207700</v>
      </c>
      <c r="U148" s="49">
        <v>15956260</v>
      </c>
      <c r="V148" s="49">
        <f t="shared" si="46"/>
        <v>27.2347710204326</v>
      </c>
      <c r="W148" s="49">
        <f t="shared" si="55"/>
        <v>27.2347710204326</v>
      </c>
      <c r="X148" s="48">
        <v>0</v>
      </c>
      <c r="Y148" s="48">
        <f t="shared" si="47"/>
        <v>0</v>
      </c>
      <c r="Z148" s="48">
        <v>0</v>
      </c>
      <c r="AA148" s="48">
        <v>0</v>
      </c>
      <c r="AB148" s="48">
        <v>0</v>
      </c>
      <c r="AC148" s="48">
        <f t="shared" si="48"/>
        <v>0</v>
      </c>
      <c r="AD148" s="48">
        <f t="shared" si="56"/>
        <v>0</v>
      </c>
      <c r="AE148" s="49">
        <v>0</v>
      </c>
      <c r="AF148" s="49">
        <f t="shared" si="49"/>
        <v>0</v>
      </c>
      <c r="AG148" s="49">
        <v>0</v>
      </c>
      <c r="AH148" s="49">
        <v>0</v>
      </c>
      <c r="AI148" s="49">
        <v>0</v>
      </c>
      <c r="AJ148" s="49">
        <f t="shared" si="50"/>
        <v>0</v>
      </c>
      <c r="AK148" s="49">
        <f t="shared" si="57"/>
        <v>0</v>
      </c>
      <c r="AL148" s="82">
        <f t="shared" si="58"/>
        <v>0</v>
      </c>
      <c r="AM148" s="82">
        <f t="shared" si="59"/>
        <v>291304837464665.44</v>
      </c>
      <c r="AN148" s="81">
        <f t="shared" si="51"/>
        <v>318761538671757.25</v>
      </c>
      <c r="AO148" s="80">
        <f t="shared" si="40"/>
        <v>1094.2541890002849</v>
      </c>
      <c r="AP148" s="52">
        <f t="shared" si="52"/>
        <v>1.3779997391089132E-2</v>
      </c>
      <c r="AQ148" s="48">
        <f>(F148-E148)/E148</f>
        <v>4.3907793633369925E-3</v>
      </c>
      <c r="AR148" s="48">
        <f>(M148-L148)/L148</f>
        <v>-3.552397868561279E-3</v>
      </c>
      <c r="AS148" s="48">
        <f>(T148-S148)/S148</f>
        <v>4.7402924861321229E-2</v>
      </c>
      <c r="AT148" s="48" t="e">
        <f>(#REF!-#REF!)/#REF!</f>
        <v>#REF!</v>
      </c>
    </row>
    <row r="149" spans="1:46" x14ac:dyDescent="0.3">
      <c r="A149" s="48">
        <v>20180806</v>
      </c>
      <c r="B149" s="48" t="s">
        <v>88</v>
      </c>
      <c r="C149" s="79">
        <v>0.4</v>
      </c>
      <c r="D149" s="79">
        <f t="shared" si="41"/>
        <v>0.4284600486173254</v>
      </c>
      <c r="E149" s="49">
        <v>45750</v>
      </c>
      <c r="F149" s="49">
        <v>45800</v>
      </c>
      <c r="G149" s="49">
        <v>6419324700</v>
      </c>
      <c r="H149" s="49">
        <f t="shared" si="42"/>
        <v>0.45585619760779</v>
      </c>
      <c r="I149" s="49">
        <f t="shared" si="53"/>
        <v>0.45585619760779</v>
      </c>
      <c r="J149" s="48">
        <v>0.3</v>
      </c>
      <c r="K149" s="48">
        <f t="shared" si="43"/>
        <v>0.29549465771052652</v>
      </c>
      <c r="L149" s="48">
        <v>280500</v>
      </c>
      <c r="M149" s="48">
        <v>274000</v>
      </c>
      <c r="N149" s="51">
        <v>125395903</v>
      </c>
      <c r="O149" s="48">
        <f t="shared" si="44"/>
        <v>2.6902217281479599</v>
      </c>
      <c r="P149" s="48">
        <f t="shared" si="54"/>
        <v>2.6902217281479599</v>
      </c>
      <c r="Q149" s="49">
        <v>0.3</v>
      </c>
      <c r="R149" s="49">
        <f t="shared" si="45"/>
        <v>0.2760452936721482</v>
      </c>
      <c r="S149" s="49">
        <v>207700</v>
      </c>
      <c r="T149" s="49">
        <v>198700</v>
      </c>
      <c r="U149" s="49">
        <v>15956260</v>
      </c>
      <c r="V149" s="49">
        <f t="shared" si="46"/>
        <v>27.2347710204326</v>
      </c>
      <c r="W149" s="49">
        <f t="shared" si="55"/>
        <v>27.2347710204326</v>
      </c>
      <c r="X149" s="48">
        <v>0</v>
      </c>
      <c r="Y149" s="48">
        <f t="shared" si="47"/>
        <v>0</v>
      </c>
      <c r="Z149" s="48">
        <v>0</v>
      </c>
      <c r="AA149" s="48">
        <v>0</v>
      </c>
      <c r="AB149" s="48">
        <v>0</v>
      </c>
      <c r="AC149" s="48">
        <f t="shared" si="48"/>
        <v>0</v>
      </c>
      <c r="AD149" s="48">
        <f t="shared" si="56"/>
        <v>0</v>
      </c>
      <c r="AE149" s="49">
        <v>0</v>
      </c>
      <c r="AF149" s="49">
        <f t="shared" si="49"/>
        <v>0</v>
      </c>
      <c r="AG149" s="49">
        <v>0</v>
      </c>
      <c r="AH149" s="49">
        <v>0</v>
      </c>
      <c r="AI149" s="49">
        <v>0</v>
      </c>
      <c r="AJ149" s="49">
        <f t="shared" si="50"/>
        <v>0</v>
      </c>
      <c r="AK149" s="49">
        <f t="shared" si="57"/>
        <v>0</v>
      </c>
      <c r="AL149" s="82">
        <f t="shared" si="58"/>
        <v>0</v>
      </c>
      <c r="AM149" s="82">
        <f t="shared" si="59"/>
        <v>291304837464665.44</v>
      </c>
      <c r="AN149" s="81">
        <f t="shared" si="51"/>
        <v>312804039243558.75</v>
      </c>
      <c r="AO149" s="80">
        <f t="shared" si="40"/>
        <v>1073.8031059353798</v>
      </c>
      <c r="AP149" s="52">
        <f t="shared" si="52"/>
        <v>-1.8689517728590375E-2</v>
      </c>
      <c r="AQ149" s="48">
        <f>(F149-E149)/E149</f>
        <v>1.092896174863388E-3</v>
      </c>
      <c r="AR149" s="48">
        <f>(M149-L149)/L149</f>
        <v>-2.3172905525846704E-2</v>
      </c>
      <c r="AS149" s="48">
        <f>(T149-S149)/S149</f>
        <v>-4.3331728454501686E-2</v>
      </c>
      <c r="AT149" s="48" t="e">
        <f>(#REF!-#REF!)/#REF!</f>
        <v>#REF!</v>
      </c>
    </row>
    <row r="150" spans="1:46" x14ac:dyDescent="0.3">
      <c r="A150" s="48">
        <v>20180807</v>
      </c>
      <c r="B150" s="48" t="s">
        <v>88</v>
      </c>
      <c r="C150" s="79">
        <v>0.4</v>
      </c>
      <c r="D150" s="79">
        <f t="shared" si="41"/>
        <v>0.42910089756584319</v>
      </c>
      <c r="E150" s="49">
        <v>45800</v>
      </c>
      <c r="F150" s="49">
        <v>46700</v>
      </c>
      <c r="G150" s="49">
        <v>6419324700</v>
      </c>
      <c r="H150" s="49">
        <f t="shared" si="42"/>
        <v>0.45585619760779</v>
      </c>
      <c r="I150" s="49">
        <f t="shared" si="53"/>
        <v>0.45585619760779</v>
      </c>
      <c r="J150" s="48">
        <v>0.3</v>
      </c>
      <c r="K150" s="48">
        <f t="shared" si="43"/>
        <v>0.29076297732091066</v>
      </c>
      <c r="L150" s="48">
        <v>274000</v>
      </c>
      <c r="M150" s="48">
        <v>274500</v>
      </c>
      <c r="N150" s="51">
        <v>125395903</v>
      </c>
      <c r="O150" s="48">
        <f t="shared" si="44"/>
        <v>2.6902217281479599</v>
      </c>
      <c r="P150" s="48">
        <f t="shared" si="54"/>
        <v>2.6902217281479599</v>
      </c>
      <c r="Q150" s="49">
        <v>0.3</v>
      </c>
      <c r="R150" s="49">
        <f t="shared" si="45"/>
        <v>0.2801361251132462</v>
      </c>
      <c r="S150" s="49">
        <v>198700</v>
      </c>
      <c r="T150" s="49">
        <v>205300</v>
      </c>
      <c r="U150" s="49">
        <v>15956260</v>
      </c>
      <c r="V150" s="49">
        <f t="shared" si="46"/>
        <v>27.2347710204326</v>
      </c>
      <c r="W150" s="49">
        <f t="shared" si="55"/>
        <v>27.2347710204326</v>
      </c>
      <c r="X150" s="48">
        <v>0</v>
      </c>
      <c r="Y150" s="48">
        <f t="shared" si="47"/>
        <v>0</v>
      </c>
      <c r="Z150" s="48">
        <v>0</v>
      </c>
      <c r="AA150" s="48">
        <v>0</v>
      </c>
      <c r="AB150" s="48">
        <v>0</v>
      </c>
      <c r="AC150" s="48">
        <f t="shared" si="48"/>
        <v>0</v>
      </c>
      <c r="AD150" s="48">
        <f t="shared" si="56"/>
        <v>0</v>
      </c>
      <c r="AE150" s="49">
        <v>0</v>
      </c>
      <c r="AF150" s="49">
        <f t="shared" si="49"/>
        <v>0</v>
      </c>
      <c r="AG150" s="49">
        <v>0</v>
      </c>
      <c r="AH150" s="49">
        <v>0</v>
      </c>
      <c r="AI150" s="49">
        <v>0</v>
      </c>
      <c r="AJ150" s="49">
        <f t="shared" si="50"/>
        <v>0</v>
      </c>
      <c r="AK150" s="49">
        <f t="shared" si="57"/>
        <v>0</v>
      </c>
      <c r="AL150" s="82">
        <f t="shared" si="58"/>
        <v>0</v>
      </c>
      <c r="AM150" s="82">
        <f t="shared" si="59"/>
        <v>291304837464665.44</v>
      </c>
      <c r="AN150" s="81">
        <f t="shared" si="51"/>
        <v>318474500266171.44</v>
      </c>
      <c r="AO150" s="80">
        <f t="shared" si="40"/>
        <v>1093.2688349358484</v>
      </c>
      <c r="AP150" s="52">
        <f t="shared" si="52"/>
        <v>1.8127838234843076E-2</v>
      </c>
      <c r="AQ150" s="48">
        <f>(F150-E150)/E150</f>
        <v>1.9650655021834062E-2</v>
      </c>
      <c r="AR150" s="48">
        <f>(M150-L150)/L150</f>
        <v>1.8248175182481751E-3</v>
      </c>
      <c r="AS150" s="48">
        <f>(T150-S150)/S150</f>
        <v>3.321590337191746E-2</v>
      </c>
      <c r="AT150" s="48" t="e">
        <f>(#REF!-#REF!)/#REF!</f>
        <v>#REF!</v>
      </c>
    </row>
    <row r="151" spans="1:46" x14ac:dyDescent="0.3">
      <c r="A151" s="48">
        <v>20180808</v>
      </c>
      <c r="B151" s="48" t="s">
        <v>88</v>
      </c>
      <c r="C151" s="79">
        <v>0.4</v>
      </c>
      <c r="D151" s="79">
        <f t="shared" si="41"/>
        <v>0.43265407295038066</v>
      </c>
      <c r="E151" s="49">
        <v>46700</v>
      </c>
      <c r="F151" s="49">
        <v>46800</v>
      </c>
      <c r="G151" s="49">
        <v>6419324700</v>
      </c>
      <c r="H151" s="49">
        <f t="shared" si="42"/>
        <v>0.45585619760779</v>
      </c>
      <c r="I151" s="49">
        <f t="shared" si="53"/>
        <v>0.45585619760779</v>
      </c>
      <c r="J151" s="48">
        <v>0.3</v>
      </c>
      <c r="K151" s="48">
        <f t="shared" si="43"/>
        <v>0.29414281306051859</v>
      </c>
      <c r="L151" s="48">
        <v>274500</v>
      </c>
      <c r="M151" s="48">
        <v>276000</v>
      </c>
      <c r="N151" s="51">
        <v>125395903</v>
      </c>
      <c r="O151" s="48">
        <f t="shared" si="44"/>
        <v>2.6902217281479599</v>
      </c>
      <c r="P151" s="48">
        <f t="shared" si="54"/>
        <v>2.6902217281479599</v>
      </c>
      <c r="Q151" s="49">
        <v>0.3</v>
      </c>
      <c r="R151" s="49">
        <f t="shared" si="45"/>
        <v>0.27320311398910063</v>
      </c>
      <c r="S151" s="49">
        <v>205300</v>
      </c>
      <c r="T151" s="49">
        <v>199000</v>
      </c>
      <c r="U151" s="49">
        <v>15956260</v>
      </c>
      <c r="V151" s="49">
        <f t="shared" si="46"/>
        <v>27.2347710204326</v>
      </c>
      <c r="W151" s="49">
        <f t="shared" si="55"/>
        <v>27.2347710204326</v>
      </c>
      <c r="X151" s="48">
        <v>0</v>
      </c>
      <c r="Y151" s="48">
        <f t="shared" si="47"/>
        <v>0</v>
      </c>
      <c r="Z151" s="48">
        <v>0</v>
      </c>
      <c r="AA151" s="48">
        <v>0</v>
      </c>
      <c r="AB151" s="48">
        <v>0</v>
      </c>
      <c r="AC151" s="48">
        <f t="shared" si="48"/>
        <v>0</v>
      </c>
      <c r="AD151" s="48">
        <f t="shared" si="56"/>
        <v>0</v>
      </c>
      <c r="AE151" s="49">
        <v>0</v>
      </c>
      <c r="AF151" s="49">
        <f t="shared" si="49"/>
        <v>0</v>
      </c>
      <c r="AG151" s="49">
        <v>0</v>
      </c>
      <c r="AH151" s="49">
        <v>0</v>
      </c>
      <c r="AI151" s="49">
        <v>0</v>
      </c>
      <c r="AJ151" s="49">
        <f t="shared" si="50"/>
        <v>0</v>
      </c>
      <c r="AK151" s="49">
        <f t="shared" si="57"/>
        <v>0</v>
      </c>
      <c r="AL151" s="82">
        <f t="shared" si="58"/>
        <v>0</v>
      </c>
      <c r="AM151" s="82">
        <f t="shared" si="59"/>
        <v>291304837464665.44</v>
      </c>
      <c r="AN151" s="81">
        <f t="shared" si="51"/>
        <v>316535383284486</v>
      </c>
      <c r="AO151" s="80">
        <f t="shared" si="40"/>
        <v>1086.6121758890495</v>
      </c>
      <c r="AP151" s="52">
        <f t="shared" si="52"/>
        <v>-6.0887668559486139E-3</v>
      </c>
      <c r="AQ151" s="48">
        <f>(F151-E151)/E151</f>
        <v>2.1413276231263384E-3</v>
      </c>
      <c r="AR151" s="48">
        <f>(M151-L151)/L151</f>
        <v>5.4644808743169399E-3</v>
      </c>
      <c r="AS151" s="48">
        <f>(T151-S151)/S151</f>
        <v>-3.0686799805163176E-2</v>
      </c>
      <c r="AT151" s="48" t="e">
        <f>(#REF!-#REF!)/#REF!</f>
        <v>#REF!</v>
      </c>
    </row>
    <row r="152" spans="1:46" x14ac:dyDescent="0.3">
      <c r="A152" s="48">
        <v>20180809</v>
      </c>
      <c r="B152" s="48" t="s">
        <v>88</v>
      </c>
      <c r="C152" s="79">
        <v>0.4</v>
      </c>
      <c r="D152" s="79">
        <f t="shared" si="41"/>
        <v>0.43028617562994032</v>
      </c>
      <c r="E152" s="49">
        <v>46800</v>
      </c>
      <c r="F152" s="49">
        <v>46900</v>
      </c>
      <c r="G152" s="49">
        <v>6419324700</v>
      </c>
      <c r="H152" s="49">
        <f t="shared" si="42"/>
        <v>0.45585619760779</v>
      </c>
      <c r="I152" s="49">
        <f t="shared" si="53"/>
        <v>0.45585619760779</v>
      </c>
      <c r="J152" s="48">
        <v>0.3</v>
      </c>
      <c r="K152" s="48">
        <f t="shared" si="43"/>
        <v>0.29190924426673148</v>
      </c>
      <c r="L152" s="48">
        <v>276000</v>
      </c>
      <c r="M152" s="48">
        <v>276000</v>
      </c>
      <c r="N152" s="51">
        <v>125395903</v>
      </c>
      <c r="O152" s="48">
        <f t="shared" si="44"/>
        <v>2.6902217281479599</v>
      </c>
      <c r="P152" s="48">
        <f t="shared" si="54"/>
        <v>2.6902217281479599</v>
      </c>
      <c r="Q152" s="49">
        <v>0.3</v>
      </c>
      <c r="R152" s="49">
        <f t="shared" si="45"/>
        <v>0.27780458010332809</v>
      </c>
      <c r="S152" s="49">
        <v>199000</v>
      </c>
      <c r="T152" s="49">
        <v>203900</v>
      </c>
      <c r="U152" s="49">
        <v>15956260</v>
      </c>
      <c r="V152" s="49">
        <f t="shared" si="46"/>
        <v>27.2347710204326</v>
      </c>
      <c r="W152" s="49">
        <f t="shared" si="55"/>
        <v>27.2347710204326</v>
      </c>
      <c r="X152" s="48">
        <v>0</v>
      </c>
      <c r="Y152" s="48">
        <f t="shared" si="47"/>
        <v>0</v>
      </c>
      <c r="Z152" s="48">
        <v>0</v>
      </c>
      <c r="AA152" s="48">
        <v>0</v>
      </c>
      <c r="AB152" s="48">
        <v>0</v>
      </c>
      <c r="AC152" s="48">
        <f t="shared" si="48"/>
        <v>0</v>
      </c>
      <c r="AD152" s="48">
        <f t="shared" si="56"/>
        <v>0</v>
      </c>
      <c r="AE152" s="49">
        <v>0</v>
      </c>
      <c r="AF152" s="49">
        <f t="shared" si="49"/>
        <v>0</v>
      </c>
      <c r="AG152" s="49">
        <v>0</v>
      </c>
      <c r="AH152" s="49">
        <v>0</v>
      </c>
      <c r="AI152" s="49">
        <v>0</v>
      </c>
      <c r="AJ152" s="49">
        <f t="shared" si="50"/>
        <v>0</v>
      </c>
      <c r="AK152" s="49">
        <f t="shared" si="57"/>
        <v>0</v>
      </c>
      <c r="AL152" s="82">
        <f t="shared" si="58"/>
        <v>0</v>
      </c>
      <c r="AM152" s="82">
        <f t="shared" si="59"/>
        <v>291304837464665.44</v>
      </c>
      <c r="AN152" s="81">
        <f t="shared" si="51"/>
        <v>318957381107849.37</v>
      </c>
      <c r="AO152" s="80">
        <f t="shared" si="40"/>
        <v>1094.926482800129</v>
      </c>
      <c r="AP152" s="52">
        <f t="shared" si="52"/>
        <v>7.6515863668441273E-3</v>
      </c>
      <c r="AQ152" s="48">
        <f>(F152-E152)/E152</f>
        <v>2.136752136752137E-3</v>
      </c>
      <c r="AR152" s="48">
        <f>(M152-L152)/L152</f>
        <v>0</v>
      </c>
      <c r="AS152" s="48">
        <f>(T152-S152)/S152</f>
        <v>2.4623115577889446E-2</v>
      </c>
      <c r="AT152" s="48" t="e">
        <f>(#REF!-#REF!)/#REF!</f>
        <v>#REF!</v>
      </c>
    </row>
    <row r="153" spans="1:46" x14ac:dyDescent="0.3">
      <c r="A153" s="48">
        <v>20180810</v>
      </c>
      <c r="B153" s="48" t="s">
        <v>88</v>
      </c>
      <c r="C153" s="79">
        <v>0.4</v>
      </c>
      <c r="D153" s="79">
        <f t="shared" si="41"/>
        <v>0.42498141287190805</v>
      </c>
      <c r="E153" s="49">
        <v>46900</v>
      </c>
      <c r="F153" s="49">
        <v>45400</v>
      </c>
      <c r="G153" s="49">
        <v>6419324700</v>
      </c>
      <c r="H153" s="49">
        <f t="shared" si="42"/>
        <v>0.45585619760779</v>
      </c>
      <c r="I153" s="49">
        <f t="shared" si="53"/>
        <v>0.45585619760779</v>
      </c>
      <c r="J153" s="48">
        <v>0.3</v>
      </c>
      <c r="K153" s="48">
        <f t="shared" si="43"/>
        <v>0.29351966512107613</v>
      </c>
      <c r="L153" s="48">
        <v>276000</v>
      </c>
      <c r="M153" s="48">
        <v>272000</v>
      </c>
      <c r="N153" s="51">
        <v>125395903</v>
      </c>
      <c r="O153" s="48">
        <f t="shared" si="44"/>
        <v>2.6902217281479599</v>
      </c>
      <c r="P153" s="48">
        <f t="shared" si="54"/>
        <v>2.6902217281479599</v>
      </c>
      <c r="Q153" s="49">
        <v>0.3</v>
      </c>
      <c r="R153" s="49">
        <f t="shared" si="45"/>
        <v>0.28149892200701576</v>
      </c>
      <c r="S153" s="49">
        <v>203900</v>
      </c>
      <c r="T153" s="49">
        <v>202500</v>
      </c>
      <c r="U153" s="49">
        <v>15956260</v>
      </c>
      <c r="V153" s="49">
        <f t="shared" si="46"/>
        <v>27.2347710204326</v>
      </c>
      <c r="W153" s="49">
        <f t="shared" si="55"/>
        <v>27.2347710204326</v>
      </c>
      <c r="X153" s="48">
        <v>0</v>
      </c>
      <c r="Y153" s="48">
        <f t="shared" si="47"/>
        <v>0</v>
      </c>
      <c r="Z153" s="48">
        <v>0</v>
      </c>
      <c r="AA153" s="48">
        <v>0</v>
      </c>
      <c r="AB153" s="48">
        <v>0</v>
      </c>
      <c r="AC153" s="48">
        <f t="shared" si="48"/>
        <v>0</v>
      </c>
      <c r="AD153" s="48">
        <f t="shared" si="56"/>
        <v>0</v>
      </c>
      <c r="AE153" s="49">
        <v>0</v>
      </c>
      <c r="AF153" s="49">
        <f t="shared" si="49"/>
        <v>0</v>
      </c>
      <c r="AG153" s="49">
        <v>0</v>
      </c>
      <c r="AH153" s="49">
        <v>0</v>
      </c>
      <c r="AI153" s="49">
        <v>0</v>
      </c>
      <c r="AJ153" s="49">
        <f t="shared" si="50"/>
        <v>0</v>
      </c>
      <c r="AK153" s="49">
        <f t="shared" si="57"/>
        <v>0</v>
      </c>
      <c r="AL153" s="82">
        <f t="shared" si="58"/>
        <v>0</v>
      </c>
      <c r="AM153" s="82">
        <f t="shared" si="59"/>
        <v>291304837464665.44</v>
      </c>
      <c r="AN153" s="81">
        <f t="shared" si="51"/>
        <v>312610185430516.87</v>
      </c>
      <c r="AO153" s="80">
        <f t="shared" si="40"/>
        <v>1073.1376387405023</v>
      </c>
      <c r="AP153" s="52">
        <f t="shared" si="52"/>
        <v>-1.9899823779861964E-2</v>
      </c>
      <c r="AQ153" s="48">
        <f>(F153-E153)/E153</f>
        <v>-3.1982942430703626E-2</v>
      </c>
      <c r="AR153" s="48">
        <f>(M153-L153)/L153</f>
        <v>-1.4492753623188406E-2</v>
      </c>
      <c r="AS153" s="48">
        <f>(T153-S153)/S153</f>
        <v>-6.8661108386463953E-3</v>
      </c>
      <c r="AT153" s="48" t="e">
        <f>(#REF!-#REF!)/#REF!</f>
        <v>#REF!</v>
      </c>
    </row>
    <row r="154" spans="1:46" x14ac:dyDescent="0.3">
      <c r="A154" s="48">
        <v>20180813</v>
      </c>
      <c r="B154" s="48" t="s">
        <v>88</v>
      </c>
      <c r="C154" s="79">
        <v>0.4</v>
      </c>
      <c r="D154" s="79">
        <f t="shared" si="41"/>
        <v>0.43214835585046096</v>
      </c>
      <c r="E154" s="49">
        <v>45400</v>
      </c>
      <c r="F154" s="49">
        <v>45050</v>
      </c>
      <c r="G154" s="49">
        <v>6419324700</v>
      </c>
      <c r="H154" s="49">
        <f t="shared" si="42"/>
        <v>0.45585619760779</v>
      </c>
      <c r="I154" s="49">
        <f t="shared" si="53"/>
        <v>0.45585619760779</v>
      </c>
      <c r="J154" s="48">
        <v>0.3</v>
      </c>
      <c r="K154" s="48">
        <f t="shared" si="43"/>
        <v>0.2880713138711215</v>
      </c>
      <c r="L154" s="48">
        <v>272000</v>
      </c>
      <c r="M154" s="48">
        <v>260500</v>
      </c>
      <c r="N154" s="51">
        <v>125395903</v>
      </c>
      <c r="O154" s="48">
        <f t="shared" si="44"/>
        <v>2.6902217281479599</v>
      </c>
      <c r="P154" s="48">
        <f t="shared" si="54"/>
        <v>2.6902217281479599</v>
      </c>
      <c r="Q154" s="49">
        <v>0.3</v>
      </c>
      <c r="R154" s="49">
        <f t="shared" si="45"/>
        <v>0.27978033027841748</v>
      </c>
      <c r="S154" s="49">
        <v>202500</v>
      </c>
      <c r="T154" s="49">
        <v>196400</v>
      </c>
      <c r="U154" s="49">
        <v>15956260</v>
      </c>
      <c r="V154" s="49">
        <f t="shared" si="46"/>
        <v>27.2347710204326</v>
      </c>
      <c r="W154" s="49">
        <f t="shared" si="55"/>
        <v>27.2347710204326</v>
      </c>
      <c r="X154" s="48">
        <v>0</v>
      </c>
      <c r="Y154" s="48">
        <f t="shared" si="47"/>
        <v>0</v>
      </c>
      <c r="Z154" s="48">
        <v>0</v>
      </c>
      <c r="AA154" s="48">
        <v>0</v>
      </c>
      <c r="AB154" s="48">
        <v>0</v>
      </c>
      <c r="AC154" s="48">
        <f t="shared" si="48"/>
        <v>0</v>
      </c>
      <c r="AD154" s="48">
        <f t="shared" si="56"/>
        <v>0</v>
      </c>
      <c r="AE154" s="49">
        <v>0</v>
      </c>
      <c r="AF154" s="49">
        <f t="shared" si="49"/>
        <v>0</v>
      </c>
      <c r="AG154" s="49">
        <v>0</v>
      </c>
      <c r="AH154" s="49">
        <v>0</v>
      </c>
      <c r="AI154" s="49">
        <v>0</v>
      </c>
      <c r="AJ154" s="49">
        <f t="shared" si="50"/>
        <v>0</v>
      </c>
      <c r="AK154" s="49">
        <f t="shared" si="57"/>
        <v>0</v>
      </c>
      <c r="AL154" s="82">
        <f t="shared" si="58"/>
        <v>0</v>
      </c>
      <c r="AM154" s="82">
        <f t="shared" si="59"/>
        <v>291304837464665.44</v>
      </c>
      <c r="AN154" s="81">
        <f t="shared" si="51"/>
        <v>305055695261964.25</v>
      </c>
      <c r="AO154" s="80">
        <f t="shared" si="40"/>
        <v>1047.2043578712171</v>
      </c>
      <c r="AP154" s="52">
        <f t="shared" si="52"/>
        <v>-2.416584782146124E-2</v>
      </c>
      <c r="AQ154" s="48">
        <f>(F154-E154)/E154</f>
        <v>-7.709251101321586E-3</v>
      </c>
      <c r="AR154" s="48">
        <f>(M154-L154)/L154</f>
        <v>-4.2279411764705885E-2</v>
      </c>
      <c r="AS154" s="48">
        <f>(T154-S154)/S154</f>
        <v>-3.0123456790123456E-2</v>
      </c>
      <c r="AT154" s="48" t="e">
        <f>(#REF!-#REF!)/#REF!</f>
        <v>#REF!</v>
      </c>
    </row>
    <row r="155" spans="1:46" x14ac:dyDescent="0.3">
      <c r="A155" s="48">
        <v>20180814</v>
      </c>
      <c r="B155" s="48" t="s">
        <v>88</v>
      </c>
      <c r="C155" s="79">
        <v>0.4</v>
      </c>
      <c r="D155" s="79">
        <f t="shared" si="41"/>
        <v>0.43153295636855488</v>
      </c>
      <c r="E155" s="49">
        <v>45050</v>
      </c>
      <c r="F155" s="49">
        <v>45150</v>
      </c>
      <c r="G155" s="49">
        <v>6419324700</v>
      </c>
      <c r="H155" s="49">
        <f t="shared" si="42"/>
        <v>0.45585619760779</v>
      </c>
      <c r="I155" s="49">
        <f t="shared" si="53"/>
        <v>0.45585619760779</v>
      </c>
      <c r="J155" s="48">
        <v>0.3</v>
      </c>
      <c r="K155" s="48">
        <f t="shared" si="43"/>
        <v>0.28757487344265897</v>
      </c>
      <c r="L155" s="48">
        <v>260500</v>
      </c>
      <c r="M155" s="48">
        <v>261000</v>
      </c>
      <c r="N155" s="51">
        <v>125395903</v>
      </c>
      <c r="O155" s="48">
        <f t="shared" si="44"/>
        <v>2.6902217281479599</v>
      </c>
      <c r="P155" s="48">
        <f t="shared" si="54"/>
        <v>2.6902217281479599</v>
      </c>
      <c r="Q155" s="49">
        <v>0.3</v>
      </c>
      <c r="R155" s="49">
        <f t="shared" si="45"/>
        <v>0.28089217018878626</v>
      </c>
      <c r="S155" s="49">
        <v>196400</v>
      </c>
      <c r="T155" s="49">
        <v>197900</v>
      </c>
      <c r="U155" s="49">
        <v>15956260</v>
      </c>
      <c r="V155" s="49">
        <f t="shared" si="46"/>
        <v>27.2347710204326</v>
      </c>
      <c r="W155" s="49">
        <f t="shared" si="55"/>
        <v>27.2347710204326</v>
      </c>
      <c r="X155" s="48">
        <v>0</v>
      </c>
      <c r="Y155" s="48">
        <f t="shared" si="47"/>
        <v>0</v>
      </c>
      <c r="Z155" s="48">
        <v>0</v>
      </c>
      <c r="AA155" s="48">
        <v>0</v>
      </c>
      <c r="AB155" s="48">
        <v>0</v>
      </c>
      <c r="AC155" s="48">
        <f t="shared" si="48"/>
        <v>0</v>
      </c>
      <c r="AD155" s="48">
        <f t="shared" si="56"/>
        <v>0</v>
      </c>
      <c r="AE155" s="49">
        <v>0</v>
      </c>
      <c r="AF155" s="49">
        <f t="shared" si="49"/>
        <v>0</v>
      </c>
      <c r="AG155" s="49">
        <v>0</v>
      </c>
      <c r="AH155" s="49">
        <v>0</v>
      </c>
      <c r="AI155" s="49">
        <v>0</v>
      </c>
      <c r="AJ155" s="49">
        <f t="shared" si="50"/>
        <v>0</v>
      </c>
      <c r="AK155" s="49">
        <f t="shared" si="57"/>
        <v>0</v>
      </c>
      <c r="AL155" s="82">
        <f t="shared" si="58"/>
        <v>0</v>
      </c>
      <c r="AM155" s="82">
        <f t="shared" si="59"/>
        <v>291304837464665.44</v>
      </c>
      <c r="AN155" s="81">
        <f t="shared" si="51"/>
        <v>306168843179458.75</v>
      </c>
      <c r="AO155" s="80">
        <f t="shared" si="40"/>
        <v>1051.025605493408</v>
      </c>
      <c r="AP155" s="52">
        <f t="shared" si="52"/>
        <v>3.6489989689870981E-3</v>
      </c>
      <c r="AQ155" s="48">
        <f>(F155-E155)/E155</f>
        <v>2.2197558268590455E-3</v>
      </c>
      <c r="AR155" s="48">
        <f>(M155-L155)/L155</f>
        <v>1.9193857965451055E-3</v>
      </c>
      <c r="AS155" s="48">
        <f>(T155-S155)/S155</f>
        <v>7.6374745417515273E-3</v>
      </c>
      <c r="AT155" s="48" t="e">
        <f>(#REF!-#REF!)/#REF!</f>
        <v>#REF!</v>
      </c>
    </row>
    <row r="156" spans="1:46" x14ac:dyDescent="0.3">
      <c r="A156" s="48">
        <v>20180816</v>
      </c>
      <c r="B156" s="48" t="s">
        <v>88</v>
      </c>
      <c r="C156" s="79">
        <v>0.4</v>
      </c>
      <c r="D156" s="79">
        <f t="shared" si="41"/>
        <v>0.43038430741866585</v>
      </c>
      <c r="E156" s="49">
        <v>45150</v>
      </c>
      <c r="F156" s="49">
        <v>44250</v>
      </c>
      <c r="G156" s="49">
        <v>6419324700</v>
      </c>
      <c r="H156" s="49">
        <f t="shared" si="42"/>
        <v>0.45585619760779</v>
      </c>
      <c r="I156" s="49">
        <f t="shared" si="53"/>
        <v>0.45585619760779</v>
      </c>
      <c r="J156" s="48">
        <v>0.3</v>
      </c>
      <c r="K156" s="48">
        <f t="shared" si="43"/>
        <v>0.28983972986174694</v>
      </c>
      <c r="L156" s="48">
        <v>261000</v>
      </c>
      <c r="M156" s="48">
        <v>258500</v>
      </c>
      <c r="N156" s="51">
        <v>125395903</v>
      </c>
      <c r="O156" s="48">
        <f t="shared" si="44"/>
        <v>2.6902217281479599</v>
      </c>
      <c r="P156" s="48">
        <f t="shared" si="54"/>
        <v>2.6902217281479599</v>
      </c>
      <c r="Q156" s="49">
        <v>0.3</v>
      </c>
      <c r="R156" s="49">
        <f t="shared" si="45"/>
        <v>0.27977596271958727</v>
      </c>
      <c r="S156" s="49">
        <v>197900</v>
      </c>
      <c r="T156" s="49">
        <v>193700</v>
      </c>
      <c r="U156" s="49">
        <v>15956260</v>
      </c>
      <c r="V156" s="49">
        <f t="shared" si="46"/>
        <v>27.2347710204326</v>
      </c>
      <c r="W156" s="49">
        <f t="shared" si="55"/>
        <v>27.2347710204326</v>
      </c>
      <c r="X156" s="48">
        <v>0</v>
      </c>
      <c r="Y156" s="48">
        <f t="shared" si="47"/>
        <v>0</v>
      </c>
      <c r="Z156" s="48">
        <v>0</v>
      </c>
      <c r="AA156" s="48">
        <v>0</v>
      </c>
      <c r="AB156" s="48">
        <v>0</v>
      </c>
      <c r="AC156" s="48">
        <f t="shared" si="48"/>
        <v>0</v>
      </c>
      <c r="AD156" s="48">
        <f t="shared" si="56"/>
        <v>0</v>
      </c>
      <c r="AE156" s="49">
        <v>0</v>
      </c>
      <c r="AF156" s="49">
        <f t="shared" si="49"/>
        <v>0</v>
      </c>
      <c r="AG156" s="49">
        <v>0</v>
      </c>
      <c r="AH156" s="49">
        <v>0</v>
      </c>
      <c r="AI156" s="49">
        <v>0</v>
      </c>
      <c r="AJ156" s="49">
        <f t="shared" si="50"/>
        <v>0</v>
      </c>
      <c r="AK156" s="49">
        <f t="shared" si="57"/>
        <v>0</v>
      </c>
      <c r="AL156" s="82">
        <f t="shared" si="58"/>
        <v>0</v>
      </c>
      <c r="AM156" s="82">
        <f t="shared" si="59"/>
        <v>291304837464665.44</v>
      </c>
      <c r="AN156" s="81">
        <f t="shared" si="51"/>
        <v>300866652800965.44</v>
      </c>
      <c r="AO156" s="80">
        <f t="shared" si="40"/>
        <v>1032.8240870269099</v>
      </c>
      <c r="AP156" s="52">
        <f t="shared" si="52"/>
        <v>-1.7317863971499845E-2</v>
      </c>
      <c r="AQ156" s="48">
        <f>(F156-E156)/E156</f>
        <v>-1.9933554817275746E-2</v>
      </c>
      <c r="AR156" s="48">
        <f>(M156-L156)/L156</f>
        <v>-9.5785440613026813E-3</v>
      </c>
      <c r="AS156" s="48">
        <f>(T156-S156)/S156</f>
        <v>-2.1222839818089943E-2</v>
      </c>
      <c r="AT156" s="48" t="e">
        <f>(#REF!-#REF!)/#REF!</f>
        <v>#REF!</v>
      </c>
    </row>
    <row r="157" spans="1:46" x14ac:dyDescent="0.3">
      <c r="A157" s="48">
        <v>20180817</v>
      </c>
      <c r="B157" s="48" t="s">
        <v>88</v>
      </c>
      <c r="C157" s="79">
        <v>0.4</v>
      </c>
      <c r="D157" s="79">
        <f t="shared" si="41"/>
        <v>0.42270804209083873</v>
      </c>
      <c r="E157" s="49">
        <v>44250</v>
      </c>
      <c r="F157" s="49">
        <v>44100</v>
      </c>
      <c r="G157" s="49">
        <v>6419324700</v>
      </c>
      <c r="H157" s="49">
        <f t="shared" si="42"/>
        <v>0.45585619760779</v>
      </c>
      <c r="I157" s="49">
        <f t="shared" si="53"/>
        <v>0.45585619760779</v>
      </c>
      <c r="J157" s="48">
        <v>0.3</v>
      </c>
      <c r="K157" s="48">
        <f t="shared" si="43"/>
        <v>0.29061089068634582</v>
      </c>
      <c r="L157" s="48">
        <v>258500</v>
      </c>
      <c r="M157" s="48">
        <v>263000</v>
      </c>
      <c r="N157" s="51">
        <v>125395903</v>
      </c>
      <c r="O157" s="48">
        <f t="shared" si="44"/>
        <v>2.6902217281479599</v>
      </c>
      <c r="P157" s="48">
        <f t="shared" si="54"/>
        <v>2.6902217281479599</v>
      </c>
      <c r="Q157" s="49">
        <v>0.3</v>
      </c>
      <c r="R157" s="49">
        <f t="shared" si="45"/>
        <v>0.2866810672228155</v>
      </c>
      <c r="S157" s="49">
        <v>193700</v>
      </c>
      <c r="T157" s="49">
        <v>201400</v>
      </c>
      <c r="U157" s="49">
        <v>15956260</v>
      </c>
      <c r="V157" s="49">
        <f t="shared" si="46"/>
        <v>27.2347710204326</v>
      </c>
      <c r="W157" s="49">
        <f t="shared" si="55"/>
        <v>27.2347710204326</v>
      </c>
      <c r="X157" s="48">
        <v>0</v>
      </c>
      <c r="Y157" s="48">
        <f t="shared" si="47"/>
        <v>0</v>
      </c>
      <c r="Z157" s="48">
        <v>0</v>
      </c>
      <c r="AA157" s="48">
        <v>0</v>
      </c>
      <c r="AB157" s="48">
        <v>0</v>
      </c>
      <c r="AC157" s="48">
        <f t="shared" si="48"/>
        <v>0</v>
      </c>
      <c r="AD157" s="48">
        <f t="shared" si="56"/>
        <v>0</v>
      </c>
      <c r="AE157" s="49">
        <v>0</v>
      </c>
      <c r="AF157" s="49">
        <f t="shared" si="49"/>
        <v>0</v>
      </c>
      <c r="AG157" s="49">
        <v>0</v>
      </c>
      <c r="AH157" s="49">
        <v>0</v>
      </c>
      <c r="AI157" s="49">
        <v>0</v>
      </c>
      <c r="AJ157" s="49">
        <f t="shared" si="50"/>
        <v>0</v>
      </c>
      <c r="AK157" s="49">
        <f t="shared" si="57"/>
        <v>0</v>
      </c>
      <c r="AL157" s="82">
        <f t="shared" si="58"/>
        <v>0</v>
      </c>
      <c r="AM157" s="82">
        <f t="shared" si="59"/>
        <v>291304837464665.44</v>
      </c>
      <c r="AN157" s="81">
        <f t="shared" si="51"/>
        <v>305291903154850.81</v>
      </c>
      <c r="AO157" s="80">
        <f t="shared" si="40"/>
        <v>1048.0152194241607</v>
      </c>
      <c r="AP157" s="52">
        <f t="shared" si="52"/>
        <v>1.4708344419987409E-2</v>
      </c>
      <c r="AQ157" s="48">
        <f>(F157-E157)/E157</f>
        <v>-3.3898305084745762E-3</v>
      </c>
      <c r="AR157" s="48">
        <f>(M157-L157)/L157</f>
        <v>1.7408123791102514E-2</v>
      </c>
      <c r="AS157" s="48">
        <f>(T157-S157)/S157</f>
        <v>3.9752194114610222E-2</v>
      </c>
      <c r="AT157" s="48" t="e">
        <f>(#REF!-#REF!)/#REF!</f>
        <v>#REF!</v>
      </c>
    </row>
    <row r="158" spans="1:46" x14ac:dyDescent="0.3">
      <c r="A158" s="48">
        <v>20180820</v>
      </c>
      <c r="B158" s="48" t="s">
        <v>88</v>
      </c>
      <c r="C158" s="79">
        <v>0.4</v>
      </c>
      <c r="D158" s="79">
        <f t="shared" si="41"/>
        <v>0.42249844177992985</v>
      </c>
      <c r="E158" s="49">
        <v>44100</v>
      </c>
      <c r="F158" s="49">
        <v>43850</v>
      </c>
      <c r="G158" s="49">
        <v>6419324700</v>
      </c>
      <c r="H158" s="49">
        <f t="shared" si="42"/>
        <v>0.45585619760779</v>
      </c>
      <c r="I158" s="49">
        <f t="shared" si="53"/>
        <v>0.45585619760779</v>
      </c>
      <c r="J158" s="48">
        <v>0.3</v>
      </c>
      <c r="K158" s="48">
        <f t="shared" si="43"/>
        <v>0.28990134966578424</v>
      </c>
      <c r="L158" s="48">
        <v>263000</v>
      </c>
      <c r="M158" s="48">
        <v>261000</v>
      </c>
      <c r="N158" s="51">
        <v>125395903</v>
      </c>
      <c r="O158" s="48">
        <f t="shared" si="44"/>
        <v>2.6902217281479599</v>
      </c>
      <c r="P158" s="48">
        <f t="shared" si="54"/>
        <v>2.6902217281479599</v>
      </c>
      <c r="Q158" s="49">
        <v>0.3</v>
      </c>
      <c r="R158" s="49">
        <f t="shared" si="45"/>
        <v>0.28760020855428581</v>
      </c>
      <c r="S158" s="49">
        <v>201400</v>
      </c>
      <c r="T158" s="49">
        <v>201000</v>
      </c>
      <c r="U158" s="49">
        <v>15956260</v>
      </c>
      <c r="V158" s="49">
        <f t="shared" si="46"/>
        <v>27.2347710204326</v>
      </c>
      <c r="W158" s="49">
        <f t="shared" si="55"/>
        <v>27.2347710204326</v>
      </c>
      <c r="X158" s="48">
        <v>0</v>
      </c>
      <c r="Y158" s="48">
        <f t="shared" si="47"/>
        <v>0</v>
      </c>
      <c r="Z158" s="48">
        <v>0</v>
      </c>
      <c r="AA158" s="48">
        <v>0</v>
      </c>
      <c r="AB158" s="48">
        <v>0</v>
      </c>
      <c r="AC158" s="48">
        <f t="shared" si="48"/>
        <v>0</v>
      </c>
      <c r="AD158" s="48">
        <f t="shared" si="56"/>
        <v>0</v>
      </c>
      <c r="AE158" s="49">
        <v>0</v>
      </c>
      <c r="AF158" s="49">
        <f t="shared" si="49"/>
        <v>0</v>
      </c>
      <c r="AG158" s="49">
        <v>0</v>
      </c>
      <c r="AH158" s="49">
        <v>0</v>
      </c>
      <c r="AI158" s="49">
        <v>0</v>
      </c>
      <c r="AJ158" s="49">
        <f t="shared" si="50"/>
        <v>0</v>
      </c>
      <c r="AK158" s="49">
        <f t="shared" si="57"/>
        <v>0</v>
      </c>
      <c r="AL158" s="82">
        <f t="shared" si="58"/>
        <v>0</v>
      </c>
      <c r="AM158" s="82">
        <f t="shared" si="59"/>
        <v>291304837464665.44</v>
      </c>
      <c r="AN158" s="81">
        <f t="shared" si="51"/>
        <v>303711819316893.25</v>
      </c>
      <c r="AO158" s="80">
        <f t="shared" si="40"/>
        <v>1042.5910601423939</v>
      </c>
      <c r="AP158" s="52">
        <f t="shared" si="52"/>
        <v>-5.1756493429047489E-3</v>
      </c>
      <c r="AQ158" s="48">
        <f>(F158-E158)/E158</f>
        <v>-5.6689342403628117E-3</v>
      </c>
      <c r="AR158" s="48">
        <f>(M158-L158)/L158</f>
        <v>-7.6045627376425855E-3</v>
      </c>
      <c r="AS158" s="48">
        <f>(T158-S158)/S158</f>
        <v>-1.9860973187686196E-3</v>
      </c>
      <c r="AT158" s="48" t="e">
        <f>(#REF!-#REF!)/#REF!</f>
        <v>#REF!</v>
      </c>
    </row>
    <row r="159" spans="1:46" x14ac:dyDescent="0.3">
      <c r="A159" s="48">
        <v>20180821</v>
      </c>
      <c r="B159" s="48" t="s">
        <v>88</v>
      </c>
      <c r="C159" s="79">
        <v>0.4</v>
      </c>
      <c r="D159" s="79">
        <f t="shared" si="41"/>
        <v>0.4147851369192565</v>
      </c>
      <c r="E159" s="49">
        <v>43850</v>
      </c>
      <c r="F159" s="49">
        <v>44800</v>
      </c>
      <c r="G159" s="49">
        <v>6419324700</v>
      </c>
      <c r="H159" s="49">
        <f t="shared" si="42"/>
        <v>0.45585619760779</v>
      </c>
      <c r="I159" s="49">
        <f t="shared" si="53"/>
        <v>0.45585619760779</v>
      </c>
      <c r="J159" s="48">
        <v>0.3</v>
      </c>
      <c r="K159" s="48">
        <f t="shared" si="43"/>
        <v>0.2865785480100409</v>
      </c>
      <c r="L159" s="48">
        <v>261000</v>
      </c>
      <c r="M159" s="48">
        <v>268500</v>
      </c>
      <c r="N159" s="51">
        <v>125395903</v>
      </c>
      <c r="O159" s="48">
        <f t="shared" si="44"/>
        <v>2.6902217281479599</v>
      </c>
      <c r="P159" s="48">
        <f t="shared" si="54"/>
        <v>2.6902217281479599</v>
      </c>
      <c r="Q159" s="49">
        <v>0.3</v>
      </c>
      <c r="R159" s="49">
        <f t="shared" si="45"/>
        <v>0.29863631507070265</v>
      </c>
      <c r="S159" s="49">
        <v>201000</v>
      </c>
      <c r="T159" s="49">
        <v>217200</v>
      </c>
      <c r="U159" s="49">
        <v>15956260</v>
      </c>
      <c r="V159" s="49">
        <f t="shared" si="46"/>
        <v>27.2347710204326</v>
      </c>
      <c r="W159" s="49">
        <f t="shared" si="55"/>
        <v>27.2347710204326</v>
      </c>
      <c r="X159" s="48">
        <v>0</v>
      </c>
      <c r="Y159" s="48">
        <f t="shared" si="47"/>
        <v>0</v>
      </c>
      <c r="Z159" s="48">
        <v>0</v>
      </c>
      <c r="AA159" s="48">
        <v>0</v>
      </c>
      <c r="AB159" s="48">
        <v>0</v>
      </c>
      <c r="AC159" s="48">
        <f t="shared" si="48"/>
        <v>0</v>
      </c>
      <c r="AD159" s="48">
        <f t="shared" si="56"/>
        <v>0</v>
      </c>
      <c r="AE159" s="49">
        <v>0</v>
      </c>
      <c r="AF159" s="49">
        <f t="shared" si="49"/>
        <v>0</v>
      </c>
      <c r="AG159" s="49">
        <v>0</v>
      </c>
      <c r="AH159" s="49">
        <v>0</v>
      </c>
      <c r="AI159" s="49">
        <v>0</v>
      </c>
      <c r="AJ159" s="49">
        <f t="shared" si="50"/>
        <v>0</v>
      </c>
      <c r="AK159" s="49">
        <f t="shared" si="57"/>
        <v>0</v>
      </c>
      <c r="AL159" s="82">
        <f t="shared" si="58"/>
        <v>0</v>
      </c>
      <c r="AM159" s="82">
        <f t="shared" si="59"/>
        <v>291304837464665.44</v>
      </c>
      <c r="AN159" s="81">
        <f t="shared" si="51"/>
        <v>316061819106500.69</v>
      </c>
      <c r="AO159" s="80">
        <f t="shared" si="40"/>
        <v>1084.9865105478661</v>
      </c>
      <c r="AP159" s="52">
        <f t="shared" si="52"/>
        <v>4.0663546836553571E-2</v>
      </c>
      <c r="AQ159" s="48">
        <f>(F159-E159)/E159</f>
        <v>2.1664766248574687E-2</v>
      </c>
      <c r="AR159" s="48">
        <f>(M159-L159)/L159</f>
        <v>2.8735632183908046E-2</v>
      </c>
      <c r="AS159" s="48">
        <f>(T159-S159)/S159</f>
        <v>8.0597014925373134E-2</v>
      </c>
      <c r="AT159" s="48" t="e">
        <f>(#REF!-#REF!)/#REF!</f>
        <v>#REF!</v>
      </c>
    </row>
    <row r="160" spans="1:46" x14ac:dyDescent="0.3">
      <c r="A160" s="48">
        <v>20180822</v>
      </c>
      <c r="B160" s="48" t="s">
        <v>88</v>
      </c>
      <c r="C160" s="79">
        <v>0.4</v>
      </c>
      <c r="D160" s="79">
        <f t="shared" si="41"/>
        <v>0.42180241984407624</v>
      </c>
      <c r="E160" s="49">
        <v>44800</v>
      </c>
      <c r="F160" s="49">
        <v>46100</v>
      </c>
      <c r="G160" s="49">
        <v>6419324700</v>
      </c>
      <c r="H160" s="49">
        <f t="shared" si="42"/>
        <v>0.45585619760779</v>
      </c>
      <c r="I160" s="49">
        <f t="shared" si="53"/>
        <v>0.45585619760779</v>
      </c>
      <c r="J160" s="48">
        <v>0.3</v>
      </c>
      <c r="K160" s="48">
        <f t="shared" si="43"/>
        <v>0.28320873726360224</v>
      </c>
      <c r="L160" s="48">
        <v>268500</v>
      </c>
      <c r="M160" s="48">
        <v>268500</v>
      </c>
      <c r="N160" s="51">
        <v>125395903</v>
      </c>
      <c r="O160" s="48">
        <f t="shared" si="44"/>
        <v>2.6902217281479599</v>
      </c>
      <c r="P160" s="48">
        <f t="shared" si="54"/>
        <v>2.6902217281479599</v>
      </c>
      <c r="Q160" s="49">
        <v>0.3</v>
      </c>
      <c r="R160" s="49">
        <f t="shared" si="45"/>
        <v>0.29498884289232158</v>
      </c>
      <c r="S160" s="49">
        <v>217200</v>
      </c>
      <c r="T160" s="49">
        <v>217100</v>
      </c>
      <c r="U160" s="49">
        <v>15956260</v>
      </c>
      <c r="V160" s="49">
        <f t="shared" si="46"/>
        <v>27.2347710204326</v>
      </c>
      <c r="W160" s="49">
        <f t="shared" si="55"/>
        <v>27.2347710204326</v>
      </c>
      <c r="X160" s="48">
        <v>0</v>
      </c>
      <c r="Y160" s="48">
        <f t="shared" si="47"/>
        <v>0</v>
      </c>
      <c r="Z160" s="48">
        <v>0</v>
      </c>
      <c r="AA160" s="48">
        <v>0</v>
      </c>
      <c r="AB160" s="48">
        <v>0</v>
      </c>
      <c r="AC160" s="48">
        <f t="shared" si="48"/>
        <v>0</v>
      </c>
      <c r="AD160" s="48">
        <f t="shared" si="56"/>
        <v>0</v>
      </c>
      <c r="AE160" s="49">
        <v>0</v>
      </c>
      <c r="AF160" s="49">
        <f t="shared" si="49"/>
        <v>0</v>
      </c>
      <c r="AG160" s="49">
        <v>0</v>
      </c>
      <c r="AH160" s="49">
        <v>0</v>
      </c>
      <c r="AI160" s="49">
        <v>0</v>
      </c>
      <c r="AJ160" s="49">
        <f t="shared" si="50"/>
        <v>0</v>
      </c>
      <c r="AK160" s="49">
        <f t="shared" si="57"/>
        <v>0</v>
      </c>
      <c r="AL160" s="82">
        <f t="shared" si="58"/>
        <v>0</v>
      </c>
      <c r="AM160" s="82">
        <f t="shared" si="59"/>
        <v>291304837464665.44</v>
      </c>
      <c r="AN160" s="81">
        <f t="shared" si="51"/>
        <v>319822538231393.75</v>
      </c>
      <c r="AO160" s="80">
        <f t="shared" si="40"/>
        <v>1097.8964201725191</v>
      </c>
      <c r="AP160" s="52">
        <f t="shared" si="52"/>
        <v>1.1898682148715469E-2</v>
      </c>
      <c r="AQ160" s="48">
        <f>(F160-E160)/E160</f>
        <v>2.9017857142857144E-2</v>
      </c>
      <c r="AR160" s="48">
        <f>(M160-L160)/L160</f>
        <v>0</v>
      </c>
      <c r="AS160" s="48">
        <f>(T160-S160)/S160</f>
        <v>-4.6040515653775324E-4</v>
      </c>
      <c r="AT160" s="48" t="e">
        <f>(#REF!-#REF!)/#REF!</f>
        <v>#REF!</v>
      </c>
    </row>
    <row r="161" spans="1:46" x14ac:dyDescent="0.3">
      <c r="A161" s="48">
        <v>20180823</v>
      </c>
      <c r="B161" s="48" t="s">
        <v>88</v>
      </c>
      <c r="C161" s="79">
        <v>0.4</v>
      </c>
      <c r="D161" s="79">
        <f t="shared" si="41"/>
        <v>0.41967067711968881</v>
      </c>
      <c r="E161" s="49">
        <v>46100</v>
      </c>
      <c r="F161" s="49">
        <v>46200</v>
      </c>
      <c r="G161" s="49">
        <v>6419324700</v>
      </c>
      <c r="H161" s="49">
        <f t="shared" si="42"/>
        <v>0.45585619760779</v>
      </c>
      <c r="I161" s="49">
        <f t="shared" si="53"/>
        <v>0.45585619760779</v>
      </c>
      <c r="J161" s="48">
        <v>0.3</v>
      </c>
      <c r="K161" s="48">
        <f t="shared" si="43"/>
        <v>0.28692700753180261</v>
      </c>
      <c r="L161" s="48">
        <v>268500</v>
      </c>
      <c r="M161" s="48">
        <v>274000</v>
      </c>
      <c r="N161" s="51">
        <v>125395903</v>
      </c>
      <c r="O161" s="48">
        <f t="shared" si="44"/>
        <v>2.6902217281479599</v>
      </c>
      <c r="P161" s="48">
        <f t="shared" si="54"/>
        <v>2.6902217281479599</v>
      </c>
      <c r="Q161" s="49">
        <v>0.3</v>
      </c>
      <c r="R161" s="49">
        <f t="shared" si="45"/>
        <v>0.29340231534850852</v>
      </c>
      <c r="S161" s="49">
        <v>217100</v>
      </c>
      <c r="T161" s="49">
        <v>217500</v>
      </c>
      <c r="U161" s="49">
        <v>15956260</v>
      </c>
      <c r="V161" s="49">
        <f t="shared" si="46"/>
        <v>27.2347710204326</v>
      </c>
      <c r="W161" s="49">
        <f t="shared" si="55"/>
        <v>27.2347710204326</v>
      </c>
      <c r="X161" s="48">
        <v>0</v>
      </c>
      <c r="Y161" s="48">
        <f t="shared" si="47"/>
        <v>0</v>
      </c>
      <c r="Z161" s="48">
        <v>0</v>
      </c>
      <c r="AA161" s="48">
        <v>0</v>
      </c>
      <c r="AB161" s="48">
        <v>0</v>
      </c>
      <c r="AC161" s="48">
        <f t="shared" si="48"/>
        <v>0</v>
      </c>
      <c r="AD161" s="48">
        <f t="shared" si="56"/>
        <v>0</v>
      </c>
      <c r="AE161" s="49">
        <v>0</v>
      </c>
      <c r="AF161" s="49">
        <f t="shared" si="49"/>
        <v>0</v>
      </c>
      <c r="AG161" s="49">
        <v>0</v>
      </c>
      <c r="AH161" s="49">
        <v>0</v>
      </c>
      <c r="AI161" s="49">
        <v>0</v>
      </c>
      <c r="AJ161" s="49">
        <f t="shared" si="50"/>
        <v>0</v>
      </c>
      <c r="AK161" s="49">
        <f t="shared" si="57"/>
        <v>0</v>
      </c>
      <c r="AL161" s="82">
        <f t="shared" si="58"/>
        <v>0</v>
      </c>
      <c r="AM161" s="82">
        <f t="shared" si="59"/>
        <v>291304837464665.44</v>
      </c>
      <c r="AN161" s="81">
        <f t="shared" si="51"/>
        <v>322144378467058.25</v>
      </c>
      <c r="AO161" s="80">
        <f t="shared" si="40"/>
        <v>1105.8669031067279</v>
      </c>
      <c r="AP161" s="52">
        <f t="shared" si="52"/>
        <v>7.2597767765344868E-3</v>
      </c>
      <c r="AQ161" s="48">
        <f>(F161-E161)/E161</f>
        <v>2.1691973969631237E-3</v>
      </c>
      <c r="AR161" s="48">
        <f>(M161-L161)/L161</f>
        <v>2.0484171322160148E-2</v>
      </c>
      <c r="AS161" s="48">
        <f>(T161-S161)/S161</f>
        <v>1.8424689083371719E-3</v>
      </c>
      <c r="AT161" s="48" t="e">
        <f>(#REF!-#REF!)/#REF!</f>
        <v>#REF!</v>
      </c>
    </row>
    <row r="162" spans="1:46" x14ac:dyDescent="0.3">
      <c r="A162" s="48">
        <v>20180824</v>
      </c>
      <c r="B162" s="48" t="s">
        <v>88</v>
      </c>
      <c r="C162" s="79">
        <v>0.4</v>
      </c>
      <c r="D162" s="79">
        <f t="shared" si="41"/>
        <v>0.41499942622527319</v>
      </c>
      <c r="E162" s="49">
        <v>46200</v>
      </c>
      <c r="F162" s="49">
        <v>46150</v>
      </c>
      <c r="G162" s="49">
        <v>6419324700</v>
      </c>
      <c r="H162" s="49">
        <f t="shared" si="42"/>
        <v>0.45585619760779</v>
      </c>
      <c r="I162" s="49">
        <f t="shared" si="53"/>
        <v>0.45585619760779</v>
      </c>
      <c r="J162" s="48">
        <v>0.3</v>
      </c>
      <c r="K162" s="48">
        <f t="shared" si="43"/>
        <v>0.28974224390442005</v>
      </c>
      <c r="L162" s="48">
        <v>274000</v>
      </c>
      <c r="M162" s="48">
        <v>279500</v>
      </c>
      <c r="N162" s="51">
        <v>125395903</v>
      </c>
      <c r="O162" s="48">
        <f t="shared" si="44"/>
        <v>2.6902217281479599</v>
      </c>
      <c r="P162" s="48">
        <f t="shared" si="54"/>
        <v>2.6902217281479599</v>
      </c>
      <c r="Q162" s="49">
        <v>0.3</v>
      </c>
      <c r="R162" s="49">
        <f t="shared" si="45"/>
        <v>0.29525832987030665</v>
      </c>
      <c r="S162" s="49">
        <v>217500</v>
      </c>
      <c r="T162" s="49">
        <v>221100</v>
      </c>
      <c r="U162" s="49">
        <v>15956260</v>
      </c>
      <c r="V162" s="49">
        <f t="shared" si="46"/>
        <v>27.2347710204326</v>
      </c>
      <c r="W162" s="49">
        <f t="shared" si="55"/>
        <v>27.2347710204326</v>
      </c>
      <c r="X162" s="48">
        <v>0</v>
      </c>
      <c r="Y162" s="48">
        <f t="shared" si="47"/>
        <v>0</v>
      </c>
      <c r="Z162" s="48">
        <v>0</v>
      </c>
      <c r="AA162" s="48">
        <v>0</v>
      </c>
      <c r="AB162" s="48">
        <v>0</v>
      </c>
      <c r="AC162" s="48">
        <f t="shared" si="48"/>
        <v>0</v>
      </c>
      <c r="AD162" s="48">
        <f t="shared" si="56"/>
        <v>0</v>
      </c>
      <c r="AE162" s="49">
        <v>0</v>
      </c>
      <c r="AF162" s="49">
        <f t="shared" si="49"/>
        <v>0</v>
      </c>
      <c r="AG162" s="49">
        <v>0</v>
      </c>
      <c r="AH162" s="49">
        <v>0</v>
      </c>
      <c r="AI162" s="49">
        <v>0</v>
      </c>
      <c r="AJ162" s="49">
        <f t="shared" si="50"/>
        <v>0</v>
      </c>
      <c r="AK162" s="49">
        <f t="shared" si="57"/>
        <v>0</v>
      </c>
      <c r="AL162" s="82">
        <f t="shared" si="58"/>
        <v>0</v>
      </c>
      <c r="AM162" s="82">
        <f t="shared" si="59"/>
        <v>291304837464665.44</v>
      </c>
      <c r="AN162" s="81">
        <f t="shared" si="51"/>
        <v>325417883640196</v>
      </c>
      <c r="AO162" s="80">
        <f t="shared" si="40"/>
        <v>1117.1042900366128</v>
      </c>
      <c r="AP162" s="52">
        <f t="shared" si="52"/>
        <v>1.0161608868405007E-2</v>
      </c>
      <c r="AQ162" s="48">
        <f>(F162-E162)/E162</f>
        <v>-1.0822510822510823E-3</v>
      </c>
      <c r="AR162" s="48">
        <f>(M162-L162)/L162</f>
        <v>2.0072992700729927E-2</v>
      </c>
      <c r="AS162" s="48">
        <f>(T162-S162)/S162</f>
        <v>1.6551724137931035E-2</v>
      </c>
      <c r="AT162" s="48" t="e">
        <f>(#REF!-#REF!)/#REF!</f>
        <v>#REF!</v>
      </c>
    </row>
    <row r="163" spans="1:46" x14ac:dyDescent="0.3">
      <c r="A163" s="48">
        <v>20180827</v>
      </c>
      <c r="B163" s="48" t="s">
        <v>88</v>
      </c>
      <c r="C163" s="79">
        <v>0.4</v>
      </c>
      <c r="D163" s="79">
        <f t="shared" si="41"/>
        <v>0.41660105056491098</v>
      </c>
      <c r="E163" s="49">
        <v>46150</v>
      </c>
      <c r="F163" s="49">
        <v>46300</v>
      </c>
      <c r="G163" s="49">
        <v>6419324700</v>
      </c>
      <c r="H163" s="49">
        <f t="shared" si="42"/>
        <v>0.45585619760779</v>
      </c>
      <c r="I163" s="49">
        <f t="shared" si="53"/>
        <v>0.45585619760779</v>
      </c>
      <c r="J163" s="48">
        <v>0.3</v>
      </c>
      <c r="K163" s="48">
        <f t="shared" si="43"/>
        <v>0.28836223421820067</v>
      </c>
      <c r="L163" s="48">
        <v>279500</v>
      </c>
      <c r="M163" s="48">
        <v>278000</v>
      </c>
      <c r="N163" s="51">
        <v>125395903</v>
      </c>
      <c r="O163" s="48">
        <f t="shared" si="44"/>
        <v>2.6902217281479599</v>
      </c>
      <c r="P163" s="48">
        <f t="shared" si="54"/>
        <v>2.6902217281479599</v>
      </c>
      <c r="Q163" s="49">
        <v>0.3</v>
      </c>
      <c r="R163" s="49">
        <f t="shared" si="45"/>
        <v>0.29503671521688835</v>
      </c>
      <c r="S163" s="49">
        <v>221100</v>
      </c>
      <c r="T163" s="49">
        <v>220800</v>
      </c>
      <c r="U163" s="49">
        <v>15956260</v>
      </c>
      <c r="V163" s="49">
        <f t="shared" si="46"/>
        <v>27.2347710204326</v>
      </c>
      <c r="W163" s="49">
        <f t="shared" si="55"/>
        <v>27.2347710204326</v>
      </c>
      <c r="X163" s="48">
        <v>0</v>
      </c>
      <c r="Y163" s="48">
        <f t="shared" si="47"/>
        <v>0</v>
      </c>
      <c r="Z163" s="48">
        <v>0</v>
      </c>
      <c r="AA163" s="48">
        <v>0</v>
      </c>
      <c r="AB163" s="48">
        <v>0</v>
      </c>
      <c r="AC163" s="48">
        <f t="shared" si="48"/>
        <v>0</v>
      </c>
      <c r="AD163" s="48">
        <f t="shared" si="56"/>
        <v>0</v>
      </c>
      <c r="AE163" s="49">
        <v>0</v>
      </c>
      <c r="AF163" s="49">
        <f t="shared" si="49"/>
        <v>0</v>
      </c>
      <c r="AG163" s="49">
        <v>0</v>
      </c>
      <c r="AH163" s="49">
        <v>0</v>
      </c>
      <c r="AI163" s="49">
        <v>0</v>
      </c>
      <c r="AJ163" s="49">
        <f t="shared" si="50"/>
        <v>0</v>
      </c>
      <c r="AK163" s="49">
        <f t="shared" si="57"/>
        <v>0</v>
      </c>
      <c r="AL163" s="82">
        <f t="shared" si="58"/>
        <v>0</v>
      </c>
      <c r="AM163" s="82">
        <f t="shared" si="59"/>
        <v>291304837464665.44</v>
      </c>
      <c r="AN163" s="81">
        <f t="shared" si="51"/>
        <v>325220443281999</v>
      </c>
      <c r="AO163" s="80">
        <f t="shared" si="40"/>
        <v>1116.426510841748</v>
      </c>
      <c r="AP163" s="52">
        <f t="shared" si="52"/>
        <v>-6.0672866527312615E-4</v>
      </c>
      <c r="AQ163" s="48">
        <f>(F163-E163)/E163</f>
        <v>3.2502708559046588E-3</v>
      </c>
      <c r="AR163" s="48">
        <f>(M163-L163)/L163</f>
        <v>-5.3667262969588547E-3</v>
      </c>
      <c r="AS163" s="48">
        <f>(T163-S163)/S163</f>
        <v>-1.3568521031207597E-3</v>
      </c>
      <c r="AT163" s="48" t="e">
        <f>(#REF!-#REF!)/#REF!</f>
        <v>#REF!</v>
      </c>
    </row>
    <row r="164" spans="1:46" x14ac:dyDescent="0.3">
      <c r="A164" s="48">
        <v>20180828</v>
      </c>
      <c r="B164" s="48" t="s">
        <v>88</v>
      </c>
      <c r="C164" s="79">
        <v>0.4</v>
      </c>
      <c r="D164" s="79">
        <f t="shared" si="41"/>
        <v>0.42172616532259555</v>
      </c>
      <c r="E164" s="49">
        <v>46300</v>
      </c>
      <c r="F164" s="49">
        <v>46550</v>
      </c>
      <c r="G164" s="49">
        <v>6419324700</v>
      </c>
      <c r="H164" s="49">
        <f t="shared" si="42"/>
        <v>0.45585619760779</v>
      </c>
      <c r="I164" s="49">
        <f t="shared" si="53"/>
        <v>0.45585619760779</v>
      </c>
      <c r="J164" s="48">
        <v>0.3</v>
      </c>
      <c r="K164" s="48">
        <f t="shared" si="43"/>
        <v>0.28094244500033344</v>
      </c>
      <c r="L164" s="48">
        <v>278000</v>
      </c>
      <c r="M164" s="48">
        <v>269000</v>
      </c>
      <c r="N164" s="51">
        <v>125395903</v>
      </c>
      <c r="O164" s="48">
        <f t="shared" si="44"/>
        <v>2.6902217281479599</v>
      </c>
      <c r="P164" s="48">
        <f t="shared" si="54"/>
        <v>2.6902217281479599</v>
      </c>
      <c r="Q164" s="49">
        <v>0.3</v>
      </c>
      <c r="R164" s="49">
        <f t="shared" si="45"/>
        <v>0.29733138967707096</v>
      </c>
      <c r="S164" s="49">
        <v>220800</v>
      </c>
      <c r="T164" s="49">
        <v>221000</v>
      </c>
      <c r="U164" s="49">
        <v>15956260</v>
      </c>
      <c r="V164" s="49">
        <f t="shared" si="46"/>
        <v>27.2347710204326</v>
      </c>
      <c r="W164" s="49">
        <f t="shared" si="55"/>
        <v>27.2347710204326</v>
      </c>
      <c r="X164" s="48">
        <v>0</v>
      </c>
      <c r="Y164" s="48">
        <f t="shared" si="47"/>
        <v>0</v>
      </c>
      <c r="Z164" s="48">
        <v>0</v>
      </c>
      <c r="AA164" s="48">
        <v>0</v>
      </c>
      <c r="AB164" s="48">
        <v>0</v>
      </c>
      <c r="AC164" s="48">
        <f t="shared" si="48"/>
        <v>0</v>
      </c>
      <c r="AD164" s="48">
        <f t="shared" si="56"/>
        <v>0</v>
      </c>
      <c r="AE164" s="49">
        <v>0</v>
      </c>
      <c r="AF164" s="49">
        <f t="shared" si="49"/>
        <v>0</v>
      </c>
      <c r="AG164" s="49">
        <v>0</v>
      </c>
      <c r="AH164" s="49">
        <v>0</v>
      </c>
      <c r="AI164" s="49">
        <v>0</v>
      </c>
      <c r="AJ164" s="49">
        <f t="shared" si="50"/>
        <v>0</v>
      </c>
      <c r="AK164" s="49">
        <f t="shared" si="57"/>
        <v>0</v>
      </c>
      <c r="AL164" s="82">
        <f t="shared" si="58"/>
        <v>0</v>
      </c>
      <c r="AM164" s="82">
        <f t="shared" si="59"/>
        <v>291304837464665.44</v>
      </c>
      <c r="AN164" s="81">
        <f t="shared" si="51"/>
        <v>323002843490883.44</v>
      </c>
      <c r="AO164" s="80">
        <f t="shared" si="40"/>
        <v>1108.8138676380988</v>
      </c>
      <c r="AP164" s="52">
        <f t="shared" si="52"/>
        <v>-6.818758897000338E-3</v>
      </c>
      <c r="AQ164" s="48">
        <f>(F164-E164)/E164</f>
        <v>5.3995680345572351E-3</v>
      </c>
      <c r="AR164" s="48">
        <f>(M164-L164)/L164</f>
        <v>-3.237410071942446E-2</v>
      </c>
      <c r="AS164" s="48">
        <f>(T164-S164)/S164</f>
        <v>9.0579710144927537E-4</v>
      </c>
      <c r="AT164" s="48" t="e">
        <f>(#REF!-#REF!)/#REF!</f>
        <v>#REF!</v>
      </c>
    </row>
    <row r="165" spans="1:46" x14ac:dyDescent="0.3">
      <c r="A165" s="48">
        <v>20180829</v>
      </c>
      <c r="B165" s="48" t="s">
        <v>88</v>
      </c>
      <c r="C165" s="79">
        <v>0.4</v>
      </c>
      <c r="D165" s="79">
        <f t="shared" si="41"/>
        <v>0.42139922329533902</v>
      </c>
      <c r="E165" s="49">
        <v>46550</v>
      </c>
      <c r="F165" s="49">
        <v>46800</v>
      </c>
      <c r="G165" s="49">
        <v>6419324700</v>
      </c>
      <c r="H165" s="49">
        <f t="shared" si="42"/>
        <v>0.45585619760779</v>
      </c>
      <c r="I165" s="49">
        <f t="shared" si="53"/>
        <v>0.45585619760779</v>
      </c>
      <c r="J165" s="48">
        <v>0.3</v>
      </c>
      <c r="K165" s="48">
        <f t="shared" si="43"/>
        <v>0.27974405335894659</v>
      </c>
      <c r="L165" s="48">
        <v>269000</v>
      </c>
      <c r="M165" s="48">
        <v>269500</v>
      </c>
      <c r="N165" s="51">
        <v>125395903</v>
      </c>
      <c r="O165" s="48">
        <f t="shared" si="44"/>
        <v>2.6902217281479599</v>
      </c>
      <c r="P165" s="48">
        <f t="shared" si="54"/>
        <v>2.6902217281479599</v>
      </c>
      <c r="Q165" s="49">
        <v>0.3</v>
      </c>
      <c r="R165" s="49">
        <f t="shared" si="45"/>
        <v>0.29885672334571439</v>
      </c>
      <c r="S165" s="49">
        <v>221000</v>
      </c>
      <c r="T165" s="49">
        <v>223500</v>
      </c>
      <c r="U165" s="49">
        <v>15956260</v>
      </c>
      <c r="V165" s="49">
        <f t="shared" si="46"/>
        <v>27.2347710204326</v>
      </c>
      <c r="W165" s="49">
        <f t="shared" si="55"/>
        <v>27.2347710204326</v>
      </c>
      <c r="X165" s="48">
        <v>0</v>
      </c>
      <c r="Y165" s="48">
        <f t="shared" si="47"/>
        <v>0</v>
      </c>
      <c r="Z165" s="48">
        <v>0</v>
      </c>
      <c r="AA165" s="48">
        <v>0</v>
      </c>
      <c r="AB165" s="48">
        <v>0</v>
      </c>
      <c r="AC165" s="48">
        <f t="shared" si="48"/>
        <v>0</v>
      </c>
      <c r="AD165" s="48">
        <f t="shared" si="56"/>
        <v>0</v>
      </c>
      <c r="AE165" s="49">
        <v>0</v>
      </c>
      <c r="AF165" s="49">
        <f t="shared" si="49"/>
        <v>0</v>
      </c>
      <c r="AG165" s="49">
        <v>0</v>
      </c>
      <c r="AH165" s="49">
        <v>0</v>
      </c>
      <c r="AI165" s="49">
        <v>0</v>
      </c>
      <c r="AJ165" s="49">
        <f t="shared" si="50"/>
        <v>0</v>
      </c>
      <c r="AK165" s="49">
        <f t="shared" si="57"/>
        <v>0</v>
      </c>
      <c r="AL165" s="82">
        <f t="shared" si="58"/>
        <v>0</v>
      </c>
      <c r="AM165" s="82">
        <f t="shared" si="59"/>
        <v>291304837464665.44</v>
      </c>
      <c r="AN165" s="81">
        <f t="shared" si="51"/>
        <v>324989499838163.25</v>
      </c>
      <c r="AO165" s="80">
        <f t="shared" si="40"/>
        <v>1115.6337212477074</v>
      </c>
      <c r="AP165" s="52">
        <f t="shared" si="52"/>
        <v>6.1505847001495795E-3</v>
      </c>
      <c r="AQ165" s="48">
        <f>(F165-E165)/E165</f>
        <v>5.3705692803437165E-3</v>
      </c>
      <c r="AR165" s="48">
        <f>(M165-L165)/L165</f>
        <v>1.8587360594795538E-3</v>
      </c>
      <c r="AS165" s="48">
        <f>(T165-S165)/S165</f>
        <v>1.1312217194570135E-2</v>
      </c>
      <c r="AT165" s="48" t="e">
        <f>(#REF!-#REF!)/#REF!</f>
        <v>#REF!</v>
      </c>
    </row>
    <row r="166" spans="1:46" x14ac:dyDescent="0.3">
      <c r="A166" s="48">
        <v>20180830</v>
      </c>
      <c r="B166" s="48" t="s">
        <v>88</v>
      </c>
      <c r="C166" s="79">
        <v>0.4</v>
      </c>
      <c r="D166" s="79">
        <f t="shared" si="41"/>
        <v>0.42637609480030358</v>
      </c>
      <c r="E166" s="49">
        <v>46800</v>
      </c>
      <c r="F166" s="49">
        <v>47650</v>
      </c>
      <c r="G166" s="49">
        <v>6419324700</v>
      </c>
      <c r="H166" s="49">
        <f t="shared" si="42"/>
        <v>0.45585619760779</v>
      </c>
      <c r="I166" s="49">
        <f t="shared" si="53"/>
        <v>0.45585619760779</v>
      </c>
      <c r="J166" s="48">
        <v>0.3</v>
      </c>
      <c r="K166" s="48">
        <f t="shared" si="43"/>
        <v>0.27490419805895366</v>
      </c>
      <c r="L166" s="48">
        <v>269500</v>
      </c>
      <c r="M166" s="48">
        <v>266500</v>
      </c>
      <c r="N166" s="51">
        <v>125395903</v>
      </c>
      <c r="O166" s="48">
        <f t="shared" si="44"/>
        <v>2.6902217281479599</v>
      </c>
      <c r="P166" s="48">
        <f t="shared" si="54"/>
        <v>2.6902217281479599</v>
      </c>
      <c r="Q166" s="49">
        <v>0.3</v>
      </c>
      <c r="R166" s="49">
        <f t="shared" si="45"/>
        <v>0.29871970714074275</v>
      </c>
      <c r="S166" s="49">
        <v>223500</v>
      </c>
      <c r="T166" s="49">
        <v>224800</v>
      </c>
      <c r="U166" s="49">
        <v>15956260</v>
      </c>
      <c r="V166" s="49">
        <f t="shared" si="46"/>
        <v>27.2347710204326</v>
      </c>
      <c r="W166" s="49">
        <f t="shared" si="55"/>
        <v>27.2347710204326</v>
      </c>
      <c r="X166" s="48">
        <v>0</v>
      </c>
      <c r="Y166" s="48">
        <f t="shared" si="47"/>
        <v>0</v>
      </c>
      <c r="Z166" s="48">
        <v>0</v>
      </c>
      <c r="AA166" s="48">
        <v>0</v>
      </c>
      <c r="AB166" s="48">
        <v>0</v>
      </c>
      <c r="AC166" s="48">
        <f t="shared" si="48"/>
        <v>0</v>
      </c>
      <c r="AD166" s="48">
        <f t="shared" si="56"/>
        <v>0</v>
      </c>
      <c r="AE166" s="49">
        <v>0</v>
      </c>
      <c r="AF166" s="49">
        <f t="shared" si="49"/>
        <v>0</v>
      </c>
      <c r="AG166" s="49">
        <v>0</v>
      </c>
      <c r="AH166" s="49">
        <v>0</v>
      </c>
      <c r="AI166" s="49">
        <v>0</v>
      </c>
      <c r="AJ166" s="49">
        <f t="shared" si="50"/>
        <v>0</v>
      </c>
      <c r="AK166" s="49">
        <f t="shared" si="57"/>
        <v>0</v>
      </c>
      <c r="AL166" s="82">
        <f t="shared" si="58"/>
        <v>0</v>
      </c>
      <c r="AM166" s="82">
        <f t="shared" si="59"/>
        <v>291304837464665.44</v>
      </c>
      <c r="AN166" s="81">
        <f t="shared" si="51"/>
        <v>327029751709833.5</v>
      </c>
      <c r="AO166" s="80">
        <f t="shared" si="40"/>
        <v>1122.6375591840331</v>
      </c>
      <c r="AP166" s="52">
        <f t="shared" si="52"/>
        <v>6.2779008942941391E-3</v>
      </c>
      <c r="AQ166" s="48">
        <f>(F166-E166)/E166</f>
        <v>1.8162393162393164E-2</v>
      </c>
      <c r="AR166" s="48">
        <f>(M166-L166)/L166</f>
        <v>-1.1131725417439703E-2</v>
      </c>
      <c r="AS166" s="48">
        <f>(T166-S166)/S166</f>
        <v>5.8165548098434005E-3</v>
      </c>
      <c r="AT166" s="48" t="e">
        <f>(#REF!-#REF!)/#REF!</f>
        <v>#REF!</v>
      </c>
    </row>
    <row r="167" spans="1:46" x14ac:dyDescent="0.3">
      <c r="A167" s="48">
        <v>20180831</v>
      </c>
      <c r="B167" s="48" t="s">
        <v>88</v>
      </c>
      <c r="C167" s="79">
        <v>0.4</v>
      </c>
      <c r="D167" s="79">
        <f t="shared" si="41"/>
        <v>0.42209026697448521</v>
      </c>
      <c r="E167" s="49">
        <v>47650</v>
      </c>
      <c r="F167" s="49">
        <v>48450</v>
      </c>
      <c r="G167" s="49">
        <v>6419324700</v>
      </c>
      <c r="H167" s="49">
        <f t="shared" si="42"/>
        <v>0.45585619760779</v>
      </c>
      <c r="I167" s="49">
        <f t="shared" si="53"/>
        <v>0.45585619760779</v>
      </c>
      <c r="J167" s="48">
        <v>0.3</v>
      </c>
      <c r="K167" s="48">
        <f t="shared" si="43"/>
        <v>0.27116244218264329</v>
      </c>
      <c r="L167" s="48">
        <v>266500</v>
      </c>
      <c r="M167" s="48">
        <v>270000</v>
      </c>
      <c r="N167" s="51">
        <v>125395903</v>
      </c>
      <c r="O167" s="48">
        <f t="shared" si="44"/>
        <v>2.6902217281479599</v>
      </c>
      <c r="P167" s="48">
        <f t="shared" si="54"/>
        <v>2.6902217281479599</v>
      </c>
      <c r="Q167" s="49">
        <v>0.3</v>
      </c>
      <c r="R167" s="49">
        <f t="shared" si="45"/>
        <v>0.30674729084287145</v>
      </c>
      <c r="S167" s="49">
        <v>224800</v>
      </c>
      <c r="T167" s="49">
        <v>237100</v>
      </c>
      <c r="U167" s="49">
        <v>15956260</v>
      </c>
      <c r="V167" s="49">
        <f t="shared" si="46"/>
        <v>27.2347710204326</v>
      </c>
      <c r="W167" s="49">
        <f t="shared" si="55"/>
        <v>27.2347710204326</v>
      </c>
      <c r="X167" s="48">
        <v>0</v>
      </c>
      <c r="Y167" s="48">
        <f t="shared" si="47"/>
        <v>0</v>
      </c>
      <c r="Z167" s="48">
        <v>0</v>
      </c>
      <c r="AA167" s="48">
        <v>0</v>
      </c>
      <c r="AB167" s="48">
        <v>0</v>
      </c>
      <c r="AC167" s="48">
        <f t="shared" si="48"/>
        <v>0</v>
      </c>
      <c r="AD167" s="48">
        <f t="shared" si="56"/>
        <v>0</v>
      </c>
      <c r="AE167" s="49">
        <v>0</v>
      </c>
      <c r="AF167" s="49">
        <f t="shared" si="49"/>
        <v>0</v>
      </c>
      <c r="AG167" s="49">
        <v>0</v>
      </c>
      <c r="AH167" s="49">
        <v>0</v>
      </c>
      <c r="AI167" s="49">
        <v>0</v>
      </c>
      <c r="AJ167" s="49">
        <f t="shared" si="50"/>
        <v>0</v>
      </c>
      <c r="AK167" s="49">
        <f t="shared" si="57"/>
        <v>0</v>
      </c>
      <c r="AL167" s="82">
        <f t="shared" si="58"/>
        <v>0</v>
      </c>
      <c r="AM167" s="82">
        <f t="shared" si="59"/>
        <v>291304837464665.44</v>
      </c>
      <c r="AN167" s="81">
        <f t="shared" si="51"/>
        <v>335896633184587.19</v>
      </c>
      <c r="AO167" s="80">
        <f t="shared" si="40"/>
        <v>1153.0760563676895</v>
      </c>
      <c r="AP167" s="52">
        <f t="shared" si="52"/>
        <v>2.7113378609726926E-2</v>
      </c>
      <c r="AQ167" s="48">
        <f>(F167-E167)/E167</f>
        <v>1.6789087093389297E-2</v>
      </c>
      <c r="AR167" s="48">
        <f>(M167-L167)/L167</f>
        <v>1.3133208255159476E-2</v>
      </c>
      <c r="AS167" s="48">
        <f>(T167-S167)/S167</f>
        <v>5.47153024911032E-2</v>
      </c>
      <c r="AT167" s="48" t="e">
        <f>(#REF!-#REF!)/#REF!</f>
        <v>#REF!</v>
      </c>
    </row>
    <row r="168" spans="1:46" x14ac:dyDescent="0.3">
      <c r="A168" s="48">
        <v>20180903</v>
      </c>
      <c r="B168" s="48" t="s">
        <v>88</v>
      </c>
      <c r="C168" s="79">
        <v>0.4</v>
      </c>
      <c r="D168" s="79">
        <f t="shared" si="41"/>
        <v>0.41943574068116557</v>
      </c>
      <c r="E168" s="49">
        <v>48450</v>
      </c>
      <c r="F168" s="49">
        <v>47450</v>
      </c>
      <c r="G168" s="49">
        <v>6419324700</v>
      </c>
      <c r="H168" s="49">
        <f t="shared" si="42"/>
        <v>0.45585619760779</v>
      </c>
      <c r="I168" s="49">
        <f t="shared" si="53"/>
        <v>0.45585619760779</v>
      </c>
      <c r="J168" s="48">
        <v>0.3</v>
      </c>
      <c r="K168" s="48">
        <f t="shared" si="43"/>
        <v>0.27207879480392716</v>
      </c>
      <c r="L168" s="48">
        <v>270000</v>
      </c>
      <c r="M168" s="48">
        <v>267000</v>
      </c>
      <c r="N168" s="51">
        <v>125395903</v>
      </c>
      <c r="O168" s="48">
        <f t="shared" si="44"/>
        <v>2.6902217281479599</v>
      </c>
      <c r="P168" s="48">
        <f t="shared" si="54"/>
        <v>2.6902217281479599</v>
      </c>
      <c r="Q168" s="49">
        <v>0.3</v>
      </c>
      <c r="R168" s="49">
        <f t="shared" si="45"/>
        <v>0.30848546451490733</v>
      </c>
      <c r="S168" s="49">
        <v>237100</v>
      </c>
      <c r="T168" s="49">
        <v>235000</v>
      </c>
      <c r="U168" s="49">
        <v>15956260</v>
      </c>
      <c r="V168" s="49">
        <f t="shared" si="46"/>
        <v>27.2347710204326</v>
      </c>
      <c r="W168" s="49">
        <f t="shared" si="55"/>
        <v>27.2347710204326</v>
      </c>
      <c r="X168" s="48">
        <v>0</v>
      </c>
      <c r="Y168" s="48">
        <f t="shared" si="47"/>
        <v>0</v>
      </c>
      <c r="Z168" s="48">
        <v>0</v>
      </c>
      <c r="AA168" s="48">
        <v>0</v>
      </c>
      <c r="AB168" s="48">
        <v>0</v>
      </c>
      <c r="AC168" s="48">
        <f t="shared" si="48"/>
        <v>0</v>
      </c>
      <c r="AD168" s="48">
        <f t="shared" si="56"/>
        <v>0</v>
      </c>
      <c r="AE168" s="49">
        <v>0</v>
      </c>
      <c r="AF168" s="49">
        <f t="shared" si="49"/>
        <v>0</v>
      </c>
      <c r="AG168" s="49">
        <v>0</v>
      </c>
      <c r="AH168" s="49">
        <v>0</v>
      </c>
      <c r="AI168" s="49">
        <v>0</v>
      </c>
      <c r="AJ168" s="49">
        <f t="shared" si="50"/>
        <v>0</v>
      </c>
      <c r="AK168" s="49">
        <f t="shared" si="57"/>
        <v>0</v>
      </c>
      <c r="AL168" s="82">
        <f t="shared" si="58"/>
        <v>0</v>
      </c>
      <c r="AM168" s="82">
        <f t="shared" si="59"/>
        <v>291304837464665.44</v>
      </c>
      <c r="AN168" s="81">
        <f t="shared" si="51"/>
        <v>331045729203392.19</v>
      </c>
      <c r="AO168" s="80">
        <f t="shared" si="40"/>
        <v>1136.4237274073664</v>
      </c>
      <c r="AP168" s="52">
        <f t="shared" si="52"/>
        <v>-1.444165705146949E-2</v>
      </c>
      <c r="AQ168" s="48">
        <f>(F168-E168)/E168</f>
        <v>-2.063983488132095E-2</v>
      </c>
      <c r="AR168" s="48">
        <f>(M168-L168)/L168</f>
        <v>-1.1111111111111112E-2</v>
      </c>
      <c r="AS168" s="48">
        <f>(T168-S168)/S168</f>
        <v>-8.8570223534373688E-3</v>
      </c>
      <c r="AT168" s="48" t="e">
        <f>(#REF!-#REF!)/#REF!</f>
        <v>#REF!</v>
      </c>
    </row>
    <row r="169" spans="1:46" x14ac:dyDescent="0.3">
      <c r="A169" s="48">
        <v>20180904</v>
      </c>
      <c r="B169" s="48" t="s">
        <v>88</v>
      </c>
      <c r="C169" s="79">
        <v>0.4</v>
      </c>
      <c r="D169" s="79">
        <f t="shared" si="41"/>
        <v>0.41336894104623606</v>
      </c>
      <c r="E169" s="49">
        <v>47450</v>
      </c>
      <c r="F169" s="49">
        <v>47650</v>
      </c>
      <c r="G169" s="49">
        <v>6419324700</v>
      </c>
      <c r="H169" s="49">
        <f t="shared" si="42"/>
        <v>0.45585619760779</v>
      </c>
      <c r="I169" s="49">
        <f t="shared" si="53"/>
        <v>0.45585619760779</v>
      </c>
      <c r="J169" s="48">
        <v>0.3</v>
      </c>
      <c r="K169" s="48">
        <f t="shared" si="43"/>
        <v>0.2800187965142209</v>
      </c>
      <c r="L169" s="48">
        <v>267000</v>
      </c>
      <c r="M169" s="48">
        <v>280000</v>
      </c>
      <c r="N169" s="51">
        <v>125395903</v>
      </c>
      <c r="O169" s="48">
        <f t="shared" si="44"/>
        <v>2.6902217281479599</v>
      </c>
      <c r="P169" s="48">
        <f t="shared" si="54"/>
        <v>2.6902217281479599</v>
      </c>
      <c r="Q169" s="49">
        <v>0.3</v>
      </c>
      <c r="R169" s="49">
        <f t="shared" si="45"/>
        <v>0.30661226243954304</v>
      </c>
      <c r="S169" s="49">
        <v>235000</v>
      </c>
      <c r="T169" s="49">
        <v>238000</v>
      </c>
      <c r="U169" s="49">
        <v>15956260</v>
      </c>
      <c r="V169" s="49">
        <f t="shared" si="46"/>
        <v>27.2347710204326</v>
      </c>
      <c r="W169" s="49">
        <f t="shared" si="55"/>
        <v>27.2347710204326</v>
      </c>
      <c r="X169" s="48">
        <v>0</v>
      </c>
      <c r="Y169" s="48">
        <f t="shared" si="47"/>
        <v>0</v>
      </c>
      <c r="Z169" s="48">
        <v>0</v>
      </c>
      <c r="AA169" s="48">
        <v>0</v>
      </c>
      <c r="AB169" s="48">
        <v>0</v>
      </c>
      <c r="AC169" s="48">
        <f t="shared" si="48"/>
        <v>0</v>
      </c>
      <c r="AD169" s="48">
        <f t="shared" si="56"/>
        <v>0</v>
      </c>
      <c r="AE169" s="49">
        <v>0</v>
      </c>
      <c r="AF169" s="49">
        <f t="shared" si="49"/>
        <v>0</v>
      </c>
      <c r="AG169" s="49">
        <v>0</v>
      </c>
      <c r="AH169" s="49">
        <v>0</v>
      </c>
      <c r="AI169" s="49">
        <v>0</v>
      </c>
      <c r="AJ169" s="49">
        <f t="shared" si="50"/>
        <v>0</v>
      </c>
      <c r="AK169" s="49">
        <f t="shared" si="57"/>
        <v>0</v>
      </c>
      <c r="AL169" s="82">
        <f t="shared" si="58"/>
        <v>0</v>
      </c>
      <c r="AM169" s="82">
        <f t="shared" si="59"/>
        <v>291304837464665.44</v>
      </c>
      <c r="AN169" s="81">
        <f t="shared" si="51"/>
        <v>337320138432837.31</v>
      </c>
      <c r="AO169" s="80">
        <f t="shared" si="40"/>
        <v>1157.9627079613927</v>
      </c>
      <c r="AP169" s="52">
        <f t="shared" si="52"/>
        <v>1.895330063475989E-2</v>
      </c>
      <c r="AQ169" s="48">
        <f>(F169-E169)/E169</f>
        <v>4.2149631190727078E-3</v>
      </c>
      <c r="AR169" s="48">
        <f>(M169-L169)/L169</f>
        <v>4.8689138576779027E-2</v>
      </c>
      <c r="AS169" s="48">
        <f>(T169-S169)/S169</f>
        <v>1.276595744680851E-2</v>
      </c>
      <c r="AT169" s="48" t="e">
        <f>(#REF!-#REF!)/#REF!</f>
        <v>#REF!</v>
      </c>
    </row>
    <row r="170" spans="1:46" x14ac:dyDescent="0.3">
      <c r="A170" s="48">
        <v>20180905</v>
      </c>
      <c r="B170" s="48" t="s">
        <v>88</v>
      </c>
      <c r="C170" s="79">
        <v>0.4</v>
      </c>
      <c r="D170" s="79">
        <f t="shared" si="41"/>
        <v>0.41219359402745487</v>
      </c>
      <c r="E170" s="49">
        <v>47650</v>
      </c>
      <c r="F170" s="49">
        <v>46600</v>
      </c>
      <c r="G170" s="49">
        <v>6419324700</v>
      </c>
      <c r="H170" s="49">
        <f t="shared" si="42"/>
        <v>0.45585619760779</v>
      </c>
      <c r="I170" s="49">
        <f t="shared" si="53"/>
        <v>0.45585619760779</v>
      </c>
      <c r="J170" s="48">
        <v>0.3</v>
      </c>
      <c r="K170" s="48">
        <f t="shared" si="43"/>
        <v>0.27990579260199405</v>
      </c>
      <c r="L170" s="48">
        <v>280000</v>
      </c>
      <c r="M170" s="48">
        <v>274500</v>
      </c>
      <c r="N170" s="51">
        <v>125395903</v>
      </c>
      <c r="O170" s="48">
        <f t="shared" si="44"/>
        <v>2.6902217281479599</v>
      </c>
      <c r="P170" s="48">
        <f t="shared" si="54"/>
        <v>2.6902217281479599</v>
      </c>
      <c r="Q170" s="49">
        <v>0.3</v>
      </c>
      <c r="R170" s="49">
        <f t="shared" si="45"/>
        <v>0.30790061337055108</v>
      </c>
      <c r="S170" s="49">
        <v>238000</v>
      </c>
      <c r="T170" s="49">
        <v>234400</v>
      </c>
      <c r="U170" s="49">
        <v>15956260</v>
      </c>
      <c r="V170" s="49">
        <f t="shared" si="46"/>
        <v>27.2347710204326</v>
      </c>
      <c r="W170" s="49">
        <f t="shared" si="55"/>
        <v>27.2347710204326</v>
      </c>
      <c r="X170" s="48">
        <v>0</v>
      </c>
      <c r="Y170" s="48">
        <f t="shared" si="47"/>
        <v>0</v>
      </c>
      <c r="Z170" s="48">
        <v>0</v>
      </c>
      <c r="AA170" s="48">
        <v>0</v>
      </c>
      <c r="AB170" s="48">
        <v>0</v>
      </c>
      <c r="AC170" s="48">
        <f t="shared" si="48"/>
        <v>0</v>
      </c>
      <c r="AD170" s="48">
        <f t="shared" si="56"/>
        <v>0</v>
      </c>
      <c r="AE170" s="49">
        <v>0</v>
      </c>
      <c r="AF170" s="49">
        <f t="shared" si="49"/>
        <v>0</v>
      </c>
      <c r="AG170" s="49">
        <v>0</v>
      </c>
      <c r="AH170" s="49">
        <v>0</v>
      </c>
      <c r="AI170" s="49">
        <v>0</v>
      </c>
      <c r="AJ170" s="49">
        <f t="shared" si="50"/>
        <v>0</v>
      </c>
      <c r="AK170" s="49">
        <f t="shared" si="57"/>
        <v>0</v>
      </c>
      <c r="AL170" s="82">
        <f t="shared" si="58"/>
        <v>0</v>
      </c>
      <c r="AM170" s="82">
        <f t="shared" si="59"/>
        <v>291304837464665.44</v>
      </c>
      <c r="AN170" s="81">
        <f t="shared" si="51"/>
        <v>330827715415852.69</v>
      </c>
      <c r="AO170" s="80">
        <f t="shared" si="40"/>
        <v>1135.6753231260063</v>
      </c>
      <c r="AP170" s="52">
        <f t="shared" si="52"/>
        <v>-1.9247066146563158E-2</v>
      </c>
      <c r="AQ170" s="48">
        <f>(F170-E170)/E170</f>
        <v>-2.2035676810073453E-2</v>
      </c>
      <c r="AR170" s="48">
        <f>(M170-L170)/L170</f>
        <v>-1.9642857142857142E-2</v>
      </c>
      <c r="AS170" s="48">
        <f>(T170-S170)/S170</f>
        <v>-1.5126050420168067E-2</v>
      </c>
      <c r="AT170" s="48" t="e">
        <f>(#REF!-#REF!)/#REF!</f>
        <v>#REF!</v>
      </c>
    </row>
    <row r="171" spans="1:46" x14ac:dyDescent="0.3">
      <c r="A171" s="48">
        <v>20180906</v>
      </c>
      <c r="B171" s="48" t="s">
        <v>88</v>
      </c>
      <c r="C171" s="79">
        <v>0.4</v>
      </c>
      <c r="D171" s="79">
        <f t="shared" si="41"/>
        <v>0.41371514755348709</v>
      </c>
      <c r="E171" s="49">
        <v>46600</v>
      </c>
      <c r="F171" s="49">
        <v>46100</v>
      </c>
      <c r="G171" s="49">
        <v>6419324700</v>
      </c>
      <c r="H171" s="49">
        <f t="shared" si="42"/>
        <v>0.45585619760779</v>
      </c>
      <c r="I171" s="49">
        <f t="shared" si="53"/>
        <v>0.45585619760779</v>
      </c>
      <c r="J171" s="48">
        <v>0.3</v>
      </c>
      <c r="K171" s="48">
        <f t="shared" si="43"/>
        <v>0.28708975875774412</v>
      </c>
      <c r="L171" s="48">
        <v>274500</v>
      </c>
      <c r="M171" s="48">
        <v>277500</v>
      </c>
      <c r="N171" s="51">
        <v>125395903</v>
      </c>
      <c r="O171" s="48">
        <f t="shared" si="44"/>
        <v>2.6902217281479599</v>
      </c>
      <c r="P171" s="48">
        <f t="shared" si="54"/>
        <v>2.6902217281479599</v>
      </c>
      <c r="Q171" s="49">
        <v>0.3</v>
      </c>
      <c r="R171" s="49">
        <f t="shared" si="45"/>
        <v>0.2991950936887689</v>
      </c>
      <c r="S171" s="49">
        <v>234400</v>
      </c>
      <c r="T171" s="49">
        <v>224500</v>
      </c>
      <c r="U171" s="49">
        <v>15956260</v>
      </c>
      <c r="V171" s="49">
        <f t="shared" si="46"/>
        <v>27.2347710204326</v>
      </c>
      <c r="W171" s="49">
        <f t="shared" si="55"/>
        <v>27.2347710204326</v>
      </c>
      <c r="X171" s="48">
        <v>0</v>
      </c>
      <c r="Y171" s="48">
        <f t="shared" si="47"/>
        <v>0</v>
      </c>
      <c r="Z171" s="48">
        <v>0</v>
      </c>
      <c r="AA171" s="48">
        <v>0</v>
      </c>
      <c r="AB171" s="48">
        <v>0</v>
      </c>
      <c r="AC171" s="48">
        <f t="shared" si="48"/>
        <v>0</v>
      </c>
      <c r="AD171" s="48">
        <f t="shared" si="56"/>
        <v>0</v>
      </c>
      <c r="AE171" s="49">
        <v>0</v>
      </c>
      <c r="AF171" s="49">
        <f t="shared" si="49"/>
        <v>0</v>
      </c>
      <c r="AG171" s="49">
        <v>0</v>
      </c>
      <c r="AH171" s="49">
        <v>0</v>
      </c>
      <c r="AI171" s="49">
        <v>0</v>
      </c>
      <c r="AJ171" s="49">
        <f t="shared" si="50"/>
        <v>0</v>
      </c>
      <c r="AK171" s="49">
        <f t="shared" si="57"/>
        <v>0</v>
      </c>
      <c r="AL171" s="82">
        <f t="shared" si="58"/>
        <v>0</v>
      </c>
      <c r="AM171" s="82">
        <f t="shared" si="59"/>
        <v>291304837464665.44</v>
      </c>
      <c r="AN171" s="81">
        <f t="shared" si="51"/>
        <v>326074404924310.12</v>
      </c>
      <c r="AO171" s="80">
        <f t="shared" si="40"/>
        <v>1119.3580160297274</v>
      </c>
      <c r="AP171" s="52">
        <f t="shared" si="52"/>
        <v>-1.4367933126665691E-2</v>
      </c>
      <c r="AQ171" s="48">
        <f>(F171-E171)/E171</f>
        <v>-1.0729613733905579E-2</v>
      </c>
      <c r="AR171" s="48">
        <f>(M171-L171)/L171</f>
        <v>1.092896174863388E-2</v>
      </c>
      <c r="AS171" s="48">
        <f>(T171-S171)/S171</f>
        <v>-4.2235494880546072E-2</v>
      </c>
      <c r="AT171" s="48" t="e">
        <f>(#REF!-#REF!)/#REF!</f>
        <v>#REF!</v>
      </c>
    </row>
    <row r="172" spans="1:46" x14ac:dyDescent="0.3">
      <c r="A172" s="48">
        <v>20180907</v>
      </c>
      <c r="B172" s="48" t="s">
        <v>88</v>
      </c>
      <c r="C172" s="79">
        <v>0.4</v>
      </c>
      <c r="D172" s="79">
        <f t="shared" si="41"/>
        <v>0.40620934710706591</v>
      </c>
      <c r="E172" s="49">
        <v>46100</v>
      </c>
      <c r="F172" s="49">
        <v>44900</v>
      </c>
      <c r="G172" s="49">
        <v>6419324700</v>
      </c>
      <c r="H172" s="49">
        <f t="shared" si="42"/>
        <v>0.45585619760779</v>
      </c>
      <c r="I172" s="49">
        <f t="shared" si="53"/>
        <v>0.45585619760779</v>
      </c>
      <c r="J172" s="48">
        <v>0.3</v>
      </c>
      <c r="K172" s="48">
        <f t="shared" si="43"/>
        <v>0.29150069854433347</v>
      </c>
      <c r="L172" s="48">
        <v>277500</v>
      </c>
      <c r="M172" s="48">
        <v>279500</v>
      </c>
      <c r="N172" s="51">
        <v>125395903</v>
      </c>
      <c r="O172" s="48">
        <f t="shared" si="44"/>
        <v>2.6902217281479599</v>
      </c>
      <c r="P172" s="48">
        <f t="shared" si="54"/>
        <v>2.6902217281479599</v>
      </c>
      <c r="Q172" s="49">
        <v>0.3</v>
      </c>
      <c r="R172" s="49">
        <f t="shared" si="45"/>
        <v>0.30228995434860068</v>
      </c>
      <c r="S172" s="49">
        <v>224500</v>
      </c>
      <c r="T172" s="49">
        <v>225000</v>
      </c>
      <c r="U172" s="49">
        <v>15956260</v>
      </c>
      <c r="V172" s="49">
        <f t="shared" si="46"/>
        <v>27.2347710204326</v>
      </c>
      <c r="W172" s="49">
        <f t="shared" si="55"/>
        <v>27.2347710204326</v>
      </c>
      <c r="X172" s="48">
        <v>0</v>
      </c>
      <c r="Y172" s="48">
        <f t="shared" si="47"/>
        <v>0</v>
      </c>
      <c r="Z172" s="48">
        <v>0</v>
      </c>
      <c r="AA172" s="48">
        <v>0</v>
      </c>
      <c r="AB172" s="48">
        <v>0</v>
      </c>
      <c r="AC172" s="48">
        <f t="shared" si="48"/>
        <v>0</v>
      </c>
      <c r="AD172" s="48">
        <f t="shared" si="56"/>
        <v>0</v>
      </c>
      <c r="AE172" s="49">
        <v>0</v>
      </c>
      <c r="AF172" s="49">
        <f t="shared" si="49"/>
        <v>0</v>
      </c>
      <c r="AG172" s="49">
        <v>0</v>
      </c>
      <c r="AH172" s="49">
        <v>0</v>
      </c>
      <c r="AI172" s="49">
        <v>0</v>
      </c>
      <c r="AJ172" s="49">
        <f t="shared" si="50"/>
        <v>0</v>
      </c>
      <c r="AK172" s="49">
        <f t="shared" si="57"/>
        <v>0</v>
      </c>
      <c r="AL172" s="82">
        <f t="shared" si="58"/>
        <v>0</v>
      </c>
      <c r="AM172" s="82">
        <f t="shared" si="59"/>
        <v>291304837464665.44</v>
      </c>
      <c r="AN172" s="81">
        <f t="shared" si="51"/>
        <v>323454826295031.94</v>
      </c>
      <c r="AO172" s="80">
        <f t="shared" si="40"/>
        <v>1110.3654477906368</v>
      </c>
      <c r="AP172" s="52">
        <f t="shared" si="52"/>
        <v>-8.0336836921814352E-3</v>
      </c>
      <c r="AQ172" s="48">
        <f>(F172-E172)/E172</f>
        <v>-2.6030368763557483E-2</v>
      </c>
      <c r="AR172" s="48">
        <f>(M172-L172)/L172</f>
        <v>7.2072072072072073E-3</v>
      </c>
      <c r="AS172" s="48">
        <f>(T172-S172)/S172</f>
        <v>2.2271714922048997E-3</v>
      </c>
      <c r="AT172" s="48" t="e">
        <f>(#REF!-#REF!)/#REF!</f>
        <v>#REF!</v>
      </c>
    </row>
    <row r="173" spans="1:46" x14ac:dyDescent="0.3">
      <c r="A173" s="48">
        <v>20180910</v>
      </c>
      <c r="B173" s="48" t="s">
        <v>88</v>
      </c>
      <c r="C173" s="79">
        <v>0.4</v>
      </c>
      <c r="D173" s="79">
        <f t="shared" si="41"/>
        <v>0.41354280769831081</v>
      </c>
      <c r="E173" s="49">
        <v>44900</v>
      </c>
      <c r="F173" s="49">
        <v>45500</v>
      </c>
      <c r="G173" s="49">
        <v>6419324700</v>
      </c>
      <c r="H173" s="49">
        <f t="shared" si="42"/>
        <v>0.45585619760779</v>
      </c>
      <c r="I173" s="49">
        <f t="shared" si="53"/>
        <v>0.45585619760779</v>
      </c>
      <c r="J173" s="48">
        <v>0.3</v>
      </c>
      <c r="K173" s="48">
        <f t="shared" si="43"/>
        <v>0.28708721630142331</v>
      </c>
      <c r="L173" s="48">
        <v>279500</v>
      </c>
      <c r="M173" s="48">
        <v>274000</v>
      </c>
      <c r="N173" s="51">
        <v>125395903</v>
      </c>
      <c r="O173" s="48">
        <f t="shared" si="44"/>
        <v>2.6902217281479599</v>
      </c>
      <c r="P173" s="48">
        <f t="shared" si="54"/>
        <v>2.6902217281479599</v>
      </c>
      <c r="Q173" s="49">
        <v>0.3</v>
      </c>
      <c r="R173" s="49">
        <f t="shared" si="45"/>
        <v>0.29936997600026577</v>
      </c>
      <c r="S173" s="49">
        <v>225000</v>
      </c>
      <c r="T173" s="49">
        <v>221800</v>
      </c>
      <c r="U173" s="49">
        <v>15956260</v>
      </c>
      <c r="V173" s="49">
        <f t="shared" si="46"/>
        <v>27.2347710204326</v>
      </c>
      <c r="W173" s="49">
        <f t="shared" si="55"/>
        <v>27.2347710204326</v>
      </c>
      <c r="X173" s="48">
        <v>0</v>
      </c>
      <c r="Y173" s="48">
        <f t="shared" si="47"/>
        <v>0</v>
      </c>
      <c r="Z173" s="48">
        <v>0</v>
      </c>
      <c r="AA173" s="48">
        <v>0</v>
      </c>
      <c r="AB173" s="48">
        <v>0</v>
      </c>
      <c r="AC173" s="48">
        <f t="shared" si="48"/>
        <v>0</v>
      </c>
      <c r="AD173" s="48">
        <f t="shared" si="56"/>
        <v>0</v>
      </c>
      <c r="AE173" s="49">
        <v>0</v>
      </c>
      <c r="AF173" s="49">
        <f t="shared" si="49"/>
        <v>0</v>
      </c>
      <c r="AG173" s="49">
        <v>0</v>
      </c>
      <c r="AH173" s="49">
        <v>0</v>
      </c>
      <c r="AI173" s="49">
        <v>0</v>
      </c>
      <c r="AJ173" s="49">
        <f t="shared" si="50"/>
        <v>0</v>
      </c>
      <c r="AK173" s="49">
        <f t="shared" si="57"/>
        <v>0</v>
      </c>
      <c r="AL173" s="82">
        <f t="shared" si="58"/>
        <v>0</v>
      </c>
      <c r="AM173" s="82">
        <f t="shared" si="59"/>
        <v>291304837464665.44</v>
      </c>
      <c r="AN173" s="81">
        <f t="shared" si="51"/>
        <v>321964606078794.75</v>
      </c>
      <c r="AO173" s="80">
        <f t="shared" si="40"/>
        <v>1105.2497750499879</v>
      </c>
      <c r="AP173" s="52">
        <f t="shared" si="52"/>
        <v>-4.6071973428459369E-3</v>
      </c>
      <c r="AQ173" s="48">
        <f>(F173-E173)/E173</f>
        <v>1.3363028953229399E-2</v>
      </c>
      <c r="AR173" s="48">
        <f>(M173-L173)/L173</f>
        <v>-1.9677996422182469E-2</v>
      </c>
      <c r="AS173" s="48">
        <f>(T173-S173)/S173</f>
        <v>-1.4222222222222223E-2</v>
      </c>
      <c r="AT173" s="48" t="e">
        <f>(#REF!-#REF!)/#REF!</f>
        <v>#REF!</v>
      </c>
    </row>
    <row r="174" spans="1:46" x14ac:dyDescent="0.3">
      <c r="A174" s="48">
        <v>20180911</v>
      </c>
      <c r="B174" s="48" t="s">
        <v>88</v>
      </c>
      <c r="C174" s="79">
        <v>0.4</v>
      </c>
      <c r="D174" s="79">
        <f t="shared" si="41"/>
        <v>0.41036233975356495</v>
      </c>
      <c r="E174" s="49">
        <v>45500</v>
      </c>
      <c r="F174" s="49">
        <v>45050</v>
      </c>
      <c r="G174" s="49">
        <v>6419324700</v>
      </c>
      <c r="H174" s="49">
        <f t="shared" si="42"/>
        <v>0.45585619760779</v>
      </c>
      <c r="I174" s="49">
        <f t="shared" si="53"/>
        <v>0.45585619760779</v>
      </c>
      <c r="J174" s="48">
        <v>0.3</v>
      </c>
      <c r="K174" s="48">
        <f t="shared" si="43"/>
        <v>0.28824996742803377</v>
      </c>
      <c r="L174" s="48">
        <v>274000</v>
      </c>
      <c r="M174" s="48">
        <v>274500</v>
      </c>
      <c r="N174" s="51">
        <v>125395903</v>
      </c>
      <c r="O174" s="48">
        <f t="shared" si="44"/>
        <v>2.6902217281479599</v>
      </c>
      <c r="P174" s="48">
        <f t="shared" si="54"/>
        <v>2.6902217281479599</v>
      </c>
      <c r="Q174" s="49">
        <v>0.3</v>
      </c>
      <c r="R174" s="49">
        <f t="shared" si="45"/>
        <v>0.30138769281840133</v>
      </c>
      <c r="S174" s="49">
        <v>221800</v>
      </c>
      <c r="T174" s="49">
        <v>222800</v>
      </c>
      <c r="U174" s="49">
        <v>15956260</v>
      </c>
      <c r="V174" s="49">
        <f t="shared" si="46"/>
        <v>27.2347710204326</v>
      </c>
      <c r="W174" s="49">
        <f t="shared" si="55"/>
        <v>27.2347710204326</v>
      </c>
      <c r="X174" s="48">
        <v>0</v>
      </c>
      <c r="Y174" s="48">
        <f t="shared" si="47"/>
        <v>0</v>
      </c>
      <c r="Z174" s="48">
        <v>0</v>
      </c>
      <c r="AA174" s="48">
        <v>0</v>
      </c>
      <c r="AB174" s="48">
        <v>0</v>
      </c>
      <c r="AC174" s="48">
        <f t="shared" si="48"/>
        <v>0</v>
      </c>
      <c r="AD174" s="48">
        <f t="shared" si="56"/>
        <v>0</v>
      </c>
      <c r="AE174" s="49">
        <v>0</v>
      </c>
      <c r="AF174" s="49">
        <f t="shared" si="49"/>
        <v>0</v>
      </c>
      <c r="AG174" s="49">
        <v>0</v>
      </c>
      <c r="AH174" s="49">
        <v>0</v>
      </c>
      <c r="AI174" s="49">
        <v>0</v>
      </c>
      <c r="AJ174" s="49">
        <f t="shared" si="50"/>
        <v>0</v>
      </c>
      <c r="AK174" s="49">
        <f t="shared" si="57"/>
        <v>0</v>
      </c>
      <c r="AL174" s="82">
        <f t="shared" si="58"/>
        <v>0</v>
      </c>
      <c r="AM174" s="82">
        <f t="shared" si="59"/>
        <v>291304837464665.44</v>
      </c>
      <c r="AN174" s="81">
        <f t="shared" si="51"/>
        <v>321251012530644.56</v>
      </c>
      <c r="AO174" s="80">
        <f t="shared" si="40"/>
        <v>1102.8001296738216</v>
      </c>
      <c r="AP174" s="52">
        <f t="shared" si="52"/>
        <v>-2.2163726530099979E-3</v>
      </c>
      <c r="AQ174" s="48">
        <f>(F174-E174)/E174</f>
        <v>-9.8901098901098897E-3</v>
      </c>
      <c r="AR174" s="48">
        <f>(M174-L174)/L174</f>
        <v>1.8248175182481751E-3</v>
      </c>
      <c r="AS174" s="48">
        <f>(T174-S174)/S174</f>
        <v>4.508566275924256E-3</v>
      </c>
      <c r="AT174" s="48" t="e">
        <f>(#REF!-#REF!)/#REF!</f>
        <v>#REF!</v>
      </c>
    </row>
    <row r="175" spans="1:46" x14ac:dyDescent="0.3">
      <c r="A175" s="48">
        <v>20180912</v>
      </c>
      <c r="B175" s="48" t="s">
        <v>88</v>
      </c>
      <c r="C175" s="79">
        <v>0.4</v>
      </c>
      <c r="D175" s="79">
        <f t="shared" si="41"/>
        <v>0.39928103325608572</v>
      </c>
      <c r="E175" s="49">
        <v>45050</v>
      </c>
      <c r="F175" s="49">
        <v>44550</v>
      </c>
      <c r="G175" s="49">
        <v>6419324700</v>
      </c>
      <c r="H175" s="49">
        <f t="shared" si="42"/>
        <v>0.45585619760779</v>
      </c>
      <c r="I175" s="49">
        <f t="shared" si="53"/>
        <v>0.45585619760779</v>
      </c>
      <c r="J175" s="48">
        <v>0.3</v>
      </c>
      <c r="K175" s="48">
        <f t="shared" si="43"/>
        <v>0.29446253625757673</v>
      </c>
      <c r="L175" s="48">
        <v>274500</v>
      </c>
      <c r="M175" s="48">
        <v>285000</v>
      </c>
      <c r="N175" s="51">
        <v>125395903</v>
      </c>
      <c r="O175" s="48">
        <f t="shared" si="44"/>
        <v>2.6902217281479599</v>
      </c>
      <c r="P175" s="48">
        <f t="shared" si="54"/>
        <v>2.6902217281479599</v>
      </c>
      <c r="Q175" s="49">
        <v>0.3</v>
      </c>
      <c r="R175" s="49">
        <f t="shared" si="45"/>
        <v>0.30625643048633749</v>
      </c>
      <c r="S175" s="49">
        <v>222800</v>
      </c>
      <c r="T175" s="49">
        <v>230100</v>
      </c>
      <c r="U175" s="49">
        <v>15956260</v>
      </c>
      <c r="V175" s="49">
        <f t="shared" si="46"/>
        <v>27.2347710204326</v>
      </c>
      <c r="W175" s="49">
        <f t="shared" si="55"/>
        <v>27.2347710204326</v>
      </c>
      <c r="X175" s="48">
        <v>0</v>
      </c>
      <c r="Y175" s="48">
        <f t="shared" si="47"/>
        <v>0</v>
      </c>
      <c r="Z175" s="48">
        <v>0</v>
      </c>
      <c r="AA175" s="48">
        <v>0</v>
      </c>
      <c r="AB175" s="48">
        <v>0</v>
      </c>
      <c r="AC175" s="48">
        <f t="shared" si="48"/>
        <v>0</v>
      </c>
      <c r="AD175" s="48">
        <f t="shared" si="56"/>
        <v>0</v>
      </c>
      <c r="AE175" s="49">
        <v>0</v>
      </c>
      <c r="AF175" s="49">
        <f t="shared" si="49"/>
        <v>0</v>
      </c>
      <c r="AG175" s="49">
        <v>0</v>
      </c>
      <c r="AH175" s="49">
        <v>0</v>
      </c>
      <c r="AI175" s="49">
        <v>0</v>
      </c>
      <c r="AJ175" s="49">
        <f t="shared" si="50"/>
        <v>0</v>
      </c>
      <c r="AK175" s="49">
        <f t="shared" si="57"/>
        <v>0</v>
      </c>
      <c r="AL175" s="82">
        <f t="shared" si="58"/>
        <v>0</v>
      </c>
      <c r="AM175" s="82">
        <f t="shared" si="59"/>
        <v>291304837464665.44</v>
      </c>
      <c r="AN175" s="81">
        <f t="shared" si="51"/>
        <v>326502292414647.87</v>
      </c>
      <c r="AO175" s="80">
        <f t="shared" si="40"/>
        <v>1120.8268810649317</v>
      </c>
      <c r="AP175" s="52">
        <f t="shared" si="52"/>
        <v>1.6346345004912118E-2</v>
      </c>
      <c r="AQ175" s="48">
        <f>(F175-E175)/E175</f>
        <v>-1.1098779134295227E-2</v>
      </c>
      <c r="AR175" s="48">
        <f>(M175-L175)/L175</f>
        <v>3.825136612021858E-2</v>
      </c>
      <c r="AS175" s="48">
        <f>(T175-S175)/S175</f>
        <v>3.2764811490125674E-2</v>
      </c>
      <c r="AT175" s="48" t="e">
        <f>(#REF!-#REF!)/#REF!</f>
        <v>#REF!</v>
      </c>
    </row>
    <row r="176" spans="1:46" x14ac:dyDescent="0.3">
      <c r="A176" s="48">
        <v>20180913</v>
      </c>
      <c r="B176" s="48" t="s">
        <v>88</v>
      </c>
      <c r="C176" s="79">
        <v>0.4</v>
      </c>
      <c r="D176" s="79">
        <f t="shared" si="41"/>
        <v>0.39196620815198197</v>
      </c>
      <c r="E176" s="49">
        <v>44550</v>
      </c>
      <c r="F176" s="49">
        <v>44050</v>
      </c>
      <c r="G176" s="49">
        <v>6419324700</v>
      </c>
      <c r="H176" s="49">
        <f t="shared" si="42"/>
        <v>0.45585619760779</v>
      </c>
      <c r="I176" s="49">
        <f t="shared" si="53"/>
        <v>0.45585619760779</v>
      </c>
      <c r="J176" s="48">
        <v>0.3</v>
      </c>
      <c r="K176" s="48">
        <f t="shared" si="43"/>
        <v>0.30106830430561898</v>
      </c>
      <c r="L176" s="48">
        <v>285000</v>
      </c>
      <c r="M176" s="48">
        <v>293500</v>
      </c>
      <c r="N176" s="51">
        <v>125395903</v>
      </c>
      <c r="O176" s="48">
        <f t="shared" si="44"/>
        <v>2.6902217281479599</v>
      </c>
      <c r="P176" s="48">
        <f t="shared" si="54"/>
        <v>2.6902217281479599</v>
      </c>
      <c r="Q176" s="49">
        <v>0.3</v>
      </c>
      <c r="R176" s="49">
        <f t="shared" si="45"/>
        <v>0.306965487542399</v>
      </c>
      <c r="S176" s="49">
        <v>230100</v>
      </c>
      <c r="T176" s="49">
        <v>232300</v>
      </c>
      <c r="U176" s="49">
        <v>15956260</v>
      </c>
      <c r="V176" s="49">
        <f t="shared" si="46"/>
        <v>27.2347710204326</v>
      </c>
      <c r="W176" s="49">
        <f t="shared" si="55"/>
        <v>27.2347710204326</v>
      </c>
      <c r="X176" s="48">
        <v>0</v>
      </c>
      <c r="Y176" s="48">
        <f t="shared" si="47"/>
        <v>0</v>
      </c>
      <c r="Z176" s="48">
        <v>0</v>
      </c>
      <c r="AA176" s="48">
        <v>0</v>
      </c>
      <c r="AB176" s="48">
        <v>0</v>
      </c>
      <c r="AC176" s="48">
        <f t="shared" si="48"/>
        <v>0</v>
      </c>
      <c r="AD176" s="48">
        <f t="shared" si="56"/>
        <v>0</v>
      </c>
      <c r="AE176" s="49">
        <v>0</v>
      </c>
      <c r="AF176" s="49">
        <f t="shared" si="49"/>
        <v>0</v>
      </c>
      <c r="AG176" s="49">
        <v>0</v>
      </c>
      <c r="AH176" s="49">
        <v>0</v>
      </c>
      <c r="AI176" s="49">
        <v>0</v>
      </c>
      <c r="AJ176" s="49">
        <f t="shared" si="50"/>
        <v>0</v>
      </c>
      <c r="AK176" s="49">
        <f t="shared" si="57"/>
        <v>0</v>
      </c>
      <c r="AL176" s="82">
        <f t="shared" si="58"/>
        <v>0</v>
      </c>
      <c r="AM176" s="82">
        <f t="shared" si="59"/>
        <v>291304837464665.44</v>
      </c>
      <c r="AN176" s="81">
        <f t="shared" si="51"/>
        <v>328862604786951.81</v>
      </c>
      <c r="AO176" s="80">
        <f t="shared" si="40"/>
        <v>1128.9294323059157</v>
      </c>
      <c r="AP176" s="52">
        <f t="shared" si="52"/>
        <v>7.2290836148446976E-3</v>
      </c>
      <c r="AQ176" s="48">
        <f>(F176-E176)/E176</f>
        <v>-1.1223344556677889E-2</v>
      </c>
      <c r="AR176" s="48">
        <f>(M176-L176)/L176</f>
        <v>2.9824561403508771E-2</v>
      </c>
      <c r="AS176" s="48">
        <f>(T176-S176)/S176</f>
        <v>9.5610604085180351E-3</v>
      </c>
      <c r="AT176" s="48" t="e">
        <f>(#REF!-#REF!)/#REF!</f>
        <v>#REF!</v>
      </c>
    </row>
    <row r="177" spans="1:46" x14ac:dyDescent="0.3">
      <c r="A177" s="48">
        <v>20180914</v>
      </c>
      <c r="B177" s="48" t="s">
        <v>88</v>
      </c>
      <c r="C177" s="79">
        <v>0.4</v>
      </c>
      <c r="D177" s="79">
        <f t="shared" si="41"/>
        <v>0.39841168119791193</v>
      </c>
      <c r="E177" s="49">
        <v>44050</v>
      </c>
      <c r="F177" s="49">
        <v>45850</v>
      </c>
      <c r="G177" s="49">
        <v>6419324700</v>
      </c>
      <c r="H177" s="49">
        <f t="shared" si="42"/>
        <v>0.45585619760779</v>
      </c>
      <c r="I177" s="49">
        <f t="shared" si="53"/>
        <v>0.45585619760779</v>
      </c>
      <c r="J177" s="48">
        <v>0.3</v>
      </c>
      <c r="K177" s="48">
        <f t="shared" si="43"/>
        <v>0.29150091897763974</v>
      </c>
      <c r="L177" s="48">
        <v>293500</v>
      </c>
      <c r="M177" s="48">
        <v>291000</v>
      </c>
      <c r="N177" s="51">
        <v>125395903</v>
      </c>
      <c r="O177" s="48">
        <f t="shared" si="44"/>
        <v>2.6902217281479599</v>
      </c>
      <c r="P177" s="48">
        <f t="shared" si="54"/>
        <v>2.6902217281479599</v>
      </c>
      <c r="Q177" s="49">
        <v>0.3</v>
      </c>
      <c r="R177" s="49">
        <f t="shared" si="45"/>
        <v>0.31008739982444844</v>
      </c>
      <c r="S177" s="49">
        <v>232300</v>
      </c>
      <c r="T177" s="49">
        <v>240300</v>
      </c>
      <c r="U177" s="49">
        <v>15956260</v>
      </c>
      <c r="V177" s="49">
        <f t="shared" si="46"/>
        <v>27.2347710204326</v>
      </c>
      <c r="W177" s="49">
        <f t="shared" si="55"/>
        <v>27.2347710204326</v>
      </c>
      <c r="X177" s="48">
        <v>0</v>
      </c>
      <c r="Y177" s="48">
        <f t="shared" si="47"/>
        <v>0</v>
      </c>
      <c r="Z177" s="48">
        <v>0</v>
      </c>
      <c r="AA177" s="48">
        <v>0</v>
      </c>
      <c r="AB177" s="48">
        <v>0</v>
      </c>
      <c r="AC177" s="48">
        <f t="shared" si="48"/>
        <v>0</v>
      </c>
      <c r="AD177" s="48">
        <f t="shared" si="56"/>
        <v>0</v>
      </c>
      <c r="AE177" s="49">
        <v>0</v>
      </c>
      <c r="AF177" s="49">
        <f t="shared" si="49"/>
        <v>0</v>
      </c>
      <c r="AG177" s="49">
        <v>0</v>
      </c>
      <c r="AH177" s="49">
        <v>0</v>
      </c>
      <c r="AI177" s="49">
        <v>0</v>
      </c>
      <c r="AJ177" s="49">
        <f t="shared" si="50"/>
        <v>0</v>
      </c>
      <c r="AK177" s="49">
        <f t="shared" si="57"/>
        <v>0</v>
      </c>
      <c r="AL177" s="82">
        <f t="shared" si="58"/>
        <v>0</v>
      </c>
      <c r="AM177" s="82">
        <f t="shared" si="59"/>
        <v>291304837464665.44</v>
      </c>
      <c r="AN177" s="81">
        <f t="shared" si="51"/>
        <v>336763088637426.5</v>
      </c>
      <c r="AO177" s="80">
        <f t="shared" si="40"/>
        <v>1156.0504506838993</v>
      </c>
      <c r="AP177" s="52">
        <f t="shared" si="52"/>
        <v>2.4023661357279884E-2</v>
      </c>
      <c r="AQ177" s="48">
        <f>(F177-E177)/E177</f>
        <v>4.0862656072644721E-2</v>
      </c>
      <c r="AR177" s="48">
        <f>(M177-L177)/L177</f>
        <v>-8.5178875638841564E-3</v>
      </c>
      <c r="AS177" s="48">
        <f>(T177-S177)/S177</f>
        <v>3.4438226431338786E-2</v>
      </c>
      <c r="AT177" s="48" t="e">
        <f>(#REF!-#REF!)/#REF!</f>
        <v>#REF!</v>
      </c>
    </row>
    <row r="178" spans="1:46" x14ac:dyDescent="0.3">
      <c r="A178" s="48">
        <v>20180917</v>
      </c>
      <c r="B178" s="48" t="s">
        <v>88</v>
      </c>
      <c r="C178" s="79">
        <v>0.4</v>
      </c>
      <c r="D178" s="79">
        <f t="shared" si="41"/>
        <v>0.38970726841841374</v>
      </c>
      <c r="E178" s="49">
        <v>45850</v>
      </c>
      <c r="F178" s="49">
        <v>45150</v>
      </c>
      <c r="G178" s="49">
        <v>6419324700</v>
      </c>
      <c r="H178" s="49">
        <f t="shared" si="42"/>
        <v>0.45585619760779</v>
      </c>
      <c r="I178" s="49">
        <f t="shared" si="53"/>
        <v>0.45585619760779</v>
      </c>
      <c r="J178" s="48">
        <v>0.3</v>
      </c>
      <c r="K178" s="48">
        <f t="shared" si="43"/>
        <v>0.30099573807763208</v>
      </c>
      <c r="L178" s="48">
        <v>291000</v>
      </c>
      <c r="M178" s="48">
        <v>302500</v>
      </c>
      <c r="N178" s="51">
        <v>125395903</v>
      </c>
      <c r="O178" s="48">
        <f t="shared" si="44"/>
        <v>2.6902217281479599</v>
      </c>
      <c r="P178" s="48">
        <f t="shared" si="54"/>
        <v>2.6902217281479599</v>
      </c>
      <c r="Q178" s="49">
        <v>0.3</v>
      </c>
      <c r="R178" s="49">
        <f t="shared" si="45"/>
        <v>0.30929699350395423</v>
      </c>
      <c r="S178" s="49">
        <v>240300</v>
      </c>
      <c r="T178" s="49">
        <v>241300</v>
      </c>
      <c r="U178" s="49">
        <v>15956260</v>
      </c>
      <c r="V178" s="49">
        <f t="shared" si="46"/>
        <v>27.2347710204326</v>
      </c>
      <c r="W178" s="49">
        <f t="shared" si="55"/>
        <v>27.2347710204326</v>
      </c>
      <c r="X178" s="48">
        <v>0</v>
      </c>
      <c r="Y178" s="48">
        <f t="shared" si="47"/>
        <v>0</v>
      </c>
      <c r="Z178" s="48">
        <v>0</v>
      </c>
      <c r="AA178" s="48">
        <v>0</v>
      </c>
      <c r="AB178" s="48">
        <v>0</v>
      </c>
      <c r="AC178" s="48">
        <f t="shared" si="48"/>
        <v>0</v>
      </c>
      <c r="AD178" s="48">
        <f t="shared" si="56"/>
        <v>0</v>
      </c>
      <c r="AE178" s="49">
        <v>0</v>
      </c>
      <c r="AF178" s="49">
        <f t="shared" si="49"/>
        <v>0</v>
      </c>
      <c r="AG178" s="49">
        <v>0</v>
      </c>
      <c r="AH178" s="49">
        <v>0</v>
      </c>
      <c r="AI178" s="49">
        <v>0</v>
      </c>
      <c r="AJ178" s="49">
        <f t="shared" si="50"/>
        <v>0</v>
      </c>
      <c r="AK178" s="49">
        <f t="shared" si="57"/>
        <v>0</v>
      </c>
      <c r="AL178" s="82">
        <f t="shared" si="58"/>
        <v>0</v>
      </c>
      <c r="AM178" s="82">
        <f t="shared" si="59"/>
        <v>291304837464665.44</v>
      </c>
      <c r="AN178" s="81">
        <f t="shared" si="51"/>
        <v>339028693463623.12</v>
      </c>
      <c r="AO178" s="80">
        <f t="shared" si="40"/>
        <v>1163.8278870145659</v>
      </c>
      <c r="AP178" s="52">
        <f t="shared" si="52"/>
        <v>6.7275924905056388E-3</v>
      </c>
      <c r="AQ178" s="48">
        <f>(F178-E178)/E178</f>
        <v>-1.5267175572519083E-2</v>
      </c>
      <c r="AR178" s="48">
        <f>(M178-L178)/L178</f>
        <v>3.951890034364261E-2</v>
      </c>
      <c r="AS178" s="48">
        <f>(T178-S178)/S178</f>
        <v>4.1614648356221393E-3</v>
      </c>
      <c r="AT178" s="48" t="e">
        <f>(#REF!-#REF!)/#REF!</f>
        <v>#REF!</v>
      </c>
    </row>
    <row r="179" spans="1:46" x14ac:dyDescent="0.3">
      <c r="A179" s="48">
        <v>20180918</v>
      </c>
      <c r="B179" s="48" t="s">
        <v>88</v>
      </c>
      <c r="C179" s="79">
        <v>0.4</v>
      </c>
      <c r="D179" s="79">
        <f t="shared" si="41"/>
        <v>0.39147163784006023</v>
      </c>
      <c r="E179" s="49">
        <v>45150</v>
      </c>
      <c r="F179" s="49">
        <v>45500</v>
      </c>
      <c r="G179" s="49">
        <v>6419324700</v>
      </c>
      <c r="H179" s="49">
        <f t="shared" si="42"/>
        <v>0.45585619760779</v>
      </c>
      <c r="I179" s="49">
        <f t="shared" si="53"/>
        <v>0.45585619760779</v>
      </c>
      <c r="J179" s="48">
        <v>0.3</v>
      </c>
      <c r="K179" s="48">
        <f t="shared" si="43"/>
        <v>0.29804895165510026</v>
      </c>
      <c r="L179" s="48">
        <v>302500</v>
      </c>
      <c r="M179" s="48">
        <v>300500</v>
      </c>
      <c r="N179" s="51">
        <v>125395903</v>
      </c>
      <c r="O179" s="48">
        <f t="shared" si="44"/>
        <v>2.6902217281479599</v>
      </c>
      <c r="P179" s="48">
        <f t="shared" si="54"/>
        <v>2.6902217281479599</v>
      </c>
      <c r="Q179" s="49">
        <v>0.3</v>
      </c>
      <c r="R179" s="49">
        <f t="shared" si="45"/>
        <v>0.31047941050483957</v>
      </c>
      <c r="S179" s="49">
        <v>241300</v>
      </c>
      <c r="T179" s="49">
        <v>243000</v>
      </c>
      <c r="U179" s="49">
        <v>15956260</v>
      </c>
      <c r="V179" s="49">
        <f t="shared" si="46"/>
        <v>27.2347710204326</v>
      </c>
      <c r="W179" s="49">
        <f t="shared" si="55"/>
        <v>27.2347710204326</v>
      </c>
      <c r="X179" s="48">
        <v>0</v>
      </c>
      <c r="Y179" s="48">
        <f t="shared" si="47"/>
        <v>0</v>
      </c>
      <c r="Z179" s="48">
        <v>0</v>
      </c>
      <c r="AA179" s="48">
        <v>0</v>
      </c>
      <c r="AB179" s="48">
        <v>0</v>
      </c>
      <c r="AC179" s="48">
        <f t="shared" si="48"/>
        <v>0</v>
      </c>
      <c r="AD179" s="48">
        <f t="shared" si="56"/>
        <v>0</v>
      </c>
      <c r="AE179" s="49">
        <v>0</v>
      </c>
      <c r="AF179" s="49">
        <f t="shared" si="49"/>
        <v>0</v>
      </c>
      <c r="AG179" s="49">
        <v>0</v>
      </c>
      <c r="AH179" s="49">
        <v>0</v>
      </c>
      <c r="AI179" s="49">
        <v>0</v>
      </c>
      <c r="AJ179" s="49">
        <f t="shared" si="50"/>
        <v>0</v>
      </c>
      <c r="AK179" s="49">
        <f t="shared" si="57"/>
        <v>0</v>
      </c>
      <c r="AL179" s="82">
        <f t="shared" si="58"/>
        <v>0</v>
      </c>
      <c r="AM179" s="82">
        <f t="shared" si="59"/>
        <v>291304837464665.44</v>
      </c>
      <c r="AN179" s="81">
        <f t="shared" si="51"/>
        <v>340116969678665.81</v>
      </c>
      <c r="AO179" s="80">
        <f t="shared" si="40"/>
        <v>1167.5637543091648</v>
      </c>
      <c r="AP179" s="52">
        <f t="shared" si="52"/>
        <v>3.2099826239617257E-3</v>
      </c>
      <c r="AQ179" s="48">
        <f>(F179-E179)/E179</f>
        <v>7.7519379844961239E-3</v>
      </c>
      <c r="AR179" s="48">
        <f>(M179-L179)/L179</f>
        <v>-6.6115702479338841E-3</v>
      </c>
      <c r="AS179" s="48">
        <f>(T179-S179)/S179</f>
        <v>7.0451719850808123E-3</v>
      </c>
      <c r="AT179" s="48" t="e">
        <f>(#REF!-#REF!)/#REF!</f>
        <v>#REF!</v>
      </c>
    </row>
    <row r="180" spans="1:46" x14ac:dyDescent="0.3">
      <c r="A180" s="48">
        <v>20180919</v>
      </c>
      <c r="B180" s="48" t="s">
        <v>88</v>
      </c>
      <c r="C180" s="79">
        <v>0.4</v>
      </c>
      <c r="D180" s="79">
        <f t="shared" si="41"/>
        <v>0.39272542005154976</v>
      </c>
      <c r="E180" s="49">
        <v>45500</v>
      </c>
      <c r="F180" s="49">
        <v>46150</v>
      </c>
      <c r="G180" s="49">
        <v>6419324700</v>
      </c>
      <c r="H180" s="49">
        <f t="shared" si="42"/>
        <v>0.45585619760779</v>
      </c>
      <c r="I180" s="49">
        <f t="shared" si="53"/>
        <v>0.45585619760779</v>
      </c>
      <c r="J180" s="48">
        <v>0.3</v>
      </c>
      <c r="K180" s="48">
        <f t="shared" si="43"/>
        <v>0.30018773921585806</v>
      </c>
      <c r="L180" s="48">
        <v>300500</v>
      </c>
      <c r="M180" s="48">
        <v>306000</v>
      </c>
      <c r="N180" s="51">
        <v>125395903</v>
      </c>
      <c r="O180" s="48">
        <f t="shared" si="44"/>
        <v>2.6902217281479599</v>
      </c>
      <c r="P180" s="48">
        <f t="shared" si="54"/>
        <v>2.6902217281479599</v>
      </c>
      <c r="Q180" s="49">
        <v>0.3</v>
      </c>
      <c r="R180" s="49">
        <f t="shared" si="45"/>
        <v>0.30708684073259213</v>
      </c>
      <c r="S180" s="49">
        <v>243000</v>
      </c>
      <c r="T180" s="49">
        <v>243000</v>
      </c>
      <c r="U180" s="49">
        <v>15956260</v>
      </c>
      <c r="V180" s="49">
        <f t="shared" si="46"/>
        <v>27.2347710204326</v>
      </c>
      <c r="W180" s="49">
        <f t="shared" si="55"/>
        <v>27.2347710204326</v>
      </c>
      <c r="X180" s="48">
        <v>0</v>
      </c>
      <c r="Y180" s="48">
        <f t="shared" si="47"/>
        <v>0</v>
      </c>
      <c r="Z180" s="48">
        <v>0</v>
      </c>
      <c r="AA180" s="48">
        <v>0</v>
      </c>
      <c r="AB180" s="48">
        <v>0</v>
      </c>
      <c r="AC180" s="48">
        <f t="shared" si="48"/>
        <v>0</v>
      </c>
      <c r="AD180" s="48">
        <f t="shared" si="56"/>
        <v>0</v>
      </c>
      <c r="AE180" s="49">
        <v>0</v>
      </c>
      <c r="AF180" s="49">
        <f t="shared" si="49"/>
        <v>0</v>
      </c>
      <c r="AG180" s="49">
        <v>0</v>
      </c>
      <c r="AH180" s="49">
        <v>0</v>
      </c>
      <c r="AI180" s="49">
        <v>0</v>
      </c>
      <c r="AJ180" s="49">
        <f t="shared" si="50"/>
        <v>0</v>
      </c>
      <c r="AK180" s="49">
        <f t="shared" si="57"/>
        <v>0</v>
      </c>
      <c r="AL180" s="82">
        <f t="shared" si="58"/>
        <v>0</v>
      </c>
      <c r="AM180" s="82">
        <f t="shared" si="59"/>
        <v>291304837464665.44</v>
      </c>
      <c r="AN180" s="81">
        <f t="shared" si="51"/>
        <v>343874442801276.81</v>
      </c>
      <c r="AO180" s="80">
        <f t="shared" si="40"/>
        <v>1180.4625209596388</v>
      </c>
      <c r="AP180" s="52">
        <f t="shared" si="52"/>
        <v>1.1047590851350219E-2</v>
      </c>
      <c r="AQ180" s="48">
        <f>(F180-E180)/E180</f>
        <v>1.4285714285714285E-2</v>
      </c>
      <c r="AR180" s="48">
        <f>(M180-L180)/L180</f>
        <v>1.8302828618968387E-2</v>
      </c>
      <c r="AS180" s="48">
        <f>(T180-S180)/S180</f>
        <v>0</v>
      </c>
      <c r="AT180" s="48" t="e">
        <f>(#REF!-#REF!)/#REF!</f>
        <v>#REF!</v>
      </c>
    </row>
    <row r="181" spans="1:46" x14ac:dyDescent="0.3">
      <c r="A181" s="48">
        <v>20180920</v>
      </c>
      <c r="B181" s="48" t="s">
        <v>88</v>
      </c>
      <c r="C181" s="79">
        <v>0.4</v>
      </c>
      <c r="D181" s="79">
        <f t="shared" si="41"/>
        <v>0.40050067365100633</v>
      </c>
      <c r="E181" s="49">
        <v>46150</v>
      </c>
      <c r="F181" s="49">
        <v>47250</v>
      </c>
      <c r="G181" s="49">
        <v>6419324700</v>
      </c>
      <c r="H181" s="49">
        <f t="shared" si="42"/>
        <v>0.45585619760779</v>
      </c>
      <c r="I181" s="49">
        <f t="shared" si="53"/>
        <v>0.45585619760779</v>
      </c>
      <c r="J181" s="48">
        <v>0.3</v>
      </c>
      <c r="K181" s="48">
        <f t="shared" si="43"/>
        <v>0.28972125102667085</v>
      </c>
      <c r="L181" s="48">
        <v>306000</v>
      </c>
      <c r="M181" s="48">
        <v>296500</v>
      </c>
      <c r="N181" s="51">
        <v>125395903</v>
      </c>
      <c r="O181" s="48">
        <f t="shared" si="44"/>
        <v>2.6902217281479599</v>
      </c>
      <c r="P181" s="48">
        <f t="shared" si="54"/>
        <v>2.6902217281479599</v>
      </c>
      <c r="Q181" s="49">
        <v>0.3</v>
      </c>
      <c r="R181" s="49">
        <f t="shared" si="45"/>
        <v>0.30977807532232288</v>
      </c>
      <c r="S181" s="49">
        <v>243000</v>
      </c>
      <c r="T181" s="49">
        <v>246100</v>
      </c>
      <c r="U181" s="49">
        <v>15956260</v>
      </c>
      <c r="V181" s="49">
        <f t="shared" si="46"/>
        <v>27.2347710204326</v>
      </c>
      <c r="W181" s="49">
        <f t="shared" si="55"/>
        <v>27.2347710204326</v>
      </c>
      <c r="X181" s="48">
        <v>0</v>
      </c>
      <c r="Y181" s="48">
        <f t="shared" si="47"/>
        <v>0</v>
      </c>
      <c r="Z181" s="48">
        <v>0</v>
      </c>
      <c r="AA181" s="48">
        <v>0</v>
      </c>
      <c r="AB181" s="48">
        <v>0</v>
      </c>
      <c r="AC181" s="48">
        <f t="shared" si="48"/>
        <v>0</v>
      </c>
      <c r="AD181" s="48">
        <f t="shared" si="56"/>
        <v>0</v>
      </c>
      <c r="AE181" s="49">
        <v>0</v>
      </c>
      <c r="AF181" s="49">
        <f t="shared" si="49"/>
        <v>0</v>
      </c>
      <c r="AG181" s="49">
        <v>0</v>
      </c>
      <c r="AH181" s="49">
        <v>0</v>
      </c>
      <c r="AI181" s="49">
        <v>0</v>
      </c>
      <c r="AJ181" s="49">
        <f t="shared" si="50"/>
        <v>0</v>
      </c>
      <c r="AK181" s="49">
        <f t="shared" si="57"/>
        <v>0</v>
      </c>
      <c r="AL181" s="82">
        <f t="shared" si="58"/>
        <v>0</v>
      </c>
      <c r="AM181" s="82">
        <f t="shared" si="59"/>
        <v>291304837464665.44</v>
      </c>
      <c r="AN181" s="81">
        <f t="shared" si="51"/>
        <v>345235755978917.75</v>
      </c>
      <c r="AO181" s="80">
        <f t="shared" si="40"/>
        <v>1185.1356777444314</v>
      </c>
      <c r="AP181" s="52">
        <f t="shared" si="52"/>
        <v>3.9587506607101858E-3</v>
      </c>
      <c r="AQ181" s="48">
        <f>(F181-E181)/E181</f>
        <v>2.3835319609967497E-2</v>
      </c>
      <c r="AR181" s="48">
        <f>(M181-L181)/L181</f>
        <v>-3.1045751633986929E-2</v>
      </c>
      <c r="AS181" s="48">
        <f>(T181-S181)/S181</f>
        <v>1.2757201646090535E-2</v>
      </c>
      <c r="AT181" s="48" t="e">
        <f>(#REF!-#REF!)/#REF!</f>
        <v>#REF!</v>
      </c>
    </row>
    <row r="182" spans="1:46" x14ac:dyDescent="0.3">
      <c r="A182" s="48">
        <v>20180921</v>
      </c>
      <c r="B182" s="48" t="s">
        <v>88</v>
      </c>
      <c r="C182" s="79">
        <v>0.4</v>
      </c>
      <c r="D182" s="79">
        <f t="shared" si="41"/>
        <v>0.39947526869640981</v>
      </c>
      <c r="E182" s="49">
        <v>47250</v>
      </c>
      <c r="F182" s="49">
        <v>47400</v>
      </c>
      <c r="G182" s="49">
        <v>6419324700</v>
      </c>
      <c r="H182" s="49">
        <f t="shared" si="42"/>
        <v>0.45585619760779</v>
      </c>
      <c r="I182" s="49">
        <f t="shared" si="53"/>
        <v>0.45585619760779</v>
      </c>
      <c r="J182" s="48">
        <v>0.3</v>
      </c>
      <c r="K182" s="48">
        <f t="shared" si="43"/>
        <v>0.29389429173450921</v>
      </c>
      <c r="L182" s="48">
        <v>296500</v>
      </c>
      <c r="M182" s="48">
        <v>302500</v>
      </c>
      <c r="N182" s="51">
        <v>125395903</v>
      </c>
      <c r="O182" s="48">
        <f t="shared" si="44"/>
        <v>2.6902217281479599</v>
      </c>
      <c r="P182" s="48">
        <f t="shared" si="54"/>
        <v>2.6902217281479599</v>
      </c>
      <c r="Q182" s="49">
        <v>0.3</v>
      </c>
      <c r="R182" s="49">
        <f t="shared" si="45"/>
        <v>0.30663043956908098</v>
      </c>
      <c r="S182" s="49">
        <v>246100</v>
      </c>
      <c r="T182" s="49">
        <v>245000</v>
      </c>
      <c r="U182" s="49">
        <v>15956260</v>
      </c>
      <c r="V182" s="49">
        <f t="shared" si="46"/>
        <v>27.2347710204326</v>
      </c>
      <c r="W182" s="49">
        <f t="shared" si="55"/>
        <v>27.2347710204326</v>
      </c>
      <c r="X182" s="48">
        <v>0</v>
      </c>
      <c r="Y182" s="48">
        <f t="shared" si="47"/>
        <v>0</v>
      </c>
      <c r="Z182" s="48">
        <v>0</v>
      </c>
      <c r="AA182" s="48">
        <v>0</v>
      </c>
      <c r="AB182" s="48">
        <v>0</v>
      </c>
      <c r="AC182" s="48">
        <f t="shared" si="48"/>
        <v>0</v>
      </c>
      <c r="AD182" s="48">
        <f t="shared" si="56"/>
        <v>0</v>
      </c>
      <c r="AE182" s="49">
        <v>0</v>
      </c>
      <c r="AF182" s="49">
        <f t="shared" si="49"/>
        <v>0</v>
      </c>
      <c r="AG182" s="49">
        <v>0</v>
      </c>
      <c r="AH182" s="49">
        <v>0</v>
      </c>
      <c r="AI182" s="49">
        <v>0</v>
      </c>
      <c r="AJ182" s="49">
        <f t="shared" si="50"/>
        <v>0</v>
      </c>
      <c r="AK182" s="49">
        <f t="shared" si="57"/>
        <v>0</v>
      </c>
      <c r="AL182" s="82">
        <f t="shared" si="58"/>
        <v>0</v>
      </c>
      <c r="AM182" s="82">
        <f t="shared" si="59"/>
        <v>291304837464665.44</v>
      </c>
      <c r="AN182" s="81">
        <f t="shared" si="51"/>
        <v>347220734422301.81</v>
      </c>
      <c r="AO182" s="80">
        <f t="shared" si="40"/>
        <v>1191.9497713951243</v>
      </c>
      <c r="AP182" s="52">
        <f t="shared" si="52"/>
        <v>5.7496316908302245E-3</v>
      </c>
      <c r="AQ182" s="48">
        <f>(F182-E182)/E182</f>
        <v>3.1746031746031746E-3</v>
      </c>
      <c r="AR182" s="48">
        <f>(M182-L182)/L182</f>
        <v>2.0236087689713321E-2</v>
      </c>
      <c r="AS182" s="48">
        <f>(T182-S182)/S182</f>
        <v>-4.469727752945957E-3</v>
      </c>
      <c r="AT182" s="48" t="e">
        <f>(#REF!-#REF!)/#REF!</f>
        <v>#REF!</v>
      </c>
    </row>
    <row r="183" spans="1:46" x14ac:dyDescent="0.3">
      <c r="A183" s="48">
        <v>20180927</v>
      </c>
      <c r="B183" s="48" t="s">
        <v>88</v>
      </c>
      <c r="C183" s="79">
        <v>0.4</v>
      </c>
      <c r="D183" s="79">
        <f t="shared" si="41"/>
        <v>0.39876642824155495</v>
      </c>
      <c r="E183" s="49">
        <v>47400</v>
      </c>
      <c r="F183" s="49">
        <v>47500</v>
      </c>
      <c r="G183" s="49">
        <v>6419324700</v>
      </c>
      <c r="H183" s="49">
        <f t="shared" si="42"/>
        <v>0.45585619760779</v>
      </c>
      <c r="I183" s="49">
        <f t="shared" si="53"/>
        <v>0.45585619760779</v>
      </c>
      <c r="J183" s="48">
        <v>0.3</v>
      </c>
      <c r="K183" s="48">
        <f t="shared" si="43"/>
        <v>0.29130349174289555</v>
      </c>
      <c r="L183" s="48">
        <v>302500</v>
      </c>
      <c r="M183" s="48">
        <v>301000</v>
      </c>
      <c r="N183" s="51">
        <v>125395903</v>
      </c>
      <c r="O183" s="48">
        <f t="shared" si="44"/>
        <v>2.6902217281479599</v>
      </c>
      <c r="P183" s="48">
        <f t="shared" si="54"/>
        <v>2.6902217281479599</v>
      </c>
      <c r="Q183" s="49">
        <v>0.3</v>
      </c>
      <c r="R183" s="49">
        <f t="shared" si="45"/>
        <v>0.30993008001554956</v>
      </c>
      <c r="S183" s="49">
        <v>245000</v>
      </c>
      <c r="T183" s="49">
        <v>248600</v>
      </c>
      <c r="U183" s="49">
        <v>15956260</v>
      </c>
      <c r="V183" s="49">
        <f t="shared" si="46"/>
        <v>27.2347710204326</v>
      </c>
      <c r="W183" s="49">
        <f t="shared" si="55"/>
        <v>27.2347710204326</v>
      </c>
      <c r="X183" s="48">
        <v>0</v>
      </c>
      <c r="Y183" s="48">
        <f t="shared" si="47"/>
        <v>0</v>
      </c>
      <c r="Z183" s="48">
        <v>0</v>
      </c>
      <c r="AA183" s="48">
        <v>0</v>
      </c>
      <c r="AB183" s="48">
        <v>0</v>
      </c>
      <c r="AC183" s="48">
        <f t="shared" si="48"/>
        <v>0</v>
      </c>
      <c r="AD183" s="48">
        <f t="shared" si="56"/>
        <v>0</v>
      </c>
      <c r="AE183" s="49">
        <v>0</v>
      </c>
      <c r="AF183" s="49">
        <f t="shared" si="49"/>
        <v>0</v>
      </c>
      <c r="AG183" s="49">
        <v>0</v>
      </c>
      <c r="AH183" s="49">
        <v>0</v>
      </c>
      <c r="AI183" s="49">
        <v>0</v>
      </c>
      <c r="AJ183" s="49">
        <f t="shared" si="50"/>
        <v>0</v>
      </c>
      <c r="AK183" s="49">
        <f t="shared" si="57"/>
        <v>0</v>
      </c>
      <c r="AL183" s="82">
        <f t="shared" si="58"/>
        <v>0</v>
      </c>
      <c r="AM183" s="82">
        <f t="shared" si="59"/>
        <v>291304837464665.44</v>
      </c>
      <c r="AN183" s="81">
        <f t="shared" si="51"/>
        <v>348571783457682.94</v>
      </c>
      <c r="AO183" s="80">
        <f t="shared" si="40"/>
        <v>1196.5876931239216</v>
      </c>
      <c r="AP183" s="52">
        <f t="shared" si="52"/>
        <v>3.8910378944649053E-3</v>
      </c>
      <c r="AQ183" s="48">
        <f>(F183-E183)/E183</f>
        <v>2.1097046413502108E-3</v>
      </c>
      <c r="AR183" s="48">
        <f>(M183-L183)/L183</f>
        <v>-4.9586776859504135E-3</v>
      </c>
      <c r="AS183" s="48">
        <f>(T183-S183)/S183</f>
        <v>1.4693877551020407E-2</v>
      </c>
      <c r="AT183" s="48" t="e">
        <f>(#REF!-#REF!)/#REF!</f>
        <v>#REF!</v>
      </c>
    </row>
    <row r="184" spans="1:46" x14ac:dyDescent="0.3">
      <c r="A184" s="48">
        <v>20180928</v>
      </c>
      <c r="B184" s="48" t="s">
        <v>88</v>
      </c>
      <c r="C184" s="79">
        <v>0.4</v>
      </c>
      <c r="D184" s="79">
        <f t="shared" si="41"/>
        <v>0.39889083637436179</v>
      </c>
      <c r="E184" s="49">
        <v>47500</v>
      </c>
      <c r="F184" s="49">
        <v>46450</v>
      </c>
      <c r="G184" s="49">
        <v>6419324700</v>
      </c>
      <c r="H184" s="49">
        <f t="shared" si="42"/>
        <v>0.45585619760779</v>
      </c>
      <c r="I184" s="49">
        <f t="shared" si="53"/>
        <v>0.45585619760779</v>
      </c>
      <c r="J184" s="48">
        <v>0.3</v>
      </c>
      <c r="K184" s="48">
        <f t="shared" si="43"/>
        <v>0.29402144424707416</v>
      </c>
      <c r="L184" s="48">
        <v>301000</v>
      </c>
      <c r="M184" s="48">
        <v>297000</v>
      </c>
      <c r="N184" s="51">
        <v>125395903</v>
      </c>
      <c r="O184" s="48">
        <f t="shared" si="44"/>
        <v>2.6902217281479599</v>
      </c>
      <c r="P184" s="48">
        <f t="shared" si="54"/>
        <v>2.6902217281479599</v>
      </c>
      <c r="Q184" s="49">
        <v>0.3</v>
      </c>
      <c r="R184" s="49">
        <f t="shared" si="45"/>
        <v>0.30708771937856399</v>
      </c>
      <c r="S184" s="49">
        <v>248600</v>
      </c>
      <c r="T184" s="49">
        <v>240800</v>
      </c>
      <c r="U184" s="49">
        <v>15956260</v>
      </c>
      <c r="V184" s="49">
        <f t="shared" si="46"/>
        <v>27.2347710204326</v>
      </c>
      <c r="W184" s="49">
        <f t="shared" si="55"/>
        <v>27.2347710204326</v>
      </c>
      <c r="X184" s="48">
        <v>0</v>
      </c>
      <c r="Y184" s="48">
        <f t="shared" si="47"/>
        <v>0</v>
      </c>
      <c r="Z184" s="48">
        <v>0</v>
      </c>
      <c r="AA184" s="48">
        <v>0</v>
      </c>
      <c r="AB184" s="48">
        <v>0</v>
      </c>
      <c r="AC184" s="48">
        <f t="shared" si="48"/>
        <v>0</v>
      </c>
      <c r="AD184" s="48">
        <f t="shared" si="56"/>
        <v>0</v>
      </c>
      <c r="AE184" s="49">
        <v>0</v>
      </c>
      <c r="AF184" s="49">
        <f t="shared" si="49"/>
        <v>0</v>
      </c>
      <c r="AG184" s="49">
        <v>0</v>
      </c>
      <c r="AH184" s="49">
        <v>0</v>
      </c>
      <c r="AI184" s="49">
        <v>0</v>
      </c>
      <c r="AJ184" s="49">
        <f t="shared" si="50"/>
        <v>0</v>
      </c>
      <c r="AK184" s="49">
        <f t="shared" si="57"/>
        <v>0</v>
      </c>
      <c r="AL184" s="82">
        <f t="shared" si="58"/>
        <v>0</v>
      </c>
      <c r="AM184" s="82">
        <f t="shared" si="59"/>
        <v>291304837464665.44</v>
      </c>
      <c r="AN184" s="81">
        <f t="shared" si="51"/>
        <v>340760201247746.87</v>
      </c>
      <c r="AO184" s="80">
        <f t="shared" si="40"/>
        <v>1169.7718589691467</v>
      </c>
      <c r="AP184" s="52">
        <f t="shared" si="52"/>
        <v>-2.2410254015538946E-2</v>
      </c>
      <c r="AQ184" s="48">
        <f>(F184-E184)/E184</f>
        <v>-2.2105263157894735E-2</v>
      </c>
      <c r="AR184" s="48">
        <f>(M184-L184)/L184</f>
        <v>-1.3289036544850499E-2</v>
      </c>
      <c r="AS184" s="48">
        <f>(T184-S184)/S184</f>
        <v>-3.1375703942075624E-2</v>
      </c>
      <c r="AT184" s="48" t="e">
        <f>(#REF!-#REF!)/#REF!</f>
        <v>#REF!</v>
      </c>
    </row>
    <row r="185" spans="1:46" x14ac:dyDescent="0.3">
      <c r="A185" s="48">
        <v>20181001</v>
      </c>
      <c r="B185" s="48" t="s">
        <v>88</v>
      </c>
      <c r="C185" s="79">
        <v>0.4</v>
      </c>
      <c r="D185" s="79">
        <f t="shared" si="41"/>
        <v>0.39974228932713285</v>
      </c>
      <c r="E185" s="49">
        <v>46450</v>
      </c>
      <c r="F185" s="49">
        <v>46350</v>
      </c>
      <c r="G185" s="49">
        <v>6419324700</v>
      </c>
      <c r="H185" s="49">
        <f t="shared" si="42"/>
        <v>0.45585619760779</v>
      </c>
      <c r="I185" s="49">
        <f t="shared" si="53"/>
        <v>0.45585619760779</v>
      </c>
      <c r="J185" s="48">
        <v>0.3</v>
      </c>
      <c r="K185" s="48">
        <f t="shared" si="43"/>
        <v>0.29031362884771161</v>
      </c>
      <c r="L185" s="48">
        <v>297000</v>
      </c>
      <c r="M185" s="48">
        <v>292000</v>
      </c>
      <c r="N185" s="51">
        <v>125395903</v>
      </c>
      <c r="O185" s="48">
        <f t="shared" si="44"/>
        <v>2.6902217281479599</v>
      </c>
      <c r="P185" s="48">
        <f t="shared" si="54"/>
        <v>2.6902217281479599</v>
      </c>
      <c r="Q185" s="49">
        <v>0.3</v>
      </c>
      <c r="R185" s="49">
        <f t="shared" si="45"/>
        <v>0.30994408182515548</v>
      </c>
      <c r="S185" s="49">
        <v>240800</v>
      </c>
      <c r="T185" s="49">
        <v>242000</v>
      </c>
      <c r="U185" s="49">
        <v>15956260</v>
      </c>
      <c r="V185" s="49">
        <f t="shared" si="46"/>
        <v>27.2347710204326</v>
      </c>
      <c r="W185" s="49">
        <f t="shared" si="55"/>
        <v>27.2347710204326</v>
      </c>
      <c r="X185" s="48">
        <v>0</v>
      </c>
      <c r="Y185" s="48">
        <f t="shared" si="47"/>
        <v>0</v>
      </c>
      <c r="Z185" s="48">
        <v>0</v>
      </c>
      <c r="AA185" s="48">
        <v>0</v>
      </c>
      <c r="AB185" s="48">
        <v>0</v>
      </c>
      <c r="AC185" s="48">
        <f t="shared" si="48"/>
        <v>0</v>
      </c>
      <c r="AD185" s="48">
        <f t="shared" si="56"/>
        <v>0</v>
      </c>
      <c r="AE185" s="49">
        <v>0</v>
      </c>
      <c r="AF185" s="49">
        <f t="shared" si="49"/>
        <v>0</v>
      </c>
      <c r="AG185" s="49">
        <v>0</v>
      </c>
      <c r="AH185" s="49">
        <v>0</v>
      </c>
      <c r="AI185" s="49">
        <v>0</v>
      </c>
      <c r="AJ185" s="49">
        <f t="shared" si="50"/>
        <v>0</v>
      </c>
      <c r="AK185" s="49">
        <f t="shared" si="57"/>
        <v>0</v>
      </c>
      <c r="AL185" s="82">
        <f t="shared" si="58"/>
        <v>0</v>
      </c>
      <c r="AM185" s="82">
        <f t="shared" si="59"/>
        <v>291304837464665.44</v>
      </c>
      <c r="AN185" s="81">
        <f t="shared" si="51"/>
        <v>339302336543426</v>
      </c>
      <c r="AO185" s="80">
        <f t="shared" si="40"/>
        <v>1164.7672572021143</v>
      </c>
      <c r="AP185" s="52">
        <f t="shared" si="52"/>
        <v>-4.2782716378924734E-3</v>
      </c>
      <c r="AQ185" s="48">
        <f>(F185-E185)/E185</f>
        <v>-2.1528525296017221E-3</v>
      </c>
      <c r="AR185" s="48">
        <f>(M185-L185)/L185</f>
        <v>-1.6835016835016835E-2</v>
      </c>
      <c r="AS185" s="48">
        <f>(T185-S185)/S185</f>
        <v>4.9833887043189366E-3</v>
      </c>
      <c r="AT185" s="48" t="e">
        <f>(#REF!-#REF!)/#REF!</f>
        <v>#REF!</v>
      </c>
    </row>
    <row r="186" spans="1:46" x14ac:dyDescent="0.3">
      <c r="A186" s="48">
        <v>20181002</v>
      </c>
      <c r="B186" s="48" t="s">
        <v>88</v>
      </c>
      <c r="C186" s="79">
        <v>0.4</v>
      </c>
      <c r="D186" s="79">
        <f t="shared" si="41"/>
        <v>0.40138174843226704</v>
      </c>
      <c r="E186" s="49">
        <v>46350</v>
      </c>
      <c r="F186" s="49">
        <v>45700</v>
      </c>
      <c r="G186" s="49">
        <v>6419324700</v>
      </c>
      <c r="H186" s="49">
        <f t="shared" si="42"/>
        <v>0.45585619760779</v>
      </c>
      <c r="I186" s="49">
        <f t="shared" si="53"/>
        <v>0.45585619760779</v>
      </c>
      <c r="J186" s="48">
        <v>0.3</v>
      </c>
      <c r="K186" s="48">
        <f t="shared" si="43"/>
        <v>0.29210665661120105</v>
      </c>
      <c r="L186" s="48">
        <v>292000</v>
      </c>
      <c r="M186" s="48">
        <v>288500</v>
      </c>
      <c r="N186" s="51">
        <v>125395903</v>
      </c>
      <c r="O186" s="48">
        <f t="shared" si="44"/>
        <v>2.6902217281479599</v>
      </c>
      <c r="P186" s="48">
        <f t="shared" si="54"/>
        <v>2.6902217281479599</v>
      </c>
      <c r="Q186" s="49">
        <v>0.3</v>
      </c>
      <c r="R186" s="49">
        <f t="shared" si="45"/>
        <v>0.30651159495653191</v>
      </c>
      <c r="S186" s="49">
        <v>242000</v>
      </c>
      <c r="T186" s="49">
        <v>235000</v>
      </c>
      <c r="U186" s="49">
        <v>15956260</v>
      </c>
      <c r="V186" s="49">
        <f t="shared" si="46"/>
        <v>27.2347710204326</v>
      </c>
      <c r="W186" s="49">
        <f t="shared" si="55"/>
        <v>27.2347710204326</v>
      </c>
      <c r="X186" s="48">
        <v>0</v>
      </c>
      <c r="Y186" s="48">
        <f t="shared" si="47"/>
        <v>0</v>
      </c>
      <c r="Z186" s="48">
        <v>0</v>
      </c>
      <c r="AA186" s="48">
        <v>0</v>
      </c>
      <c r="AB186" s="48">
        <v>0</v>
      </c>
      <c r="AC186" s="48">
        <f t="shared" si="48"/>
        <v>0</v>
      </c>
      <c r="AD186" s="48">
        <f t="shared" si="56"/>
        <v>0</v>
      </c>
      <c r="AE186" s="49">
        <v>0</v>
      </c>
      <c r="AF186" s="49">
        <f t="shared" si="49"/>
        <v>0</v>
      </c>
      <c r="AG186" s="49">
        <v>0</v>
      </c>
      <c r="AH186" s="49">
        <v>0</v>
      </c>
      <c r="AI186" s="49">
        <v>0</v>
      </c>
      <c r="AJ186" s="49">
        <f t="shared" si="50"/>
        <v>0</v>
      </c>
      <c r="AK186" s="49">
        <f t="shared" si="57"/>
        <v>0</v>
      </c>
      <c r="AL186" s="82">
        <f t="shared" si="58"/>
        <v>0</v>
      </c>
      <c r="AM186" s="82">
        <f t="shared" si="59"/>
        <v>291304837464665.44</v>
      </c>
      <c r="AN186" s="81">
        <f t="shared" si="51"/>
        <v>333177593374460.25</v>
      </c>
      <c r="AO186" s="80">
        <f t="shared" si="40"/>
        <v>1143.7420547980905</v>
      </c>
      <c r="AP186" s="52">
        <f t="shared" si="52"/>
        <v>-1.8050990250643151E-2</v>
      </c>
      <c r="AQ186" s="48">
        <f>(F186-E186)/E186</f>
        <v>-1.4023732470334413E-2</v>
      </c>
      <c r="AR186" s="48">
        <f>(M186-L186)/L186</f>
        <v>-1.1986301369863013E-2</v>
      </c>
      <c r="AS186" s="48">
        <f>(T186-S186)/S186</f>
        <v>-2.8925619834710745E-2</v>
      </c>
      <c r="AT186" s="48" t="e">
        <f>(#REF!-#REF!)/#REF!</f>
        <v>#REF!</v>
      </c>
    </row>
    <row r="187" spans="1:46" x14ac:dyDescent="0.3">
      <c r="A187" s="48">
        <v>20181004</v>
      </c>
      <c r="B187" s="48" t="s">
        <v>88</v>
      </c>
      <c r="C187" s="79">
        <v>0.4</v>
      </c>
      <c r="D187" s="79">
        <f t="shared" si="41"/>
        <v>0.39699035397507132</v>
      </c>
      <c r="E187" s="49">
        <v>45700</v>
      </c>
      <c r="F187" s="49">
        <v>44700</v>
      </c>
      <c r="G187" s="49">
        <v>6419324700</v>
      </c>
      <c r="H187" s="49">
        <f t="shared" si="42"/>
        <v>0.45585619760779</v>
      </c>
      <c r="I187" s="49">
        <f t="shared" si="53"/>
        <v>0.45585619760779</v>
      </c>
      <c r="J187" s="48">
        <v>0.3</v>
      </c>
      <c r="K187" s="48">
        <f t="shared" si="43"/>
        <v>0.29742179072776309</v>
      </c>
      <c r="L187" s="48">
        <v>288500</v>
      </c>
      <c r="M187" s="48">
        <v>290500</v>
      </c>
      <c r="N187" s="51">
        <v>125395903</v>
      </c>
      <c r="O187" s="48">
        <f t="shared" si="44"/>
        <v>2.6902217281479599</v>
      </c>
      <c r="P187" s="48">
        <f t="shared" si="54"/>
        <v>2.6902217281479599</v>
      </c>
      <c r="Q187" s="49">
        <v>0.3</v>
      </c>
      <c r="R187" s="49">
        <f t="shared" si="45"/>
        <v>0.30558785529716564</v>
      </c>
      <c r="S187" s="49">
        <v>235000</v>
      </c>
      <c r="T187" s="49">
        <v>231700</v>
      </c>
      <c r="U187" s="49">
        <v>15956260</v>
      </c>
      <c r="V187" s="49">
        <f t="shared" si="46"/>
        <v>27.2347710204326</v>
      </c>
      <c r="W187" s="49">
        <f t="shared" si="55"/>
        <v>27.2347710204326</v>
      </c>
      <c r="X187" s="48">
        <v>0</v>
      </c>
      <c r="Y187" s="48">
        <f t="shared" si="47"/>
        <v>0</v>
      </c>
      <c r="Z187" s="48">
        <v>0</v>
      </c>
      <c r="AA187" s="48">
        <v>0</v>
      </c>
      <c r="AB187" s="48">
        <v>0</v>
      </c>
      <c r="AC187" s="48">
        <f t="shared" si="48"/>
        <v>0</v>
      </c>
      <c r="AD187" s="48">
        <f t="shared" si="56"/>
        <v>0</v>
      </c>
      <c r="AE187" s="49">
        <v>0</v>
      </c>
      <c r="AF187" s="49">
        <f t="shared" si="49"/>
        <v>0</v>
      </c>
      <c r="AG187" s="49">
        <v>0</v>
      </c>
      <c r="AH187" s="49">
        <v>0</v>
      </c>
      <c r="AI187" s="49">
        <v>0</v>
      </c>
      <c r="AJ187" s="49">
        <f t="shared" si="50"/>
        <v>0</v>
      </c>
      <c r="AK187" s="49">
        <f t="shared" si="57"/>
        <v>0</v>
      </c>
      <c r="AL187" s="82">
        <f t="shared" si="58"/>
        <v>0</v>
      </c>
      <c r="AM187" s="82">
        <f t="shared" si="59"/>
        <v>291304837464665.44</v>
      </c>
      <c r="AN187" s="81">
        <f t="shared" si="51"/>
        <v>329491925202690.94</v>
      </c>
      <c r="AO187" s="80">
        <f t="shared" si="40"/>
        <v>1131.089782340664</v>
      </c>
      <c r="AP187" s="52">
        <f t="shared" si="52"/>
        <v>-1.1062172982403879E-2</v>
      </c>
      <c r="AQ187" s="48">
        <f>(F187-E187)/E187</f>
        <v>-2.1881838074398249E-2</v>
      </c>
      <c r="AR187" s="48">
        <f>(M187-L187)/L187</f>
        <v>6.9324090121317154E-3</v>
      </c>
      <c r="AS187" s="48">
        <f>(T187-S187)/S187</f>
        <v>-1.4042553191489362E-2</v>
      </c>
      <c r="AT187" s="48" t="e">
        <f>(#REF!-#REF!)/#REF!</f>
        <v>#REF!</v>
      </c>
    </row>
    <row r="188" spans="1:46" x14ac:dyDescent="0.3">
      <c r="A188" s="48">
        <v>20181005</v>
      </c>
      <c r="B188" s="48" t="s">
        <v>88</v>
      </c>
      <c r="C188" s="79">
        <v>0.4</v>
      </c>
      <c r="D188" s="79">
        <f t="shared" si="41"/>
        <v>0.40340927765784174</v>
      </c>
      <c r="E188" s="49">
        <v>44700</v>
      </c>
      <c r="F188" s="49">
        <v>44700</v>
      </c>
      <c r="G188" s="49">
        <v>6419324700</v>
      </c>
      <c r="H188" s="49">
        <f t="shared" si="42"/>
        <v>0.45585619760779</v>
      </c>
      <c r="I188" s="49">
        <f t="shared" si="53"/>
        <v>0.45585619760779</v>
      </c>
      <c r="J188" s="48">
        <v>0.3</v>
      </c>
      <c r="K188" s="48">
        <f t="shared" si="43"/>
        <v>0.30067022157554307</v>
      </c>
      <c r="L188" s="48">
        <v>290500</v>
      </c>
      <c r="M188" s="48">
        <v>289000</v>
      </c>
      <c r="N188" s="51">
        <v>125395903</v>
      </c>
      <c r="O188" s="48">
        <f t="shared" si="44"/>
        <v>2.6902217281479599</v>
      </c>
      <c r="P188" s="48">
        <f t="shared" si="54"/>
        <v>2.6902217281479599</v>
      </c>
      <c r="Q188" s="49">
        <v>0.3</v>
      </c>
      <c r="R188" s="49">
        <f t="shared" si="45"/>
        <v>0.2959205007666153</v>
      </c>
      <c r="S188" s="49">
        <v>231700</v>
      </c>
      <c r="T188" s="49">
        <v>220800</v>
      </c>
      <c r="U188" s="49">
        <v>15956260</v>
      </c>
      <c r="V188" s="49">
        <f t="shared" si="46"/>
        <v>27.2347710204326</v>
      </c>
      <c r="W188" s="49">
        <f t="shared" si="55"/>
        <v>27.2347710204326</v>
      </c>
      <c r="X188" s="48">
        <v>0</v>
      </c>
      <c r="Y188" s="48">
        <f t="shared" si="47"/>
        <v>0</v>
      </c>
      <c r="Z188" s="48">
        <v>0</v>
      </c>
      <c r="AA188" s="48">
        <v>0</v>
      </c>
      <c r="AB188" s="48">
        <v>0</v>
      </c>
      <c r="AC188" s="48">
        <f t="shared" si="48"/>
        <v>0</v>
      </c>
      <c r="AD188" s="48">
        <f t="shared" si="56"/>
        <v>0</v>
      </c>
      <c r="AE188" s="49">
        <v>0</v>
      </c>
      <c r="AF188" s="49">
        <f t="shared" si="49"/>
        <v>0</v>
      </c>
      <c r="AG188" s="49">
        <v>0</v>
      </c>
      <c r="AH188" s="49">
        <v>0</v>
      </c>
      <c r="AI188" s="49">
        <v>0</v>
      </c>
      <c r="AJ188" s="49">
        <f t="shared" si="50"/>
        <v>0</v>
      </c>
      <c r="AK188" s="49">
        <f t="shared" si="57"/>
        <v>0</v>
      </c>
      <c r="AL188" s="82">
        <f t="shared" si="58"/>
        <v>0</v>
      </c>
      <c r="AM188" s="82">
        <f t="shared" si="59"/>
        <v>291304837464665.44</v>
      </c>
      <c r="AN188" s="81">
        <f t="shared" si="51"/>
        <v>324249151575260.81</v>
      </c>
      <c r="AO188" s="80">
        <f t="shared" si="40"/>
        <v>1113.0922314827383</v>
      </c>
      <c r="AP188" s="52">
        <f t="shared" si="52"/>
        <v>-1.5911690777262434E-2</v>
      </c>
      <c r="AQ188" s="48">
        <f>(F188-E188)/E188</f>
        <v>0</v>
      </c>
      <c r="AR188" s="48">
        <f>(M188-L188)/L188</f>
        <v>-5.1635111876075735E-3</v>
      </c>
      <c r="AS188" s="48">
        <f>(T188-S188)/S188</f>
        <v>-4.7043590850237377E-2</v>
      </c>
      <c r="AT188" s="48" t="e">
        <f>(#REF!-#REF!)/#REF!</f>
        <v>#REF!</v>
      </c>
    </row>
    <row r="189" spans="1:46" x14ac:dyDescent="0.3">
      <c r="A189" s="48">
        <v>20181008</v>
      </c>
      <c r="B189" s="48" t="s">
        <v>88</v>
      </c>
      <c r="C189" s="79">
        <v>0.4</v>
      </c>
      <c r="D189" s="79">
        <f t="shared" si="41"/>
        <v>0.40612283262401105</v>
      </c>
      <c r="E189" s="49">
        <v>44700</v>
      </c>
      <c r="F189" s="49">
        <v>44950</v>
      </c>
      <c r="G189" s="49">
        <v>6419324700</v>
      </c>
      <c r="H189" s="49">
        <f t="shared" si="42"/>
        <v>0.45585619760779</v>
      </c>
      <c r="I189" s="49">
        <f t="shared" si="53"/>
        <v>0.45585619760779</v>
      </c>
      <c r="J189" s="48">
        <v>0.3</v>
      </c>
      <c r="K189" s="48">
        <f t="shared" si="43"/>
        <v>0.3020507542420699</v>
      </c>
      <c r="L189" s="48">
        <v>289000</v>
      </c>
      <c r="M189" s="48">
        <v>290000</v>
      </c>
      <c r="N189" s="51">
        <v>125395903</v>
      </c>
      <c r="O189" s="48">
        <f t="shared" si="44"/>
        <v>2.6902217281479599</v>
      </c>
      <c r="P189" s="48">
        <f t="shared" si="54"/>
        <v>2.6902217281479599</v>
      </c>
      <c r="Q189" s="49">
        <v>0.3</v>
      </c>
      <c r="R189" s="49">
        <f t="shared" si="45"/>
        <v>0.29182641313391916</v>
      </c>
      <c r="S189" s="49">
        <v>220800</v>
      </c>
      <c r="T189" s="49">
        <v>217500</v>
      </c>
      <c r="U189" s="49">
        <v>15956260</v>
      </c>
      <c r="V189" s="49">
        <f t="shared" si="46"/>
        <v>27.2347710204326</v>
      </c>
      <c r="W189" s="49">
        <f t="shared" si="55"/>
        <v>27.2347710204326</v>
      </c>
      <c r="X189" s="48">
        <v>0</v>
      </c>
      <c r="Y189" s="48">
        <f t="shared" si="47"/>
        <v>0</v>
      </c>
      <c r="Z189" s="48">
        <v>0</v>
      </c>
      <c r="AA189" s="48">
        <v>0</v>
      </c>
      <c r="AB189" s="48">
        <v>0</v>
      </c>
      <c r="AC189" s="48">
        <f t="shared" si="48"/>
        <v>0</v>
      </c>
      <c r="AD189" s="48">
        <f t="shared" si="56"/>
        <v>0</v>
      </c>
      <c r="AE189" s="49">
        <v>0</v>
      </c>
      <c r="AF189" s="49">
        <f t="shared" si="49"/>
        <v>0</v>
      </c>
      <c r="AG189" s="49">
        <v>0</v>
      </c>
      <c r="AH189" s="49">
        <v>0</v>
      </c>
      <c r="AI189" s="49">
        <v>0</v>
      </c>
      <c r="AJ189" s="49">
        <f t="shared" si="50"/>
        <v>0</v>
      </c>
      <c r="AK189" s="49">
        <f t="shared" si="57"/>
        <v>0</v>
      </c>
      <c r="AL189" s="82">
        <f t="shared" si="58"/>
        <v>0</v>
      </c>
      <c r="AM189" s="82">
        <f t="shared" si="59"/>
        <v>291304837464665.44</v>
      </c>
      <c r="AN189" s="81">
        <f t="shared" si="51"/>
        <v>323884001806809.87</v>
      </c>
      <c r="AO189" s="80">
        <f t="shared" si="40"/>
        <v>1111.8387343845473</v>
      </c>
      <c r="AP189" s="52">
        <f t="shared" si="52"/>
        <v>-1.1261394723070244E-3</v>
      </c>
      <c r="AQ189" s="48">
        <f>(F189-E189)/E189</f>
        <v>5.5928411633109623E-3</v>
      </c>
      <c r="AR189" s="48">
        <f>(M189-L189)/L189</f>
        <v>3.4602076124567475E-3</v>
      </c>
      <c r="AS189" s="48">
        <f>(T189-S189)/S189</f>
        <v>-1.4945652173913044E-2</v>
      </c>
      <c r="AT189" s="48" t="e">
        <f>(#REF!-#REF!)/#REF!</f>
        <v>#REF!</v>
      </c>
    </row>
    <row r="190" spans="1:46" x14ac:dyDescent="0.3">
      <c r="A190" s="48">
        <v>20181010</v>
      </c>
      <c r="B190" s="48" t="s">
        <v>88</v>
      </c>
      <c r="C190" s="79">
        <v>0.4</v>
      </c>
      <c r="D190" s="79">
        <f t="shared" si="41"/>
        <v>0.40838651963117872</v>
      </c>
      <c r="E190" s="49">
        <v>44950</v>
      </c>
      <c r="F190" s="49">
        <v>45300</v>
      </c>
      <c r="G190" s="49">
        <v>6419324700</v>
      </c>
      <c r="H190" s="49">
        <f t="shared" si="42"/>
        <v>0.45585619760779</v>
      </c>
      <c r="I190" s="49">
        <f t="shared" si="53"/>
        <v>0.45585619760779</v>
      </c>
      <c r="J190" s="48">
        <v>0.3</v>
      </c>
      <c r="K190" s="48">
        <f t="shared" si="43"/>
        <v>0.29775018393781244</v>
      </c>
      <c r="L190" s="48">
        <v>290000</v>
      </c>
      <c r="M190" s="48">
        <v>286500</v>
      </c>
      <c r="N190" s="51">
        <v>125395903</v>
      </c>
      <c r="O190" s="48">
        <f t="shared" si="44"/>
        <v>2.6902217281479599</v>
      </c>
      <c r="P190" s="48">
        <f t="shared" si="54"/>
        <v>2.6902217281479599</v>
      </c>
      <c r="Q190" s="49">
        <v>0.3</v>
      </c>
      <c r="R190" s="49">
        <f t="shared" si="45"/>
        <v>0.29386329643100872</v>
      </c>
      <c r="S190" s="49">
        <v>217500</v>
      </c>
      <c r="T190" s="49">
        <v>219500</v>
      </c>
      <c r="U190" s="49">
        <v>15956260</v>
      </c>
      <c r="V190" s="49">
        <f t="shared" si="46"/>
        <v>27.2347710204326</v>
      </c>
      <c r="W190" s="49">
        <f t="shared" si="55"/>
        <v>27.2347710204326</v>
      </c>
      <c r="X190" s="48">
        <v>0</v>
      </c>
      <c r="Y190" s="48">
        <f t="shared" si="47"/>
        <v>0</v>
      </c>
      <c r="Z190" s="48">
        <v>0</v>
      </c>
      <c r="AA190" s="48">
        <v>0</v>
      </c>
      <c r="AB190" s="48">
        <v>0</v>
      </c>
      <c r="AC190" s="48">
        <f t="shared" si="48"/>
        <v>0</v>
      </c>
      <c r="AD190" s="48">
        <f t="shared" si="56"/>
        <v>0</v>
      </c>
      <c r="AE190" s="49">
        <v>0</v>
      </c>
      <c r="AF190" s="49">
        <f t="shared" si="49"/>
        <v>0</v>
      </c>
      <c r="AG190" s="49">
        <v>0</v>
      </c>
      <c r="AH190" s="49">
        <v>0</v>
      </c>
      <c r="AI190" s="49">
        <v>0</v>
      </c>
      <c r="AJ190" s="49">
        <f t="shared" si="50"/>
        <v>0</v>
      </c>
      <c r="AK190" s="49">
        <f t="shared" si="57"/>
        <v>0</v>
      </c>
      <c r="AL190" s="82">
        <f t="shared" si="58"/>
        <v>0</v>
      </c>
      <c r="AM190" s="82">
        <f t="shared" si="59"/>
        <v>291304837464665.44</v>
      </c>
      <c r="AN190" s="81">
        <f t="shared" si="51"/>
        <v>324596633373778.37</v>
      </c>
      <c r="AO190" s="80">
        <f t="shared" si="40"/>
        <v>1114.2850774428048</v>
      </c>
      <c r="AP190" s="52">
        <f t="shared" si="52"/>
        <v>2.2002678829243041E-3</v>
      </c>
      <c r="AQ190" s="48">
        <f>(F190-E190)/E190</f>
        <v>7.7864293659621799E-3</v>
      </c>
      <c r="AR190" s="48">
        <f>(M190-L190)/L190</f>
        <v>-1.2068965517241379E-2</v>
      </c>
      <c r="AS190" s="48">
        <f>(T190-S190)/S190</f>
        <v>9.1954022988505746E-3</v>
      </c>
      <c r="AT190" s="48" t="e">
        <f>(#REF!-#REF!)/#REF!</f>
        <v>#REF!</v>
      </c>
    </row>
    <row r="191" spans="1:46" x14ac:dyDescent="0.3">
      <c r="A191" s="48">
        <v>20181011</v>
      </c>
      <c r="B191" s="48" t="s">
        <v>88</v>
      </c>
      <c r="C191" s="79">
        <v>0.4</v>
      </c>
      <c r="D191" s="79">
        <f t="shared" si="41"/>
        <v>0.40757389827857499</v>
      </c>
      <c r="E191" s="49">
        <v>45300</v>
      </c>
      <c r="F191" s="49">
        <v>43100</v>
      </c>
      <c r="G191" s="49">
        <v>6419324700</v>
      </c>
      <c r="H191" s="49">
        <f t="shared" si="42"/>
        <v>0.45585619760779</v>
      </c>
      <c r="I191" s="49">
        <f t="shared" si="53"/>
        <v>0.45585619760779</v>
      </c>
      <c r="J191" s="48">
        <v>0.3</v>
      </c>
      <c r="K191" s="48">
        <f t="shared" si="43"/>
        <v>0.2959737145884917</v>
      </c>
      <c r="L191" s="48">
        <v>286500</v>
      </c>
      <c r="M191" s="48">
        <v>271500</v>
      </c>
      <c r="N191" s="51">
        <v>125395903</v>
      </c>
      <c r="O191" s="48">
        <f t="shared" si="44"/>
        <v>2.6902217281479599</v>
      </c>
      <c r="P191" s="48">
        <f t="shared" si="54"/>
        <v>2.6902217281479599</v>
      </c>
      <c r="Q191" s="49">
        <v>0.3</v>
      </c>
      <c r="R191" s="49">
        <f t="shared" si="45"/>
        <v>0.29645238713293343</v>
      </c>
      <c r="S191" s="49">
        <v>219500</v>
      </c>
      <c r="T191" s="49">
        <v>211100</v>
      </c>
      <c r="U191" s="49">
        <v>15956260</v>
      </c>
      <c r="V191" s="49">
        <f t="shared" si="46"/>
        <v>27.2347710204326</v>
      </c>
      <c r="W191" s="49">
        <f t="shared" si="55"/>
        <v>27.2347710204326</v>
      </c>
      <c r="X191" s="48">
        <v>0</v>
      </c>
      <c r="Y191" s="48">
        <f t="shared" si="47"/>
        <v>0</v>
      </c>
      <c r="Z191" s="48">
        <v>0</v>
      </c>
      <c r="AA191" s="48">
        <v>0</v>
      </c>
      <c r="AB191" s="48">
        <v>0</v>
      </c>
      <c r="AC191" s="48">
        <f t="shared" si="48"/>
        <v>0</v>
      </c>
      <c r="AD191" s="48">
        <f t="shared" si="56"/>
        <v>0</v>
      </c>
      <c r="AE191" s="49">
        <v>0</v>
      </c>
      <c r="AF191" s="49">
        <f t="shared" si="49"/>
        <v>0</v>
      </c>
      <c r="AG191" s="49">
        <v>0</v>
      </c>
      <c r="AH191" s="49">
        <v>0</v>
      </c>
      <c r="AI191" s="49">
        <v>0</v>
      </c>
      <c r="AJ191" s="49">
        <f t="shared" si="50"/>
        <v>0</v>
      </c>
      <c r="AK191" s="49">
        <f t="shared" si="57"/>
        <v>0</v>
      </c>
      <c r="AL191" s="82">
        <f t="shared" si="58"/>
        <v>0</v>
      </c>
      <c r="AM191" s="82">
        <f t="shared" si="59"/>
        <v>291304837464665.44</v>
      </c>
      <c r="AN191" s="81">
        <f t="shared" si="51"/>
        <v>309448309208497.5</v>
      </c>
      <c r="AO191" s="80">
        <f t="shared" si="40"/>
        <v>1062.2834550285586</v>
      </c>
      <c r="AP191" s="52">
        <f t="shared" si="52"/>
        <v>-4.6668149351497872E-2</v>
      </c>
      <c r="AQ191" s="48">
        <f>(F191-E191)/E191</f>
        <v>-4.856512141280353E-2</v>
      </c>
      <c r="AR191" s="48">
        <f>(M191-L191)/L191</f>
        <v>-5.2356020942408377E-2</v>
      </c>
      <c r="AS191" s="48">
        <f>(T191-S191)/S191</f>
        <v>-3.826879271070615E-2</v>
      </c>
      <c r="AT191" s="48" t="e">
        <f>(#REF!-#REF!)/#REF!</f>
        <v>#REF!</v>
      </c>
    </row>
    <row r="192" spans="1:46" x14ac:dyDescent="0.3">
      <c r="A192" s="48">
        <v>20181012</v>
      </c>
      <c r="B192" s="48" t="s">
        <v>88</v>
      </c>
      <c r="C192" s="79">
        <v>0.4</v>
      </c>
      <c r="D192" s="79">
        <f t="shared" si="41"/>
        <v>0.40500018045790581</v>
      </c>
      <c r="E192" s="49">
        <v>43100</v>
      </c>
      <c r="F192" s="49">
        <v>44000</v>
      </c>
      <c r="G192" s="49">
        <v>6419324700</v>
      </c>
      <c r="H192" s="49">
        <f t="shared" si="42"/>
        <v>0.45585619760779</v>
      </c>
      <c r="I192" s="49">
        <f t="shared" si="53"/>
        <v>0.45585619760779</v>
      </c>
      <c r="J192" s="48">
        <v>0.3</v>
      </c>
      <c r="K192" s="48">
        <f t="shared" si="43"/>
        <v>0.29127224628426912</v>
      </c>
      <c r="L192" s="48">
        <v>271500</v>
      </c>
      <c r="M192" s="48">
        <v>274500</v>
      </c>
      <c r="N192" s="51">
        <v>125395903</v>
      </c>
      <c r="O192" s="48">
        <f t="shared" si="44"/>
        <v>2.6902217281479599</v>
      </c>
      <c r="P192" s="48">
        <f t="shared" si="54"/>
        <v>2.6902217281479599</v>
      </c>
      <c r="Q192" s="49">
        <v>0.3</v>
      </c>
      <c r="R192" s="49">
        <f t="shared" si="45"/>
        <v>0.30372757325782507</v>
      </c>
      <c r="S192" s="49">
        <v>211100</v>
      </c>
      <c r="T192" s="49">
        <v>222200</v>
      </c>
      <c r="U192" s="49">
        <v>15956260</v>
      </c>
      <c r="V192" s="49">
        <f t="shared" si="46"/>
        <v>27.2347710204326</v>
      </c>
      <c r="W192" s="49">
        <f t="shared" si="55"/>
        <v>27.2347710204326</v>
      </c>
      <c r="X192" s="48">
        <v>0</v>
      </c>
      <c r="Y192" s="48">
        <f t="shared" si="47"/>
        <v>0</v>
      </c>
      <c r="Z192" s="48">
        <v>0</v>
      </c>
      <c r="AA192" s="48">
        <v>0</v>
      </c>
      <c r="AB192" s="48">
        <v>0</v>
      </c>
      <c r="AC192" s="48">
        <f t="shared" si="48"/>
        <v>0</v>
      </c>
      <c r="AD192" s="48">
        <f t="shared" si="56"/>
        <v>0</v>
      </c>
      <c r="AE192" s="49">
        <v>0</v>
      </c>
      <c r="AF192" s="49">
        <f t="shared" si="49"/>
        <v>0</v>
      </c>
      <c r="AG192" s="49">
        <v>0</v>
      </c>
      <c r="AH192" s="49">
        <v>0</v>
      </c>
      <c r="AI192" s="49">
        <v>0</v>
      </c>
      <c r="AJ192" s="49">
        <f t="shared" si="50"/>
        <v>0</v>
      </c>
      <c r="AK192" s="49">
        <f t="shared" si="57"/>
        <v>0</v>
      </c>
      <c r="AL192" s="82">
        <f t="shared" si="58"/>
        <v>0</v>
      </c>
      <c r="AM192" s="82">
        <f t="shared" si="59"/>
        <v>291304837464665.44</v>
      </c>
      <c r="AN192" s="81">
        <f t="shared" si="51"/>
        <v>317917670081779.75</v>
      </c>
      <c r="AO192" s="80">
        <f t="shared" si="40"/>
        <v>1091.3573315456608</v>
      </c>
      <c r="AP192" s="52">
        <f t="shared" si="52"/>
        <v>2.7369226527509654E-2</v>
      </c>
      <c r="AQ192" s="48">
        <f>(F192-E192)/E192</f>
        <v>2.0881670533642691E-2</v>
      </c>
      <c r="AR192" s="48">
        <f>(M192-L192)/L192</f>
        <v>1.1049723756906077E-2</v>
      </c>
      <c r="AS192" s="48">
        <f>(T192-S192)/S192</f>
        <v>5.2581714827096164E-2</v>
      </c>
      <c r="AT192" s="48" t="e">
        <f>(#REF!-#REF!)/#REF!</f>
        <v>#REF!</v>
      </c>
    </row>
    <row r="193" spans="1:46" x14ac:dyDescent="0.3">
      <c r="A193" s="48">
        <v>20181015</v>
      </c>
      <c r="B193" s="48" t="s">
        <v>88</v>
      </c>
      <c r="C193" s="79">
        <v>0.4</v>
      </c>
      <c r="D193" s="79">
        <f t="shared" si="41"/>
        <v>0.41662093253412885</v>
      </c>
      <c r="E193" s="49">
        <v>44000</v>
      </c>
      <c r="F193" s="49">
        <v>43800</v>
      </c>
      <c r="G193" s="49">
        <v>6419324700</v>
      </c>
      <c r="H193" s="49">
        <f t="shared" si="42"/>
        <v>0.45585619760779</v>
      </c>
      <c r="I193" s="49">
        <f t="shared" si="53"/>
        <v>0.45585619760779</v>
      </c>
      <c r="J193" s="48">
        <v>0.3</v>
      </c>
      <c r="K193" s="48">
        <f t="shared" si="43"/>
        <v>0.28674304012889118</v>
      </c>
      <c r="L193" s="48">
        <v>274500</v>
      </c>
      <c r="M193" s="48">
        <v>261500</v>
      </c>
      <c r="N193" s="51">
        <v>125395903</v>
      </c>
      <c r="O193" s="48">
        <f t="shared" si="44"/>
        <v>2.6902217281479599</v>
      </c>
      <c r="P193" s="48">
        <f t="shared" si="54"/>
        <v>2.6902217281479599</v>
      </c>
      <c r="Q193" s="49">
        <v>0.3</v>
      </c>
      <c r="R193" s="49">
        <f t="shared" si="45"/>
        <v>0.29663602733697997</v>
      </c>
      <c r="S193" s="49">
        <v>222200</v>
      </c>
      <c r="T193" s="49">
        <v>210000</v>
      </c>
      <c r="U193" s="49">
        <v>15956260</v>
      </c>
      <c r="V193" s="49">
        <f t="shared" si="46"/>
        <v>27.2347710204326</v>
      </c>
      <c r="W193" s="49">
        <f t="shared" si="55"/>
        <v>27.2347710204326</v>
      </c>
      <c r="X193" s="48">
        <v>0</v>
      </c>
      <c r="Y193" s="48">
        <f t="shared" si="47"/>
        <v>0</v>
      </c>
      <c r="Z193" s="48">
        <v>0</v>
      </c>
      <c r="AA193" s="48">
        <v>0</v>
      </c>
      <c r="AB193" s="48">
        <v>0</v>
      </c>
      <c r="AC193" s="48">
        <f t="shared" si="48"/>
        <v>0</v>
      </c>
      <c r="AD193" s="48">
        <f t="shared" si="56"/>
        <v>0</v>
      </c>
      <c r="AE193" s="49">
        <v>0</v>
      </c>
      <c r="AF193" s="49">
        <f t="shared" si="49"/>
        <v>0</v>
      </c>
      <c r="AG193" s="49">
        <v>0</v>
      </c>
      <c r="AH193" s="49">
        <v>0</v>
      </c>
      <c r="AI193" s="49">
        <v>0</v>
      </c>
      <c r="AJ193" s="49">
        <f t="shared" si="50"/>
        <v>0</v>
      </c>
      <c r="AK193" s="49">
        <f t="shared" si="57"/>
        <v>0</v>
      </c>
      <c r="AL193" s="82">
        <f t="shared" si="58"/>
        <v>0</v>
      </c>
      <c r="AM193" s="82">
        <f t="shared" si="59"/>
        <v>291304837464665.44</v>
      </c>
      <c r="AN193" s="81">
        <f t="shared" si="51"/>
        <v>307645262047863.69</v>
      </c>
      <c r="AO193" s="80">
        <f t="shared" si="40"/>
        <v>1056.0939005524763</v>
      </c>
      <c r="AP193" s="52">
        <f t="shared" si="52"/>
        <v>-3.2311535345844869E-2</v>
      </c>
      <c r="AQ193" s="48">
        <f>(F193-E193)/E193</f>
        <v>-4.5454545454545452E-3</v>
      </c>
      <c r="AR193" s="48">
        <f>(M193-L193)/L193</f>
        <v>-4.7358834244080147E-2</v>
      </c>
      <c r="AS193" s="48">
        <f>(T193-S193)/S193</f>
        <v>-5.4905490549054907E-2</v>
      </c>
      <c r="AT193" s="48" t="e">
        <f>(#REF!-#REF!)/#REF!</f>
        <v>#REF!</v>
      </c>
    </row>
    <row r="194" spans="1:46" x14ac:dyDescent="0.3">
      <c r="A194" s="48">
        <v>20181016</v>
      </c>
      <c r="B194" s="48" t="s">
        <v>88</v>
      </c>
      <c r="C194" s="79">
        <v>0.4</v>
      </c>
      <c r="D194" s="79">
        <f t="shared" si="41"/>
        <v>0.41178614145771769</v>
      </c>
      <c r="E194" s="49">
        <v>43800</v>
      </c>
      <c r="F194" s="49">
        <v>43600</v>
      </c>
      <c r="G194" s="49">
        <v>6419324700</v>
      </c>
      <c r="H194" s="49">
        <f t="shared" si="42"/>
        <v>0.45585619760779</v>
      </c>
      <c r="I194" s="49">
        <f t="shared" si="53"/>
        <v>0.45585619760779</v>
      </c>
      <c r="J194" s="48">
        <v>0.3</v>
      </c>
      <c r="K194" s="48">
        <f t="shared" si="43"/>
        <v>0.28525991245514815</v>
      </c>
      <c r="L194" s="48">
        <v>261500</v>
      </c>
      <c r="M194" s="48">
        <v>262000</v>
      </c>
      <c r="N194" s="51">
        <v>125395903</v>
      </c>
      <c r="O194" s="48">
        <f t="shared" si="44"/>
        <v>2.6902217281479599</v>
      </c>
      <c r="P194" s="48">
        <f t="shared" si="54"/>
        <v>2.6902217281479599</v>
      </c>
      <c r="Q194" s="49">
        <v>0.3</v>
      </c>
      <c r="R194" s="49">
        <f t="shared" si="45"/>
        <v>0.30295394608713411</v>
      </c>
      <c r="S194" s="49">
        <v>210000</v>
      </c>
      <c r="T194" s="49">
        <v>216000</v>
      </c>
      <c r="U194" s="49">
        <v>15956260</v>
      </c>
      <c r="V194" s="49">
        <f t="shared" si="46"/>
        <v>27.2347710204326</v>
      </c>
      <c r="W194" s="49">
        <f t="shared" si="55"/>
        <v>27.2347710204326</v>
      </c>
      <c r="X194" s="48">
        <v>0</v>
      </c>
      <c r="Y194" s="48">
        <f t="shared" si="47"/>
        <v>0</v>
      </c>
      <c r="Z194" s="48">
        <v>0</v>
      </c>
      <c r="AA194" s="48">
        <v>0</v>
      </c>
      <c r="AB194" s="48">
        <v>0</v>
      </c>
      <c r="AC194" s="48">
        <f t="shared" si="48"/>
        <v>0</v>
      </c>
      <c r="AD194" s="48">
        <f t="shared" si="56"/>
        <v>0</v>
      </c>
      <c r="AE194" s="49">
        <v>0</v>
      </c>
      <c r="AF194" s="49">
        <f t="shared" si="49"/>
        <v>0</v>
      </c>
      <c r="AG194" s="49">
        <v>0</v>
      </c>
      <c r="AH194" s="49">
        <v>0</v>
      </c>
      <c r="AI194" s="49">
        <v>0</v>
      </c>
      <c r="AJ194" s="49">
        <f t="shared" si="50"/>
        <v>0</v>
      </c>
      <c r="AK194" s="49">
        <f t="shared" si="57"/>
        <v>0</v>
      </c>
      <c r="AL194" s="82">
        <f t="shared" si="58"/>
        <v>0</v>
      </c>
      <c r="AM194" s="82">
        <f t="shared" si="59"/>
        <v>291304837464665.44</v>
      </c>
      <c r="AN194" s="81">
        <f t="shared" si="51"/>
        <v>309836066174163.94</v>
      </c>
      <c r="AO194" s="80">
        <f t="shared" si="40"/>
        <v>1063.614558792716</v>
      </c>
      <c r="AP194" s="52">
        <f t="shared" si="52"/>
        <v>7.1212022305075897E-3</v>
      </c>
      <c r="AQ194" s="48">
        <f>(F194-E194)/E194</f>
        <v>-4.5662100456621002E-3</v>
      </c>
      <c r="AR194" s="48">
        <f>(M194-L194)/L194</f>
        <v>1.9120458891013384E-3</v>
      </c>
      <c r="AS194" s="48">
        <f>(T194-S194)/S194</f>
        <v>2.8571428571428571E-2</v>
      </c>
      <c r="AT194" s="48" t="e">
        <f>(#REF!-#REF!)/#REF!</f>
        <v>#REF!</v>
      </c>
    </row>
    <row r="195" spans="1:46" x14ac:dyDescent="0.3">
      <c r="A195" s="48">
        <v>20181017</v>
      </c>
      <c r="B195" s="48" t="s">
        <v>88</v>
      </c>
      <c r="C195" s="79">
        <v>0.4</v>
      </c>
      <c r="D195" s="79">
        <f t="shared" si="41"/>
        <v>0.41239929778266127</v>
      </c>
      <c r="E195" s="49">
        <v>43600</v>
      </c>
      <c r="F195" s="49">
        <v>44150</v>
      </c>
      <c r="G195" s="49">
        <v>6419324700</v>
      </c>
      <c r="H195" s="49">
        <f t="shared" si="42"/>
        <v>0.45585619760779</v>
      </c>
      <c r="I195" s="49">
        <f t="shared" si="53"/>
        <v>0.45585619760779</v>
      </c>
      <c r="J195" s="48">
        <v>0.3</v>
      </c>
      <c r="K195" s="48">
        <f t="shared" si="43"/>
        <v>0.28589459883659007</v>
      </c>
      <c r="L195" s="48">
        <v>262000</v>
      </c>
      <c r="M195" s="48">
        <v>265500</v>
      </c>
      <c r="N195" s="51">
        <v>125395903</v>
      </c>
      <c r="O195" s="48">
        <f t="shared" si="44"/>
        <v>2.6902217281479599</v>
      </c>
      <c r="P195" s="48">
        <f t="shared" si="54"/>
        <v>2.6902217281479599</v>
      </c>
      <c r="Q195" s="49">
        <v>0.3</v>
      </c>
      <c r="R195" s="49">
        <f t="shared" si="45"/>
        <v>0.3017061033807486</v>
      </c>
      <c r="S195" s="49">
        <v>216000</v>
      </c>
      <c r="T195" s="49">
        <v>217500</v>
      </c>
      <c r="U195" s="49">
        <v>15956260</v>
      </c>
      <c r="V195" s="49">
        <f t="shared" si="46"/>
        <v>27.2347710204326</v>
      </c>
      <c r="W195" s="49">
        <f t="shared" si="55"/>
        <v>27.2347710204326</v>
      </c>
      <c r="X195" s="48">
        <v>0</v>
      </c>
      <c r="Y195" s="48">
        <f t="shared" si="47"/>
        <v>0</v>
      </c>
      <c r="Z195" s="48">
        <v>0</v>
      </c>
      <c r="AA195" s="48">
        <v>0</v>
      </c>
      <c r="AB195" s="48">
        <v>0</v>
      </c>
      <c r="AC195" s="48">
        <f t="shared" si="48"/>
        <v>0</v>
      </c>
      <c r="AD195" s="48">
        <f t="shared" si="56"/>
        <v>0</v>
      </c>
      <c r="AE195" s="49">
        <v>0</v>
      </c>
      <c r="AF195" s="49">
        <f t="shared" si="49"/>
        <v>0</v>
      </c>
      <c r="AG195" s="49">
        <v>0</v>
      </c>
      <c r="AH195" s="49">
        <v>0</v>
      </c>
      <c r="AI195" s="49">
        <v>0</v>
      </c>
      <c r="AJ195" s="49">
        <f t="shared" si="50"/>
        <v>0</v>
      </c>
      <c r="AK195" s="49">
        <f t="shared" si="57"/>
        <v>0</v>
      </c>
      <c r="AL195" s="82">
        <f t="shared" si="58"/>
        <v>0</v>
      </c>
      <c r="AM195" s="82">
        <f t="shared" si="59"/>
        <v>291304837464665.44</v>
      </c>
      <c r="AN195" s="81">
        <f t="shared" si="51"/>
        <v>313278072467300.81</v>
      </c>
      <c r="AO195" s="80">
        <f t="shared" ref="AO195:AO258" si="60">AN195/AM195*1000</f>
        <v>1075.4303814309321</v>
      </c>
      <c r="AP195" s="52">
        <f t="shared" si="52"/>
        <v>1.1109120818755968E-2</v>
      </c>
      <c r="AQ195" s="48">
        <f>(F195-E195)/E195</f>
        <v>1.261467889908257E-2</v>
      </c>
      <c r="AR195" s="48">
        <f>(M195-L195)/L195</f>
        <v>1.3358778625954198E-2</v>
      </c>
      <c r="AS195" s="48">
        <f>(T195-S195)/S195</f>
        <v>6.9444444444444441E-3</v>
      </c>
      <c r="AT195" s="48" t="e">
        <f>(#REF!-#REF!)/#REF!</f>
        <v>#REF!</v>
      </c>
    </row>
    <row r="196" spans="1:46" x14ac:dyDescent="0.3">
      <c r="A196" s="48">
        <v>20181018</v>
      </c>
      <c r="B196" s="48" t="s">
        <v>88</v>
      </c>
      <c r="C196" s="79">
        <v>0.4</v>
      </c>
      <c r="D196" s="79">
        <f t="shared" ref="D196:D259" si="61">F196*G196*I196/AN196</f>
        <v>0.41628973974568168</v>
      </c>
      <c r="E196" s="49">
        <v>44150</v>
      </c>
      <c r="F196" s="49">
        <v>44050</v>
      </c>
      <c r="G196" s="49">
        <v>6419324700</v>
      </c>
      <c r="H196" s="49">
        <f t="shared" ref="H196:H259" si="62">I195</f>
        <v>0.45585619760779</v>
      </c>
      <c r="I196" s="49">
        <f t="shared" si="53"/>
        <v>0.45585619760779</v>
      </c>
      <c r="J196" s="48">
        <v>0.3</v>
      </c>
      <c r="K196" s="48">
        <f t="shared" ref="K196:K259" si="63">M196*N196*P196/AN196</f>
        <v>0.28379957317233129</v>
      </c>
      <c r="L196" s="48">
        <v>265500</v>
      </c>
      <c r="M196" s="48">
        <v>260500</v>
      </c>
      <c r="N196" s="51">
        <v>125395903</v>
      </c>
      <c r="O196" s="48">
        <f t="shared" ref="O196:O259" si="64">P195</f>
        <v>2.6902217281479599</v>
      </c>
      <c r="P196" s="48">
        <f t="shared" si="54"/>
        <v>2.6902217281479599</v>
      </c>
      <c r="Q196" s="49">
        <v>0.3</v>
      </c>
      <c r="R196" s="49">
        <f t="shared" ref="R196:R259" si="65">T196*U196*W196/AN196</f>
        <v>0.29991068708198704</v>
      </c>
      <c r="S196" s="49">
        <v>217500</v>
      </c>
      <c r="T196" s="49">
        <v>213700</v>
      </c>
      <c r="U196" s="49">
        <v>15956260</v>
      </c>
      <c r="V196" s="49">
        <f t="shared" ref="V196:V259" si="66">W195</f>
        <v>27.2347710204326</v>
      </c>
      <c r="W196" s="49">
        <f t="shared" si="55"/>
        <v>27.2347710204326</v>
      </c>
      <c r="X196" s="48">
        <v>0</v>
      </c>
      <c r="Y196" s="48">
        <f t="shared" ref="Y196:Y259" si="67">AA196*AB196*AD196/AN196</f>
        <v>0</v>
      </c>
      <c r="Z196" s="48">
        <v>0</v>
      </c>
      <c r="AA196" s="48">
        <v>0</v>
      </c>
      <c r="AB196" s="48">
        <v>0</v>
      </c>
      <c r="AC196" s="48">
        <f t="shared" ref="AC196:AC259" si="68">AD195</f>
        <v>0</v>
      </c>
      <c r="AD196" s="48">
        <f t="shared" si="56"/>
        <v>0</v>
      </c>
      <c r="AE196" s="49">
        <v>0</v>
      </c>
      <c r="AF196" s="49">
        <f t="shared" ref="AF196:AF259" si="69">AH196*AI196*AK196/AN196</f>
        <v>0</v>
      </c>
      <c r="AG196" s="49">
        <v>0</v>
      </c>
      <c r="AH196" s="49">
        <v>0</v>
      </c>
      <c r="AI196" s="49">
        <v>0</v>
      </c>
      <c r="AJ196" s="49">
        <f t="shared" ref="AJ196:AJ259" si="70">AK195</f>
        <v>0</v>
      </c>
      <c r="AK196" s="49">
        <f t="shared" si="57"/>
        <v>0</v>
      </c>
      <c r="AL196" s="82">
        <f t="shared" si="58"/>
        <v>0</v>
      </c>
      <c r="AM196" s="82">
        <f t="shared" si="59"/>
        <v>291304837464665.44</v>
      </c>
      <c r="AN196" s="81">
        <f t="shared" ref="AN196:AN259" si="71">F196*G196*I196+M196*N196*P196+T196*U196*W196+AA196*AB196*AD196+AH196*AI196*AK196</f>
        <v>309647382325767.5</v>
      </c>
      <c r="AO196" s="80">
        <f t="shared" si="60"/>
        <v>1062.9668392078349</v>
      </c>
      <c r="AP196" s="52">
        <f t="shared" ref="AP196:AP259" si="72">(AO196-AO195)/AO195</f>
        <v>-1.1589352912378777E-2</v>
      </c>
      <c r="AQ196" s="48">
        <f>(F196-E196)/E196</f>
        <v>-2.2650056625141564E-3</v>
      </c>
      <c r="AR196" s="48">
        <f>(M196-L196)/L196</f>
        <v>-1.8832391713747645E-2</v>
      </c>
      <c r="AS196" s="48">
        <f>(T196-S196)/S196</f>
        <v>-1.747126436781609E-2</v>
      </c>
      <c r="AT196" s="48" t="e">
        <f>(#REF!-#REF!)/#REF!</f>
        <v>#REF!</v>
      </c>
    </row>
    <row r="197" spans="1:46" x14ac:dyDescent="0.3">
      <c r="A197" s="48">
        <v>20181019</v>
      </c>
      <c r="B197" s="48" t="s">
        <v>88</v>
      </c>
      <c r="C197" s="79">
        <v>0.4</v>
      </c>
      <c r="D197" s="79">
        <f t="shared" si="61"/>
        <v>0.40399015483853246</v>
      </c>
      <c r="E197" s="49">
        <v>44050</v>
      </c>
      <c r="F197" s="49">
        <v>43900</v>
      </c>
      <c r="G197" s="49">
        <v>6419324700</v>
      </c>
      <c r="H197" s="49">
        <f t="shared" si="62"/>
        <v>0.45585619760779</v>
      </c>
      <c r="I197" s="49">
        <f t="shared" ref="I197:I260" si="73">IF(B197="Y",ROUND(C197*(E197*G197+L197*N197+S197*U197+Z197*AB197+AG197*AI197)/(E197*G197),17),IF(AL197=0,H197,ROUND(F196*G196*I196/AN196*(E197*G197+L197*N197+S197*U197+Z197*AB197+AG197*AI197)/(E197*G197),17)))</f>
        <v>0.45585619760779</v>
      </c>
      <c r="J197" s="48">
        <v>0.3</v>
      </c>
      <c r="K197" s="48">
        <f t="shared" si="63"/>
        <v>0.28961638237861154</v>
      </c>
      <c r="L197" s="48">
        <v>260500</v>
      </c>
      <c r="M197" s="48">
        <v>273000</v>
      </c>
      <c r="N197" s="51">
        <v>125395903</v>
      </c>
      <c r="O197" s="48">
        <f t="shared" si="64"/>
        <v>2.6902217281479599</v>
      </c>
      <c r="P197" s="48">
        <f t="shared" ref="P197:P260" si="74">IF(B197="Y",ROUND(J197*(E197*G197+L197*N197+S197*U197+Z197*AB197+AG197*AI197)/(L197*N197),17),IF(AL197=0,O197,ROUND(M196*N196*P196/AN196*(E197*G197+L197*N197+S197*U197+Z197*AB197+AG197*AI197)/(L197*N197),17)))</f>
        <v>2.6902217281479599</v>
      </c>
      <c r="Q197" s="49">
        <v>0.3</v>
      </c>
      <c r="R197" s="49">
        <f t="shared" si="65"/>
        <v>0.30639346278285606</v>
      </c>
      <c r="S197" s="49">
        <v>213700</v>
      </c>
      <c r="T197" s="49">
        <v>224200</v>
      </c>
      <c r="U197" s="49">
        <v>15956260</v>
      </c>
      <c r="V197" s="49">
        <f t="shared" si="66"/>
        <v>27.2347710204326</v>
      </c>
      <c r="W197" s="49">
        <f t="shared" ref="W197:W260" si="75">IF(B197="Y",ROUND(Q197*(E197*G197+L197*N197+S197*U197+Z197*AB197+AG197*AI197)/(S197*U197),17),IF(AL197=0,V197,ROUND(T196*U196*W196/AN196*(E197*G197+L197*N197+S197*U197+Z197*AB197+AG197*AI197)/(S197*U197),17)))</f>
        <v>27.2347710204326</v>
      </c>
      <c r="X197" s="48">
        <v>0</v>
      </c>
      <c r="Y197" s="48">
        <f t="shared" si="67"/>
        <v>0</v>
      </c>
      <c r="Z197" s="48">
        <v>0</v>
      </c>
      <c r="AA197" s="48">
        <v>0</v>
      </c>
      <c r="AB197" s="48">
        <v>0</v>
      </c>
      <c r="AC197" s="48">
        <f t="shared" si="68"/>
        <v>0</v>
      </c>
      <c r="AD197" s="48">
        <f t="shared" ref="AD197:AD260" si="76">IFERROR(IF(B197="Y",ROUND(X197*(E197*G197+L197*N197+S197*U197+Z197*AB197+AG197*AI197)/(Z197*AB197),17),IF(AL197=0,AC197,ROUND(AA196*AB196*AD196/AN196*(E197*G197+L197*N197+S197*U197+Z197*AB197+AG197*AI197)/(Z197*AB197),17))),0)</f>
        <v>0</v>
      </c>
      <c r="AE197" s="49">
        <v>0</v>
      </c>
      <c r="AF197" s="49">
        <f t="shared" si="69"/>
        <v>0</v>
      </c>
      <c r="AG197" s="49">
        <v>0</v>
      </c>
      <c r="AH197" s="49">
        <v>0</v>
      </c>
      <c r="AI197" s="49">
        <v>0</v>
      </c>
      <c r="AJ197" s="49">
        <f t="shared" si="70"/>
        <v>0</v>
      </c>
      <c r="AK197" s="49">
        <f t="shared" ref="AK197:AK260" si="77">IFERROR(IF(B197="Y",ROUND(AE197*(E197*G197+L197*N197+S197*U197+Z197*AB197+AG197*AI197)/(AG197*AI197),17),IF(AL197=0,AJ197,ROUND(AH196*AI196*AK196/AN196*(E197*G197+L197*N197+S197*U197+Z197*AB197+AG197*AI197)/(AG197*AI197),17))),0)</f>
        <v>0</v>
      </c>
      <c r="AL197" s="82">
        <f t="shared" ref="AL197:AL260" si="78">IF(AN196&lt;&gt;(E197*G197*H197+L197*N197*O197+S197*U197*V197+Z197*AB197*AC197+AG197*AI197*AJ197),1,0)</f>
        <v>0</v>
      </c>
      <c r="AM197" s="82">
        <f t="shared" ref="AM197:AM260" si="79">IF(AND(AL197=0,B197="N"),AM196,AM196*(E197*G197*I197+L197*N197*P197+S197*U197*W197+Z197*AB197*AD197+AG197*AI197*AK197)/AN196)</f>
        <v>291304837464665.44</v>
      </c>
      <c r="AN197" s="81">
        <f t="shared" si="71"/>
        <v>317988157187462.5</v>
      </c>
      <c r="AO197" s="80">
        <f t="shared" si="60"/>
        <v>1091.5993018002446</v>
      </c>
      <c r="AP197" s="52">
        <f t="shared" si="72"/>
        <v>2.6936364838763629E-2</v>
      </c>
      <c r="AQ197" s="48">
        <f>(F197-E197)/E197</f>
        <v>-3.4052213393870601E-3</v>
      </c>
      <c r="AR197" s="48">
        <f>(M197-L197)/L197</f>
        <v>4.7984644913627639E-2</v>
      </c>
      <c r="AS197" s="48">
        <f>(T197-S197)/S197</f>
        <v>4.9134300421151147E-2</v>
      </c>
      <c r="AT197" s="48" t="e">
        <f>(#REF!-#REF!)/#REF!</f>
        <v>#REF!</v>
      </c>
    </row>
    <row r="198" spans="1:46" x14ac:dyDescent="0.3">
      <c r="A198" s="48">
        <v>20181022</v>
      </c>
      <c r="B198" s="48" t="s">
        <v>88</v>
      </c>
      <c r="C198" s="79">
        <v>0.4</v>
      </c>
      <c r="D198" s="79">
        <f t="shared" si="61"/>
        <v>0.4038322604337421</v>
      </c>
      <c r="E198" s="49">
        <v>43900</v>
      </c>
      <c r="F198" s="49">
        <v>43550</v>
      </c>
      <c r="G198" s="49">
        <v>6419324700</v>
      </c>
      <c r="H198" s="49">
        <f t="shared" si="62"/>
        <v>0.45585619760779</v>
      </c>
      <c r="I198" s="49">
        <f t="shared" si="73"/>
        <v>0.45585619760779</v>
      </c>
      <c r="J198" s="48">
        <v>0.3</v>
      </c>
      <c r="K198" s="48">
        <f t="shared" si="63"/>
        <v>0.2870194690268344</v>
      </c>
      <c r="L198" s="48">
        <v>273000</v>
      </c>
      <c r="M198" s="48">
        <v>268500</v>
      </c>
      <c r="N198" s="51">
        <v>125395903</v>
      </c>
      <c r="O198" s="48">
        <f t="shared" si="64"/>
        <v>2.6902217281479599</v>
      </c>
      <c r="P198" s="48">
        <f t="shared" si="74"/>
        <v>2.6902217281479599</v>
      </c>
      <c r="Q198" s="49">
        <v>0.3</v>
      </c>
      <c r="R198" s="49">
        <f t="shared" si="65"/>
        <v>0.30914827053942368</v>
      </c>
      <c r="S198" s="49">
        <v>224200</v>
      </c>
      <c r="T198" s="49">
        <v>224500</v>
      </c>
      <c r="U198" s="49">
        <v>15956260</v>
      </c>
      <c r="V198" s="49">
        <f t="shared" si="66"/>
        <v>27.2347710204326</v>
      </c>
      <c r="W198" s="49">
        <f t="shared" si="75"/>
        <v>27.2347710204326</v>
      </c>
      <c r="X198" s="48">
        <v>0</v>
      </c>
      <c r="Y198" s="48">
        <f t="shared" si="67"/>
        <v>0</v>
      </c>
      <c r="Z198" s="48">
        <v>0</v>
      </c>
      <c r="AA198" s="48">
        <v>0</v>
      </c>
      <c r="AB198" s="48">
        <v>0</v>
      </c>
      <c r="AC198" s="48">
        <f t="shared" si="68"/>
        <v>0</v>
      </c>
      <c r="AD198" s="48">
        <f t="shared" si="76"/>
        <v>0</v>
      </c>
      <c r="AE198" s="49">
        <v>0</v>
      </c>
      <c r="AF198" s="49">
        <f t="shared" si="69"/>
        <v>0</v>
      </c>
      <c r="AG198" s="49">
        <v>0</v>
      </c>
      <c r="AH198" s="49">
        <v>0</v>
      </c>
      <c r="AI198" s="49">
        <v>0</v>
      </c>
      <c r="AJ198" s="49">
        <f t="shared" si="70"/>
        <v>0</v>
      </c>
      <c r="AK198" s="49">
        <f t="shared" si="77"/>
        <v>0</v>
      </c>
      <c r="AL198" s="82">
        <f t="shared" si="78"/>
        <v>0</v>
      </c>
      <c r="AM198" s="82">
        <f t="shared" si="79"/>
        <v>291304837464665.44</v>
      </c>
      <c r="AN198" s="81">
        <f t="shared" si="71"/>
        <v>315576283058641.12</v>
      </c>
      <c r="AO198" s="80">
        <f t="shared" si="60"/>
        <v>1083.3197478120139</v>
      </c>
      <c r="AP198" s="52">
        <f t="shared" si="72"/>
        <v>-7.584792308474515E-3</v>
      </c>
      <c r="AQ198" s="48">
        <f>(F198-E198)/E198</f>
        <v>-7.972665148063782E-3</v>
      </c>
      <c r="AR198" s="48">
        <f>(M198-L198)/L198</f>
        <v>-1.6483516483516484E-2</v>
      </c>
      <c r="AS198" s="48">
        <f>(T198-S198)/S198</f>
        <v>1.3380909901873326E-3</v>
      </c>
      <c r="AT198" s="48" t="e">
        <f>(#REF!-#REF!)/#REF!</f>
        <v>#REF!</v>
      </c>
    </row>
    <row r="199" spans="1:46" x14ac:dyDescent="0.3">
      <c r="A199" s="48">
        <v>20181023</v>
      </c>
      <c r="B199" s="48" t="s">
        <v>88</v>
      </c>
      <c r="C199" s="79">
        <v>0.4</v>
      </c>
      <c r="D199" s="79">
        <f t="shared" si="61"/>
        <v>0.41582748161528577</v>
      </c>
      <c r="E199" s="49">
        <v>43550</v>
      </c>
      <c r="F199" s="49">
        <v>43050</v>
      </c>
      <c r="G199" s="49">
        <v>6419324700</v>
      </c>
      <c r="H199" s="49">
        <f t="shared" si="62"/>
        <v>0.45585619760779</v>
      </c>
      <c r="I199" s="49">
        <f t="shared" si="73"/>
        <v>0.45585619760779</v>
      </c>
      <c r="J199" s="48">
        <v>0.3</v>
      </c>
      <c r="K199" s="48">
        <f t="shared" si="63"/>
        <v>0.27448029506383309</v>
      </c>
      <c r="L199" s="48">
        <v>268500</v>
      </c>
      <c r="M199" s="48">
        <v>246500</v>
      </c>
      <c r="N199" s="51">
        <v>125395903</v>
      </c>
      <c r="O199" s="48">
        <f t="shared" si="64"/>
        <v>2.6902217281479599</v>
      </c>
      <c r="P199" s="48">
        <f t="shared" si="74"/>
        <v>2.6902217281479599</v>
      </c>
      <c r="Q199" s="49">
        <v>0.3</v>
      </c>
      <c r="R199" s="49">
        <f t="shared" si="65"/>
        <v>0.3096922233208812</v>
      </c>
      <c r="S199" s="49">
        <v>224500</v>
      </c>
      <c r="T199" s="49">
        <v>215900</v>
      </c>
      <c r="U199" s="49">
        <v>15956260</v>
      </c>
      <c r="V199" s="49">
        <f t="shared" si="66"/>
        <v>27.2347710204326</v>
      </c>
      <c r="W199" s="49">
        <f t="shared" si="75"/>
        <v>27.2347710204326</v>
      </c>
      <c r="X199" s="48">
        <v>0</v>
      </c>
      <c r="Y199" s="48">
        <f t="shared" si="67"/>
        <v>0</v>
      </c>
      <c r="Z199" s="48">
        <v>0</v>
      </c>
      <c r="AA199" s="48">
        <v>0</v>
      </c>
      <c r="AB199" s="48">
        <v>0</v>
      </c>
      <c r="AC199" s="48">
        <f t="shared" si="68"/>
        <v>0</v>
      </c>
      <c r="AD199" s="48">
        <f t="shared" si="76"/>
        <v>0</v>
      </c>
      <c r="AE199" s="49">
        <v>0</v>
      </c>
      <c r="AF199" s="49">
        <f t="shared" si="69"/>
        <v>0</v>
      </c>
      <c r="AG199" s="49">
        <v>0</v>
      </c>
      <c r="AH199" s="49">
        <v>0</v>
      </c>
      <c r="AI199" s="49">
        <v>0</v>
      </c>
      <c r="AJ199" s="49">
        <f t="shared" si="70"/>
        <v>0</v>
      </c>
      <c r="AK199" s="49">
        <f t="shared" si="77"/>
        <v>0</v>
      </c>
      <c r="AL199" s="82">
        <f t="shared" si="78"/>
        <v>0</v>
      </c>
      <c r="AM199" s="82">
        <f t="shared" si="79"/>
        <v>291304837464665.44</v>
      </c>
      <c r="AN199" s="81">
        <f t="shared" si="71"/>
        <v>302954337608990.5</v>
      </c>
      <c r="AO199" s="80">
        <f t="shared" si="60"/>
        <v>1039.9907541725536</v>
      </c>
      <c r="AP199" s="52">
        <f t="shared" si="72"/>
        <v>-3.9996495704035788E-2</v>
      </c>
      <c r="AQ199" s="48">
        <f>(F199-E199)/E199</f>
        <v>-1.1481056257175661E-2</v>
      </c>
      <c r="AR199" s="48">
        <f>(M199-L199)/L199</f>
        <v>-8.1936685288640593E-2</v>
      </c>
      <c r="AS199" s="48">
        <f>(T199-S199)/S199</f>
        <v>-3.8307349665924278E-2</v>
      </c>
      <c r="AT199" s="48" t="e">
        <f>(#REF!-#REF!)/#REF!</f>
        <v>#REF!</v>
      </c>
    </row>
    <row r="200" spans="1:46" x14ac:dyDescent="0.3">
      <c r="A200" s="48">
        <v>20181024</v>
      </c>
      <c r="B200" s="48" t="s">
        <v>88</v>
      </c>
      <c r="C200" s="79">
        <v>0.4</v>
      </c>
      <c r="D200" s="79">
        <f t="shared" si="61"/>
        <v>0.42243132091321844</v>
      </c>
      <c r="E200" s="49">
        <v>43050</v>
      </c>
      <c r="F200" s="49">
        <v>42550</v>
      </c>
      <c r="G200" s="49">
        <v>6419324700</v>
      </c>
      <c r="H200" s="49">
        <f t="shared" si="62"/>
        <v>0.45585619760779</v>
      </c>
      <c r="I200" s="49">
        <f t="shared" si="73"/>
        <v>0.45585619760779</v>
      </c>
      <c r="J200" s="48">
        <v>0.3</v>
      </c>
      <c r="K200" s="48">
        <f t="shared" si="63"/>
        <v>0.25808175841363096</v>
      </c>
      <c r="L200" s="48">
        <v>246500</v>
      </c>
      <c r="M200" s="48">
        <v>225500</v>
      </c>
      <c r="N200" s="51">
        <v>125395903</v>
      </c>
      <c r="O200" s="48">
        <f t="shared" si="64"/>
        <v>2.6902217281479599</v>
      </c>
      <c r="P200" s="48">
        <f t="shared" si="74"/>
        <v>2.6902217281479599</v>
      </c>
      <c r="Q200" s="49">
        <v>0.3</v>
      </c>
      <c r="R200" s="49">
        <f t="shared" si="65"/>
        <v>0.31948692067315065</v>
      </c>
      <c r="S200" s="49">
        <v>215900</v>
      </c>
      <c r="T200" s="49">
        <v>216700</v>
      </c>
      <c r="U200" s="49">
        <v>15956260</v>
      </c>
      <c r="V200" s="49">
        <f t="shared" si="66"/>
        <v>27.2347710204326</v>
      </c>
      <c r="W200" s="49">
        <f t="shared" si="75"/>
        <v>27.2347710204326</v>
      </c>
      <c r="X200" s="48">
        <v>0</v>
      </c>
      <c r="Y200" s="48">
        <f t="shared" si="67"/>
        <v>0</v>
      </c>
      <c r="Z200" s="48">
        <v>0</v>
      </c>
      <c r="AA200" s="48">
        <v>0</v>
      </c>
      <c r="AB200" s="48">
        <v>0</v>
      </c>
      <c r="AC200" s="48">
        <f t="shared" si="68"/>
        <v>0</v>
      </c>
      <c r="AD200" s="48">
        <f t="shared" si="76"/>
        <v>0</v>
      </c>
      <c r="AE200" s="49">
        <v>0</v>
      </c>
      <c r="AF200" s="49">
        <f t="shared" si="69"/>
        <v>0</v>
      </c>
      <c r="AG200" s="49">
        <v>0</v>
      </c>
      <c r="AH200" s="49">
        <v>0</v>
      </c>
      <c r="AI200" s="49">
        <v>0</v>
      </c>
      <c r="AJ200" s="49">
        <f t="shared" si="70"/>
        <v>0</v>
      </c>
      <c r="AK200" s="49">
        <f t="shared" si="77"/>
        <v>0</v>
      </c>
      <c r="AL200" s="82">
        <f t="shared" si="78"/>
        <v>0</v>
      </c>
      <c r="AM200" s="82">
        <f t="shared" si="79"/>
        <v>291304837464665.44</v>
      </c>
      <c r="AN200" s="81">
        <f t="shared" si="71"/>
        <v>294754646764170.62</v>
      </c>
      <c r="AO200" s="80">
        <f t="shared" si="60"/>
        <v>1011.8426090329642</v>
      </c>
      <c r="AP200" s="52">
        <f t="shared" si="72"/>
        <v>-2.7065764793250329E-2</v>
      </c>
      <c r="AQ200" s="48">
        <f>(F200-E200)/E200</f>
        <v>-1.1614401858304297E-2</v>
      </c>
      <c r="AR200" s="48">
        <f>(M200-L200)/L200</f>
        <v>-8.5192697768762676E-2</v>
      </c>
      <c r="AS200" s="48">
        <f>(T200-S200)/S200</f>
        <v>3.7054191755442334E-3</v>
      </c>
      <c r="AT200" s="48" t="e">
        <f>(#REF!-#REF!)/#REF!</f>
        <v>#REF!</v>
      </c>
    </row>
    <row r="201" spans="1:46" x14ac:dyDescent="0.3">
      <c r="A201" s="48">
        <v>20181025</v>
      </c>
      <c r="B201" s="48" t="s">
        <v>88</v>
      </c>
      <c r="C201" s="79">
        <v>0.4</v>
      </c>
      <c r="D201" s="79">
        <f t="shared" si="61"/>
        <v>0.4166242800079078</v>
      </c>
      <c r="E201" s="49">
        <v>42550</v>
      </c>
      <c r="F201" s="49">
        <v>41000</v>
      </c>
      <c r="G201" s="49">
        <v>6419324700</v>
      </c>
      <c r="H201" s="49">
        <f t="shared" si="62"/>
        <v>0.45585619760779</v>
      </c>
      <c r="I201" s="49">
        <f t="shared" si="73"/>
        <v>0.45585619760779</v>
      </c>
      <c r="J201" s="48">
        <v>0.3</v>
      </c>
      <c r="K201" s="48">
        <f t="shared" si="63"/>
        <v>0.27704229776491185</v>
      </c>
      <c r="L201" s="48">
        <v>225500</v>
      </c>
      <c r="M201" s="48">
        <v>236500</v>
      </c>
      <c r="N201" s="51">
        <v>125395903</v>
      </c>
      <c r="O201" s="48">
        <f t="shared" si="64"/>
        <v>2.6902217281479599</v>
      </c>
      <c r="P201" s="48">
        <f t="shared" si="74"/>
        <v>2.6902217281479599</v>
      </c>
      <c r="Q201" s="49">
        <v>0.3</v>
      </c>
      <c r="R201" s="49">
        <f t="shared" si="65"/>
        <v>0.30633342222718024</v>
      </c>
      <c r="S201" s="49">
        <v>216700</v>
      </c>
      <c r="T201" s="49">
        <v>203000</v>
      </c>
      <c r="U201" s="49">
        <v>15956260</v>
      </c>
      <c r="V201" s="49">
        <f t="shared" si="66"/>
        <v>27.2347710204326</v>
      </c>
      <c r="W201" s="49">
        <f t="shared" si="75"/>
        <v>27.2347710204326</v>
      </c>
      <c r="X201" s="48">
        <v>0</v>
      </c>
      <c r="Y201" s="48">
        <f t="shared" si="67"/>
        <v>0</v>
      </c>
      <c r="Z201" s="48">
        <v>0</v>
      </c>
      <c r="AA201" s="48">
        <v>0</v>
      </c>
      <c r="AB201" s="48">
        <v>0</v>
      </c>
      <c r="AC201" s="48">
        <f t="shared" si="68"/>
        <v>0</v>
      </c>
      <c r="AD201" s="48">
        <f t="shared" si="76"/>
        <v>0</v>
      </c>
      <c r="AE201" s="49">
        <v>0</v>
      </c>
      <c r="AF201" s="49">
        <f t="shared" si="69"/>
        <v>0</v>
      </c>
      <c r="AG201" s="49">
        <v>0</v>
      </c>
      <c r="AH201" s="49">
        <v>0</v>
      </c>
      <c r="AI201" s="49">
        <v>0</v>
      </c>
      <c r="AJ201" s="49">
        <f t="shared" si="70"/>
        <v>0</v>
      </c>
      <c r="AK201" s="49">
        <f t="shared" si="77"/>
        <v>0</v>
      </c>
      <c r="AL201" s="82">
        <f t="shared" si="78"/>
        <v>0</v>
      </c>
      <c r="AM201" s="82">
        <f t="shared" si="79"/>
        <v>291304837464665.44</v>
      </c>
      <c r="AN201" s="81">
        <f t="shared" si="71"/>
        <v>287976127806918</v>
      </c>
      <c r="AO201" s="80">
        <f t="shared" si="60"/>
        <v>988.57310545640632</v>
      </c>
      <c r="AP201" s="52">
        <f t="shared" si="72"/>
        <v>-2.2997157234559404E-2</v>
      </c>
      <c r="AQ201" s="48">
        <f>(F201-E201)/E201</f>
        <v>-3.6427732079905996E-2</v>
      </c>
      <c r="AR201" s="48">
        <f>(M201-L201)/L201</f>
        <v>4.878048780487805E-2</v>
      </c>
      <c r="AS201" s="48">
        <f>(T201-S201)/S201</f>
        <v>-6.3221042916474388E-2</v>
      </c>
      <c r="AT201" s="48" t="e">
        <f>(#REF!-#REF!)/#REF!</f>
        <v>#REF!</v>
      </c>
    </row>
    <row r="202" spans="1:46" x14ac:dyDescent="0.3">
      <c r="A202" s="48">
        <v>20181026</v>
      </c>
      <c r="B202" s="48" t="s">
        <v>88</v>
      </c>
      <c r="C202" s="79">
        <v>0.4</v>
      </c>
      <c r="D202" s="79">
        <f t="shared" si="61"/>
        <v>0.42607473654312283</v>
      </c>
      <c r="E202" s="49">
        <v>41000</v>
      </c>
      <c r="F202" s="49">
        <v>41000</v>
      </c>
      <c r="G202" s="49">
        <v>6419324700</v>
      </c>
      <c r="H202" s="49">
        <f t="shared" si="62"/>
        <v>0.45585619760779</v>
      </c>
      <c r="I202" s="49">
        <f t="shared" si="73"/>
        <v>0.45585619760779</v>
      </c>
      <c r="J202" s="48">
        <v>0.3</v>
      </c>
      <c r="K202" s="48">
        <f t="shared" si="63"/>
        <v>0.27314357573150394</v>
      </c>
      <c r="L202" s="48">
        <v>236500</v>
      </c>
      <c r="M202" s="48">
        <v>228000</v>
      </c>
      <c r="N202" s="51">
        <v>125395903</v>
      </c>
      <c r="O202" s="48">
        <f t="shared" si="64"/>
        <v>2.6902217281479599</v>
      </c>
      <c r="P202" s="48">
        <f t="shared" si="74"/>
        <v>2.6902217281479599</v>
      </c>
      <c r="Q202" s="49">
        <v>0.3</v>
      </c>
      <c r="R202" s="49">
        <f t="shared" si="65"/>
        <v>0.30078168772537317</v>
      </c>
      <c r="S202" s="49">
        <v>203000</v>
      </c>
      <c r="T202" s="49">
        <v>194900</v>
      </c>
      <c r="U202" s="49">
        <v>15956260</v>
      </c>
      <c r="V202" s="49">
        <f t="shared" si="66"/>
        <v>27.2347710204326</v>
      </c>
      <c r="W202" s="49">
        <f t="shared" si="75"/>
        <v>27.2347710204326</v>
      </c>
      <c r="X202" s="48">
        <v>0</v>
      </c>
      <c r="Y202" s="48">
        <f t="shared" si="67"/>
        <v>0</v>
      </c>
      <c r="Z202" s="48">
        <v>0</v>
      </c>
      <c r="AA202" s="48">
        <v>0</v>
      </c>
      <c r="AB202" s="48">
        <v>0</v>
      </c>
      <c r="AC202" s="48">
        <f t="shared" si="68"/>
        <v>0</v>
      </c>
      <c r="AD202" s="48">
        <f t="shared" si="76"/>
        <v>0</v>
      </c>
      <c r="AE202" s="49">
        <v>0</v>
      </c>
      <c r="AF202" s="49">
        <f t="shared" si="69"/>
        <v>0</v>
      </c>
      <c r="AG202" s="49">
        <v>0</v>
      </c>
      <c r="AH202" s="49">
        <v>0</v>
      </c>
      <c r="AI202" s="49">
        <v>0</v>
      </c>
      <c r="AJ202" s="49">
        <f t="shared" si="70"/>
        <v>0</v>
      </c>
      <c r="AK202" s="49">
        <f t="shared" si="77"/>
        <v>0</v>
      </c>
      <c r="AL202" s="82">
        <f t="shared" si="78"/>
        <v>0</v>
      </c>
      <c r="AM202" s="82">
        <f t="shared" si="79"/>
        <v>291304837464665.44</v>
      </c>
      <c r="AN202" s="81">
        <f t="shared" si="71"/>
        <v>281588736944227.5</v>
      </c>
      <c r="AO202" s="80">
        <f t="shared" si="60"/>
        <v>966.64627815658412</v>
      </c>
      <c r="AP202" s="52">
        <f t="shared" si="72"/>
        <v>-2.2180279009005599E-2</v>
      </c>
      <c r="AQ202" s="48">
        <f>(F202-E202)/E202</f>
        <v>0</v>
      </c>
      <c r="AR202" s="48">
        <f>(M202-L202)/L202</f>
        <v>-3.5940803382663845E-2</v>
      </c>
      <c r="AS202" s="48">
        <f>(T202-S202)/S202</f>
        <v>-3.9901477832512314E-2</v>
      </c>
      <c r="AT202" s="48" t="e">
        <f>(#REF!-#REF!)/#REF!</f>
        <v>#REF!</v>
      </c>
    </row>
    <row r="203" spans="1:46" x14ac:dyDescent="0.3">
      <c r="A203" s="48">
        <v>20181029</v>
      </c>
      <c r="B203" s="48" t="s">
        <v>88</v>
      </c>
      <c r="C203" s="79">
        <v>0.4</v>
      </c>
      <c r="D203" s="79">
        <f t="shared" si="61"/>
        <v>0.44264322699702896</v>
      </c>
      <c r="E203" s="49">
        <v>41000</v>
      </c>
      <c r="F203" s="49">
        <v>41400</v>
      </c>
      <c r="G203" s="49">
        <v>6419324700</v>
      </c>
      <c r="H203" s="49">
        <f t="shared" si="62"/>
        <v>0.45585619760779</v>
      </c>
      <c r="I203" s="49">
        <f t="shared" si="73"/>
        <v>0.45585619760779</v>
      </c>
      <c r="J203" s="48">
        <v>0.3</v>
      </c>
      <c r="K203" s="48">
        <f t="shared" si="63"/>
        <v>0.26869785029676002</v>
      </c>
      <c r="L203" s="48">
        <v>228000</v>
      </c>
      <c r="M203" s="48">
        <v>218000</v>
      </c>
      <c r="N203" s="51">
        <v>125395903</v>
      </c>
      <c r="O203" s="48">
        <f t="shared" si="64"/>
        <v>2.6902217281479599</v>
      </c>
      <c r="P203" s="48">
        <f t="shared" si="74"/>
        <v>2.6902217281479599</v>
      </c>
      <c r="Q203" s="49">
        <v>0.3</v>
      </c>
      <c r="R203" s="49">
        <f t="shared" si="65"/>
        <v>0.28865892270621107</v>
      </c>
      <c r="S203" s="49">
        <v>194900</v>
      </c>
      <c r="T203" s="49">
        <v>181800</v>
      </c>
      <c r="U203" s="49">
        <v>15956260</v>
      </c>
      <c r="V203" s="49">
        <f t="shared" si="66"/>
        <v>27.2347710204326</v>
      </c>
      <c r="W203" s="49">
        <f t="shared" si="75"/>
        <v>27.2347710204326</v>
      </c>
      <c r="X203" s="48">
        <v>0</v>
      </c>
      <c r="Y203" s="48">
        <f t="shared" si="67"/>
        <v>0</v>
      </c>
      <c r="Z203" s="48">
        <v>0</v>
      </c>
      <c r="AA203" s="48">
        <v>0</v>
      </c>
      <c r="AB203" s="48">
        <v>0</v>
      </c>
      <c r="AC203" s="48">
        <f t="shared" si="68"/>
        <v>0</v>
      </c>
      <c r="AD203" s="48">
        <f t="shared" si="76"/>
        <v>0</v>
      </c>
      <c r="AE203" s="49">
        <v>0</v>
      </c>
      <c r="AF203" s="49">
        <f t="shared" si="69"/>
        <v>0</v>
      </c>
      <c r="AG203" s="49">
        <v>0</v>
      </c>
      <c r="AH203" s="49">
        <v>0</v>
      </c>
      <c r="AI203" s="49">
        <v>0</v>
      </c>
      <c r="AJ203" s="49">
        <f t="shared" si="70"/>
        <v>0</v>
      </c>
      <c r="AK203" s="49">
        <f t="shared" si="77"/>
        <v>0</v>
      </c>
      <c r="AL203" s="82">
        <f t="shared" si="78"/>
        <v>0</v>
      </c>
      <c r="AM203" s="82">
        <f t="shared" si="79"/>
        <v>291304837464665.44</v>
      </c>
      <c r="AN203" s="81">
        <f t="shared" si="71"/>
        <v>273693022049598.25</v>
      </c>
      <c r="AO203" s="80">
        <f t="shared" si="60"/>
        <v>939.54163079353782</v>
      </c>
      <c r="AP203" s="52">
        <f t="shared" si="72"/>
        <v>-2.8039881780474507E-2</v>
      </c>
      <c r="AQ203" s="48">
        <f>(F203-E203)/E203</f>
        <v>9.7560975609756097E-3</v>
      </c>
      <c r="AR203" s="48">
        <f>(M203-L203)/L203</f>
        <v>-4.3859649122807015E-2</v>
      </c>
      <c r="AS203" s="48">
        <f>(T203-S203)/S203</f>
        <v>-6.7213955874807593E-2</v>
      </c>
      <c r="AT203" s="48" t="e">
        <f>(#REF!-#REF!)/#REF!</f>
        <v>#REF!</v>
      </c>
    </row>
    <row r="204" spans="1:46" x14ac:dyDescent="0.3">
      <c r="A204" s="48">
        <v>20181030</v>
      </c>
      <c r="B204" s="48" t="s">
        <v>88</v>
      </c>
      <c r="C204" s="79">
        <v>0.4</v>
      </c>
      <c r="D204" s="79">
        <f t="shared" si="61"/>
        <v>0.43824414318913379</v>
      </c>
      <c r="E204" s="49">
        <v>41400</v>
      </c>
      <c r="F204" s="49">
        <v>42350</v>
      </c>
      <c r="G204" s="49">
        <v>6419324700</v>
      </c>
      <c r="H204" s="49">
        <f t="shared" si="62"/>
        <v>0.45585619760779</v>
      </c>
      <c r="I204" s="49">
        <f t="shared" si="73"/>
        <v>0.45585619760779</v>
      </c>
      <c r="J204" s="48">
        <v>0.3</v>
      </c>
      <c r="K204" s="48">
        <f t="shared" si="63"/>
        <v>0.26900693012388882</v>
      </c>
      <c r="L204" s="48">
        <v>218000</v>
      </c>
      <c r="M204" s="48">
        <v>225500</v>
      </c>
      <c r="N204" s="51">
        <v>125395903</v>
      </c>
      <c r="O204" s="48">
        <f t="shared" si="64"/>
        <v>2.6902217281479599</v>
      </c>
      <c r="P204" s="48">
        <f t="shared" si="74"/>
        <v>2.6902217281479599</v>
      </c>
      <c r="Q204" s="49">
        <v>0.3</v>
      </c>
      <c r="R204" s="49">
        <f t="shared" si="65"/>
        <v>0.29274892668697727</v>
      </c>
      <c r="S204" s="49">
        <v>181800</v>
      </c>
      <c r="T204" s="49">
        <v>190500</v>
      </c>
      <c r="U204" s="49">
        <v>15956260</v>
      </c>
      <c r="V204" s="49">
        <f t="shared" si="66"/>
        <v>27.2347710204326</v>
      </c>
      <c r="W204" s="49">
        <f t="shared" si="75"/>
        <v>27.2347710204326</v>
      </c>
      <c r="X204" s="48">
        <v>0</v>
      </c>
      <c r="Y204" s="48">
        <f t="shared" si="67"/>
        <v>0</v>
      </c>
      <c r="Z204" s="48">
        <v>0</v>
      </c>
      <c r="AA204" s="48">
        <v>0</v>
      </c>
      <c r="AB204" s="48">
        <v>0</v>
      </c>
      <c r="AC204" s="48">
        <f t="shared" si="68"/>
        <v>0</v>
      </c>
      <c r="AD204" s="48">
        <f t="shared" si="76"/>
        <v>0</v>
      </c>
      <c r="AE204" s="49">
        <v>0</v>
      </c>
      <c r="AF204" s="49">
        <f t="shared" si="69"/>
        <v>0</v>
      </c>
      <c r="AG204" s="49">
        <v>0</v>
      </c>
      <c r="AH204" s="49">
        <v>0</v>
      </c>
      <c r="AI204" s="49">
        <v>0</v>
      </c>
      <c r="AJ204" s="49">
        <f t="shared" si="70"/>
        <v>0</v>
      </c>
      <c r="AK204" s="49">
        <f t="shared" si="77"/>
        <v>0</v>
      </c>
      <c r="AL204" s="82">
        <f t="shared" si="78"/>
        <v>0</v>
      </c>
      <c r="AM204" s="82">
        <f t="shared" si="79"/>
        <v>291304837464665.44</v>
      </c>
      <c r="AN204" s="81">
        <f t="shared" si="71"/>
        <v>282783783683387.12</v>
      </c>
      <c r="AO204" s="80">
        <f t="shared" si="60"/>
        <v>970.74867051491412</v>
      </c>
      <c r="AP204" s="52">
        <f t="shared" si="72"/>
        <v>3.3215175037021837E-2</v>
      </c>
      <c r="AQ204" s="48">
        <f>(F204-E204)/E204</f>
        <v>2.2946859903381644E-2</v>
      </c>
      <c r="AR204" s="48">
        <f>(M204-L204)/L204</f>
        <v>3.4403669724770644E-2</v>
      </c>
      <c r="AS204" s="48">
        <f>(T204-S204)/S204</f>
        <v>4.7854785478547858E-2</v>
      </c>
      <c r="AT204" s="48" t="e">
        <f>(#REF!-#REF!)/#REF!</f>
        <v>#REF!</v>
      </c>
    </row>
    <row r="205" spans="1:46" x14ac:dyDescent="0.3">
      <c r="A205" s="48">
        <v>20181031</v>
      </c>
      <c r="B205" s="48" t="s">
        <v>88</v>
      </c>
      <c r="C205" s="79">
        <v>0.4</v>
      </c>
      <c r="D205" s="79">
        <f t="shared" si="61"/>
        <v>0.44566054647613673</v>
      </c>
      <c r="E205" s="49">
        <v>42350</v>
      </c>
      <c r="F205" s="49">
        <v>42400</v>
      </c>
      <c r="G205" s="49">
        <v>6419324700</v>
      </c>
      <c r="H205" s="49">
        <f t="shared" si="62"/>
        <v>0.45585619760779</v>
      </c>
      <c r="I205" s="49">
        <f t="shared" si="73"/>
        <v>0.45585619760779</v>
      </c>
      <c r="J205" s="48">
        <v>0.3</v>
      </c>
      <c r="K205" s="48">
        <f t="shared" si="63"/>
        <v>0.26354319654649028</v>
      </c>
      <c r="L205" s="48">
        <v>225500</v>
      </c>
      <c r="M205" s="48">
        <v>217500</v>
      </c>
      <c r="N205" s="51">
        <v>125395903</v>
      </c>
      <c r="O205" s="48">
        <f t="shared" si="64"/>
        <v>2.6902217281479599</v>
      </c>
      <c r="P205" s="48">
        <f t="shared" si="74"/>
        <v>2.6902217281479599</v>
      </c>
      <c r="Q205" s="49">
        <v>0.3</v>
      </c>
      <c r="R205" s="49">
        <f t="shared" si="65"/>
        <v>0.29079625697737294</v>
      </c>
      <c r="S205" s="49">
        <v>190500</v>
      </c>
      <c r="T205" s="49">
        <v>186300</v>
      </c>
      <c r="U205" s="49">
        <v>15956260</v>
      </c>
      <c r="V205" s="49">
        <f t="shared" si="66"/>
        <v>27.2347710204326</v>
      </c>
      <c r="W205" s="49">
        <f t="shared" si="75"/>
        <v>27.2347710204326</v>
      </c>
      <c r="X205" s="48">
        <v>0</v>
      </c>
      <c r="Y205" s="48">
        <f t="shared" si="67"/>
        <v>0</v>
      </c>
      <c r="Z205" s="48">
        <v>0</v>
      </c>
      <c r="AA205" s="48">
        <v>0</v>
      </c>
      <c r="AB205" s="48">
        <v>0</v>
      </c>
      <c r="AC205" s="48">
        <f t="shared" si="68"/>
        <v>0</v>
      </c>
      <c r="AD205" s="48">
        <f t="shared" si="76"/>
        <v>0</v>
      </c>
      <c r="AE205" s="49">
        <v>0</v>
      </c>
      <c r="AF205" s="49">
        <f t="shared" si="69"/>
        <v>0</v>
      </c>
      <c r="AG205" s="138">
        <v>0</v>
      </c>
      <c r="AH205" s="138">
        <v>0</v>
      </c>
      <c r="AI205" s="138">
        <v>0</v>
      </c>
      <c r="AJ205" s="49">
        <f t="shared" si="70"/>
        <v>0</v>
      </c>
      <c r="AK205" s="49">
        <f t="shared" si="77"/>
        <v>0</v>
      </c>
      <c r="AL205" s="82">
        <f t="shared" si="78"/>
        <v>0</v>
      </c>
      <c r="AM205" s="82">
        <f t="shared" si="79"/>
        <v>291304837464665.44</v>
      </c>
      <c r="AN205" s="81">
        <f t="shared" si="71"/>
        <v>278406182500605.56</v>
      </c>
      <c r="AO205" s="80">
        <f t="shared" si="60"/>
        <v>955.72110962412546</v>
      </c>
      <c r="AP205" s="52">
        <f t="shared" si="72"/>
        <v>-1.5480382664668082E-2</v>
      </c>
      <c r="AQ205" s="48">
        <f>(F205-E205)/E205</f>
        <v>1.1806375442739079E-3</v>
      </c>
      <c r="AR205" s="48">
        <f>(M205-L205)/L205</f>
        <v>-3.5476718403547672E-2</v>
      </c>
      <c r="AS205" s="48">
        <f>(T205-S205)/S205</f>
        <v>-2.2047244094488189E-2</v>
      </c>
      <c r="AT205" s="48" t="e">
        <f>(#REF!-#REF!)/#REF!</f>
        <v>#REF!</v>
      </c>
    </row>
    <row r="206" spans="1:46" x14ac:dyDescent="0.3">
      <c r="A206" s="48">
        <v>20181101</v>
      </c>
      <c r="B206" s="48" t="s">
        <v>88</v>
      </c>
      <c r="C206" s="79">
        <v>0.4</v>
      </c>
      <c r="D206" s="79">
        <f t="shared" si="61"/>
        <v>0.44111915345671293</v>
      </c>
      <c r="E206" s="49">
        <v>42400</v>
      </c>
      <c r="F206" s="49">
        <v>42150</v>
      </c>
      <c r="G206" s="49">
        <v>6419324700</v>
      </c>
      <c r="H206" s="49">
        <f t="shared" si="62"/>
        <v>0.45585619760779</v>
      </c>
      <c r="I206" s="49">
        <f t="shared" si="73"/>
        <v>0.45585619760779</v>
      </c>
      <c r="J206" s="48">
        <v>0.3</v>
      </c>
      <c r="K206" s="48">
        <f t="shared" si="63"/>
        <v>0.2744694129428264</v>
      </c>
      <c r="L206" s="48">
        <v>217500</v>
      </c>
      <c r="M206" s="48">
        <v>227500</v>
      </c>
      <c r="N206" s="51">
        <v>125395903</v>
      </c>
      <c r="O206" s="48">
        <f t="shared" si="64"/>
        <v>2.6902217281479599</v>
      </c>
      <c r="P206" s="48">
        <f t="shared" si="74"/>
        <v>2.6902217281479599</v>
      </c>
      <c r="Q206" s="49">
        <v>0.3</v>
      </c>
      <c r="R206" s="49">
        <f t="shared" si="65"/>
        <v>0.28441143360046073</v>
      </c>
      <c r="S206" s="49">
        <v>186300</v>
      </c>
      <c r="T206" s="49">
        <v>183000</v>
      </c>
      <c r="U206" s="49">
        <v>15956260</v>
      </c>
      <c r="V206" s="49">
        <f t="shared" si="66"/>
        <v>27.2347710204326</v>
      </c>
      <c r="W206" s="49">
        <f t="shared" si="75"/>
        <v>27.2347710204326</v>
      </c>
      <c r="X206" s="48">
        <v>0</v>
      </c>
      <c r="Y206" s="48">
        <f t="shared" si="67"/>
        <v>0</v>
      </c>
      <c r="Z206" s="48">
        <v>0</v>
      </c>
      <c r="AA206" s="48">
        <v>0</v>
      </c>
      <c r="AB206" s="48">
        <v>0</v>
      </c>
      <c r="AC206" s="48">
        <f t="shared" si="68"/>
        <v>0</v>
      </c>
      <c r="AD206" s="48">
        <f t="shared" si="76"/>
        <v>0</v>
      </c>
      <c r="AE206" s="49">
        <v>0</v>
      </c>
      <c r="AF206" s="49">
        <f t="shared" si="69"/>
        <v>0</v>
      </c>
      <c r="AG206" s="19">
        <v>29800</v>
      </c>
      <c r="AH206" s="19">
        <v>26950</v>
      </c>
      <c r="AI206" s="19">
        <v>7234332</v>
      </c>
      <c r="AJ206" s="137">
        <f t="shared" si="70"/>
        <v>0</v>
      </c>
      <c r="AK206" s="49">
        <f t="shared" si="77"/>
        <v>0</v>
      </c>
      <c r="AL206" s="82">
        <f t="shared" si="78"/>
        <v>0</v>
      </c>
      <c r="AM206" s="82">
        <f t="shared" si="79"/>
        <v>291304837464665.44</v>
      </c>
      <c r="AN206" s="81">
        <f t="shared" si="71"/>
        <v>279613973303520.72</v>
      </c>
      <c r="AO206" s="80">
        <f t="shared" si="60"/>
        <v>959.86725018748518</v>
      </c>
      <c r="AP206" s="52">
        <f t="shared" si="72"/>
        <v>4.3382326932072824E-3</v>
      </c>
      <c r="AQ206" s="48">
        <f>(F206-E206)/E206</f>
        <v>-5.89622641509434E-3</v>
      </c>
      <c r="AR206" s="48">
        <f>(M206-L206)/L206</f>
        <v>4.5977011494252873E-2</v>
      </c>
      <c r="AS206" s="48">
        <f>(T206-S206)/S206</f>
        <v>-1.7713365539452495E-2</v>
      </c>
      <c r="AT206" s="48" t="e">
        <f>(#REF!-#REF!)/#REF!</f>
        <v>#REF!</v>
      </c>
    </row>
    <row r="207" spans="1:46" x14ac:dyDescent="0.3">
      <c r="A207" s="48">
        <v>20181102</v>
      </c>
      <c r="B207" s="48" t="s">
        <v>88</v>
      </c>
      <c r="C207" s="79">
        <v>0.4</v>
      </c>
      <c r="D207" s="79">
        <f t="shared" si="61"/>
        <v>0.43798455390211488</v>
      </c>
      <c r="E207" s="49">
        <v>42150</v>
      </c>
      <c r="F207" s="49">
        <v>44150</v>
      </c>
      <c r="G207" s="49">
        <v>6419324700</v>
      </c>
      <c r="H207" s="49">
        <f t="shared" si="62"/>
        <v>0.45585619760779</v>
      </c>
      <c r="I207" s="49">
        <f t="shared" si="73"/>
        <v>0.45585619760779</v>
      </c>
      <c r="J207" s="48">
        <v>0.3</v>
      </c>
      <c r="K207" s="48">
        <f t="shared" si="63"/>
        <v>0.27046647945261337</v>
      </c>
      <c r="L207" s="48">
        <v>227500</v>
      </c>
      <c r="M207" s="48">
        <v>236500</v>
      </c>
      <c r="N207" s="51">
        <v>125395903</v>
      </c>
      <c r="O207" s="48">
        <f t="shared" si="64"/>
        <v>2.6902217281479599</v>
      </c>
      <c r="P207" s="48">
        <f t="shared" si="74"/>
        <v>2.6902217281479599</v>
      </c>
      <c r="Q207" s="49">
        <v>0.3</v>
      </c>
      <c r="R207" s="49">
        <f t="shared" si="65"/>
        <v>0.29154896664527169</v>
      </c>
      <c r="S207" s="49">
        <v>183000</v>
      </c>
      <c r="T207" s="49">
        <v>197900</v>
      </c>
      <c r="U207" s="49">
        <v>15956260</v>
      </c>
      <c r="V207" s="49">
        <f t="shared" si="66"/>
        <v>27.2347710204326</v>
      </c>
      <c r="W207" s="49">
        <f t="shared" si="75"/>
        <v>27.2347710204326</v>
      </c>
      <c r="X207" s="48">
        <v>0</v>
      </c>
      <c r="Y207" s="48">
        <f t="shared" si="67"/>
        <v>0</v>
      </c>
      <c r="Z207" s="48">
        <v>0</v>
      </c>
      <c r="AA207" s="48">
        <v>0</v>
      </c>
      <c r="AB207" s="48">
        <v>0</v>
      </c>
      <c r="AC207" s="48">
        <f t="shared" si="68"/>
        <v>0</v>
      </c>
      <c r="AD207" s="48">
        <f t="shared" si="76"/>
        <v>0</v>
      </c>
      <c r="AE207" s="49">
        <v>0</v>
      </c>
      <c r="AF207" s="49">
        <f t="shared" si="69"/>
        <v>0</v>
      </c>
      <c r="AG207" s="19">
        <v>26950</v>
      </c>
      <c r="AH207" s="19">
        <v>27400</v>
      </c>
      <c r="AI207" s="19">
        <v>7234332</v>
      </c>
      <c r="AJ207" s="137">
        <f t="shared" si="70"/>
        <v>0</v>
      </c>
      <c r="AK207" s="49">
        <f t="shared" si="77"/>
        <v>0</v>
      </c>
      <c r="AL207" s="82">
        <f t="shared" si="78"/>
        <v>0</v>
      </c>
      <c r="AM207" s="82">
        <f t="shared" si="79"/>
        <v>291304837464665.44</v>
      </c>
      <c r="AN207" s="81">
        <f t="shared" si="71"/>
        <v>294977656050159.37</v>
      </c>
      <c r="AO207" s="80">
        <f t="shared" si="60"/>
        <v>1012.6081620115197</v>
      </c>
      <c r="AP207" s="52">
        <f t="shared" si="72"/>
        <v>5.4946047814146068E-2</v>
      </c>
      <c r="AQ207" s="48">
        <f>(F207-E207)/E207</f>
        <v>4.7449584816132859E-2</v>
      </c>
      <c r="AR207" s="48">
        <f>(M207-L207)/L207</f>
        <v>3.9560439560439559E-2</v>
      </c>
      <c r="AS207" s="48">
        <f>(T207-S207)/S207</f>
        <v>8.14207650273224E-2</v>
      </c>
      <c r="AT207" s="48" t="e">
        <f>(#REF!-#REF!)/#REF!</f>
        <v>#REF!</v>
      </c>
    </row>
    <row r="208" spans="1:46" x14ac:dyDescent="0.3">
      <c r="A208" s="48">
        <v>20181105</v>
      </c>
      <c r="B208" s="48" t="s">
        <v>88</v>
      </c>
      <c r="C208" s="79">
        <v>0.4</v>
      </c>
      <c r="D208" s="79">
        <f t="shared" si="61"/>
        <v>0.43041608958157496</v>
      </c>
      <c r="E208" s="49">
        <v>44150</v>
      </c>
      <c r="F208" s="49">
        <v>43800</v>
      </c>
      <c r="G208" s="49">
        <v>6419324700</v>
      </c>
      <c r="H208" s="49">
        <f t="shared" si="62"/>
        <v>0.45585619760779</v>
      </c>
      <c r="I208" s="49">
        <f t="shared" si="73"/>
        <v>0.45585619760779</v>
      </c>
      <c r="J208" s="48">
        <v>0.3</v>
      </c>
      <c r="K208" s="48">
        <f t="shared" si="63"/>
        <v>0.27188161737239669</v>
      </c>
      <c r="L208" s="48">
        <v>236500</v>
      </c>
      <c r="M208" s="48">
        <v>240000</v>
      </c>
      <c r="N208" s="51">
        <v>125395903</v>
      </c>
      <c r="O208" s="48">
        <f t="shared" si="64"/>
        <v>2.6902217281479599</v>
      </c>
      <c r="P208" s="48">
        <f t="shared" si="74"/>
        <v>2.6902217281479599</v>
      </c>
      <c r="Q208" s="49">
        <v>0.3</v>
      </c>
      <c r="R208" s="49">
        <f t="shared" si="65"/>
        <v>0.29770229304602819</v>
      </c>
      <c r="S208" s="49">
        <v>197900</v>
      </c>
      <c r="T208" s="49">
        <v>204000</v>
      </c>
      <c r="U208" s="49">
        <v>15956260</v>
      </c>
      <c r="V208" s="49">
        <f t="shared" si="66"/>
        <v>27.2347710204326</v>
      </c>
      <c r="W208" s="49">
        <f t="shared" si="75"/>
        <v>27.2347710204326</v>
      </c>
      <c r="X208" s="48">
        <v>0</v>
      </c>
      <c r="Y208" s="48">
        <f t="shared" si="67"/>
        <v>0</v>
      </c>
      <c r="Z208" s="48">
        <v>0</v>
      </c>
      <c r="AA208" s="48">
        <v>0</v>
      </c>
      <c r="AB208" s="48">
        <v>0</v>
      </c>
      <c r="AC208" s="48">
        <f t="shared" si="68"/>
        <v>0</v>
      </c>
      <c r="AD208" s="48">
        <f t="shared" si="76"/>
        <v>0</v>
      </c>
      <c r="AE208" s="49">
        <v>0</v>
      </c>
      <c r="AF208" s="49">
        <f t="shared" si="69"/>
        <v>0</v>
      </c>
      <c r="AG208" s="19">
        <v>27400</v>
      </c>
      <c r="AH208" s="19">
        <v>26300</v>
      </c>
      <c r="AI208" s="19">
        <v>7234332</v>
      </c>
      <c r="AJ208" s="137">
        <f t="shared" si="70"/>
        <v>0</v>
      </c>
      <c r="AK208" s="49">
        <f t="shared" si="77"/>
        <v>0</v>
      </c>
      <c r="AL208" s="82">
        <f t="shared" si="78"/>
        <v>0</v>
      </c>
      <c r="AM208" s="82">
        <f t="shared" si="79"/>
        <v>291304837464665.44</v>
      </c>
      <c r="AN208" s="81">
        <f t="shared" si="71"/>
        <v>297785001691475.12</v>
      </c>
      <c r="AO208" s="80">
        <f t="shared" si="60"/>
        <v>1022.2453024920868</v>
      </c>
      <c r="AP208" s="52">
        <f t="shared" si="72"/>
        <v>9.5171467524251697E-3</v>
      </c>
      <c r="AQ208" s="48">
        <f>(F208-E208)/E208</f>
        <v>-7.9275198187995465E-3</v>
      </c>
      <c r="AR208" s="48">
        <f>(M208-L208)/L208</f>
        <v>1.4799154334038054E-2</v>
      </c>
      <c r="AS208" s="48">
        <f>(T208-S208)/S208</f>
        <v>3.0823648307225872E-2</v>
      </c>
      <c r="AT208" s="48" t="e">
        <f>(#REF!-#REF!)/#REF!</f>
        <v>#REF!</v>
      </c>
    </row>
    <row r="209" spans="1:46" x14ac:dyDescent="0.3">
      <c r="A209" s="48">
        <v>20181106</v>
      </c>
      <c r="B209" s="48" t="s">
        <v>88</v>
      </c>
      <c r="C209" s="79">
        <v>0.4</v>
      </c>
      <c r="D209" s="79">
        <f t="shared" si="61"/>
        <v>0.43015099029018</v>
      </c>
      <c r="E209" s="49">
        <v>43800</v>
      </c>
      <c r="F209" s="49">
        <v>43750</v>
      </c>
      <c r="G209" s="49">
        <v>6419324700</v>
      </c>
      <c r="H209" s="49">
        <f t="shared" si="62"/>
        <v>0.45585619760779</v>
      </c>
      <c r="I209" s="49">
        <f t="shared" si="73"/>
        <v>0.45585619760779</v>
      </c>
      <c r="J209" s="48">
        <v>0.3</v>
      </c>
      <c r="K209" s="48">
        <f t="shared" si="63"/>
        <v>0.27315812836823089</v>
      </c>
      <c r="L209" s="48">
        <v>240000</v>
      </c>
      <c r="M209" s="48">
        <v>241000</v>
      </c>
      <c r="N209" s="51">
        <v>125395903</v>
      </c>
      <c r="O209" s="48">
        <f t="shared" si="64"/>
        <v>2.6902217281479599</v>
      </c>
      <c r="P209" s="48">
        <f t="shared" si="74"/>
        <v>2.6902217281479599</v>
      </c>
      <c r="Q209" s="49">
        <v>0.3</v>
      </c>
      <c r="R209" s="49">
        <f t="shared" si="65"/>
        <v>0.296690881341589</v>
      </c>
      <c r="S209" s="49">
        <v>204000</v>
      </c>
      <c r="T209" s="49">
        <v>203200</v>
      </c>
      <c r="U209" s="49">
        <v>15956260</v>
      </c>
      <c r="V209" s="49">
        <f t="shared" si="66"/>
        <v>27.2347710204326</v>
      </c>
      <c r="W209" s="49">
        <f t="shared" si="75"/>
        <v>27.2347710204326</v>
      </c>
      <c r="X209" s="48">
        <v>0</v>
      </c>
      <c r="Y209" s="48">
        <f t="shared" si="67"/>
        <v>0</v>
      </c>
      <c r="Z209" s="48">
        <v>0</v>
      </c>
      <c r="AA209" s="48">
        <v>0</v>
      </c>
      <c r="AB209" s="48">
        <v>0</v>
      </c>
      <c r="AC209" s="48">
        <f t="shared" si="68"/>
        <v>0</v>
      </c>
      <c r="AD209" s="48">
        <f t="shared" si="76"/>
        <v>0</v>
      </c>
      <c r="AE209" s="49">
        <v>0</v>
      </c>
      <c r="AF209" s="49">
        <f t="shared" si="69"/>
        <v>0</v>
      </c>
      <c r="AG209" s="19">
        <v>26300</v>
      </c>
      <c r="AH209" s="19">
        <v>26350</v>
      </c>
      <c r="AI209" s="19">
        <v>7234332</v>
      </c>
      <c r="AJ209" s="137">
        <f t="shared" si="70"/>
        <v>0</v>
      </c>
      <c r="AK209" s="49">
        <f t="shared" si="77"/>
        <v>0</v>
      </c>
      <c r="AL209" s="82">
        <f t="shared" si="78"/>
        <v>0</v>
      </c>
      <c r="AM209" s="82">
        <f t="shared" si="79"/>
        <v>291304837464665.44</v>
      </c>
      <c r="AN209" s="81">
        <f t="shared" si="71"/>
        <v>297628377956944.87</v>
      </c>
      <c r="AO209" s="80">
        <f t="shared" si="60"/>
        <v>1021.7076398295186</v>
      </c>
      <c r="AP209" s="52">
        <f t="shared" si="72"/>
        <v>-5.2596246836005521E-4</v>
      </c>
      <c r="AQ209" s="48">
        <f>(F209-E209)/E209</f>
        <v>-1.1415525114155251E-3</v>
      </c>
      <c r="AR209" s="48">
        <f>(M209-L209)/L209</f>
        <v>4.1666666666666666E-3</v>
      </c>
      <c r="AS209" s="48">
        <f>(T209-S209)/S209</f>
        <v>-3.9215686274509803E-3</v>
      </c>
      <c r="AT209" s="48" t="e">
        <f>(#REF!-#REF!)/#REF!</f>
        <v>#REF!</v>
      </c>
    </row>
    <row r="210" spans="1:46" x14ac:dyDescent="0.3">
      <c r="A210" s="48">
        <v>20181107</v>
      </c>
      <c r="B210" s="48" t="s">
        <v>88</v>
      </c>
      <c r="C210" s="79">
        <v>0.4</v>
      </c>
      <c r="D210" s="79">
        <f t="shared" si="61"/>
        <v>0.43665018044189402</v>
      </c>
      <c r="E210" s="49">
        <v>43750</v>
      </c>
      <c r="F210" s="49">
        <v>44000</v>
      </c>
      <c r="G210" s="49">
        <v>6419324700</v>
      </c>
      <c r="H210" s="49">
        <f t="shared" si="62"/>
        <v>0.45585619760779</v>
      </c>
      <c r="I210" s="49">
        <f t="shared" si="73"/>
        <v>0.45585619760779</v>
      </c>
      <c r="J210" s="48">
        <v>0.3</v>
      </c>
      <c r="K210" s="48">
        <f t="shared" si="63"/>
        <v>0.2671296335889779</v>
      </c>
      <c r="L210" s="48">
        <v>241000</v>
      </c>
      <c r="M210" s="48">
        <v>233500</v>
      </c>
      <c r="N210" s="51">
        <v>125395903</v>
      </c>
      <c r="O210" s="48">
        <f t="shared" si="64"/>
        <v>2.6902217281479599</v>
      </c>
      <c r="P210" s="48">
        <f t="shared" si="74"/>
        <v>2.6902217281479599</v>
      </c>
      <c r="Q210" s="49">
        <v>0.3</v>
      </c>
      <c r="R210" s="49">
        <f t="shared" si="65"/>
        <v>0.29622018596912808</v>
      </c>
      <c r="S210" s="49">
        <v>203200</v>
      </c>
      <c r="T210" s="49">
        <v>201000</v>
      </c>
      <c r="U210" s="49">
        <v>15956260</v>
      </c>
      <c r="V210" s="49">
        <f t="shared" si="66"/>
        <v>27.2347710204326</v>
      </c>
      <c r="W210" s="49">
        <f t="shared" si="75"/>
        <v>27.2347710204326</v>
      </c>
      <c r="X210" s="48">
        <v>0</v>
      </c>
      <c r="Y210" s="48">
        <f t="shared" si="67"/>
        <v>0</v>
      </c>
      <c r="Z210" s="48">
        <v>0</v>
      </c>
      <c r="AA210" s="48">
        <v>0</v>
      </c>
      <c r="AB210" s="48">
        <v>0</v>
      </c>
      <c r="AC210" s="48">
        <f t="shared" si="68"/>
        <v>0</v>
      </c>
      <c r="AD210" s="48">
        <f t="shared" si="76"/>
        <v>0</v>
      </c>
      <c r="AE210" s="49">
        <v>0</v>
      </c>
      <c r="AF210" s="49">
        <f t="shared" si="69"/>
        <v>0</v>
      </c>
      <c r="AG210" s="19">
        <v>26350</v>
      </c>
      <c r="AH210" s="19">
        <v>25150</v>
      </c>
      <c r="AI210" s="19">
        <v>7234332</v>
      </c>
      <c r="AJ210" s="137">
        <f t="shared" si="70"/>
        <v>0</v>
      </c>
      <c r="AK210" s="49">
        <f t="shared" si="77"/>
        <v>0</v>
      </c>
      <c r="AL210" s="82">
        <f t="shared" si="78"/>
        <v>0</v>
      </c>
      <c r="AM210" s="82">
        <f t="shared" si="79"/>
        <v>291304837464665.44</v>
      </c>
      <c r="AN210" s="81">
        <f t="shared" si="71"/>
        <v>294873836130274.31</v>
      </c>
      <c r="AO210" s="80">
        <f t="shared" si="60"/>
        <v>1012.2517658706638</v>
      </c>
      <c r="AP210" s="52">
        <f t="shared" si="72"/>
        <v>-9.2549703948896726E-3</v>
      </c>
      <c r="AQ210" s="48">
        <f>(F210-E210)/E210</f>
        <v>5.7142857142857143E-3</v>
      </c>
      <c r="AR210" s="48">
        <f>(M210-L210)/L210</f>
        <v>-3.1120331950207469E-2</v>
      </c>
      <c r="AS210" s="48">
        <f>(T210-S210)/S210</f>
        <v>-1.0826771653543307E-2</v>
      </c>
      <c r="AT210" s="48" t="e">
        <f>(#REF!-#REF!)/#REF!</f>
        <v>#REF!</v>
      </c>
    </row>
    <row r="211" spans="1:46" x14ac:dyDescent="0.3">
      <c r="A211" s="48">
        <v>20181108</v>
      </c>
      <c r="B211" s="48" t="s">
        <v>88</v>
      </c>
      <c r="C211" s="79">
        <v>0.4</v>
      </c>
      <c r="D211" s="79">
        <f t="shared" si="61"/>
        <v>0.4333666973260652</v>
      </c>
      <c r="E211" s="49">
        <v>44000</v>
      </c>
      <c r="F211" s="49">
        <v>44050</v>
      </c>
      <c r="G211" s="49">
        <v>6419324700</v>
      </c>
      <c r="H211" s="49">
        <f t="shared" si="62"/>
        <v>0.45585619760779</v>
      </c>
      <c r="I211" s="49">
        <f t="shared" si="73"/>
        <v>0.45585619760779</v>
      </c>
      <c r="J211" s="48">
        <v>0.3</v>
      </c>
      <c r="K211" s="48">
        <f t="shared" si="63"/>
        <v>0.27049062724236328</v>
      </c>
      <c r="L211" s="48">
        <v>233500</v>
      </c>
      <c r="M211" s="48">
        <v>238500</v>
      </c>
      <c r="N211" s="51">
        <v>125395903</v>
      </c>
      <c r="O211" s="48">
        <f t="shared" si="64"/>
        <v>2.6902217281479599</v>
      </c>
      <c r="P211" s="48">
        <f t="shared" si="74"/>
        <v>2.6902217281479599</v>
      </c>
      <c r="Q211" s="49">
        <v>0.3</v>
      </c>
      <c r="R211" s="49">
        <f t="shared" si="65"/>
        <v>0.29614267543157141</v>
      </c>
      <c r="S211" s="49">
        <v>201000</v>
      </c>
      <c r="T211" s="49">
        <v>202700</v>
      </c>
      <c r="U211" s="49">
        <v>15956260</v>
      </c>
      <c r="V211" s="49">
        <f t="shared" si="66"/>
        <v>27.2347710204326</v>
      </c>
      <c r="W211" s="49">
        <f t="shared" si="75"/>
        <v>27.2347710204326</v>
      </c>
      <c r="X211" s="48">
        <v>0</v>
      </c>
      <c r="Y211" s="48">
        <f t="shared" si="67"/>
        <v>0</v>
      </c>
      <c r="Z211" s="48">
        <v>0</v>
      </c>
      <c r="AA211" s="48">
        <v>0</v>
      </c>
      <c r="AB211" s="48">
        <v>0</v>
      </c>
      <c r="AC211" s="48">
        <f t="shared" si="68"/>
        <v>0</v>
      </c>
      <c r="AD211" s="48">
        <f t="shared" si="76"/>
        <v>0</v>
      </c>
      <c r="AE211" s="49">
        <v>0</v>
      </c>
      <c r="AF211" s="49">
        <f t="shared" si="69"/>
        <v>0</v>
      </c>
      <c r="AG211" s="19">
        <v>25150</v>
      </c>
      <c r="AH211" s="19">
        <v>24250</v>
      </c>
      <c r="AI211" s="19">
        <v>7234332</v>
      </c>
      <c r="AJ211" s="137">
        <f t="shared" si="70"/>
        <v>0</v>
      </c>
      <c r="AK211" s="49">
        <f t="shared" si="77"/>
        <v>0</v>
      </c>
      <c r="AL211" s="82">
        <f t="shared" si="78"/>
        <v>0</v>
      </c>
      <c r="AM211" s="82">
        <f t="shared" si="79"/>
        <v>291304837464665.44</v>
      </c>
      <c r="AN211" s="81">
        <f t="shared" si="71"/>
        <v>297445625140730.81</v>
      </c>
      <c r="AO211" s="80">
        <f t="shared" si="60"/>
        <v>1021.0802804701458</v>
      </c>
      <c r="AP211" s="52">
        <f t="shared" si="72"/>
        <v>8.7216588769181928E-3</v>
      </c>
      <c r="AQ211" s="48">
        <f>(F211-E211)/E211</f>
        <v>1.1363636363636363E-3</v>
      </c>
      <c r="AR211" s="48">
        <f>(M211-L211)/L211</f>
        <v>2.1413276231263382E-2</v>
      </c>
      <c r="AS211" s="48">
        <f>(T211-S211)/S211</f>
        <v>8.4577114427860697E-3</v>
      </c>
      <c r="AT211" s="48" t="e">
        <f>(#REF!-#REF!)/#REF!</f>
        <v>#REF!</v>
      </c>
    </row>
    <row r="212" spans="1:46" x14ac:dyDescent="0.3">
      <c r="A212" s="48">
        <v>20181109</v>
      </c>
      <c r="B212" s="48" t="s">
        <v>88</v>
      </c>
      <c r="C212" s="79">
        <v>0.4</v>
      </c>
      <c r="D212" s="79">
        <f t="shared" si="61"/>
        <v>0.44519429732751126</v>
      </c>
      <c r="E212" s="49">
        <v>44050</v>
      </c>
      <c r="F212" s="49">
        <v>44300</v>
      </c>
      <c r="G212" s="49">
        <v>6419324700</v>
      </c>
      <c r="H212" s="49">
        <f t="shared" si="62"/>
        <v>0.45585619760779</v>
      </c>
      <c r="I212" s="49">
        <f t="shared" si="73"/>
        <v>0.45585619760779</v>
      </c>
      <c r="J212" s="48">
        <v>0.3</v>
      </c>
      <c r="K212" s="48">
        <f t="shared" si="63"/>
        <v>0.26587822597482136</v>
      </c>
      <c r="L212" s="48">
        <v>238500</v>
      </c>
      <c r="M212" s="48">
        <v>229500</v>
      </c>
      <c r="N212" s="51">
        <v>125395903</v>
      </c>
      <c r="O212" s="48">
        <f t="shared" si="64"/>
        <v>2.6902217281479599</v>
      </c>
      <c r="P212" s="48">
        <f t="shared" si="74"/>
        <v>2.6902217281479599</v>
      </c>
      <c r="Q212" s="49">
        <v>0.3</v>
      </c>
      <c r="R212" s="49">
        <f t="shared" si="65"/>
        <v>0.28892747669766727</v>
      </c>
      <c r="S212" s="49">
        <v>202700</v>
      </c>
      <c r="T212" s="49">
        <v>193600</v>
      </c>
      <c r="U212" s="49">
        <v>15956260</v>
      </c>
      <c r="V212" s="49">
        <f t="shared" si="66"/>
        <v>27.2347710204326</v>
      </c>
      <c r="W212" s="49">
        <f t="shared" si="75"/>
        <v>27.2347710204326</v>
      </c>
      <c r="X212" s="48">
        <v>0</v>
      </c>
      <c r="Y212" s="48">
        <f t="shared" si="67"/>
        <v>0</v>
      </c>
      <c r="Z212" s="48">
        <v>0</v>
      </c>
      <c r="AA212" s="48">
        <v>0</v>
      </c>
      <c r="AB212" s="48">
        <v>0</v>
      </c>
      <c r="AC212" s="48">
        <f t="shared" si="68"/>
        <v>0</v>
      </c>
      <c r="AD212" s="48">
        <f t="shared" si="76"/>
        <v>0</v>
      </c>
      <c r="AE212" s="49">
        <v>0</v>
      </c>
      <c r="AF212" s="49">
        <f t="shared" si="69"/>
        <v>0</v>
      </c>
      <c r="AG212" s="19">
        <v>24250</v>
      </c>
      <c r="AH212" s="19">
        <v>23350</v>
      </c>
      <c r="AI212" s="19">
        <v>7234332</v>
      </c>
      <c r="AJ212" s="137">
        <f t="shared" si="70"/>
        <v>0</v>
      </c>
      <c r="AK212" s="49">
        <f t="shared" si="77"/>
        <v>0</v>
      </c>
      <c r="AL212" s="82">
        <f t="shared" si="78"/>
        <v>0</v>
      </c>
      <c r="AM212" s="82">
        <f t="shared" si="79"/>
        <v>291304837464665.44</v>
      </c>
      <c r="AN212" s="81">
        <f t="shared" si="71"/>
        <v>291186570036400.12</v>
      </c>
      <c r="AO212" s="80">
        <f t="shared" si="60"/>
        <v>999.59400801821687</v>
      </c>
      <c r="AP212" s="52">
        <f t="shared" si="72"/>
        <v>-2.1042686714149248E-2</v>
      </c>
      <c r="AQ212" s="48">
        <f>(F212-E212)/E212</f>
        <v>5.6753688989784334E-3</v>
      </c>
      <c r="AR212" s="48">
        <f>(M212-L212)/L212</f>
        <v>-3.7735849056603772E-2</v>
      </c>
      <c r="AS212" s="48">
        <f>(T212-S212)/S212</f>
        <v>-4.4893931919092252E-2</v>
      </c>
      <c r="AT212" s="48" t="e">
        <f>(#REF!-#REF!)/#REF!</f>
        <v>#REF!</v>
      </c>
    </row>
    <row r="213" spans="1:46" x14ac:dyDescent="0.3">
      <c r="A213" s="48">
        <v>20181112</v>
      </c>
      <c r="B213" s="48" t="s">
        <v>88</v>
      </c>
      <c r="C213" s="79">
        <v>0.4</v>
      </c>
      <c r="D213" s="79">
        <f t="shared" si="61"/>
        <v>0.47396463630747737</v>
      </c>
      <c r="E213" s="49">
        <v>44300</v>
      </c>
      <c r="F213" s="49">
        <v>45200</v>
      </c>
      <c r="G213" s="49">
        <v>6419324700</v>
      </c>
      <c r="H213" s="49">
        <f t="shared" si="62"/>
        <v>0.45585619760779</v>
      </c>
      <c r="I213" s="49">
        <f t="shared" si="73"/>
        <v>0.45585619760779</v>
      </c>
      <c r="J213" s="48">
        <v>0.3</v>
      </c>
      <c r="K213" s="48">
        <f t="shared" si="63"/>
        <v>0.24418168695508052</v>
      </c>
      <c r="L213" s="48">
        <v>229500</v>
      </c>
      <c r="M213" s="48">
        <v>202000</v>
      </c>
      <c r="N213" s="51">
        <v>125395903</v>
      </c>
      <c r="O213" s="48">
        <f t="shared" si="64"/>
        <v>2.6902217281479599</v>
      </c>
      <c r="P213" s="48">
        <f t="shared" si="74"/>
        <v>2.6902217281479599</v>
      </c>
      <c r="Q213" s="49">
        <v>0.3</v>
      </c>
      <c r="R213" s="49">
        <f t="shared" si="65"/>
        <v>0.2818536767374421</v>
      </c>
      <c r="S213" s="49">
        <v>193600</v>
      </c>
      <c r="T213" s="49">
        <v>181000</v>
      </c>
      <c r="U213" s="49">
        <v>15956260</v>
      </c>
      <c r="V213" s="49">
        <f t="shared" si="66"/>
        <v>27.2347710204326</v>
      </c>
      <c r="W213" s="49">
        <f t="shared" si="75"/>
        <v>27.2347710204326</v>
      </c>
      <c r="X213" s="48">
        <v>0</v>
      </c>
      <c r="Y213" s="48">
        <f t="shared" si="67"/>
        <v>0</v>
      </c>
      <c r="Z213" s="48">
        <v>0</v>
      </c>
      <c r="AA213" s="48">
        <v>0</v>
      </c>
      <c r="AB213" s="48">
        <v>0</v>
      </c>
      <c r="AC213" s="48">
        <f t="shared" si="68"/>
        <v>0</v>
      </c>
      <c r="AD213" s="48">
        <f t="shared" si="76"/>
        <v>0</v>
      </c>
      <c r="AE213" s="49">
        <v>0</v>
      </c>
      <c r="AF213" s="49">
        <f t="shared" si="69"/>
        <v>0</v>
      </c>
      <c r="AG213" s="19">
        <v>23350</v>
      </c>
      <c r="AH213" s="19">
        <v>22200</v>
      </c>
      <c r="AI213" s="19">
        <v>7234332</v>
      </c>
      <c r="AJ213" s="137">
        <f t="shared" si="70"/>
        <v>0</v>
      </c>
      <c r="AK213" s="49">
        <f t="shared" si="77"/>
        <v>0</v>
      </c>
      <c r="AL213" s="82">
        <f t="shared" si="78"/>
        <v>0</v>
      </c>
      <c r="AM213" s="82">
        <f t="shared" si="79"/>
        <v>291304837464665.44</v>
      </c>
      <c r="AN213" s="81">
        <f t="shared" si="71"/>
        <v>279067783459719.66</v>
      </c>
      <c r="AO213" s="80">
        <f t="shared" si="60"/>
        <v>957.99227327822837</v>
      </c>
      <c r="AP213" s="52">
        <f t="shared" si="72"/>
        <v>-4.1618631570698991E-2</v>
      </c>
      <c r="AQ213" s="48">
        <f>(F213-E213)/E213</f>
        <v>2.0316027088036117E-2</v>
      </c>
      <c r="AR213" s="48">
        <f>(M213-L213)/L213</f>
        <v>-0.11982570806100218</v>
      </c>
      <c r="AS213" s="48">
        <f>(T213-S213)/S213</f>
        <v>-6.5082644628099179E-2</v>
      </c>
      <c r="AT213" s="48" t="e">
        <f>(#REF!-#REF!)/#REF!</f>
        <v>#REF!</v>
      </c>
    </row>
    <row r="214" spans="1:46" x14ac:dyDescent="0.3">
      <c r="A214" s="48">
        <v>20181113</v>
      </c>
      <c r="B214" s="48" t="s">
        <v>88</v>
      </c>
      <c r="C214" s="79">
        <v>0.4</v>
      </c>
      <c r="D214" s="79">
        <f t="shared" si="61"/>
        <v>0.46755503139993193</v>
      </c>
      <c r="E214" s="49">
        <v>45200</v>
      </c>
      <c r="F214" s="49">
        <v>44500</v>
      </c>
      <c r="G214" s="49">
        <v>6419324700</v>
      </c>
      <c r="H214" s="49">
        <f t="shared" si="62"/>
        <v>0.45585619760779</v>
      </c>
      <c r="I214" s="49">
        <f t="shared" si="73"/>
        <v>0.45585619760779</v>
      </c>
      <c r="J214" s="48">
        <v>0.3</v>
      </c>
      <c r="K214" s="48">
        <f t="shared" si="63"/>
        <v>0.24285179446173463</v>
      </c>
      <c r="L214" s="48">
        <v>202000</v>
      </c>
      <c r="M214" s="48">
        <v>200500</v>
      </c>
      <c r="N214" s="51">
        <v>125395903</v>
      </c>
      <c r="O214" s="48">
        <f t="shared" si="64"/>
        <v>2.6902217281479599</v>
      </c>
      <c r="P214" s="48">
        <f t="shared" si="74"/>
        <v>2.6902217281479599</v>
      </c>
      <c r="Q214" s="49">
        <v>0.3</v>
      </c>
      <c r="R214" s="49">
        <f t="shared" si="65"/>
        <v>0.28959317413833346</v>
      </c>
      <c r="S214" s="49">
        <v>181000</v>
      </c>
      <c r="T214" s="49">
        <v>185600</v>
      </c>
      <c r="U214" s="49">
        <v>15956260</v>
      </c>
      <c r="V214" s="49">
        <f t="shared" si="66"/>
        <v>27.2347710204326</v>
      </c>
      <c r="W214" s="49">
        <f t="shared" si="75"/>
        <v>27.2347710204326</v>
      </c>
      <c r="X214" s="48">
        <v>0</v>
      </c>
      <c r="Y214" s="48">
        <f t="shared" si="67"/>
        <v>0</v>
      </c>
      <c r="Z214" s="48">
        <v>0</v>
      </c>
      <c r="AA214" s="48">
        <v>0</v>
      </c>
      <c r="AB214" s="48">
        <v>0</v>
      </c>
      <c r="AC214" s="48">
        <f t="shared" si="68"/>
        <v>0</v>
      </c>
      <c r="AD214" s="48">
        <f t="shared" si="76"/>
        <v>0</v>
      </c>
      <c r="AE214" s="49">
        <v>0</v>
      </c>
      <c r="AF214" s="49">
        <f t="shared" si="69"/>
        <v>0</v>
      </c>
      <c r="AG214" s="19">
        <v>22200</v>
      </c>
      <c r="AH214" s="19">
        <v>22250</v>
      </c>
      <c r="AI214" s="19">
        <v>7234332</v>
      </c>
      <c r="AJ214" s="137">
        <f t="shared" si="70"/>
        <v>0</v>
      </c>
      <c r="AK214" s="49">
        <f t="shared" si="77"/>
        <v>0</v>
      </c>
      <c r="AL214" s="82">
        <f t="shared" si="78"/>
        <v>0</v>
      </c>
      <c r="AM214" s="82">
        <f t="shared" si="79"/>
        <v>291304837464665.44</v>
      </c>
      <c r="AN214" s="81">
        <f t="shared" si="71"/>
        <v>278512366423381.84</v>
      </c>
      <c r="AO214" s="80">
        <f t="shared" si="60"/>
        <v>956.08562098514665</v>
      </c>
      <c r="AP214" s="52">
        <f t="shared" si="72"/>
        <v>-1.9902585294943958E-3</v>
      </c>
      <c r="AQ214" s="48">
        <f>(F214-E214)/E214</f>
        <v>-1.5486725663716814E-2</v>
      </c>
      <c r="AR214" s="48">
        <f>(M214-L214)/L214</f>
        <v>-7.4257425742574254E-3</v>
      </c>
      <c r="AS214" s="48">
        <f>(T214-S214)/S214</f>
        <v>2.541436464088398E-2</v>
      </c>
      <c r="AT214" s="48" t="e">
        <f>(#REF!-#REF!)/#REF!</f>
        <v>#REF!</v>
      </c>
    </row>
    <row r="215" spans="1:46" x14ac:dyDescent="0.3">
      <c r="A215" s="48">
        <v>20181114</v>
      </c>
      <c r="B215" s="48" t="s">
        <v>88</v>
      </c>
      <c r="C215" s="79">
        <v>0.4</v>
      </c>
      <c r="D215" s="79">
        <f t="shared" si="61"/>
        <v>0.46124466514265278</v>
      </c>
      <c r="E215" s="49">
        <v>44500</v>
      </c>
      <c r="F215" s="49">
        <v>44100</v>
      </c>
      <c r="G215" s="49">
        <v>6419324700</v>
      </c>
      <c r="H215" s="49">
        <f t="shared" si="62"/>
        <v>0.45585619760779</v>
      </c>
      <c r="I215" s="49">
        <f t="shared" si="73"/>
        <v>0.45585619760779</v>
      </c>
      <c r="J215" s="48">
        <v>0.3</v>
      </c>
      <c r="K215" s="48">
        <f t="shared" si="63"/>
        <v>0.25079005899495588</v>
      </c>
      <c r="L215" s="48">
        <v>200500</v>
      </c>
      <c r="M215" s="48">
        <v>208000</v>
      </c>
      <c r="N215" s="51">
        <v>125395903</v>
      </c>
      <c r="O215" s="48">
        <f t="shared" si="64"/>
        <v>2.6902217281479599</v>
      </c>
      <c r="P215" s="48">
        <f t="shared" si="74"/>
        <v>2.6902217281479599</v>
      </c>
      <c r="Q215" s="49">
        <v>0.3</v>
      </c>
      <c r="R215" s="49">
        <f t="shared" si="65"/>
        <v>0.28796527586239129</v>
      </c>
      <c r="S215" s="49">
        <v>185600</v>
      </c>
      <c r="T215" s="49">
        <v>185400</v>
      </c>
      <c r="U215" s="49">
        <v>15956260</v>
      </c>
      <c r="V215" s="49">
        <f t="shared" si="66"/>
        <v>27.2347710204326</v>
      </c>
      <c r="W215" s="49">
        <f t="shared" si="75"/>
        <v>27.2347710204326</v>
      </c>
      <c r="X215" s="48">
        <v>0</v>
      </c>
      <c r="Y215" s="48">
        <f t="shared" si="67"/>
        <v>0</v>
      </c>
      <c r="Z215" s="48">
        <v>0</v>
      </c>
      <c r="AA215" s="48">
        <v>0</v>
      </c>
      <c r="AB215" s="48">
        <v>0</v>
      </c>
      <c r="AC215" s="48">
        <f t="shared" si="68"/>
        <v>0</v>
      </c>
      <c r="AD215" s="48">
        <f t="shared" si="76"/>
        <v>0</v>
      </c>
      <c r="AE215" s="49">
        <v>0</v>
      </c>
      <c r="AF215" s="49">
        <f t="shared" si="69"/>
        <v>0</v>
      </c>
      <c r="AG215" s="19">
        <v>22250</v>
      </c>
      <c r="AH215" s="19">
        <v>20500</v>
      </c>
      <c r="AI215" s="19">
        <v>7234332</v>
      </c>
      <c r="AJ215" s="137">
        <f t="shared" si="70"/>
        <v>0</v>
      </c>
      <c r="AK215" s="49">
        <f t="shared" si="77"/>
        <v>0</v>
      </c>
      <c r="AL215" s="82">
        <f t="shared" si="78"/>
        <v>0</v>
      </c>
      <c r="AM215" s="82">
        <f t="shared" si="79"/>
        <v>291304837464665.44</v>
      </c>
      <c r="AN215" s="81">
        <f t="shared" si="71"/>
        <v>279785008697847.66</v>
      </c>
      <c r="AO215" s="80">
        <f t="shared" si="60"/>
        <v>960.45438562888569</v>
      </c>
      <c r="AP215" s="52">
        <f t="shared" si="72"/>
        <v>4.5694282476892436E-3</v>
      </c>
      <c r="AQ215" s="48">
        <f>(F215-E215)/E215</f>
        <v>-8.988764044943821E-3</v>
      </c>
      <c r="AR215" s="48">
        <f>(M215-L215)/L215</f>
        <v>3.7406483790523692E-2</v>
      </c>
      <c r="AS215" s="48">
        <f>(T215-S215)/S215</f>
        <v>-1.0775862068965517E-3</v>
      </c>
      <c r="AT215" s="48" t="e">
        <f>(#REF!-#REF!)/#REF!</f>
        <v>#REF!</v>
      </c>
    </row>
    <row r="216" spans="1:46" s="47" customFormat="1" x14ac:dyDescent="0.3">
      <c r="A216" s="48">
        <v>20181115</v>
      </c>
      <c r="B216" s="48" t="s">
        <v>88</v>
      </c>
      <c r="C216" s="79">
        <v>0.4</v>
      </c>
      <c r="D216" s="79">
        <f t="shared" si="61"/>
        <v>0.4551356622837609</v>
      </c>
      <c r="E216" s="49">
        <v>44100</v>
      </c>
      <c r="F216" s="49">
        <v>44250</v>
      </c>
      <c r="G216" s="49">
        <v>6419324700</v>
      </c>
      <c r="H216" s="49">
        <f t="shared" si="62"/>
        <v>0.45585619760779</v>
      </c>
      <c r="I216" s="49">
        <f t="shared" si="73"/>
        <v>0.508822879481031</v>
      </c>
      <c r="J216" s="48">
        <v>0.3</v>
      </c>
      <c r="K216" s="48">
        <f t="shared" si="63"/>
        <v>0.25907961824197495</v>
      </c>
      <c r="L216" s="48">
        <v>208000</v>
      </c>
      <c r="M216" s="48">
        <v>218500</v>
      </c>
      <c r="N216" s="51">
        <v>125456133</v>
      </c>
      <c r="O216" s="48">
        <f t="shared" si="64"/>
        <v>2.6902217281479599</v>
      </c>
      <c r="P216" s="48">
        <f t="shared" si="74"/>
        <v>3.0013614083773201</v>
      </c>
      <c r="Q216" s="49">
        <v>0.3</v>
      </c>
      <c r="R216" s="49">
        <f t="shared" si="65"/>
        <v>0.2857847194742642</v>
      </c>
      <c r="S216" s="49">
        <v>185400</v>
      </c>
      <c r="T216" s="49">
        <v>187100</v>
      </c>
      <c r="U216" s="49">
        <v>15956260</v>
      </c>
      <c r="V216" s="49">
        <f t="shared" si="66"/>
        <v>27.2347710204326</v>
      </c>
      <c r="W216" s="49">
        <f t="shared" si="75"/>
        <v>30.399223889780099</v>
      </c>
      <c r="X216" s="48">
        <v>0</v>
      </c>
      <c r="Y216" s="48">
        <f t="shared" si="67"/>
        <v>0</v>
      </c>
      <c r="Z216" s="48">
        <v>0</v>
      </c>
      <c r="AA216" s="48">
        <v>0</v>
      </c>
      <c r="AB216" s="48">
        <v>0</v>
      </c>
      <c r="AC216" s="48">
        <f t="shared" si="68"/>
        <v>0</v>
      </c>
      <c r="AD216" s="48">
        <f t="shared" si="76"/>
        <v>0</v>
      </c>
      <c r="AE216" s="49">
        <v>0</v>
      </c>
      <c r="AF216" s="49">
        <f t="shared" si="69"/>
        <v>0</v>
      </c>
      <c r="AG216" s="19">
        <v>20500</v>
      </c>
      <c r="AH216" s="19">
        <v>20200</v>
      </c>
      <c r="AI216" s="19">
        <v>7234332</v>
      </c>
      <c r="AJ216" s="137">
        <f t="shared" si="70"/>
        <v>0</v>
      </c>
      <c r="AK216" s="49">
        <f t="shared" si="77"/>
        <v>0</v>
      </c>
      <c r="AL216" s="82">
        <f t="shared" si="78"/>
        <v>1</v>
      </c>
      <c r="AM216" s="82">
        <f t="shared" si="79"/>
        <v>325152025975201.56</v>
      </c>
      <c r="AN216" s="81">
        <f t="shared" si="71"/>
        <v>317561894258358.12</v>
      </c>
      <c r="AO216" s="80">
        <f t="shared" si="60"/>
        <v>976.6566679260909</v>
      </c>
      <c r="AP216" s="52">
        <f t="shared" si="72"/>
        <v>1.6869392799530293E-2</v>
      </c>
      <c r="AQ216" s="48">
        <f>(F216-E216)/E216</f>
        <v>3.4013605442176869E-3</v>
      </c>
      <c r="AR216" s="48">
        <f>(M216-L216)/L216</f>
        <v>5.0480769230769232E-2</v>
      </c>
      <c r="AS216" s="48">
        <f>(T216-S216)/S216</f>
        <v>9.1693635382955763E-3</v>
      </c>
      <c r="AT216" s="48" t="e">
        <f>(#REF!-#REF!)/#REF!</f>
        <v>#REF!</v>
      </c>
    </row>
    <row r="217" spans="1:46" x14ac:dyDescent="0.3">
      <c r="A217" s="48">
        <v>20181116</v>
      </c>
      <c r="B217" s="48" t="s">
        <v>88</v>
      </c>
      <c r="C217" s="79">
        <v>0.4</v>
      </c>
      <c r="D217" s="79">
        <f t="shared" si="61"/>
        <v>0.44853169131379123</v>
      </c>
      <c r="E217" s="49">
        <v>44250</v>
      </c>
      <c r="F217" s="49">
        <v>44000</v>
      </c>
      <c r="G217" s="49">
        <v>6419324700</v>
      </c>
      <c r="H217" s="49">
        <f t="shared" si="62"/>
        <v>0.508822879481031</v>
      </c>
      <c r="I217" s="49">
        <f t="shared" si="73"/>
        <v>0.508822879481031</v>
      </c>
      <c r="J217" s="48">
        <v>0.3</v>
      </c>
      <c r="K217" s="48">
        <f t="shared" si="63"/>
        <v>0.26323442947165188</v>
      </c>
      <c r="L217" s="48">
        <v>218500</v>
      </c>
      <c r="M217" s="48">
        <v>224000</v>
      </c>
      <c r="N217" s="51">
        <v>125456133</v>
      </c>
      <c r="O217" s="48">
        <f t="shared" si="64"/>
        <v>3.0013614083773201</v>
      </c>
      <c r="P217" s="48">
        <f t="shared" si="74"/>
        <v>3.0013614083773201</v>
      </c>
      <c r="Q217" s="49">
        <v>0.3</v>
      </c>
      <c r="R217" s="49">
        <f t="shared" si="65"/>
        <v>0.2882338792145569</v>
      </c>
      <c r="S217" s="49">
        <v>187100</v>
      </c>
      <c r="T217" s="49">
        <v>190400</v>
      </c>
      <c r="U217" s="49">
        <v>15956260</v>
      </c>
      <c r="V217" s="49">
        <f t="shared" si="66"/>
        <v>30.399223889780099</v>
      </c>
      <c r="W217" s="49">
        <f t="shared" si="75"/>
        <v>30.399223889780099</v>
      </c>
      <c r="X217" s="48">
        <v>0</v>
      </c>
      <c r="Y217" s="48">
        <f t="shared" si="67"/>
        <v>0</v>
      </c>
      <c r="Z217" s="48">
        <v>0</v>
      </c>
      <c r="AA217" s="48">
        <v>0</v>
      </c>
      <c r="AB217" s="48">
        <v>0</v>
      </c>
      <c r="AC217" s="48">
        <f t="shared" si="68"/>
        <v>0</v>
      </c>
      <c r="AD217" s="48">
        <f t="shared" si="76"/>
        <v>0</v>
      </c>
      <c r="AE217" s="49">
        <v>0</v>
      </c>
      <c r="AF217" s="49">
        <f t="shared" si="69"/>
        <v>0</v>
      </c>
      <c r="AG217" s="19">
        <v>20200</v>
      </c>
      <c r="AH217" s="19">
        <v>21050</v>
      </c>
      <c r="AI217" s="19">
        <v>7234332</v>
      </c>
      <c r="AJ217" s="137">
        <f t="shared" si="70"/>
        <v>0</v>
      </c>
      <c r="AK217" s="49">
        <f t="shared" si="77"/>
        <v>0</v>
      </c>
      <c r="AL217" s="82">
        <f t="shared" si="78"/>
        <v>0</v>
      </c>
      <c r="AM217" s="82">
        <f t="shared" si="79"/>
        <v>325152025975201.56</v>
      </c>
      <c r="AN217" s="81">
        <f t="shared" si="71"/>
        <v>320416976153586.87</v>
      </c>
      <c r="AO217" s="80">
        <f t="shared" si="60"/>
        <v>985.437427900339</v>
      </c>
      <c r="AP217" s="52">
        <f t="shared" si="72"/>
        <v>8.9906312654311274E-3</v>
      </c>
      <c r="AQ217" s="48">
        <f>(F217-E217)/E217</f>
        <v>-5.6497175141242938E-3</v>
      </c>
      <c r="AR217" s="48">
        <f>(M217-L217)/L217</f>
        <v>2.5171624713958809E-2</v>
      </c>
      <c r="AS217" s="48">
        <f>(T217-S217)/S217</f>
        <v>1.7637626937466594E-2</v>
      </c>
      <c r="AT217" s="48" t="e">
        <f>(#REF!-#REF!)/#REF!</f>
        <v>#REF!</v>
      </c>
    </row>
    <row r="218" spans="1:46" x14ac:dyDescent="0.3">
      <c r="A218" s="48">
        <v>20181119</v>
      </c>
      <c r="B218" s="48" t="s">
        <v>88</v>
      </c>
      <c r="C218" s="79">
        <v>0.4</v>
      </c>
      <c r="D218" s="79">
        <f t="shared" si="61"/>
        <v>0.4364897180854837</v>
      </c>
      <c r="E218" s="49">
        <v>44000</v>
      </c>
      <c r="F218" s="49">
        <v>43650</v>
      </c>
      <c r="G218" s="49">
        <v>6419324700</v>
      </c>
      <c r="H218" s="49">
        <f t="shared" si="62"/>
        <v>0.508822879481031</v>
      </c>
      <c r="I218" s="49">
        <f t="shared" si="73"/>
        <v>0.508822879481031</v>
      </c>
      <c r="J218" s="48">
        <v>0.3</v>
      </c>
      <c r="K218" s="48">
        <f t="shared" si="63"/>
        <v>0.2639851324948625</v>
      </c>
      <c r="L218" s="48">
        <v>224000</v>
      </c>
      <c r="M218" s="48">
        <v>229000</v>
      </c>
      <c r="N218" s="51">
        <v>125456133</v>
      </c>
      <c r="O218" s="48">
        <f t="shared" si="64"/>
        <v>3.0013614083773201</v>
      </c>
      <c r="P218" s="48">
        <f t="shared" si="74"/>
        <v>3.0013614083773201</v>
      </c>
      <c r="Q218" s="49">
        <v>0.3</v>
      </c>
      <c r="R218" s="49">
        <f t="shared" si="65"/>
        <v>0.29952514941965375</v>
      </c>
      <c r="S218" s="49">
        <v>190400</v>
      </c>
      <c r="T218" s="49">
        <v>201700</v>
      </c>
      <c r="U218" s="49">
        <v>15956260</v>
      </c>
      <c r="V218" s="49">
        <f t="shared" si="66"/>
        <v>30.399223889780099</v>
      </c>
      <c r="W218" s="49">
        <f t="shared" si="75"/>
        <v>30.399223889780099</v>
      </c>
      <c r="X218" s="48">
        <v>0</v>
      </c>
      <c r="Y218" s="48">
        <f t="shared" si="67"/>
        <v>0</v>
      </c>
      <c r="Z218" s="136">
        <v>0</v>
      </c>
      <c r="AA218" s="136">
        <v>0</v>
      </c>
      <c r="AB218" s="136">
        <v>0</v>
      </c>
      <c r="AC218" s="48">
        <f t="shared" si="68"/>
        <v>0</v>
      </c>
      <c r="AD218" s="48">
        <f t="shared" si="76"/>
        <v>0</v>
      </c>
      <c r="AE218" s="49">
        <v>0</v>
      </c>
      <c r="AF218" s="49">
        <f t="shared" si="69"/>
        <v>0</v>
      </c>
      <c r="AG218" s="19">
        <v>21050</v>
      </c>
      <c r="AH218" s="19">
        <v>20850</v>
      </c>
      <c r="AI218" s="19">
        <v>7234332</v>
      </c>
      <c r="AJ218" s="137">
        <f t="shared" si="70"/>
        <v>0</v>
      </c>
      <c r="AK218" s="49">
        <f t="shared" si="77"/>
        <v>0</v>
      </c>
      <c r="AL218" s="82">
        <f t="shared" si="78"/>
        <v>0</v>
      </c>
      <c r="AM218" s="82">
        <f t="shared" si="79"/>
        <v>325152025975201.56</v>
      </c>
      <c r="AN218" s="81">
        <f t="shared" si="71"/>
        <v>326637621884451</v>
      </c>
      <c r="AO218" s="80">
        <f t="shared" si="60"/>
        <v>1004.5689271189186</v>
      </c>
      <c r="AP218" s="52">
        <f t="shared" si="72"/>
        <v>1.9414220200000828E-2</v>
      </c>
      <c r="AQ218" s="48">
        <f>(F218-E218)/E218</f>
        <v>-7.9545454545454537E-3</v>
      </c>
      <c r="AR218" s="48">
        <f>(M218-L218)/L218</f>
        <v>2.2321428571428572E-2</v>
      </c>
      <c r="AS218" s="48">
        <f>(T218-S218)/S218</f>
        <v>5.9348739495798317E-2</v>
      </c>
      <c r="AT218" s="48" t="e">
        <f>(#REF!-#REF!)/#REF!</f>
        <v>#REF!</v>
      </c>
    </row>
    <row r="219" spans="1:46" x14ac:dyDescent="0.3">
      <c r="A219" s="48">
        <v>20181120</v>
      </c>
      <c r="B219" s="48" t="s">
        <v>88</v>
      </c>
      <c r="C219" s="79">
        <v>0.4</v>
      </c>
      <c r="D219" s="79">
        <f t="shared" si="61"/>
        <v>0.43733421284795215</v>
      </c>
      <c r="E219" s="49">
        <v>43650</v>
      </c>
      <c r="F219" s="49">
        <v>42800</v>
      </c>
      <c r="G219" s="49">
        <v>6419324700</v>
      </c>
      <c r="H219" s="49">
        <f t="shared" si="62"/>
        <v>0.508822879481031</v>
      </c>
      <c r="I219" s="49">
        <f t="shared" si="73"/>
        <v>0.508822879481031</v>
      </c>
      <c r="J219" s="48">
        <v>0.3</v>
      </c>
      <c r="K219" s="48">
        <f t="shared" si="63"/>
        <v>0.26798180115429243</v>
      </c>
      <c r="L219" s="48">
        <v>229000</v>
      </c>
      <c r="M219" s="48">
        <v>227500</v>
      </c>
      <c r="N219" s="51">
        <v>125456133</v>
      </c>
      <c r="O219" s="48">
        <f t="shared" si="64"/>
        <v>3.0013614083773201</v>
      </c>
      <c r="P219" s="48">
        <f t="shared" si="74"/>
        <v>3.0013614083773201</v>
      </c>
      <c r="Q219" s="49">
        <v>0.3</v>
      </c>
      <c r="R219" s="49">
        <f t="shared" si="65"/>
        <v>0.29468398599775542</v>
      </c>
      <c r="S219" s="49">
        <v>201700</v>
      </c>
      <c r="T219" s="49">
        <v>194200</v>
      </c>
      <c r="U219" s="49">
        <v>15956260</v>
      </c>
      <c r="V219" s="49">
        <f t="shared" si="66"/>
        <v>30.399223889780099</v>
      </c>
      <c r="W219" s="49">
        <f t="shared" si="75"/>
        <v>30.399223889780099</v>
      </c>
      <c r="X219" s="48">
        <v>0</v>
      </c>
      <c r="Y219" s="76">
        <f t="shared" si="67"/>
        <v>0</v>
      </c>
      <c r="Z219" s="18">
        <v>10325</v>
      </c>
      <c r="AA219" s="18">
        <v>10190</v>
      </c>
      <c r="AB219" s="18">
        <v>4500000</v>
      </c>
      <c r="AC219" s="135">
        <f t="shared" si="68"/>
        <v>0</v>
      </c>
      <c r="AD219" s="48">
        <f t="shared" si="76"/>
        <v>0</v>
      </c>
      <c r="AE219" s="49">
        <v>0</v>
      </c>
      <c r="AF219" s="49">
        <f t="shared" si="69"/>
        <v>0</v>
      </c>
      <c r="AG219" s="19">
        <v>20850</v>
      </c>
      <c r="AH219" s="19">
        <v>19700</v>
      </c>
      <c r="AI219" s="19">
        <v>7234332</v>
      </c>
      <c r="AJ219" s="137">
        <f t="shared" si="70"/>
        <v>0</v>
      </c>
      <c r="AK219" s="49">
        <f t="shared" si="77"/>
        <v>0</v>
      </c>
      <c r="AL219" s="82">
        <f t="shared" si="78"/>
        <v>0</v>
      </c>
      <c r="AM219" s="82">
        <f t="shared" si="79"/>
        <v>325152025975201.56</v>
      </c>
      <c r="AN219" s="81">
        <f t="shared" si="71"/>
        <v>319658524302577.69</v>
      </c>
      <c r="AO219" s="80">
        <f t="shared" si="60"/>
        <v>983.10482102595654</v>
      </c>
      <c r="AP219" s="52">
        <f t="shared" si="72"/>
        <v>-2.1366484183938144E-2</v>
      </c>
      <c r="AQ219" s="48">
        <f>(F219-E219)/E219</f>
        <v>-1.9473081328751432E-2</v>
      </c>
      <c r="AR219" s="48">
        <f>(M219-L219)/L219</f>
        <v>-6.5502183406113534E-3</v>
      </c>
      <c r="AS219" s="48">
        <f>(T219-S219)/S219</f>
        <v>-3.7183936539414972E-2</v>
      </c>
      <c r="AT219" s="48" t="e">
        <f>(#REF!-#REF!)/#REF!</f>
        <v>#REF!</v>
      </c>
    </row>
    <row r="220" spans="1:46" x14ac:dyDescent="0.3">
      <c r="A220" s="48">
        <v>20181121</v>
      </c>
      <c r="B220" s="48" t="s">
        <v>88</v>
      </c>
      <c r="C220" s="79">
        <v>0.4</v>
      </c>
      <c r="D220" s="79">
        <f t="shared" si="61"/>
        <v>0.43664456050895262</v>
      </c>
      <c r="E220" s="49">
        <v>42800</v>
      </c>
      <c r="F220" s="49">
        <v>42100</v>
      </c>
      <c r="G220" s="49">
        <v>6419324700</v>
      </c>
      <c r="H220" s="49">
        <f t="shared" si="62"/>
        <v>0.508822879481031</v>
      </c>
      <c r="I220" s="49">
        <f t="shared" si="73"/>
        <v>0.508822879481031</v>
      </c>
      <c r="J220" s="48">
        <v>0.3</v>
      </c>
      <c r="K220" s="48">
        <f t="shared" si="63"/>
        <v>0.26901883811444199</v>
      </c>
      <c r="L220" s="48">
        <v>227500</v>
      </c>
      <c r="M220" s="48">
        <v>225000</v>
      </c>
      <c r="N220" s="51">
        <v>125456133</v>
      </c>
      <c r="O220" s="48">
        <f t="shared" si="64"/>
        <v>3.0013614083773201</v>
      </c>
      <c r="P220" s="48">
        <f t="shared" si="74"/>
        <v>3.0013614083773201</v>
      </c>
      <c r="Q220" s="49">
        <v>0.3</v>
      </c>
      <c r="R220" s="49">
        <f t="shared" si="65"/>
        <v>0.29433660137660539</v>
      </c>
      <c r="S220" s="49">
        <v>194200</v>
      </c>
      <c r="T220" s="49">
        <v>191100</v>
      </c>
      <c r="U220" s="49">
        <v>15956260</v>
      </c>
      <c r="V220" s="49">
        <f t="shared" si="66"/>
        <v>30.399223889780099</v>
      </c>
      <c r="W220" s="49">
        <f t="shared" si="75"/>
        <v>30.399223889780099</v>
      </c>
      <c r="X220" s="48">
        <v>0</v>
      </c>
      <c r="Y220" s="76">
        <f t="shared" si="67"/>
        <v>0</v>
      </c>
      <c r="Z220" s="18">
        <v>10190</v>
      </c>
      <c r="AA220" s="18">
        <v>10090</v>
      </c>
      <c r="AB220" s="18">
        <v>4500000</v>
      </c>
      <c r="AC220" s="135">
        <f t="shared" si="68"/>
        <v>0</v>
      </c>
      <c r="AD220" s="48">
        <f t="shared" si="76"/>
        <v>0</v>
      </c>
      <c r="AE220" s="49">
        <v>0</v>
      </c>
      <c r="AF220" s="49">
        <f t="shared" si="69"/>
        <v>0</v>
      </c>
      <c r="AG220" s="19">
        <v>19700</v>
      </c>
      <c r="AH220" s="19">
        <v>19050</v>
      </c>
      <c r="AI220" s="19">
        <v>7234332</v>
      </c>
      <c r="AJ220" s="137">
        <f t="shared" si="70"/>
        <v>0</v>
      </c>
      <c r="AK220" s="49">
        <f t="shared" si="77"/>
        <v>0</v>
      </c>
      <c r="AL220" s="82">
        <f t="shared" si="78"/>
        <v>0</v>
      </c>
      <c r="AM220" s="82">
        <f t="shared" si="79"/>
        <v>325152025975201.56</v>
      </c>
      <c r="AN220" s="81">
        <f t="shared" si="71"/>
        <v>314927087265208.19</v>
      </c>
      <c r="AO220" s="80">
        <f t="shared" si="60"/>
        <v>968.55335998806538</v>
      </c>
      <c r="AP220" s="52">
        <f t="shared" si="72"/>
        <v>-1.4801535631475621E-2</v>
      </c>
      <c r="AQ220" s="48">
        <f>(F220-E220)/E220</f>
        <v>-1.6355140186915886E-2</v>
      </c>
      <c r="AR220" s="48">
        <f>(M220-L220)/L220</f>
        <v>-1.098901098901099E-2</v>
      </c>
      <c r="AS220" s="48">
        <f>(T220-S220)/S220</f>
        <v>-1.596292481977343E-2</v>
      </c>
      <c r="AT220" s="48" t="e">
        <f>(#REF!-#REF!)/#REF!</f>
        <v>#REF!</v>
      </c>
    </row>
    <row r="221" spans="1:46" x14ac:dyDescent="0.3">
      <c r="A221" s="48">
        <v>20181122</v>
      </c>
      <c r="B221" s="48" t="s">
        <v>88</v>
      </c>
      <c r="C221" s="79">
        <v>0.4</v>
      </c>
      <c r="D221" s="79">
        <f t="shared" si="61"/>
        <v>0.43717434338696065</v>
      </c>
      <c r="E221" s="49">
        <v>42100</v>
      </c>
      <c r="F221" s="49">
        <v>42450</v>
      </c>
      <c r="G221" s="49">
        <v>6419324700</v>
      </c>
      <c r="H221" s="49">
        <f t="shared" si="62"/>
        <v>0.508822879481031</v>
      </c>
      <c r="I221" s="49">
        <f t="shared" si="73"/>
        <v>0.508822879481031</v>
      </c>
      <c r="J221" s="48">
        <v>0.3</v>
      </c>
      <c r="K221" s="48">
        <f t="shared" si="63"/>
        <v>0.2647500500950265</v>
      </c>
      <c r="L221" s="48">
        <v>225000</v>
      </c>
      <c r="M221" s="48">
        <v>223000</v>
      </c>
      <c r="N221" s="51">
        <v>125456133</v>
      </c>
      <c r="O221" s="48">
        <f t="shared" si="64"/>
        <v>3.0013614083773201</v>
      </c>
      <c r="P221" s="48">
        <f t="shared" si="74"/>
        <v>3.0013614083773201</v>
      </c>
      <c r="Q221" s="49">
        <v>0.3</v>
      </c>
      <c r="R221" s="49">
        <f t="shared" si="65"/>
        <v>0.29807560651801279</v>
      </c>
      <c r="S221" s="49">
        <v>191100</v>
      </c>
      <c r="T221" s="49">
        <v>194900</v>
      </c>
      <c r="U221" s="49">
        <v>15956260</v>
      </c>
      <c r="V221" s="49">
        <f t="shared" si="66"/>
        <v>30.399223889780099</v>
      </c>
      <c r="W221" s="49">
        <f t="shared" si="75"/>
        <v>30.399223889780099</v>
      </c>
      <c r="X221" s="48">
        <v>0</v>
      </c>
      <c r="Y221" s="76">
        <f t="shared" si="67"/>
        <v>0</v>
      </c>
      <c r="Z221" s="18">
        <v>10090</v>
      </c>
      <c r="AA221" s="18">
        <v>10115</v>
      </c>
      <c r="AB221" s="18">
        <v>4500000</v>
      </c>
      <c r="AC221" s="135">
        <f t="shared" si="68"/>
        <v>0</v>
      </c>
      <c r="AD221" s="48">
        <f t="shared" si="76"/>
        <v>0</v>
      </c>
      <c r="AE221" s="49">
        <v>0</v>
      </c>
      <c r="AF221" s="49">
        <f t="shared" si="69"/>
        <v>0</v>
      </c>
      <c r="AG221" s="19">
        <v>19050</v>
      </c>
      <c r="AH221" s="19">
        <v>18350</v>
      </c>
      <c r="AI221" s="19">
        <v>7234332</v>
      </c>
      <c r="AJ221" s="137">
        <f t="shared" si="70"/>
        <v>0</v>
      </c>
      <c r="AK221" s="49">
        <f t="shared" si="77"/>
        <v>0</v>
      </c>
      <c r="AL221" s="82">
        <f t="shared" si="78"/>
        <v>0</v>
      </c>
      <c r="AM221" s="82">
        <f t="shared" si="79"/>
        <v>325152025975201.56</v>
      </c>
      <c r="AN221" s="81">
        <f t="shared" si="71"/>
        <v>317160433717206.94</v>
      </c>
      <c r="AO221" s="80">
        <f t="shared" si="60"/>
        <v>975.42198227421125</v>
      </c>
      <c r="AP221" s="52">
        <f t="shared" si="72"/>
        <v>7.0916302290567664E-3</v>
      </c>
      <c r="AQ221" s="48">
        <f>(F221-E221)/E221</f>
        <v>8.3135391923990498E-3</v>
      </c>
      <c r="AR221" s="48">
        <f>(M221-L221)/L221</f>
        <v>-8.8888888888888889E-3</v>
      </c>
      <c r="AS221" s="48">
        <f>(T221-S221)/S221</f>
        <v>1.9884877027734171E-2</v>
      </c>
      <c r="AT221" s="48" t="e">
        <f>(#REF!-#REF!)/#REF!</f>
        <v>#REF!</v>
      </c>
    </row>
    <row r="222" spans="1:46" x14ac:dyDescent="0.3">
      <c r="A222" s="48">
        <v>20181123</v>
      </c>
      <c r="B222" s="48" t="s">
        <v>88</v>
      </c>
      <c r="C222" s="79">
        <v>0.4</v>
      </c>
      <c r="D222" s="79">
        <f t="shared" si="61"/>
        <v>0.44178715806775298</v>
      </c>
      <c r="E222" s="49">
        <v>42450</v>
      </c>
      <c r="F222" s="49">
        <v>42400</v>
      </c>
      <c r="G222" s="49">
        <v>6419324700</v>
      </c>
      <c r="H222" s="49">
        <f t="shared" si="62"/>
        <v>0.508822879481031</v>
      </c>
      <c r="I222" s="49">
        <f t="shared" si="73"/>
        <v>0.508822879481031</v>
      </c>
      <c r="J222" s="48">
        <v>0.3</v>
      </c>
      <c r="K222" s="48">
        <f t="shared" si="63"/>
        <v>0.26545671805585019</v>
      </c>
      <c r="L222" s="48">
        <v>223000</v>
      </c>
      <c r="M222" s="48">
        <v>221000</v>
      </c>
      <c r="N222" s="51">
        <v>125456133</v>
      </c>
      <c r="O222" s="48">
        <f t="shared" si="64"/>
        <v>3.0013614083773201</v>
      </c>
      <c r="P222" s="48">
        <f t="shared" si="74"/>
        <v>3.0013614083773201</v>
      </c>
      <c r="Q222" s="49">
        <v>0.3</v>
      </c>
      <c r="R222" s="49">
        <f t="shared" si="65"/>
        <v>0.29275612387639693</v>
      </c>
      <c r="S222" s="49">
        <v>194900</v>
      </c>
      <c r="T222" s="49">
        <v>189200</v>
      </c>
      <c r="U222" s="49">
        <v>15956260</v>
      </c>
      <c r="V222" s="49">
        <f t="shared" si="66"/>
        <v>30.399223889780099</v>
      </c>
      <c r="W222" s="49">
        <f t="shared" si="75"/>
        <v>30.399223889780099</v>
      </c>
      <c r="X222" s="48">
        <v>0</v>
      </c>
      <c r="Y222" s="76">
        <f t="shared" si="67"/>
        <v>0</v>
      </c>
      <c r="Z222" s="18">
        <v>10115</v>
      </c>
      <c r="AA222" s="18">
        <v>10065</v>
      </c>
      <c r="AB222" s="18">
        <v>4500000</v>
      </c>
      <c r="AC222" s="135">
        <f t="shared" si="68"/>
        <v>0</v>
      </c>
      <c r="AD222" s="48">
        <f t="shared" si="76"/>
        <v>0</v>
      </c>
      <c r="AE222" s="49">
        <v>0</v>
      </c>
      <c r="AF222" s="49">
        <f t="shared" si="69"/>
        <v>0</v>
      </c>
      <c r="AG222" s="19">
        <v>18350</v>
      </c>
      <c r="AH222" s="19">
        <v>17200</v>
      </c>
      <c r="AI222" s="19">
        <v>7234332</v>
      </c>
      <c r="AJ222" s="137">
        <f t="shared" si="70"/>
        <v>0</v>
      </c>
      <c r="AK222" s="49">
        <f t="shared" si="77"/>
        <v>0</v>
      </c>
      <c r="AL222" s="82">
        <f t="shared" si="78"/>
        <v>0</v>
      </c>
      <c r="AM222" s="82">
        <f t="shared" si="79"/>
        <v>325152025975201.56</v>
      </c>
      <c r="AN222" s="81">
        <f t="shared" si="71"/>
        <v>313479210216190.94</v>
      </c>
      <c r="AO222" s="80">
        <f t="shared" si="60"/>
        <v>964.10043663728891</v>
      </c>
      <c r="AP222" s="52">
        <f t="shared" si="72"/>
        <v>-1.1606818220895515E-2</v>
      </c>
      <c r="AQ222" s="48">
        <f>(F222-E222)/E222</f>
        <v>-1.1778563015312131E-3</v>
      </c>
      <c r="AR222" s="48">
        <f>(M222-L222)/L222</f>
        <v>-8.9686098654708519E-3</v>
      </c>
      <c r="AS222" s="48">
        <f>(T222-S222)/S222</f>
        <v>-2.9245767060030785E-2</v>
      </c>
      <c r="AT222" s="48" t="e">
        <f>(#REF!-#REF!)/#REF!</f>
        <v>#REF!</v>
      </c>
    </row>
    <row r="223" spans="1:46" x14ac:dyDescent="0.3">
      <c r="A223" s="48">
        <v>20181126</v>
      </c>
      <c r="B223" s="48" t="s">
        <v>88</v>
      </c>
      <c r="C223" s="79">
        <v>0.4</v>
      </c>
      <c r="D223" s="79">
        <f t="shared" si="61"/>
        <v>0.42926866795035035</v>
      </c>
      <c r="E223" s="49">
        <v>42400</v>
      </c>
      <c r="F223" s="49">
        <v>42600</v>
      </c>
      <c r="G223" s="49">
        <v>6419324700</v>
      </c>
      <c r="H223" s="49">
        <f t="shared" si="62"/>
        <v>0.508822879481031</v>
      </c>
      <c r="I223" s="49">
        <f t="shared" si="73"/>
        <v>0.508822879481031</v>
      </c>
      <c r="J223" s="48">
        <v>0.3</v>
      </c>
      <c r="K223" s="48">
        <f t="shared" si="63"/>
        <v>0.27937586711674001</v>
      </c>
      <c r="L223" s="48">
        <v>221000</v>
      </c>
      <c r="M223" s="48">
        <v>240500</v>
      </c>
      <c r="N223" s="51">
        <v>125456133</v>
      </c>
      <c r="O223" s="48">
        <f t="shared" si="64"/>
        <v>3.0013614083773201</v>
      </c>
      <c r="P223" s="48">
        <f t="shared" si="74"/>
        <v>3.0013614083773201</v>
      </c>
      <c r="Q223" s="49">
        <v>0.3</v>
      </c>
      <c r="R223" s="49">
        <f t="shared" si="65"/>
        <v>0.29135546493290959</v>
      </c>
      <c r="S223" s="49">
        <v>189200</v>
      </c>
      <c r="T223" s="49">
        <v>194700</v>
      </c>
      <c r="U223" s="49">
        <v>15956260</v>
      </c>
      <c r="V223" s="49">
        <f t="shared" si="66"/>
        <v>30.399223889780099</v>
      </c>
      <c r="W223" s="49">
        <f t="shared" si="75"/>
        <v>30.399223889780099</v>
      </c>
      <c r="X223" s="48">
        <v>0</v>
      </c>
      <c r="Y223" s="76">
        <f t="shared" si="67"/>
        <v>0</v>
      </c>
      <c r="Z223" s="18">
        <v>10065</v>
      </c>
      <c r="AA223" s="18">
        <v>10190</v>
      </c>
      <c r="AB223" s="18">
        <v>4500000</v>
      </c>
      <c r="AC223" s="135">
        <f t="shared" si="68"/>
        <v>0</v>
      </c>
      <c r="AD223" s="48">
        <f t="shared" si="76"/>
        <v>0</v>
      </c>
      <c r="AE223" s="49">
        <v>0</v>
      </c>
      <c r="AF223" s="49">
        <f t="shared" si="69"/>
        <v>0</v>
      </c>
      <c r="AG223" s="19">
        <v>17200</v>
      </c>
      <c r="AH223" s="19">
        <v>17400</v>
      </c>
      <c r="AI223" s="19">
        <v>7234332</v>
      </c>
      <c r="AJ223" s="137">
        <f t="shared" si="70"/>
        <v>0</v>
      </c>
      <c r="AK223" s="49">
        <f t="shared" si="77"/>
        <v>0</v>
      </c>
      <c r="AL223" s="82">
        <f t="shared" si="78"/>
        <v>0</v>
      </c>
      <c r="AM223" s="82">
        <f t="shared" si="79"/>
        <v>325152025975201.56</v>
      </c>
      <c r="AN223" s="81">
        <f t="shared" si="71"/>
        <v>324142802955429.81</v>
      </c>
      <c r="AO223" s="80">
        <f t="shared" si="60"/>
        <v>996.8961502954046</v>
      </c>
      <c r="AP223" s="52">
        <f t="shared" si="72"/>
        <v>3.4016905720429619E-2</v>
      </c>
      <c r="AQ223" s="48">
        <f>(F223-E223)/E223</f>
        <v>4.7169811320754715E-3</v>
      </c>
      <c r="AR223" s="48">
        <f>(M223-L223)/L223</f>
        <v>8.8235294117647065E-2</v>
      </c>
      <c r="AS223" s="48">
        <f>(T223-S223)/S223</f>
        <v>2.9069767441860465E-2</v>
      </c>
      <c r="AT223" s="48" t="e">
        <f>(#REF!-#REF!)/#REF!</f>
        <v>#REF!</v>
      </c>
    </row>
    <row r="224" spans="1:46" x14ac:dyDescent="0.3">
      <c r="A224" s="48">
        <v>20181127</v>
      </c>
      <c r="B224" s="48" t="s">
        <v>88</v>
      </c>
      <c r="C224" s="79">
        <v>0.4</v>
      </c>
      <c r="D224" s="79">
        <f t="shared" si="61"/>
        <v>0.42791866458538846</v>
      </c>
      <c r="E224" s="49">
        <v>42600</v>
      </c>
      <c r="F224" s="49">
        <v>43050</v>
      </c>
      <c r="G224" s="49">
        <v>6419324700</v>
      </c>
      <c r="H224" s="49">
        <f t="shared" si="62"/>
        <v>0.508822879481031</v>
      </c>
      <c r="I224" s="49">
        <f t="shared" si="73"/>
        <v>0.508822879481031</v>
      </c>
      <c r="J224" s="48">
        <v>0.3</v>
      </c>
      <c r="K224" s="48">
        <f t="shared" si="63"/>
        <v>0.2727214183705885</v>
      </c>
      <c r="L224" s="48">
        <v>240500</v>
      </c>
      <c r="M224" s="48">
        <v>238000</v>
      </c>
      <c r="N224" s="51">
        <v>125456133</v>
      </c>
      <c r="O224" s="48">
        <f t="shared" si="64"/>
        <v>3.0013614083773201</v>
      </c>
      <c r="P224" s="48">
        <f t="shared" si="74"/>
        <v>3.0013614083773201</v>
      </c>
      <c r="Q224" s="49">
        <v>0.3</v>
      </c>
      <c r="R224" s="49">
        <f t="shared" si="65"/>
        <v>0.29935991704402309</v>
      </c>
      <c r="S224" s="49">
        <v>194700</v>
      </c>
      <c r="T224" s="49">
        <v>202800</v>
      </c>
      <c r="U224" s="49">
        <v>15956260</v>
      </c>
      <c r="V224" s="49">
        <f t="shared" si="66"/>
        <v>30.399223889780099</v>
      </c>
      <c r="W224" s="49">
        <f t="shared" si="75"/>
        <v>30.399223889780099</v>
      </c>
      <c r="X224" s="48">
        <v>0</v>
      </c>
      <c r="Y224" s="76">
        <f t="shared" si="67"/>
        <v>0</v>
      </c>
      <c r="Z224" s="18">
        <v>10190</v>
      </c>
      <c r="AA224" s="18">
        <v>10290</v>
      </c>
      <c r="AB224" s="18">
        <v>4500000</v>
      </c>
      <c r="AC224" s="135">
        <f t="shared" si="68"/>
        <v>0</v>
      </c>
      <c r="AD224" s="48">
        <f t="shared" si="76"/>
        <v>0</v>
      </c>
      <c r="AE224" s="49">
        <v>0</v>
      </c>
      <c r="AF224" s="49">
        <f t="shared" si="69"/>
        <v>0</v>
      </c>
      <c r="AG224" s="19">
        <v>17400</v>
      </c>
      <c r="AH224" s="19">
        <v>18150</v>
      </c>
      <c r="AI224" s="19">
        <v>7234332</v>
      </c>
      <c r="AJ224" s="137">
        <f t="shared" si="70"/>
        <v>0</v>
      </c>
      <c r="AK224" s="49">
        <f t="shared" si="77"/>
        <v>0</v>
      </c>
      <c r="AL224" s="82">
        <f t="shared" si="78"/>
        <v>0</v>
      </c>
      <c r="AM224" s="82">
        <f t="shared" si="79"/>
        <v>325152025975201.56</v>
      </c>
      <c r="AN224" s="81">
        <f t="shared" si="71"/>
        <v>328600258794020.31</v>
      </c>
      <c r="AO224" s="80">
        <f t="shared" si="60"/>
        <v>1010.6049864166669</v>
      </c>
      <c r="AP224" s="52">
        <f t="shared" si="72"/>
        <v>1.3751518768730328E-2</v>
      </c>
      <c r="AQ224" s="48">
        <f>(F224-E224)/E224</f>
        <v>1.0563380281690141E-2</v>
      </c>
      <c r="AR224" s="48">
        <f>(M224-L224)/L224</f>
        <v>-1.0395010395010396E-2</v>
      </c>
      <c r="AS224" s="48">
        <f>(T224-S224)/S224</f>
        <v>4.1602465331278891E-2</v>
      </c>
      <c r="AT224" s="48" t="e">
        <f>(#REF!-#REF!)/#REF!</f>
        <v>#REF!</v>
      </c>
    </row>
    <row r="225" spans="1:46" x14ac:dyDescent="0.3">
      <c r="A225" s="48">
        <v>20181128</v>
      </c>
      <c r="B225" s="48" t="s">
        <v>88</v>
      </c>
      <c r="C225" s="79">
        <v>0.4</v>
      </c>
      <c r="D225" s="79">
        <f t="shared" si="61"/>
        <v>0.43189580772278147</v>
      </c>
      <c r="E225" s="49">
        <v>43050</v>
      </c>
      <c r="F225" s="49">
        <v>43150</v>
      </c>
      <c r="G225" s="49">
        <v>6419324700</v>
      </c>
      <c r="H225" s="49">
        <f t="shared" si="62"/>
        <v>0.508822879481031</v>
      </c>
      <c r="I225" s="49">
        <f t="shared" si="73"/>
        <v>0.508822879481031</v>
      </c>
      <c r="J225" s="48">
        <v>0.3</v>
      </c>
      <c r="K225" s="48">
        <f t="shared" si="63"/>
        <v>0.27231051247667803</v>
      </c>
      <c r="L225" s="48">
        <v>238000</v>
      </c>
      <c r="M225" s="48">
        <v>236000</v>
      </c>
      <c r="N225" s="51">
        <v>125456133</v>
      </c>
      <c r="O225" s="48">
        <f t="shared" si="64"/>
        <v>3.0013614083773201</v>
      </c>
      <c r="P225" s="48">
        <f t="shared" si="74"/>
        <v>3.0013614083773201</v>
      </c>
      <c r="Q225" s="49">
        <v>0.3</v>
      </c>
      <c r="R225" s="49">
        <f t="shared" si="65"/>
        <v>0.2957936798005405</v>
      </c>
      <c r="S225" s="49">
        <v>202800</v>
      </c>
      <c r="T225" s="49">
        <v>199000</v>
      </c>
      <c r="U225" s="49">
        <v>15956260</v>
      </c>
      <c r="V225" s="49">
        <f t="shared" si="66"/>
        <v>30.399223889780099</v>
      </c>
      <c r="W225" s="49">
        <f t="shared" si="75"/>
        <v>30.399223889780099</v>
      </c>
      <c r="X225" s="48">
        <v>0</v>
      </c>
      <c r="Y225" s="76">
        <f t="shared" si="67"/>
        <v>0</v>
      </c>
      <c r="Z225" s="18">
        <v>10290</v>
      </c>
      <c r="AA225" s="18">
        <v>10300</v>
      </c>
      <c r="AB225" s="18">
        <v>4500000</v>
      </c>
      <c r="AC225" s="135">
        <f t="shared" si="68"/>
        <v>0</v>
      </c>
      <c r="AD225" s="48">
        <f t="shared" si="76"/>
        <v>0</v>
      </c>
      <c r="AE225" s="49">
        <v>0</v>
      </c>
      <c r="AF225" s="49">
        <f t="shared" si="69"/>
        <v>0</v>
      </c>
      <c r="AG225" s="19">
        <v>18150</v>
      </c>
      <c r="AH225" s="19">
        <v>18500</v>
      </c>
      <c r="AI225" s="19">
        <v>7234332</v>
      </c>
      <c r="AJ225" s="137">
        <f t="shared" si="70"/>
        <v>0</v>
      </c>
      <c r="AK225" s="49">
        <f t="shared" si="77"/>
        <v>0</v>
      </c>
      <c r="AL225" s="82">
        <f t="shared" si="78"/>
        <v>0</v>
      </c>
      <c r="AM225" s="82">
        <f t="shared" si="79"/>
        <v>325152025975201.56</v>
      </c>
      <c r="AN225" s="81">
        <f t="shared" si="71"/>
        <v>326330590233079.75</v>
      </c>
      <c r="AO225" s="80">
        <f t="shared" si="60"/>
        <v>1003.6246560492539</v>
      </c>
      <c r="AP225" s="52">
        <f t="shared" si="72"/>
        <v>-6.9070808686224287E-3</v>
      </c>
      <c r="AQ225" s="48">
        <f>(F225-E225)/E225</f>
        <v>2.3228803716608595E-3</v>
      </c>
      <c r="AR225" s="48">
        <f>(M225-L225)/L225</f>
        <v>-8.4033613445378148E-3</v>
      </c>
      <c r="AS225" s="48">
        <f>(T225-S225)/S225</f>
        <v>-1.8737672583826429E-2</v>
      </c>
      <c r="AT225" s="48" t="e">
        <f>(#REF!-#REF!)/#REF!</f>
        <v>#REF!</v>
      </c>
    </row>
    <row r="226" spans="1:46" x14ac:dyDescent="0.3">
      <c r="A226" s="48">
        <v>20181129</v>
      </c>
      <c r="B226" s="48" t="s">
        <v>88</v>
      </c>
      <c r="C226" s="79">
        <v>0.4</v>
      </c>
      <c r="D226" s="79">
        <f t="shared" si="61"/>
        <v>0.43319889730568467</v>
      </c>
      <c r="E226" s="49">
        <v>43150</v>
      </c>
      <c r="F226" s="49">
        <v>43150</v>
      </c>
      <c r="G226" s="49">
        <v>6419324700</v>
      </c>
      <c r="H226" s="49">
        <f t="shared" si="62"/>
        <v>0.508822879481031</v>
      </c>
      <c r="I226" s="49">
        <f t="shared" si="73"/>
        <v>0.508822879481031</v>
      </c>
      <c r="J226" s="48">
        <v>0.3</v>
      </c>
      <c r="K226" s="48">
        <f t="shared" si="63"/>
        <v>0.27428945053307247</v>
      </c>
      <c r="L226" s="48">
        <v>236000</v>
      </c>
      <c r="M226" s="48">
        <v>237000</v>
      </c>
      <c r="N226" s="51">
        <v>125456133</v>
      </c>
      <c r="O226" s="48">
        <f t="shared" si="64"/>
        <v>3.0013614083773201</v>
      </c>
      <c r="P226" s="48">
        <f t="shared" si="74"/>
        <v>3.0013614083773201</v>
      </c>
      <c r="Q226" s="49">
        <v>0.3</v>
      </c>
      <c r="R226" s="49">
        <f t="shared" si="65"/>
        <v>0.29251165216124297</v>
      </c>
      <c r="S226" s="49">
        <v>199000</v>
      </c>
      <c r="T226" s="49">
        <v>196200</v>
      </c>
      <c r="U226" s="49">
        <v>15956260</v>
      </c>
      <c r="V226" s="49">
        <f t="shared" si="66"/>
        <v>30.399223889780099</v>
      </c>
      <c r="W226" s="49">
        <f t="shared" si="75"/>
        <v>30.399223889780099</v>
      </c>
      <c r="X226" s="48">
        <v>0</v>
      </c>
      <c r="Y226" s="76">
        <f t="shared" si="67"/>
        <v>0</v>
      </c>
      <c r="Z226" s="18">
        <v>10300</v>
      </c>
      <c r="AA226" s="18">
        <v>10320</v>
      </c>
      <c r="AB226" s="18">
        <v>4500000</v>
      </c>
      <c r="AC226" s="135">
        <f t="shared" si="68"/>
        <v>0</v>
      </c>
      <c r="AD226" s="48">
        <f t="shared" si="76"/>
        <v>0</v>
      </c>
      <c r="AE226" s="49">
        <v>0</v>
      </c>
      <c r="AF226" s="49">
        <f t="shared" si="69"/>
        <v>0</v>
      </c>
      <c r="AG226" s="19">
        <v>18500</v>
      </c>
      <c r="AH226" s="19">
        <v>17950</v>
      </c>
      <c r="AI226" s="19">
        <v>7234332</v>
      </c>
      <c r="AJ226" s="137">
        <f t="shared" si="70"/>
        <v>0</v>
      </c>
      <c r="AK226" s="49">
        <f t="shared" si="77"/>
        <v>0</v>
      </c>
      <c r="AL226" s="82">
        <f t="shared" si="78"/>
        <v>0</v>
      </c>
      <c r="AM226" s="82">
        <f t="shared" si="79"/>
        <v>325152025975201.56</v>
      </c>
      <c r="AN226" s="81">
        <f t="shared" si="71"/>
        <v>325348967252596.25</v>
      </c>
      <c r="AO226" s="80">
        <f t="shared" si="60"/>
        <v>1000.6056898363282</v>
      </c>
      <c r="AP226" s="52">
        <f t="shared" si="72"/>
        <v>-3.0080630191069049E-3</v>
      </c>
      <c r="AQ226" s="48">
        <f>(F226-E226)/E226</f>
        <v>0</v>
      </c>
      <c r="AR226" s="48">
        <f>(M226-L226)/L226</f>
        <v>4.2372881355932203E-3</v>
      </c>
      <c r="AS226" s="48">
        <f>(T226-S226)/S226</f>
        <v>-1.407035175879397E-2</v>
      </c>
      <c r="AT226" s="48" t="e">
        <f>(#REF!-#REF!)/#REF!</f>
        <v>#REF!</v>
      </c>
    </row>
    <row r="227" spans="1:46" x14ac:dyDescent="0.3">
      <c r="A227" s="48">
        <v>20181130</v>
      </c>
      <c r="B227" s="48" t="s">
        <v>88</v>
      </c>
      <c r="C227" s="79">
        <v>0.4</v>
      </c>
      <c r="D227" s="79">
        <f t="shared" si="61"/>
        <v>0.42375721903450891</v>
      </c>
      <c r="E227" s="49">
        <v>43150</v>
      </c>
      <c r="F227" s="49">
        <v>41850</v>
      </c>
      <c r="G227" s="49">
        <v>6419324700</v>
      </c>
      <c r="H227" s="49">
        <f t="shared" si="62"/>
        <v>0.508822879481031</v>
      </c>
      <c r="I227" s="49">
        <f t="shared" si="73"/>
        <v>0.508822879481031</v>
      </c>
      <c r="J227" s="48">
        <v>0.3</v>
      </c>
      <c r="K227" s="48">
        <f t="shared" si="63"/>
        <v>0.27956408727193344</v>
      </c>
      <c r="L227" s="48">
        <v>237000</v>
      </c>
      <c r="M227" s="48">
        <v>239500</v>
      </c>
      <c r="N227" s="51">
        <v>125456133</v>
      </c>
      <c r="O227" s="48">
        <f t="shared" si="64"/>
        <v>3.0013614083773201</v>
      </c>
      <c r="P227" s="48">
        <f t="shared" si="74"/>
        <v>3.0013614083773201</v>
      </c>
      <c r="Q227" s="49">
        <v>0.3</v>
      </c>
      <c r="R227" s="49">
        <f t="shared" si="65"/>
        <v>0.2966786936935577</v>
      </c>
      <c r="S227" s="49">
        <v>196200</v>
      </c>
      <c r="T227" s="49">
        <v>197300</v>
      </c>
      <c r="U227" s="49">
        <v>15956260</v>
      </c>
      <c r="V227" s="49">
        <f t="shared" si="66"/>
        <v>30.399223889780099</v>
      </c>
      <c r="W227" s="49">
        <f t="shared" si="75"/>
        <v>30.399223889780099</v>
      </c>
      <c r="X227" s="48">
        <v>0</v>
      </c>
      <c r="Y227" s="76">
        <f t="shared" si="67"/>
        <v>0</v>
      </c>
      <c r="Z227" s="18">
        <v>10320</v>
      </c>
      <c r="AA227" s="18">
        <v>10235</v>
      </c>
      <c r="AB227" s="18">
        <v>4500000</v>
      </c>
      <c r="AC227" s="135">
        <f t="shared" si="68"/>
        <v>0</v>
      </c>
      <c r="AD227" s="48">
        <f t="shared" si="76"/>
        <v>0</v>
      </c>
      <c r="AE227" s="49">
        <v>0</v>
      </c>
      <c r="AF227" s="49">
        <f t="shared" si="69"/>
        <v>0</v>
      </c>
      <c r="AG227" s="19">
        <v>17950</v>
      </c>
      <c r="AH227" s="19">
        <v>18850</v>
      </c>
      <c r="AI227" s="19">
        <v>7234332</v>
      </c>
      <c r="AJ227" s="137">
        <f t="shared" si="70"/>
        <v>0</v>
      </c>
      <c r="AK227" s="49">
        <f t="shared" si="77"/>
        <v>0</v>
      </c>
      <c r="AL227" s="82">
        <f t="shared" si="78"/>
        <v>0</v>
      </c>
      <c r="AM227" s="82">
        <f t="shared" si="79"/>
        <v>325152025975201.56</v>
      </c>
      <c r="AN227" s="81">
        <f t="shared" si="71"/>
        <v>322577689893243.25</v>
      </c>
      <c r="AO227" s="80">
        <f t="shared" si="60"/>
        <v>992.0826694090639</v>
      </c>
      <c r="AP227" s="52">
        <f t="shared" si="72"/>
        <v>-8.5178612452808077E-3</v>
      </c>
      <c r="AQ227" s="48">
        <f>(F227-E227)/E227</f>
        <v>-3.0127462340672075E-2</v>
      </c>
      <c r="AR227" s="48">
        <f>(M227-L227)/L227</f>
        <v>1.0548523206751054E-2</v>
      </c>
      <c r="AS227" s="48">
        <f>(T227-S227)/S227</f>
        <v>5.6065239551478085E-3</v>
      </c>
      <c r="AT227" s="48" t="e">
        <f>(#REF!-#REF!)/#REF!</f>
        <v>#REF!</v>
      </c>
    </row>
    <row r="228" spans="1:46" x14ac:dyDescent="0.3">
      <c r="A228" s="48">
        <v>20181203</v>
      </c>
      <c r="B228" s="48" t="s">
        <v>88</v>
      </c>
      <c r="C228" s="79">
        <v>0.4</v>
      </c>
      <c r="D228" s="79">
        <f t="shared" si="61"/>
        <v>0.4257042969584004</v>
      </c>
      <c r="E228" s="49">
        <v>41850</v>
      </c>
      <c r="F228" s="49">
        <v>43250</v>
      </c>
      <c r="G228" s="49">
        <v>6419324700</v>
      </c>
      <c r="H228" s="49">
        <f t="shared" si="62"/>
        <v>0.508822879481031</v>
      </c>
      <c r="I228" s="49">
        <f t="shared" si="73"/>
        <v>0.508822879481031</v>
      </c>
      <c r="J228" s="48">
        <v>0.3</v>
      </c>
      <c r="K228" s="48">
        <f t="shared" si="63"/>
        <v>0.27289226051401083</v>
      </c>
      <c r="L228" s="48">
        <v>239500</v>
      </c>
      <c r="M228" s="48">
        <v>240500</v>
      </c>
      <c r="N228" s="51">
        <v>125456133</v>
      </c>
      <c r="O228" s="48">
        <f t="shared" si="64"/>
        <v>3.0013614083773201</v>
      </c>
      <c r="P228" s="48">
        <f t="shared" si="74"/>
        <v>3.0013614083773201</v>
      </c>
      <c r="Q228" s="49">
        <v>0.3</v>
      </c>
      <c r="R228" s="49">
        <f t="shared" si="65"/>
        <v>0.30140344252758866</v>
      </c>
      <c r="S228" s="49">
        <v>197300</v>
      </c>
      <c r="T228" s="49">
        <v>206200</v>
      </c>
      <c r="U228" s="49">
        <v>15956260</v>
      </c>
      <c r="V228" s="49">
        <f t="shared" si="66"/>
        <v>30.399223889780099</v>
      </c>
      <c r="W228" s="49">
        <f t="shared" si="75"/>
        <v>30.399223889780099</v>
      </c>
      <c r="X228" s="48">
        <v>0</v>
      </c>
      <c r="Y228" s="76">
        <f t="shared" si="67"/>
        <v>0</v>
      </c>
      <c r="Z228" s="18">
        <v>10235</v>
      </c>
      <c r="AA228" s="18">
        <v>10430</v>
      </c>
      <c r="AB228" s="18">
        <v>4500000</v>
      </c>
      <c r="AC228" s="135">
        <f t="shared" si="68"/>
        <v>0</v>
      </c>
      <c r="AD228" s="48">
        <f t="shared" si="76"/>
        <v>0</v>
      </c>
      <c r="AE228" s="49">
        <v>0</v>
      </c>
      <c r="AF228" s="49">
        <f t="shared" si="69"/>
        <v>0</v>
      </c>
      <c r="AG228" s="19">
        <v>18850</v>
      </c>
      <c r="AH228" s="19">
        <v>19150</v>
      </c>
      <c r="AI228" s="19">
        <v>7234332</v>
      </c>
      <c r="AJ228" s="137">
        <f t="shared" si="70"/>
        <v>0</v>
      </c>
      <c r="AK228" s="49">
        <f t="shared" si="77"/>
        <v>0</v>
      </c>
      <c r="AL228" s="82">
        <f t="shared" si="78"/>
        <v>0</v>
      </c>
      <c r="AM228" s="82">
        <f t="shared" si="79"/>
        <v>325152025975201.56</v>
      </c>
      <c r="AN228" s="81">
        <f t="shared" si="71"/>
        <v>331844063568356.06</v>
      </c>
      <c r="AO228" s="80">
        <f t="shared" si="60"/>
        <v>1020.5812575612397</v>
      </c>
      <c r="AP228" s="52">
        <f t="shared" si="72"/>
        <v>2.8726021561440065E-2</v>
      </c>
      <c r="AQ228" s="48">
        <f>(F228-E228)/E228</f>
        <v>3.3452807646356032E-2</v>
      </c>
      <c r="AR228" s="48">
        <f>(M228-L228)/L228</f>
        <v>4.1753653444676405E-3</v>
      </c>
      <c r="AS228" s="48">
        <f>(T228-S228)/S228</f>
        <v>4.5108971109984797E-2</v>
      </c>
      <c r="AT228" s="48" t="e">
        <f>(#REF!-#REF!)/#REF!</f>
        <v>#REF!</v>
      </c>
    </row>
    <row r="229" spans="1:46" x14ac:dyDescent="0.3">
      <c r="A229" s="48">
        <v>20181204</v>
      </c>
      <c r="B229" s="48" t="s">
        <v>88</v>
      </c>
      <c r="C229" s="79">
        <v>0.4</v>
      </c>
      <c r="D229" s="79">
        <f t="shared" si="61"/>
        <v>0.41822619971476827</v>
      </c>
      <c r="E229" s="49">
        <v>43250</v>
      </c>
      <c r="F229" s="49">
        <v>42150</v>
      </c>
      <c r="G229" s="49">
        <v>6419324700</v>
      </c>
      <c r="H229" s="49">
        <f t="shared" si="62"/>
        <v>0.508822879481031</v>
      </c>
      <c r="I229" s="49">
        <f t="shared" si="73"/>
        <v>0.508822879481031</v>
      </c>
      <c r="J229" s="48">
        <v>0.3</v>
      </c>
      <c r="K229" s="48">
        <f t="shared" si="63"/>
        <v>0.27852670298269694</v>
      </c>
      <c r="L229" s="48">
        <v>240500</v>
      </c>
      <c r="M229" s="48">
        <v>243500</v>
      </c>
      <c r="N229" s="51">
        <v>125456133</v>
      </c>
      <c r="O229" s="48">
        <f t="shared" si="64"/>
        <v>3.0013614083773201</v>
      </c>
      <c r="P229" s="48">
        <f t="shared" si="74"/>
        <v>3.0013614083773201</v>
      </c>
      <c r="Q229" s="49">
        <v>0.3</v>
      </c>
      <c r="R229" s="49">
        <f t="shared" si="65"/>
        <v>0.3032470973025348</v>
      </c>
      <c r="S229" s="49">
        <v>206200</v>
      </c>
      <c r="T229" s="49">
        <v>205800</v>
      </c>
      <c r="U229" s="49">
        <v>15956260</v>
      </c>
      <c r="V229" s="49">
        <f t="shared" si="66"/>
        <v>30.399223889780099</v>
      </c>
      <c r="W229" s="49">
        <f t="shared" si="75"/>
        <v>30.399223889780099</v>
      </c>
      <c r="X229" s="48">
        <v>0</v>
      </c>
      <c r="Y229" s="76">
        <f t="shared" si="67"/>
        <v>0</v>
      </c>
      <c r="Z229" s="18">
        <v>10430</v>
      </c>
      <c r="AA229" s="18">
        <v>10310</v>
      </c>
      <c r="AB229" s="18">
        <v>4500000</v>
      </c>
      <c r="AC229" s="135">
        <f t="shared" si="68"/>
        <v>0</v>
      </c>
      <c r="AD229" s="48">
        <f t="shared" si="76"/>
        <v>0</v>
      </c>
      <c r="AE229" s="49">
        <v>0</v>
      </c>
      <c r="AF229" s="49">
        <f t="shared" si="69"/>
        <v>0</v>
      </c>
      <c r="AG229" s="19">
        <v>19150</v>
      </c>
      <c r="AH229" s="19">
        <v>19400</v>
      </c>
      <c r="AI229" s="19">
        <v>7234332</v>
      </c>
      <c r="AJ229" s="137">
        <f t="shared" si="70"/>
        <v>0</v>
      </c>
      <c r="AK229" s="49">
        <f t="shared" si="77"/>
        <v>0</v>
      </c>
      <c r="AL229" s="82">
        <f t="shared" si="78"/>
        <v>0</v>
      </c>
      <c r="AM229" s="82">
        <f t="shared" si="79"/>
        <v>325152025975201.56</v>
      </c>
      <c r="AN229" s="81">
        <f t="shared" si="71"/>
        <v>329186728782378.5</v>
      </c>
      <c r="AO229" s="80">
        <f t="shared" si="60"/>
        <v>1012.4086657466643</v>
      </c>
      <c r="AP229" s="52">
        <f t="shared" si="72"/>
        <v>-8.0077815989923942E-3</v>
      </c>
      <c r="AQ229" s="48">
        <f>(F229-E229)/E229</f>
        <v>-2.5433526011560695E-2</v>
      </c>
      <c r="AR229" s="48">
        <f>(M229-L229)/L229</f>
        <v>1.2474012474012475E-2</v>
      </c>
      <c r="AS229" s="48">
        <f>(T229-S229)/S229</f>
        <v>-1.9398642095053346E-3</v>
      </c>
      <c r="AT229" s="48" t="e">
        <f>(#REF!-#REF!)/#REF!</f>
        <v>#REF!</v>
      </c>
    </row>
    <row r="230" spans="1:46" x14ac:dyDescent="0.3">
      <c r="A230" s="48">
        <v>20181205</v>
      </c>
      <c r="B230" s="48" t="s">
        <v>88</v>
      </c>
      <c r="C230" s="79">
        <v>0.4</v>
      </c>
      <c r="D230" s="79">
        <f t="shared" si="61"/>
        <v>0.41754265132079843</v>
      </c>
      <c r="E230" s="49">
        <v>42150</v>
      </c>
      <c r="F230" s="49">
        <v>41450</v>
      </c>
      <c r="G230" s="49">
        <v>6419324700</v>
      </c>
      <c r="H230" s="49">
        <f t="shared" si="62"/>
        <v>0.508822879481031</v>
      </c>
      <c r="I230" s="49">
        <f t="shared" si="73"/>
        <v>0.508822879481031</v>
      </c>
      <c r="J230" s="48">
        <v>0.3</v>
      </c>
      <c r="K230" s="48">
        <f t="shared" si="63"/>
        <v>0.28102560518652808</v>
      </c>
      <c r="L230" s="48">
        <v>243500</v>
      </c>
      <c r="M230" s="48">
        <v>242000</v>
      </c>
      <c r="N230" s="51">
        <v>125456133</v>
      </c>
      <c r="O230" s="48">
        <f t="shared" si="64"/>
        <v>3.0013614083773201</v>
      </c>
      <c r="P230" s="48">
        <f t="shared" si="74"/>
        <v>3.0013614083773201</v>
      </c>
      <c r="Q230" s="49">
        <v>0.3</v>
      </c>
      <c r="R230" s="49">
        <f t="shared" si="65"/>
        <v>0.30143174349267338</v>
      </c>
      <c r="S230" s="49">
        <v>205800</v>
      </c>
      <c r="T230" s="49">
        <v>201500</v>
      </c>
      <c r="U230" s="49">
        <v>15956260</v>
      </c>
      <c r="V230" s="49">
        <f t="shared" si="66"/>
        <v>30.399223889780099</v>
      </c>
      <c r="W230" s="49">
        <f t="shared" si="75"/>
        <v>30.399223889780099</v>
      </c>
      <c r="X230" s="48">
        <v>0</v>
      </c>
      <c r="Y230" s="76">
        <f t="shared" si="67"/>
        <v>0</v>
      </c>
      <c r="Z230" s="18">
        <v>10310</v>
      </c>
      <c r="AA230" s="18">
        <v>10265</v>
      </c>
      <c r="AB230" s="18">
        <v>4500000</v>
      </c>
      <c r="AC230" s="135">
        <f t="shared" si="68"/>
        <v>0</v>
      </c>
      <c r="AD230" s="48">
        <f t="shared" si="76"/>
        <v>0</v>
      </c>
      <c r="AE230" s="49">
        <v>0</v>
      </c>
      <c r="AF230" s="49">
        <f t="shared" si="69"/>
        <v>0</v>
      </c>
      <c r="AG230" s="19">
        <v>19400</v>
      </c>
      <c r="AH230" s="19">
        <v>18900</v>
      </c>
      <c r="AI230" s="19">
        <v>7234332</v>
      </c>
      <c r="AJ230" s="137">
        <f t="shared" si="70"/>
        <v>0</v>
      </c>
      <c r="AK230" s="49">
        <f t="shared" si="77"/>
        <v>0</v>
      </c>
      <c r="AL230" s="82">
        <f t="shared" si="78"/>
        <v>0</v>
      </c>
      <c r="AM230" s="82">
        <f t="shared" si="79"/>
        <v>325152025975201.56</v>
      </c>
      <c r="AN230" s="81">
        <f t="shared" si="71"/>
        <v>324249761436819.25</v>
      </c>
      <c r="AO230" s="80">
        <f t="shared" si="60"/>
        <v>997.22509944178819</v>
      </c>
      <c r="AP230" s="52">
        <f t="shared" si="72"/>
        <v>-1.4997467740636147E-2</v>
      </c>
      <c r="AQ230" s="48">
        <f>(F230-E230)/E230</f>
        <v>-1.6607354685646499E-2</v>
      </c>
      <c r="AR230" s="48">
        <f>(M230-L230)/L230</f>
        <v>-6.1601642710472282E-3</v>
      </c>
      <c r="AS230" s="48">
        <f>(T230-S230)/S230</f>
        <v>-2.0894071914480079E-2</v>
      </c>
      <c r="AT230" s="48" t="e">
        <f>(#REF!-#REF!)/#REF!</f>
        <v>#REF!</v>
      </c>
    </row>
    <row r="231" spans="1:46" x14ac:dyDescent="0.3">
      <c r="A231" s="48">
        <v>20181206</v>
      </c>
      <c r="B231" s="48" t="s">
        <v>88</v>
      </c>
      <c r="C231" s="79">
        <v>0.4</v>
      </c>
      <c r="D231" s="79">
        <f t="shared" si="61"/>
        <v>0.41954804444306631</v>
      </c>
      <c r="E231" s="49">
        <v>41450</v>
      </c>
      <c r="F231" s="49">
        <v>40500</v>
      </c>
      <c r="G231" s="49">
        <v>6419324700</v>
      </c>
      <c r="H231" s="49">
        <f t="shared" si="62"/>
        <v>0.508822879481031</v>
      </c>
      <c r="I231" s="49">
        <f t="shared" si="73"/>
        <v>0.508822879481031</v>
      </c>
      <c r="J231" s="48">
        <v>0.3</v>
      </c>
      <c r="K231" s="48">
        <f t="shared" si="63"/>
        <v>0.28123657833637516</v>
      </c>
      <c r="L231" s="48">
        <v>242000</v>
      </c>
      <c r="M231" s="48">
        <v>235500</v>
      </c>
      <c r="N231" s="51">
        <v>125456133</v>
      </c>
      <c r="O231" s="48">
        <f t="shared" si="64"/>
        <v>3.0013614083773201</v>
      </c>
      <c r="P231" s="48">
        <f t="shared" si="74"/>
        <v>3.0013614083773201</v>
      </c>
      <c r="Q231" s="49">
        <v>0.3</v>
      </c>
      <c r="R231" s="49">
        <f t="shared" si="65"/>
        <v>0.29921537722055858</v>
      </c>
      <c r="S231" s="49">
        <v>201500</v>
      </c>
      <c r="T231" s="49">
        <v>194500</v>
      </c>
      <c r="U231" s="49">
        <v>15956260</v>
      </c>
      <c r="V231" s="49">
        <f t="shared" si="66"/>
        <v>30.399223889780099</v>
      </c>
      <c r="W231" s="49">
        <f t="shared" si="75"/>
        <v>30.399223889780099</v>
      </c>
      <c r="X231" s="48">
        <v>0</v>
      </c>
      <c r="Y231" s="76">
        <f t="shared" si="67"/>
        <v>0</v>
      </c>
      <c r="Z231" s="18">
        <v>10265</v>
      </c>
      <c r="AA231" s="18">
        <v>10080</v>
      </c>
      <c r="AB231" s="18">
        <v>20300000</v>
      </c>
      <c r="AC231" s="135">
        <f t="shared" si="68"/>
        <v>0</v>
      </c>
      <c r="AD231" s="48">
        <f t="shared" si="76"/>
        <v>0</v>
      </c>
      <c r="AE231" s="49">
        <v>0</v>
      </c>
      <c r="AF231" s="49">
        <f t="shared" si="69"/>
        <v>0</v>
      </c>
      <c r="AG231" s="19">
        <v>18900</v>
      </c>
      <c r="AH231" s="19">
        <v>18200</v>
      </c>
      <c r="AI231" s="19">
        <v>7234332</v>
      </c>
      <c r="AJ231" s="137">
        <f t="shared" si="70"/>
        <v>0</v>
      </c>
      <c r="AK231" s="49">
        <f t="shared" si="77"/>
        <v>0</v>
      </c>
      <c r="AL231" s="82">
        <f t="shared" si="78"/>
        <v>0</v>
      </c>
      <c r="AM231" s="82">
        <f t="shared" si="79"/>
        <v>325152025975201.56</v>
      </c>
      <c r="AN231" s="81">
        <f t="shared" si="71"/>
        <v>315303866907067.62</v>
      </c>
      <c r="AO231" s="80">
        <f t="shared" si="60"/>
        <v>969.712139917944</v>
      </c>
      <c r="AP231" s="52">
        <f t="shared" si="72"/>
        <v>-2.7589517691888204E-2</v>
      </c>
      <c r="AQ231" s="48">
        <f>(F231-E231)/E231</f>
        <v>-2.2919179734620022E-2</v>
      </c>
      <c r="AR231" s="48">
        <f>(M231-L231)/L231</f>
        <v>-2.6859504132231406E-2</v>
      </c>
      <c r="AS231" s="48">
        <f>(T231-S231)/S231</f>
        <v>-3.4739454094292806E-2</v>
      </c>
      <c r="AT231" s="48" t="e">
        <f>(#REF!-#REF!)/#REF!</f>
        <v>#REF!</v>
      </c>
    </row>
    <row r="232" spans="1:46" x14ac:dyDescent="0.3">
      <c r="A232" s="48">
        <v>20181207</v>
      </c>
      <c r="B232" s="48" t="s">
        <v>88</v>
      </c>
      <c r="C232" s="79">
        <v>0.4</v>
      </c>
      <c r="D232" s="79">
        <f t="shared" si="61"/>
        <v>0.41489545109180748</v>
      </c>
      <c r="E232" s="49">
        <v>40500</v>
      </c>
      <c r="F232" s="49">
        <v>40950</v>
      </c>
      <c r="G232" s="49">
        <v>6419324700</v>
      </c>
      <c r="H232" s="49">
        <f t="shared" si="62"/>
        <v>0.508822879481031</v>
      </c>
      <c r="I232" s="49">
        <f t="shared" si="73"/>
        <v>0.508822879481031</v>
      </c>
      <c r="J232" s="48">
        <v>0.3</v>
      </c>
      <c r="K232" s="48">
        <f t="shared" si="63"/>
        <v>0.2867414517314934</v>
      </c>
      <c r="L232" s="48">
        <v>235500</v>
      </c>
      <c r="M232" s="48">
        <v>245500</v>
      </c>
      <c r="N232" s="51">
        <v>125456133</v>
      </c>
      <c r="O232" s="48">
        <f t="shared" si="64"/>
        <v>3.0013614083773201</v>
      </c>
      <c r="P232" s="48">
        <f t="shared" si="74"/>
        <v>3.0013614083773201</v>
      </c>
      <c r="Q232" s="49">
        <v>0.3</v>
      </c>
      <c r="R232" s="49">
        <f t="shared" si="65"/>
        <v>0.29836309717669901</v>
      </c>
      <c r="S232" s="49">
        <v>194500</v>
      </c>
      <c r="T232" s="49">
        <v>198300</v>
      </c>
      <c r="U232" s="49">
        <v>15956260</v>
      </c>
      <c r="V232" s="49">
        <f t="shared" si="66"/>
        <v>30.399223889780099</v>
      </c>
      <c r="W232" s="49">
        <f t="shared" si="75"/>
        <v>30.399223889780099</v>
      </c>
      <c r="X232" s="48">
        <v>0</v>
      </c>
      <c r="Y232" s="76">
        <f t="shared" si="67"/>
        <v>0</v>
      </c>
      <c r="Z232" s="18">
        <v>10080</v>
      </c>
      <c r="AA232" s="18">
        <v>10120</v>
      </c>
      <c r="AB232" s="18">
        <v>24500000</v>
      </c>
      <c r="AC232" s="135">
        <f t="shared" si="68"/>
        <v>0</v>
      </c>
      <c r="AD232" s="48">
        <f t="shared" si="76"/>
        <v>0</v>
      </c>
      <c r="AE232" s="49">
        <v>0</v>
      </c>
      <c r="AF232" s="49">
        <f t="shared" si="69"/>
        <v>0</v>
      </c>
      <c r="AG232" s="19">
        <v>18200</v>
      </c>
      <c r="AH232" s="19">
        <v>18050</v>
      </c>
      <c r="AI232" s="19">
        <v>7234332</v>
      </c>
      <c r="AJ232" s="137">
        <f t="shared" si="70"/>
        <v>0</v>
      </c>
      <c r="AK232" s="49">
        <f t="shared" si="77"/>
        <v>0</v>
      </c>
      <c r="AL232" s="82">
        <f t="shared" si="78"/>
        <v>0</v>
      </c>
      <c r="AM232" s="82">
        <f t="shared" si="79"/>
        <v>325152025975201.56</v>
      </c>
      <c r="AN232" s="81">
        <f t="shared" si="71"/>
        <v>322382313639249.62</v>
      </c>
      <c r="AO232" s="80">
        <f t="shared" si="60"/>
        <v>991.48179277787074</v>
      </c>
      <c r="AP232" s="52">
        <f t="shared" si="72"/>
        <v>2.2449603303686453E-2</v>
      </c>
      <c r="AQ232" s="48">
        <f>(F232-E232)/E232</f>
        <v>1.1111111111111112E-2</v>
      </c>
      <c r="AR232" s="48">
        <f>(M232-L232)/L232</f>
        <v>4.2462845010615709E-2</v>
      </c>
      <c r="AS232" s="48">
        <f>(T232-S232)/S232</f>
        <v>1.9537275064267352E-2</v>
      </c>
      <c r="AT232" s="48" t="e">
        <f>(#REF!-#REF!)/#REF!</f>
        <v>#REF!</v>
      </c>
    </row>
    <row r="233" spans="1:46" x14ac:dyDescent="0.3">
      <c r="A233" s="48">
        <v>20181210</v>
      </c>
      <c r="B233" s="48" t="s">
        <v>88</v>
      </c>
      <c r="C233" s="79">
        <v>0.4</v>
      </c>
      <c r="D233" s="79">
        <f t="shared" si="61"/>
        <v>0.41277858942540857</v>
      </c>
      <c r="E233" s="49">
        <v>40950</v>
      </c>
      <c r="F233" s="49">
        <v>40200</v>
      </c>
      <c r="G233" s="49">
        <v>6419324700</v>
      </c>
      <c r="H233" s="49">
        <f t="shared" si="62"/>
        <v>0.508822879481031</v>
      </c>
      <c r="I233" s="49">
        <f t="shared" si="73"/>
        <v>0.508822879481031</v>
      </c>
      <c r="J233" s="48">
        <v>0.3</v>
      </c>
      <c r="K233" s="48">
        <f t="shared" si="63"/>
        <v>0.28941710102240015</v>
      </c>
      <c r="L233" s="48">
        <v>245500</v>
      </c>
      <c r="M233" s="48">
        <v>244500</v>
      </c>
      <c r="N233" s="51">
        <v>125456133</v>
      </c>
      <c r="O233" s="48">
        <f t="shared" si="64"/>
        <v>3.0013614083773201</v>
      </c>
      <c r="P233" s="48">
        <f t="shared" si="74"/>
        <v>3.0013614083773201</v>
      </c>
      <c r="Q233" s="49">
        <v>0.3</v>
      </c>
      <c r="R233" s="49">
        <f t="shared" si="65"/>
        <v>0.29780430955219128</v>
      </c>
      <c r="S233" s="49">
        <v>198300</v>
      </c>
      <c r="T233" s="49">
        <v>195300</v>
      </c>
      <c r="U233" s="49">
        <v>15956260</v>
      </c>
      <c r="V233" s="49">
        <f t="shared" si="66"/>
        <v>30.399223889780099</v>
      </c>
      <c r="W233" s="49">
        <f t="shared" si="75"/>
        <v>30.399223889780099</v>
      </c>
      <c r="X233" s="48">
        <v>0</v>
      </c>
      <c r="Y233" s="76">
        <f t="shared" si="67"/>
        <v>0</v>
      </c>
      <c r="Z233" s="18">
        <v>10120</v>
      </c>
      <c r="AA233" s="18">
        <v>10020</v>
      </c>
      <c r="AB233" s="18">
        <v>26500000</v>
      </c>
      <c r="AC233" s="135">
        <f t="shared" si="68"/>
        <v>0</v>
      </c>
      <c r="AD233" s="48">
        <f t="shared" si="76"/>
        <v>0</v>
      </c>
      <c r="AE233" s="49">
        <v>0</v>
      </c>
      <c r="AF233" s="49">
        <f t="shared" si="69"/>
        <v>0</v>
      </c>
      <c r="AG233" s="19">
        <v>18050</v>
      </c>
      <c r="AH233" s="19">
        <v>17500</v>
      </c>
      <c r="AI233" s="19">
        <v>7234332</v>
      </c>
      <c r="AJ233" s="137">
        <f t="shared" si="70"/>
        <v>0</v>
      </c>
      <c r="AK233" s="49">
        <f t="shared" si="77"/>
        <v>0</v>
      </c>
      <c r="AL233" s="82">
        <f t="shared" si="78"/>
        <v>0</v>
      </c>
      <c r="AM233" s="82">
        <f t="shared" si="79"/>
        <v>325152025975201.56</v>
      </c>
      <c r="AN233" s="81">
        <f t="shared" si="71"/>
        <v>318100876224035.25</v>
      </c>
      <c r="AO233" s="80">
        <f t="shared" si="60"/>
        <v>978.31429858073807</v>
      </c>
      <c r="AP233" s="52">
        <f t="shared" si="72"/>
        <v>-1.3280621281244933E-2</v>
      </c>
      <c r="AQ233" s="48">
        <f>(F233-E233)/E233</f>
        <v>-1.8315018315018316E-2</v>
      </c>
      <c r="AR233" s="48">
        <f>(M233-L233)/L233</f>
        <v>-4.0733197556008143E-3</v>
      </c>
      <c r="AS233" s="48">
        <f>(T233-S233)/S233</f>
        <v>-1.5128593040847202E-2</v>
      </c>
      <c r="AT233" s="48" t="e">
        <f>(#REF!-#REF!)/#REF!</f>
        <v>#REF!</v>
      </c>
    </row>
    <row r="234" spans="1:46" x14ac:dyDescent="0.3">
      <c r="A234" s="48">
        <v>20181211</v>
      </c>
      <c r="B234" s="48" t="s">
        <v>88</v>
      </c>
      <c r="C234" s="79">
        <v>0.4</v>
      </c>
      <c r="D234" s="79">
        <f t="shared" si="61"/>
        <v>0.42534412298595176</v>
      </c>
      <c r="E234" s="49">
        <v>40200</v>
      </c>
      <c r="F234" s="49">
        <v>40250</v>
      </c>
      <c r="G234" s="49">
        <v>6419324700</v>
      </c>
      <c r="H234" s="49">
        <f t="shared" si="62"/>
        <v>0.508822879481031</v>
      </c>
      <c r="I234" s="49">
        <f t="shared" si="73"/>
        <v>0.508822879481031</v>
      </c>
      <c r="J234" s="48">
        <v>0.3</v>
      </c>
      <c r="K234" s="48">
        <f t="shared" si="63"/>
        <v>0.26801027766358221</v>
      </c>
      <c r="L234" s="48">
        <v>244500</v>
      </c>
      <c r="M234" s="48">
        <v>220000</v>
      </c>
      <c r="N234" s="51">
        <v>125456133</v>
      </c>
      <c r="O234" s="48">
        <f t="shared" si="64"/>
        <v>3.0013614083773201</v>
      </c>
      <c r="P234" s="48">
        <f t="shared" si="74"/>
        <v>3.0013614083773201</v>
      </c>
      <c r="Q234" s="49">
        <v>0.3</v>
      </c>
      <c r="R234" s="49">
        <f t="shared" si="65"/>
        <v>0.30664559935046609</v>
      </c>
      <c r="S234" s="49">
        <v>195300</v>
      </c>
      <c r="T234" s="49">
        <v>195400</v>
      </c>
      <c r="U234" s="49">
        <v>15956260</v>
      </c>
      <c r="V234" s="49">
        <f t="shared" si="66"/>
        <v>30.399223889780099</v>
      </c>
      <c r="W234" s="49">
        <f t="shared" si="75"/>
        <v>30.399223889780099</v>
      </c>
      <c r="X234" s="48">
        <v>0</v>
      </c>
      <c r="Y234" s="76">
        <f t="shared" si="67"/>
        <v>0</v>
      </c>
      <c r="Z234" s="18">
        <v>10020</v>
      </c>
      <c r="AA234" s="18">
        <v>9980</v>
      </c>
      <c r="AB234" s="18">
        <v>40600000</v>
      </c>
      <c r="AC234" s="135">
        <f t="shared" si="68"/>
        <v>0</v>
      </c>
      <c r="AD234" s="48">
        <f t="shared" si="76"/>
        <v>0</v>
      </c>
      <c r="AE234" s="49">
        <v>0</v>
      </c>
      <c r="AF234" s="49">
        <f t="shared" si="69"/>
        <v>0</v>
      </c>
      <c r="AG234" s="19">
        <v>17500</v>
      </c>
      <c r="AH234" s="19">
        <v>17450</v>
      </c>
      <c r="AI234" s="19">
        <v>7234332</v>
      </c>
      <c r="AJ234" s="137">
        <f t="shared" si="70"/>
        <v>0</v>
      </c>
      <c r="AK234" s="49">
        <f t="shared" si="77"/>
        <v>0</v>
      </c>
      <c r="AL234" s="82">
        <f t="shared" si="78"/>
        <v>0</v>
      </c>
      <c r="AM234" s="82">
        <f t="shared" si="79"/>
        <v>325152025975201.56</v>
      </c>
      <c r="AN234" s="81">
        <f t="shared" si="71"/>
        <v>309087486677216.37</v>
      </c>
      <c r="AO234" s="80">
        <f t="shared" si="60"/>
        <v>950.59375918140404</v>
      </c>
      <c r="AP234" s="52">
        <f t="shared" si="72"/>
        <v>-2.8335003832151713E-2</v>
      </c>
      <c r="AQ234" s="48">
        <f>(F234-E234)/E234</f>
        <v>1.2437810945273632E-3</v>
      </c>
      <c r="AR234" s="48">
        <f>(M234-L234)/L234</f>
        <v>-0.10020449897750511</v>
      </c>
      <c r="AS234" s="48">
        <f>(T234-S234)/S234</f>
        <v>5.1203277009728623E-4</v>
      </c>
      <c r="AT234" s="48" t="e">
        <f>(#REF!-#REF!)/#REF!</f>
        <v>#REF!</v>
      </c>
    </row>
    <row r="235" spans="1:46" s="47" customFormat="1" x14ac:dyDescent="0.3">
      <c r="A235" s="65">
        <v>20181212</v>
      </c>
      <c r="B235" s="48" t="s">
        <v>88</v>
      </c>
      <c r="C235" s="79">
        <v>0.4</v>
      </c>
      <c r="D235" s="79">
        <f t="shared" si="61"/>
        <v>0.41827284476224652</v>
      </c>
      <c r="E235" s="49">
        <v>40250</v>
      </c>
      <c r="F235" s="49">
        <v>40450</v>
      </c>
      <c r="G235" s="49">
        <v>5969782550</v>
      </c>
      <c r="H235" s="49">
        <f t="shared" si="62"/>
        <v>0.508822879481031</v>
      </c>
      <c r="I235" s="49">
        <f t="shared" si="73"/>
        <v>0.480661415180764</v>
      </c>
      <c r="J235" s="48">
        <v>0.3</v>
      </c>
      <c r="K235" s="48">
        <f t="shared" si="63"/>
        <v>0.26999987715311291</v>
      </c>
      <c r="L235" s="48">
        <v>220000</v>
      </c>
      <c r="M235" s="48">
        <v>226500</v>
      </c>
      <c r="N235" s="51">
        <v>125456133</v>
      </c>
      <c r="O235" s="48">
        <f t="shared" si="64"/>
        <v>3.0013614083773201</v>
      </c>
      <c r="P235" s="48">
        <f t="shared" si="74"/>
        <v>2.6366961929138801</v>
      </c>
      <c r="Q235" s="49">
        <v>0.3</v>
      </c>
      <c r="R235" s="49">
        <f t="shared" si="65"/>
        <v>0.31172727808464057</v>
      </c>
      <c r="S235" s="49">
        <v>195400</v>
      </c>
      <c r="T235" s="49">
        <v>203000</v>
      </c>
      <c r="U235" s="49">
        <v>15956260</v>
      </c>
      <c r="V235" s="49">
        <f t="shared" si="66"/>
        <v>30.399223889780099</v>
      </c>
      <c r="W235" s="49">
        <f t="shared" si="75"/>
        <v>26.705720168853201</v>
      </c>
      <c r="X235" s="48">
        <v>0</v>
      </c>
      <c r="Y235" s="76">
        <f t="shared" si="67"/>
        <v>0</v>
      </c>
      <c r="Z235" s="18">
        <v>9980</v>
      </c>
      <c r="AA235" s="18">
        <v>10115</v>
      </c>
      <c r="AB235" s="18">
        <v>40600000</v>
      </c>
      <c r="AC235" s="135">
        <f t="shared" si="68"/>
        <v>0</v>
      </c>
      <c r="AD235" s="48">
        <f t="shared" si="76"/>
        <v>0</v>
      </c>
      <c r="AE235" s="49">
        <v>0</v>
      </c>
      <c r="AF235" s="49">
        <f t="shared" si="69"/>
        <v>0</v>
      </c>
      <c r="AG235" s="19">
        <v>17450</v>
      </c>
      <c r="AH235" s="19">
        <v>18900</v>
      </c>
      <c r="AI235" s="19">
        <v>7234332</v>
      </c>
      <c r="AJ235" s="137">
        <f t="shared" si="70"/>
        <v>0</v>
      </c>
      <c r="AK235" s="49">
        <f t="shared" si="77"/>
        <v>0</v>
      </c>
      <c r="AL235" s="82">
        <f t="shared" si="78"/>
        <v>1</v>
      </c>
      <c r="AM235" s="82">
        <f t="shared" si="79"/>
        <v>285646076015404.19</v>
      </c>
      <c r="AN235" s="81">
        <f t="shared" si="71"/>
        <v>277495937074554.31</v>
      </c>
      <c r="AO235" s="80">
        <f t="shared" si="60"/>
        <v>971.46770207895179</v>
      </c>
      <c r="AP235" s="52">
        <f t="shared" si="72"/>
        <v>2.1958846979516437E-2</v>
      </c>
      <c r="AQ235" s="48">
        <f>(F235-E235)/E235</f>
        <v>4.9689440993788822E-3</v>
      </c>
      <c r="AR235" s="48">
        <f>(M235-L235)/L235</f>
        <v>2.9545454545454545E-2</v>
      </c>
      <c r="AS235" s="48">
        <f>(T235-S235)/S235</f>
        <v>3.8894575230296824E-2</v>
      </c>
      <c r="AT235" s="48" t="e">
        <f>(#REF!-#REF!)/#REF!</f>
        <v>#REF!</v>
      </c>
    </row>
    <row r="236" spans="1:46" x14ac:dyDescent="0.3">
      <c r="A236" s="48">
        <v>20181213</v>
      </c>
      <c r="B236" s="48" t="s">
        <v>88</v>
      </c>
      <c r="C236" s="79">
        <v>0.4</v>
      </c>
      <c r="D236" s="79">
        <f t="shared" si="61"/>
        <v>0.4183196825414614</v>
      </c>
      <c r="E236" s="49">
        <v>40450</v>
      </c>
      <c r="F236" s="49">
        <v>40000</v>
      </c>
      <c r="G236" s="49">
        <v>5969782550</v>
      </c>
      <c r="H236" s="49">
        <f t="shared" si="62"/>
        <v>0.480661415180764</v>
      </c>
      <c r="I236" s="49">
        <f t="shared" si="73"/>
        <v>0.480661415180764</v>
      </c>
      <c r="J236" s="48">
        <v>0.3</v>
      </c>
      <c r="K236" s="48">
        <f t="shared" si="63"/>
        <v>0.26221756809802027</v>
      </c>
      <c r="L236" s="48">
        <v>226500</v>
      </c>
      <c r="M236" s="48">
        <v>217500</v>
      </c>
      <c r="N236" s="51">
        <v>125456133</v>
      </c>
      <c r="O236" s="48">
        <f t="shared" si="64"/>
        <v>2.6366961929138801</v>
      </c>
      <c r="P236" s="48">
        <f t="shared" si="74"/>
        <v>2.6366961929138801</v>
      </c>
      <c r="Q236" s="49">
        <v>0.3</v>
      </c>
      <c r="R236" s="49">
        <f t="shared" si="65"/>
        <v>0.31946274936051838</v>
      </c>
      <c r="S236" s="49">
        <v>203000</v>
      </c>
      <c r="T236" s="49">
        <v>205700</v>
      </c>
      <c r="U236" s="49">
        <v>15956260</v>
      </c>
      <c r="V236" s="49">
        <f t="shared" si="66"/>
        <v>26.705720168853201</v>
      </c>
      <c r="W236" s="49">
        <f t="shared" si="75"/>
        <v>26.705720168853201</v>
      </c>
      <c r="X236" s="48">
        <v>0</v>
      </c>
      <c r="Y236" s="76">
        <f t="shared" si="67"/>
        <v>0</v>
      </c>
      <c r="Z236" s="18">
        <v>10115</v>
      </c>
      <c r="AA236" s="18">
        <v>10195</v>
      </c>
      <c r="AB236" s="18">
        <v>40600000</v>
      </c>
      <c r="AC236" s="135">
        <f t="shared" si="68"/>
        <v>0</v>
      </c>
      <c r="AD236" s="48">
        <f t="shared" si="76"/>
        <v>0</v>
      </c>
      <c r="AE236" s="49">
        <v>0</v>
      </c>
      <c r="AF236" s="49">
        <f t="shared" si="69"/>
        <v>0</v>
      </c>
      <c r="AG236" s="19">
        <v>18900</v>
      </c>
      <c r="AH236" s="19">
        <v>20050</v>
      </c>
      <c r="AI236" s="19">
        <v>7234332</v>
      </c>
      <c r="AJ236" s="137">
        <f t="shared" si="70"/>
        <v>0</v>
      </c>
      <c r="AK236" s="49">
        <f t="shared" si="77"/>
        <v>0</v>
      </c>
      <c r="AL236" s="82">
        <f t="shared" si="78"/>
        <v>0</v>
      </c>
      <c r="AM236" s="82">
        <f t="shared" si="79"/>
        <v>285646076015404.19</v>
      </c>
      <c r="AN236" s="81">
        <f t="shared" si="71"/>
        <v>274378113061417.09</v>
      </c>
      <c r="AO236" s="80">
        <f t="shared" si="60"/>
        <v>960.55271225437934</v>
      </c>
      <c r="AP236" s="52">
        <f t="shared" si="72"/>
        <v>-1.12355663510112E-2</v>
      </c>
      <c r="AQ236" s="48">
        <f>(F236-E236)/E236</f>
        <v>-1.1124845488257108E-2</v>
      </c>
      <c r="AR236" s="48">
        <f>(M236-L236)/L236</f>
        <v>-3.9735099337748346E-2</v>
      </c>
      <c r="AS236" s="48">
        <f>(T236-S236)/S236</f>
        <v>1.3300492610837438E-2</v>
      </c>
      <c r="AT236" s="48" t="e">
        <f>(#REF!-#REF!)/#REF!</f>
        <v>#REF!</v>
      </c>
    </row>
    <row r="237" spans="1:46" x14ac:dyDescent="0.3">
      <c r="A237" s="48">
        <v>20181214</v>
      </c>
      <c r="B237" s="48" t="s">
        <v>88</v>
      </c>
      <c r="C237" s="79">
        <v>0.4</v>
      </c>
      <c r="D237" s="79">
        <f t="shared" si="61"/>
        <v>0.42076441066726095</v>
      </c>
      <c r="E237" s="49">
        <v>40000</v>
      </c>
      <c r="F237" s="49">
        <v>38950</v>
      </c>
      <c r="G237" s="49">
        <v>5969782550</v>
      </c>
      <c r="H237" s="49">
        <f t="shared" si="62"/>
        <v>0.480661415180764</v>
      </c>
      <c r="I237" s="49">
        <f t="shared" si="73"/>
        <v>0.480661415180764</v>
      </c>
      <c r="J237" s="48">
        <v>0.3</v>
      </c>
      <c r="K237" s="48">
        <f t="shared" si="63"/>
        <v>0.25902941693845022</v>
      </c>
      <c r="L237" s="48">
        <v>217500</v>
      </c>
      <c r="M237" s="48">
        <v>208000</v>
      </c>
      <c r="N237" s="51">
        <v>125456133</v>
      </c>
      <c r="O237" s="48">
        <f t="shared" si="64"/>
        <v>2.6366961929138801</v>
      </c>
      <c r="P237" s="48">
        <f t="shared" si="74"/>
        <v>2.6366961929138801</v>
      </c>
      <c r="Q237" s="49">
        <v>0.3</v>
      </c>
      <c r="R237" s="49">
        <f t="shared" si="65"/>
        <v>0.32020617239428883</v>
      </c>
      <c r="S237" s="49">
        <v>205700</v>
      </c>
      <c r="T237" s="49">
        <v>199600</v>
      </c>
      <c r="U237" s="49">
        <v>15956260</v>
      </c>
      <c r="V237" s="49">
        <f t="shared" si="66"/>
        <v>26.705720168853201</v>
      </c>
      <c r="W237" s="49">
        <f t="shared" si="75"/>
        <v>26.705720168853201</v>
      </c>
      <c r="X237" s="48">
        <v>0</v>
      </c>
      <c r="Y237" s="76">
        <f t="shared" si="67"/>
        <v>0</v>
      </c>
      <c r="Z237" s="18">
        <v>10195</v>
      </c>
      <c r="AA237" s="18">
        <v>9995</v>
      </c>
      <c r="AB237" s="18">
        <v>40600000</v>
      </c>
      <c r="AC237" s="135">
        <f t="shared" si="68"/>
        <v>0</v>
      </c>
      <c r="AD237" s="48">
        <f t="shared" si="76"/>
        <v>0</v>
      </c>
      <c r="AE237" s="49">
        <v>0</v>
      </c>
      <c r="AF237" s="49">
        <f t="shared" si="69"/>
        <v>0</v>
      </c>
      <c r="AG237" s="19">
        <v>20050</v>
      </c>
      <c r="AH237" s="19">
        <v>20200</v>
      </c>
      <c r="AI237" s="19">
        <v>7234332</v>
      </c>
      <c r="AJ237" s="137">
        <f t="shared" si="70"/>
        <v>0</v>
      </c>
      <c r="AK237" s="49">
        <f t="shared" si="77"/>
        <v>0</v>
      </c>
      <c r="AL237" s="82">
        <f t="shared" si="78"/>
        <v>0</v>
      </c>
      <c r="AM237" s="82">
        <f t="shared" si="79"/>
        <v>285646076015404.19</v>
      </c>
      <c r="AN237" s="81">
        <f t="shared" si="71"/>
        <v>265623341669254.94</v>
      </c>
      <c r="AO237" s="80">
        <f t="shared" si="60"/>
        <v>929.90369542107953</v>
      </c>
      <c r="AP237" s="52">
        <f t="shared" si="72"/>
        <v>-3.1907688607081E-2</v>
      </c>
      <c r="AQ237" s="48">
        <f>(F237-E237)/E237</f>
        <v>-2.6249999999999999E-2</v>
      </c>
      <c r="AR237" s="48">
        <f>(M237-L237)/L237</f>
        <v>-4.3678160919540229E-2</v>
      </c>
      <c r="AS237" s="48">
        <f>(T237-S237)/S237</f>
        <v>-2.9654837141468156E-2</v>
      </c>
      <c r="AT237" s="48" t="e">
        <f>(#REF!-#REF!)/#REF!</f>
        <v>#REF!</v>
      </c>
    </row>
    <row r="238" spans="1:46" x14ac:dyDescent="0.3">
      <c r="A238" s="48">
        <v>20181217</v>
      </c>
      <c r="B238" s="48" t="s">
        <v>88</v>
      </c>
      <c r="C238" s="79">
        <v>0.4</v>
      </c>
      <c r="D238" s="79">
        <f t="shared" si="61"/>
        <v>0.41704240526512876</v>
      </c>
      <c r="E238" s="49">
        <v>38950</v>
      </c>
      <c r="F238" s="49">
        <v>39150</v>
      </c>
      <c r="G238" s="49">
        <v>5969782550</v>
      </c>
      <c r="H238" s="49">
        <f t="shared" si="62"/>
        <v>0.480661415180764</v>
      </c>
      <c r="I238" s="49">
        <f t="shared" si="73"/>
        <v>0.480661415180764</v>
      </c>
      <c r="J238" s="48">
        <v>0.3</v>
      </c>
      <c r="K238" s="48">
        <f t="shared" si="63"/>
        <v>0.26340860775657665</v>
      </c>
      <c r="L238" s="48">
        <v>208000</v>
      </c>
      <c r="M238" s="48">
        <v>214500</v>
      </c>
      <c r="N238" s="51">
        <v>125456133</v>
      </c>
      <c r="O238" s="48">
        <f t="shared" si="64"/>
        <v>2.6366961929138801</v>
      </c>
      <c r="P238" s="48">
        <f t="shared" si="74"/>
        <v>2.6366961929138801</v>
      </c>
      <c r="Q238" s="49">
        <v>0.3</v>
      </c>
      <c r="R238" s="49">
        <f t="shared" si="65"/>
        <v>0.31954898697829454</v>
      </c>
      <c r="S238" s="49">
        <v>199600</v>
      </c>
      <c r="T238" s="49">
        <v>202000</v>
      </c>
      <c r="U238" s="49">
        <v>15956260</v>
      </c>
      <c r="V238" s="49">
        <f t="shared" si="66"/>
        <v>26.705720168853201</v>
      </c>
      <c r="W238" s="49">
        <f t="shared" si="75"/>
        <v>26.705720168853201</v>
      </c>
      <c r="X238" s="48">
        <v>0</v>
      </c>
      <c r="Y238" s="76">
        <f t="shared" si="67"/>
        <v>0</v>
      </c>
      <c r="Z238" s="18">
        <v>9995</v>
      </c>
      <c r="AA238" s="18">
        <v>10020</v>
      </c>
      <c r="AB238" s="18">
        <v>45600000</v>
      </c>
      <c r="AC238" s="135">
        <f t="shared" si="68"/>
        <v>0</v>
      </c>
      <c r="AD238" s="48">
        <f t="shared" si="76"/>
        <v>0</v>
      </c>
      <c r="AE238" s="49">
        <v>0</v>
      </c>
      <c r="AF238" s="49">
        <f t="shared" si="69"/>
        <v>0</v>
      </c>
      <c r="AG238" s="19">
        <v>20200</v>
      </c>
      <c r="AH238" s="19">
        <v>20050</v>
      </c>
      <c r="AI238" s="19">
        <v>7234332</v>
      </c>
      <c r="AJ238" s="137">
        <f t="shared" si="70"/>
        <v>0</v>
      </c>
      <c r="AK238" s="49">
        <f t="shared" si="77"/>
        <v>0</v>
      </c>
      <c r="AL238" s="82">
        <f t="shared" si="78"/>
        <v>0</v>
      </c>
      <c r="AM238" s="82">
        <f t="shared" si="79"/>
        <v>285646076015404.19</v>
      </c>
      <c r="AN238" s="81">
        <f t="shared" si="71"/>
        <v>269370059793501.56</v>
      </c>
      <c r="AO238" s="80">
        <f t="shared" si="60"/>
        <v>943.02034024432066</v>
      </c>
      <c r="AP238" s="52">
        <f t="shared" si="72"/>
        <v>1.4105379823554356E-2</v>
      </c>
      <c r="AQ238" s="48">
        <f>(F238-E238)/E238</f>
        <v>5.1347881899871627E-3</v>
      </c>
      <c r="AR238" s="48">
        <f>(M238-L238)/L238</f>
        <v>3.125E-2</v>
      </c>
      <c r="AS238" s="48">
        <f>(T238-S238)/S238</f>
        <v>1.2024048096192385E-2</v>
      </c>
      <c r="AT238" s="48" t="e">
        <f>(#REF!-#REF!)/#REF!</f>
        <v>#REF!</v>
      </c>
    </row>
    <row r="239" spans="1:46" x14ac:dyDescent="0.3">
      <c r="A239" s="48">
        <v>20181218</v>
      </c>
      <c r="B239" s="48" t="s">
        <v>88</v>
      </c>
      <c r="C239" s="79">
        <v>0.4</v>
      </c>
      <c r="D239" s="79">
        <f t="shared" si="61"/>
        <v>0.40513652412523599</v>
      </c>
      <c r="E239" s="49">
        <v>39150</v>
      </c>
      <c r="F239" s="49">
        <v>38900</v>
      </c>
      <c r="G239" s="49">
        <v>5969782550</v>
      </c>
      <c r="H239" s="49">
        <f t="shared" si="62"/>
        <v>0.480661415180764</v>
      </c>
      <c r="I239" s="49">
        <f t="shared" si="73"/>
        <v>0.480661415180764</v>
      </c>
      <c r="J239" s="48">
        <v>0.3</v>
      </c>
      <c r="K239" s="48">
        <f t="shared" si="63"/>
        <v>0.26233573511400632</v>
      </c>
      <c r="L239" s="48">
        <v>214500</v>
      </c>
      <c r="M239" s="48">
        <v>218500</v>
      </c>
      <c r="N239" s="51">
        <v>125456133</v>
      </c>
      <c r="O239" s="48">
        <f t="shared" si="64"/>
        <v>2.6366961929138801</v>
      </c>
      <c r="P239" s="48">
        <f t="shared" si="74"/>
        <v>2.6366961929138801</v>
      </c>
      <c r="Q239" s="49">
        <v>0.3</v>
      </c>
      <c r="R239" s="49">
        <f t="shared" si="65"/>
        <v>0.33252774076075775</v>
      </c>
      <c r="S239" s="49">
        <v>202000</v>
      </c>
      <c r="T239" s="49">
        <v>215000</v>
      </c>
      <c r="U239" s="49">
        <v>15956260</v>
      </c>
      <c r="V239" s="49">
        <f t="shared" si="66"/>
        <v>26.705720168853201</v>
      </c>
      <c r="W239" s="49">
        <f t="shared" si="75"/>
        <v>26.705720168853201</v>
      </c>
      <c r="X239" s="48">
        <v>0</v>
      </c>
      <c r="Y239" s="76">
        <f t="shared" si="67"/>
        <v>0</v>
      </c>
      <c r="Z239" s="18">
        <v>10020</v>
      </c>
      <c r="AA239" s="18">
        <v>9960</v>
      </c>
      <c r="AB239" s="18">
        <v>55400000</v>
      </c>
      <c r="AC239" s="135">
        <f t="shared" si="68"/>
        <v>0</v>
      </c>
      <c r="AD239" s="48">
        <f t="shared" si="76"/>
        <v>0</v>
      </c>
      <c r="AE239" s="49">
        <v>0</v>
      </c>
      <c r="AF239" s="49">
        <f t="shared" si="69"/>
        <v>0</v>
      </c>
      <c r="AG239" s="19">
        <v>20050</v>
      </c>
      <c r="AH239" s="19">
        <v>19550</v>
      </c>
      <c r="AI239" s="19">
        <v>7234332</v>
      </c>
      <c r="AJ239" s="137">
        <f t="shared" si="70"/>
        <v>0</v>
      </c>
      <c r="AK239" s="49">
        <f t="shared" si="77"/>
        <v>0</v>
      </c>
      <c r="AL239" s="82">
        <f t="shared" si="78"/>
        <v>0</v>
      </c>
      <c r="AM239" s="82">
        <f t="shared" si="79"/>
        <v>285646076015404.19</v>
      </c>
      <c r="AN239" s="81">
        <f t="shared" si="71"/>
        <v>275515461982854.66</v>
      </c>
      <c r="AO239" s="80">
        <f t="shared" si="60"/>
        <v>964.53438403962809</v>
      </c>
      <c r="AP239" s="52">
        <f t="shared" si="72"/>
        <v>2.2813976408752226E-2</v>
      </c>
      <c r="AQ239" s="48">
        <f>(F239-E239)/E239</f>
        <v>-6.3856960408684551E-3</v>
      </c>
      <c r="AR239" s="48">
        <f>(M239-L239)/L239</f>
        <v>1.8648018648018648E-2</v>
      </c>
      <c r="AS239" s="48">
        <f>(T239-S239)/S239</f>
        <v>6.4356435643564358E-2</v>
      </c>
      <c r="AT239" s="48" t="e">
        <f>(#REF!-#REF!)/#REF!</f>
        <v>#REF!</v>
      </c>
    </row>
    <row r="240" spans="1:46" x14ac:dyDescent="0.3">
      <c r="A240" s="48">
        <v>20181219</v>
      </c>
      <c r="B240" s="48" t="s">
        <v>88</v>
      </c>
      <c r="C240" s="79">
        <v>0.4</v>
      </c>
      <c r="D240" s="79">
        <f t="shared" si="61"/>
        <v>0.40194730553215652</v>
      </c>
      <c r="E240" s="49">
        <v>38900</v>
      </c>
      <c r="F240" s="49">
        <v>39100</v>
      </c>
      <c r="G240" s="49">
        <v>5969782550</v>
      </c>
      <c r="H240" s="49">
        <f t="shared" si="62"/>
        <v>0.480661415180764</v>
      </c>
      <c r="I240" s="49">
        <f t="shared" si="73"/>
        <v>0.480661415180764</v>
      </c>
      <c r="J240" s="48">
        <v>0.3</v>
      </c>
      <c r="K240" s="48">
        <f t="shared" si="63"/>
        <v>0.26723487024316284</v>
      </c>
      <c r="L240" s="48">
        <v>218500</v>
      </c>
      <c r="M240" s="48">
        <v>225500</v>
      </c>
      <c r="N240" s="51">
        <v>125456133</v>
      </c>
      <c r="O240" s="48">
        <f t="shared" si="64"/>
        <v>2.6366961929138801</v>
      </c>
      <c r="P240" s="48">
        <f t="shared" si="74"/>
        <v>2.6366961929138801</v>
      </c>
      <c r="Q240" s="49">
        <v>0.3</v>
      </c>
      <c r="R240" s="49">
        <f t="shared" si="65"/>
        <v>0.3308178242246807</v>
      </c>
      <c r="S240" s="49">
        <v>215000</v>
      </c>
      <c r="T240" s="49">
        <v>216700</v>
      </c>
      <c r="U240" s="49">
        <v>15956260</v>
      </c>
      <c r="V240" s="49">
        <f t="shared" si="66"/>
        <v>26.705720168853201</v>
      </c>
      <c r="W240" s="49">
        <f t="shared" si="75"/>
        <v>26.705720168853201</v>
      </c>
      <c r="X240" s="48">
        <v>0</v>
      </c>
      <c r="Y240" s="76">
        <f t="shared" si="67"/>
        <v>0</v>
      </c>
      <c r="Z240" s="18">
        <v>9960</v>
      </c>
      <c r="AA240" s="18">
        <v>10055</v>
      </c>
      <c r="AB240" s="18">
        <v>55400000</v>
      </c>
      <c r="AC240" s="135">
        <f t="shared" si="68"/>
        <v>0</v>
      </c>
      <c r="AD240" s="48">
        <f t="shared" si="76"/>
        <v>0</v>
      </c>
      <c r="AE240" s="49">
        <v>0</v>
      </c>
      <c r="AF240" s="49">
        <f t="shared" si="69"/>
        <v>0</v>
      </c>
      <c r="AG240" s="19">
        <v>19550</v>
      </c>
      <c r="AH240" s="19">
        <v>20450</v>
      </c>
      <c r="AI240" s="19">
        <v>7234332</v>
      </c>
      <c r="AJ240" s="137">
        <f t="shared" si="70"/>
        <v>0</v>
      </c>
      <c r="AK240" s="49">
        <f t="shared" si="77"/>
        <v>0</v>
      </c>
      <c r="AL240" s="82">
        <f t="shared" si="78"/>
        <v>0</v>
      </c>
      <c r="AM240" s="82">
        <f t="shared" si="79"/>
        <v>285646076015404.19</v>
      </c>
      <c r="AN240" s="81">
        <f t="shared" si="71"/>
        <v>279129288571079.62</v>
      </c>
      <c r="AO240" s="80">
        <f t="shared" si="60"/>
        <v>977.18579742025531</v>
      </c>
      <c r="AP240" s="52">
        <f t="shared" si="72"/>
        <v>1.3116601740666855E-2</v>
      </c>
      <c r="AQ240" s="48">
        <f>(F240-E240)/E240</f>
        <v>5.1413881748071976E-3</v>
      </c>
      <c r="AR240" s="48">
        <f>(M240-L240)/L240</f>
        <v>3.2036613272311214E-2</v>
      </c>
      <c r="AS240" s="48">
        <f>(T240-S240)/S240</f>
        <v>7.9069767441860457E-3</v>
      </c>
      <c r="AT240" s="48" t="e">
        <f>(#REF!-#REF!)/#REF!</f>
        <v>#REF!</v>
      </c>
    </row>
    <row r="241" spans="1:46" x14ac:dyDescent="0.3">
      <c r="A241" s="48">
        <v>20181220</v>
      </c>
      <c r="B241" s="48" t="s">
        <v>88</v>
      </c>
      <c r="C241" s="79">
        <v>0.4</v>
      </c>
      <c r="D241" s="79">
        <f t="shared" si="61"/>
        <v>0.39514642673065908</v>
      </c>
      <c r="E241" s="49">
        <v>39100</v>
      </c>
      <c r="F241" s="49">
        <v>38650</v>
      </c>
      <c r="G241" s="49">
        <v>5969782550</v>
      </c>
      <c r="H241" s="49">
        <f t="shared" si="62"/>
        <v>0.480661415180764</v>
      </c>
      <c r="I241" s="49">
        <f t="shared" si="73"/>
        <v>0.480661415180764</v>
      </c>
      <c r="J241" s="48">
        <v>0.3</v>
      </c>
      <c r="K241" s="48">
        <f t="shared" si="63"/>
        <v>0.26400417514282676</v>
      </c>
      <c r="L241" s="48">
        <v>225500</v>
      </c>
      <c r="M241" s="48">
        <v>224000</v>
      </c>
      <c r="N241" s="51">
        <v>125456133</v>
      </c>
      <c r="O241" s="48">
        <f t="shared" si="64"/>
        <v>2.6366961929138801</v>
      </c>
      <c r="P241" s="48">
        <f t="shared" si="74"/>
        <v>2.6366961929138801</v>
      </c>
      <c r="Q241" s="49">
        <v>0.3</v>
      </c>
      <c r="R241" s="49">
        <f t="shared" si="65"/>
        <v>0.3408493981265141</v>
      </c>
      <c r="S241" s="49">
        <v>216700</v>
      </c>
      <c r="T241" s="49">
        <v>224500</v>
      </c>
      <c r="U241" s="49">
        <v>15956260</v>
      </c>
      <c r="V241" s="49">
        <f t="shared" si="66"/>
        <v>26.705720168853201</v>
      </c>
      <c r="W241" s="49">
        <f t="shared" si="75"/>
        <v>26.705720168853201</v>
      </c>
      <c r="X241" s="48">
        <v>0</v>
      </c>
      <c r="Y241" s="76">
        <f t="shared" si="67"/>
        <v>0</v>
      </c>
      <c r="Z241" s="18">
        <v>10055</v>
      </c>
      <c r="AA241" s="18">
        <v>9910</v>
      </c>
      <c r="AB241" s="18">
        <v>54900000</v>
      </c>
      <c r="AC241" s="135">
        <f t="shared" si="68"/>
        <v>0</v>
      </c>
      <c r="AD241" s="48">
        <f t="shared" si="76"/>
        <v>0</v>
      </c>
      <c r="AE241" s="49">
        <v>0</v>
      </c>
      <c r="AF241" s="49">
        <f t="shared" si="69"/>
        <v>0</v>
      </c>
      <c r="AG241" s="19">
        <v>20450</v>
      </c>
      <c r="AH241" s="19">
        <v>20350</v>
      </c>
      <c r="AI241" s="19">
        <v>7234332</v>
      </c>
      <c r="AJ241" s="137">
        <f t="shared" si="70"/>
        <v>0</v>
      </c>
      <c r="AK241" s="49">
        <f t="shared" si="77"/>
        <v>0</v>
      </c>
      <c r="AL241" s="82">
        <f t="shared" si="78"/>
        <v>0</v>
      </c>
      <c r="AM241" s="82">
        <f t="shared" si="79"/>
        <v>285646076015404.19</v>
      </c>
      <c r="AN241" s="81">
        <f t="shared" si="71"/>
        <v>280665616783840.87</v>
      </c>
      <c r="AO241" s="80">
        <f t="shared" si="60"/>
        <v>982.56423017939608</v>
      </c>
      <c r="AP241" s="52">
        <f t="shared" si="72"/>
        <v>5.5040021798717139E-3</v>
      </c>
      <c r="AQ241" s="48">
        <f>(F241-E241)/E241</f>
        <v>-1.1508951406649617E-2</v>
      </c>
      <c r="AR241" s="48">
        <f>(M241-L241)/L241</f>
        <v>-6.6518847006651885E-3</v>
      </c>
      <c r="AS241" s="48">
        <f>(T241-S241)/S241</f>
        <v>3.599446239040148E-2</v>
      </c>
      <c r="AT241" s="48" t="e">
        <f>(#REF!-#REF!)/#REF!</f>
        <v>#REF!</v>
      </c>
    </row>
    <row r="242" spans="1:46" x14ac:dyDescent="0.3">
      <c r="A242" s="48">
        <v>20181221</v>
      </c>
      <c r="B242" s="48" t="s">
        <v>88</v>
      </c>
      <c r="C242" s="79">
        <v>0.4</v>
      </c>
      <c r="D242" s="79">
        <f t="shared" si="61"/>
        <v>0.39472997547290944</v>
      </c>
      <c r="E242" s="49">
        <v>38650</v>
      </c>
      <c r="F242" s="49">
        <v>38650</v>
      </c>
      <c r="G242" s="49">
        <v>5969782550</v>
      </c>
      <c r="H242" s="49">
        <f t="shared" si="62"/>
        <v>0.480661415180764</v>
      </c>
      <c r="I242" s="49">
        <f t="shared" si="73"/>
        <v>0.480661415180764</v>
      </c>
      <c r="J242" s="48">
        <v>0.3</v>
      </c>
      <c r="K242" s="48">
        <f t="shared" si="63"/>
        <v>0.25901654511158967</v>
      </c>
      <c r="L242" s="48">
        <v>224000</v>
      </c>
      <c r="M242" s="48">
        <v>220000</v>
      </c>
      <c r="N242" s="51">
        <v>125456133</v>
      </c>
      <c r="O242" s="48">
        <f t="shared" si="64"/>
        <v>2.6366961929138801</v>
      </c>
      <c r="P242" s="48">
        <f t="shared" si="74"/>
        <v>2.6366961929138801</v>
      </c>
      <c r="Q242" s="49">
        <v>0.3</v>
      </c>
      <c r="R242" s="49">
        <f t="shared" si="65"/>
        <v>0.34625347941550094</v>
      </c>
      <c r="S242" s="49">
        <v>224500</v>
      </c>
      <c r="T242" s="49">
        <v>228300</v>
      </c>
      <c r="U242" s="49">
        <v>15956260</v>
      </c>
      <c r="V242" s="49">
        <f t="shared" si="66"/>
        <v>26.705720168853201</v>
      </c>
      <c r="W242" s="49">
        <f t="shared" si="75"/>
        <v>26.705720168853201</v>
      </c>
      <c r="X242" s="48">
        <v>0</v>
      </c>
      <c r="Y242" s="76">
        <f t="shared" si="67"/>
        <v>0</v>
      </c>
      <c r="Z242" s="18">
        <v>9910</v>
      </c>
      <c r="AA242" s="18">
        <v>9880</v>
      </c>
      <c r="AB242" s="18">
        <v>62500000</v>
      </c>
      <c r="AC242" s="135">
        <f t="shared" si="68"/>
        <v>0</v>
      </c>
      <c r="AD242" s="48">
        <f t="shared" si="76"/>
        <v>0</v>
      </c>
      <c r="AE242" s="49">
        <v>0</v>
      </c>
      <c r="AF242" s="49">
        <f t="shared" si="69"/>
        <v>0</v>
      </c>
      <c r="AG242" s="19">
        <v>20350</v>
      </c>
      <c r="AH242" s="19">
        <v>20800</v>
      </c>
      <c r="AI242" s="19">
        <v>7234332</v>
      </c>
      <c r="AJ242" s="137">
        <f t="shared" si="70"/>
        <v>0</v>
      </c>
      <c r="AK242" s="49">
        <f t="shared" si="77"/>
        <v>0</v>
      </c>
      <c r="AL242" s="82">
        <f t="shared" si="78"/>
        <v>0</v>
      </c>
      <c r="AM242" s="82">
        <f t="shared" si="79"/>
        <v>285646076015404.19</v>
      </c>
      <c r="AN242" s="81">
        <f t="shared" si="71"/>
        <v>280961726925911.22</v>
      </c>
      <c r="AO242" s="80">
        <f t="shared" si="60"/>
        <v>983.60086315612352</v>
      </c>
      <c r="AP242" s="52">
        <f t="shared" si="72"/>
        <v>1.0550282056758554E-3</v>
      </c>
      <c r="AQ242" s="48">
        <f>(F242-E242)/E242</f>
        <v>0</v>
      </c>
      <c r="AR242" s="48">
        <f>(M242-L242)/L242</f>
        <v>-1.7857142857142856E-2</v>
      </c>
      <c r="AS242" s="48">
        <f>(T242-S242)/S242</f>
        <v>1.6926503340757237E-2</v>
      </c>
      <c r="AT242" s="48" t="e">
        <f>(#REF!-#REF!)/#REF!</f>
        <v>#REF!</v>
      </c>
    </row>
    <row r="243" spans="1:46" x14ac:dyDescent="0.3">
      <c r="A243" s="48">
        <v>20181224</v>
      </c>
      <c r="B243" s="48" t="s">
        <v>88</v>
      </c>
      <c r="C243" s="79">
        <v>0.4</v>
      </c>
      <c r="D243" s="79">
        <f t="shared" si="61"/>
        <v>0.40098397897946331</v>
      </c>
      <c r="E243" s="49">
        <v>38650</v>
      </c>
      <c r="F243" s="49">
        <v>38800</v>
      </c>
      <c r="G243" s="49">
        <v>5969782550</v>
      </c>
      <c r="H243" s="49">
        <f t="shared" si="62"/>
        <v>0.480661415180764</v>
      </c>
      <c r="I243" s="49">
        <f t="shared" si="73"/>
        <v>0.480661415180764</v>
      </c>
      <c r="J243" s="48">
        <v>0.3</v>
      </c>
      <c r="K243" s="48">
        <f t="shared" si="63"/>
        <v>0.25078503167823046</v>
      </c>
      <c r="L243" s="48">
        <v>220000</v>
      </c>
      <c r="M243" s="48">
        <v>210500</v>
      </c>
      <c r="N243" s="51">
        <v>125456133</v>
      </c>
      <c r="O243" s="48">
        <f t="shared" si="64"/>
        <v>2.6366961929138801</v>
      </c>
      <c r="P243" s="48">
        <f t="shared" si="74"/>
        <v>2.6366961929138801</v>
      </c>
      <c r="Q243" s="49">
        <v>0.3</v>
      </c>
      <c r="R243" s="49">
        <f t="shared" si="65"/>
        <v>0.34823098934230617</v>
      </c>
      <c r="S243" s="49">
        <v>228300</v>
      </c>
      <c r="T243" s="49">
        <v>226900</v>
      </c>
      <c r="U243" s="49">
        <v>15956260</v>
      </c>
      <c r="V243" s="49">
        <f t="shared" si="66"/>
        <v>26.705720168853201</v>
      </c>
      <c r="W243" s="49">
        <f t="shared" si="75"/>
        <v>26.705720168853201</v>
      </c>
      <c r="X243" s="48">
        <v>0</v>
      </c>
      <c r="Y243" s="76">
        <f t="shared" si="67"/>
        <v>0</v>
      </c>
      <c r="Z243" s="18">
        <v>9880</v>
      </c>
      <c r="AA243" s="18">
        <v>9955</v>
      </c>
      <c r="AB243" s="18">
        <v>57500000</v>
      </c>
      <c r="AC243" s="135">
        <f t="shared" si="68"/>
        <v>0</v>
      </c>
      <c r="AD243" s="48">
        <f t="shared" si="76"/>
        <v>0</v>
      </c>
      <c r="AE243" s="49">
        <v>0</v>
      </c>
      <c r="AF243" s="49">
        <f t="shared" si="69"/>
        <v>0</v>
      </c>
      <c r="AG243" s="19">
        <v>20800</v>
      </c>
      <c r="AH243" s="19">
        <v>20600</v>
      </c>
      <c r="AI243" s="19">
        <v>7234332</v>
      </c>
      <c r="AJ243" s="137">
        <f t="shared" si="70"/>
        <v>0</v>
      </c>
      <c r="AK243" s="49">
        <f t="shared" si="77"/>
        <v>0</v>
      </c>
      <c r="AL243" s="82">
        <f t="shared" si="78"/>
        <v>0</v>
      </c>
      <c r="AM243" s="82">
        <f t="shared" si="79"/>
        <v>285646076015404.19</v>
      </c>
      <c r="AN243" s="81">
        <f t="shared" si="71"/>
        <v>277653068536471.31</v>
      </c>
      <c r="AO243" s="80">
        <f t="shared" si="60"/>
        <v>972.01779352116205</v>
      </c>
      <c r="AP243" s="52">
        <f t="shared" si="72"/>
        <v>-1.1776188969369515E-2</v>
      </c>
      <c r="AQ243" s="48">
        <f>(F243-E243)/E243</f>
        <v>3.8809831824062097E-3</v>
      </c>
      <c r="AR243" s="48">
        <f>(M243-L243)/L243</f>
        <v>-4.3181818181818182E-2</v>
      </c>
      <c r="AS243" s="48">
        <f>(T243-S243)/S243</f>
        <v>-6.1322820849759093E-3</v>
      </c>
      <c r="AT243" s="48" t="e">
        <f>(#REF!-#REF!)/#REF!</f>
        <v>#REF!</v>
      </c>
    </row>
    <row r="244" spans="1:46" x14ac:dyDescent="0.3">
      <c r="A244" s="48">
        <v>20181226</v>
      </c>
      <c r="B244" s="48" t="s">
        <v>88</v>
      </c>
      <c r="C244" s="79">
        <v>0.4</v>
      </c>
      <c r="D244" s="79">
        <f t="shared" si="61"/>
        <v>0.3863976131872246</v>
      </c>
      <c r="E244" s="49">
        <v>38800</v>
      </c>
      <c r="F244" s="49">
        <v>38350</v>
      </c>
      <c r="G244" s="49">
        <v>5969782550</v>
      </c>
      <c r="H244" s="49">
        <f t="shared" si="62"/>
        <v>0.480661415180764</v>
      </c>
      <c r="I244" s="49">
        <f t="shared" si="73"/>
        <v>0.480661415180764</v>
      </c>
      <c r="J244" s="48">
        <v>0.3</v>
      </c>
      <c r="K244" s="48">
        <f t="shared" si="63"/>
        <v>0.26482448101454087</v>
      </c>
      <c r="L244" s="48">
        <v>210500</v>
      </c>
      <c r="M244" s="48">
        <v>228000</v>
      </c>
      <c r="N244" s="51">
        <v>125456133</v>
      </c>
      <c r="O244" s="48">
        <f t="shared" si="64"/>
        <v>2.6366961929138801</v>
      </c>
      <c r="P244" s="48">
        <f t="shared" si="74"/>
        <v>2.6366961929138801</v>
      </c>
      <c r="Q244" s="49">
        <v>0.3</v>
      </c>
      <c r="R244" s="49">
        <f t="shared" si="65"/>
        <v>0.34877790579823459</v>
      </c>
      <c r="S244" s="49">
        <v>226900</v>
      </c>
      <c r="T244" s="49">
        <v>233100</v>
      </c>
      <c r="U244" s="49">
        <v>15956260</v>
      </c>
      <c r="V244" s="49">
        <f t="shared" si="66"/>
        <v>26.705720168853201</v>
      </c>
      <c r="W244" s="49">
        <f t="shared" si="75"/>
        <v>26.705720168853201</v>
      </c>
      <c r="X244" s="48">
        <v>0</v>
      </c>
      <c r="Y244" s="76">
        <f t="shared" si="67"/>
        <v>0</v>
      </c>
      <c r="Z244" s="18">
        <v>9955</v>
      </c>
      <c r="AA244" s="18">
        <v>9790</v>
      </c>
      <c r="AB244" s="18">
        <v>62100000</v>
      </c>
      <c r="AC244" s="135">
        <f t="shared" si="68"/>
        <v>0</v>
      </c>
      <c r="AD244" s="48">
        <f t="shared" si="76"/>
        <v>0</v>
      </c>
      <c r="AE244" s="49">
        <v>0</v>
      </c>
      <c r="AF244" s="49">
        <f t="shared" si="69"/>
        <v>0</v>
      </c>
      <c r="AG244" s="19">
        <v>20600</v>
      </c>
      <c r="AH244" s="19">
        <v>20300</v>
      </c>
      <c r="AI244" s="19">
        <v>7234332</v>
      </c>
      <c r="AJ244" s="137">
        <f t="shared" si="70"/>
        <v>0</v>
      </c>
      <c r="AK244" s="49">
        <f t="shared" si="77"/>
        <v>0</v>
      </c>
      <c r="AL244" s="82">
        <f t="shared" si="78"/>
        <v>0</v>
      </c>
      <c r="AM244" s="82">
        <f t="shared" si="79"/>
        <v>285646076015404.19</v>
      </c>
      <c r="AN244" s="81">
        <f t="shared" si="71"/>
        <v>284792603742947.31</v>
      </c>
      <c r="AO244" s="80">
        <f t="shared" si="60"/>
        <v>997.01213374129861</v>
      </c>
      <c r="AP244" s="52">
        <f t="shared" si="72"/>
        <v>2.5713871069781406E-2</v>
      </c>
      <c r="AQ244" s="48">
        <f>(F244-E244)/E244</f>
        <v>-1.1597938144329897E-2</v>
      </c>
      <c r="AR244" s="48">
        <f>(M244-L244)/L244</f>
        <v>8.3135391923990498E-2</v>
      </c>
      <c r="AS244" s="48">
        <f>(T244-S244)/S244</f>
        <v>2.7324812692816218E-2</v>
      </c>
      <c r="AT244" s="48" t="e">
        <f>(#REF!-#REF!)/#REF!</f>
        <v>#REF!</v>
      </c>
    </row>
    <row r="245" spans="1:46" s="47" customFormat="1" x14ac:dyDescent="0.3">
      <c r="A245" s="48">
        <v>20181227</v>
      </c>
      <c r="B245" s="48" t="s">
        <v>88</v>
      </c>
      <c r="C245" s="79">
        <v>0.4</v>
      </c>
      <c r="D245" s="79">
        <f t="shared" si="61"/>
        <v>0.38024874889314864</v>
      </c>
      <c r="E245" s="49">
        <v>38350</v>
      </c>
      <c r="F245" s="49">
        <v>38250</v>
      </c>
      <c r="G245" s="49">
        <v>5969782550</v>
      </c>
      <c r="H245" s="49">
        <f t="shared" si="62"/>
        <v>0.480661415180764</v>
      </c>
      <c r="I245" s="49">
        <f t="shared" si="73"/>
        <v>0.44137873069428601</v>
      </c>
      <c r="J245" s="48">
        <v>0.3</v>
      </c>
      <c r="K245" s="48">
        <f t="shared" si="63"/>
        <v>0.26012510114373466</v>
      </c>
      <c r="L245" s="48">
        <v>224000</v>
      </c>
      <c r="M245" s="48">
        <v>223000</v>
      </c>
      <c r="N245" s="51">
        <v>125456133</v>
      </c>
      <c r="O245" s="48">
        <f t="shared" si="64"/>
        <v>2.6366961929138801</v>
      </c>
      <c r="P245" s="48">
        <f t="shared" si="74"/>
        <v>2.4644446091677801</v>
      </c>
      <c r="Q245" s="49">
        <v>0.3</v>
      </c>
      <c r="R245" s="49">
        <f t="shared" si="65"/>
        <v>0.3596261499631167</v>
      </c>
      <c r="S245" s="49">
        <v>233100</v>
      </c>
      <c r="T245" s="49">
        <v>243600</v>
      </c>
      <c r="U245" s="49">
        <v>15956260</v>
      </c>
      <c r="V245" s="49">
        <f t="shared" si="66"/>
        <v>26.705720168853201</v>
      </c>
      <c r="W245" s="49">
        <f t="shared" si="75"/>
        <v>24.523160166647301</v>
      </c>
      <c r="X245" s="48">
        <v>0</v>
      </c>
      <c r="Y245" s="76">
        <f t="shared" si="67"/>
        <v>0</v>
      </c>
      <c r="Z245" s="18">
        <v>9790</v>
      </c>
      <c r="AA245" s="18">
        <v>9940</v>
      </c>
      <c r="AB245" s="18">
        <v>62100000</v>
      </c>
      <c r="AC245" s="135">
        <f t="shared" si="68"/>
        <v>0</v>
      </c>
      <c r="AD245" s="48">
        <f t="shared" si="76"/>
        <v>0</v>
      </c>
      <c r="AE245" s="49">
        <v>0</v>
      </c>
      <c r="AF245" s="49">
        <f t="shared" si="69"/>
        <v>0</v>
      </c>
      <c r="AG245" s="19">
        <v>20300</v>
      </c>
      <c r="AH245" s="19">
        <v>19750</v>
      </c>
      <c r="AI245" s="19">
        <v>7234332</v>
      </c>
      <c r="AJ245" s="137">
        <f t="shared" si="70"/>
        <v>0</v>
      </c>
      <c r="AK245" s="49">
        <f t="shared" si="77"/>
        <v>0</v>
      </c>
      <c r="AL245" s="82">
        <f t="shared" si="78"/>
        <v>1</v>
      </c>
      <c r="AM245" s="82">
        <f t="shared" si="79"/>
        <v>262301275861862.16</v>
      </c>
      <c r="AN245" s="81">
        <f t="shared" si="71"/>
        <v>265053509691224.31</v>
      </c>
      <c r="AO245" s="80">
        <f t="shared" si="60"/>
        <v>1010.4926436988113</v>
      </c>
      <c r="AP245" s="52">
        <f t="shared" si="72"/>
        <v>1.3520908624177874E-2</v>
      </c>
      <c r="AQ245" s="48">
        <f>(F245-E245)/E245</f>
        <v>-2.6075619295958278E-3</v>
      </c>
      <c r="AR245" s="48">
        <f>(M245-L245)/L245</f>
        <v>-4.464285714285714E-3</v>
      </c>
      <c r="AS245" s="48">
        <f>(T245-S245)/S245</f>
        <v>4.5045045045045043E-2</v>
      </c>
      <c r="AT245" s="48" t="e">
        <f>(#REF!-#REF!)/#REF!</f>
        <v>#REF!</v>
      </c>
    </row>
    <row r="246" spans="1:46" x14ac:dyDescent="0.3">
      <c r="A246" s="48">
        <v>20181228</v>
      </c>
      <c r="B246" s="48" t="s">
        <v>88</v>
      </c>
      <c r="C246" s="79">
        <v>0.4</v>
      </c>
      <c r="D246" s="79">
        <f t="shared" si="61"/>
        <v>0.37745853757700309</v>
      </c>
      <c r="E246" s="49">
        <v>38250</v>
      </c>
      <c r="F246" s="49">
        <v>38700</v>
      </c>
      <c r="G246" s="49">
        <v>5969782550</v>
      </c>
      <c r="H246" s="49">
        <f t="shared" si="62"/>
        <v>0.44137873069428601</v>
      </c>
      <c r="I246" s="49">
        <f t="shared" si="73"/>
        <v>0.44137873069428601</v>
      </c>
      <c r="J246" s="48">
        <v>0.3</v>
      </c>
      <c r="K246" s="48">
        <f t="shared" si="63"/>
        <v>0.25464159620613958</v>
      </c>
      <c r="L246" s="48">
        <v>223000</v>
      </c>
      <c r="M246" s="48">
        <v>222500</v>
      </c>
      <c r="N246" s="51">
        <v>125456133</v>
      </c>
      <c r="O246" s="48">
        <f t="shared" si="64"/>
        <v>2.4644446091677801</v>
      </c>
      <c r="P246" s="48">
        <f t="shared" si="74"/>
        <v>2.4644446091677801</v>
      </c>
      <c r="Q246" s="49">
        <v>0.3</v>
      </c>
      <c r="R246" s="49">
        <f t="shared" si="65"/>
        <v>0.36789986621685733</v>
      </c>
      <c r="S246" s="49">
        <v>243600</v>
      </c>
      <c r="T246" s="49">
        <v>254000</v>
      </c>
      <c r="U246" s="49">
        <v>15956260</v>
      </c>
      <c r="V246" s="49">
        <f t="shared" si="66"/>
        <v>24.523160166647301</v>
      </c>
      <c r="W246" s="49">
        <f t="shared" si="75"/>
        <v>24.523160166647301</v>
      </c>
      <c r="X246" s="48">
        <v>0</v>
      </c>
      <c r="Y246" s="76">
        <f t="shared" si="67"/>
        <v>0</v>
      </c>
      <c r="Z246" s="18">
        <v>9940</v>
      </c>
      <c r="AA246" s="18">
        <v>10040</v>
      </c>
      <c r="AB246" s="18">
        <v>62100000</v>
      </c>
      <c r="AC246" s="135">
        <f t="shared" si="68"/>
        <v>0</v>
      </c>
      <c r="AD246" s="48">
        <f t="shared" si="76"/>
        <v>0</v>
      </c>
      <c r="AE246" s="49">
        <v>0</v>
      </c>
      <c r="AF246" s="49">
        <f t="shared" si="69"/>
        <v>0</v>
      </c>
      <c r="AG246" s="19">
        <v>19750</v>
      </c>
      <c r="AH246" s="19">
        <v>19650</v>
      </c>
      <c r="AI246" s="19">
        <v>7234332</v>
      </c>
      <c r="AJ246" s="137">
        <f t="shared" si="70"/>
        <v>0</v>
      </c>
      <c r="AK246" s="49">
        <f t="shared" si="77"/>
        <v>0</v>
      </c>
      <c r="AL246" s="82">
        <f t="shared" si="78"/>
        <v>0</v>
      </c>
      <c r="AM246" s="82">
        <f t="shared" si="79"/>
        <v>262301275861862.16</v>
      </c>
      <c r="AN246" s="81">
        <f t="shared" si="71"/>
        <v>270154138980155.78</v>
      </c>
      <c r="AO246" s="80">
        <f t="shared" si="60"/>
        <v>1029.9383336679966</v>
      </c>
      <c r="AP246" s="52">
        <f t="shared" si="72"/>
        <v>1.9243771926934796E-2</v>
      </c>
      <c r="AQ246" s="48">
        <f>(F246-E246)/E246</f>
        <v>1.1764705882352941E-2</v>
      </c>
      <c r="AR246" s="48">
        <f>(M246-L246)/L246</f>
        <v>-2.242152466367713E-3</v>
      </c>
      <c r="AS246" s="48">
        <f>(T246-S246)/S246</f>
        <v>4.2692939244663386E-2</v>
      </c>
      <c r="AT246" s="48" t="e">
        <f>(#REF!-#REF!)/#REF!</f>
        <v>#REF!</v>
      </c>
    </row>
    <row r="247" spans="1:46" s="147" customFormat="1" x14ac:dyDescent="0.3">
      <c r="A247" s="139">
        <v>20190102</v>
      </c>
      <c r="B247" s="139" t="s">
        <v>89</v>
      </c>
      <c r="C247" s="140">
        <v>0.3</v>
      </c>
      <c r="D247" s="140">
        <f t="shared" si="61"/>
        <v>0.30026382563519638</v>
      </c>
      <c r="E247" s="139">
        <v>38700</v>
      </c>
      <c r="F247" s="139">
        <v>38750</v>
      </c>
      <c r="G247" s="139">
        <v>5969782550</v>
      </c>
      <c r="H247" s="139">
        <f t="shared" si="62"/>
        <v>0.44137873069428601</v>
      </c>
      <c r="I247" s="141">
        <f t="shared" si="73"/>
        <v>0.34250413636912502</v>
      </c>
      <c r="J247" s="141">
        <v>0.15</v>
      </c>
      <c r="K247" s="141">
        <f t="shared" si="63"/>
        <v>0.14454715802372531</v>
      </c>
      <c r="L247" s="139">
        <v>222500</v>
      </c>
      <c r="M247" s="139">
        <v>214500</v>
      </c>
      <c r="N247" s="142">
        <v>125456133</v>
      </c>
      <c r="O247" s="139">
        <f t="shared" si="64"/>
        <v>2.4644446091677801</v>
      </c>
      <c r="P247" s="141">
        <f t="shared" si="74"/>
        <v>1.41737050198748</v>
      </c>
      <c r="Q247" s="141">
        <v>0.15</v>
      </c>
      <c r="R247" s="141">
        <f t="shared" si="65"/>
        <v>0.1534800413279831</v>
      </c>
      <c r="S247" s="139">
        <v>254000</v>
      </c>
      <c r="T247" s="139">
        <v>260000</v>
      </c>
      <c r="U247" s="139">
        <v>15956260</v>
      </c>
      <c r="V247" s="139">
        <f t="shared" si="66"/>
        <v>24.523160166647301</v>
      </c>
      <c r="W247" s="141">
        <f t="shared" si="75"/>
        <v>9.7620377189396894</v>
      </c>
      <c r="X247" s="141">
        <v>0.1</v>
      </c>
      <c r="Y247" s="148">
        <f t="shared" si="67"/>
        <v>9.8017365345284227E-2</v>
      </c>
      <c r="Z247" s="149">
        <v>10040</v>
      </c>
      <c r="AA247" s="149">
        <v>9845</v>
      </c>
      <c r="AB247" s="149">
        <v>62100000</v>
      </c>
      <c r="AC247" s="150">
        <f t="shared" si="68"/>
        <v>0</v>
      </c>
      <c r="AD247" s="141">
        <f t="shared" si="76"/>
        <v>42.304710777068898</v>
      </c>
      <c r="AE247" s="141">
        <v>0.3</v>
      </c>
      <c r="AF247" s="141">
        <f t="shared" si="69"/>
        <v>0.303691609667811</v>
      </c>
      <c r="AG247" s="149">
        <v>19650</v>
      </c>
      <c r="AH247" s="149">
        <v>19900</v>
      </c>
      <c r="AI247" s="149">
        <v>7234332</v>
      </c>
      <c r="AJ247" s="150">
        <f t="shared" si="70"/>
        <v>0</v>
      </c>
      <c r="AK247" s="141">
        <f t="shared" si="77"/>
        <v>556.63986697835401</v>
      </c>
      <c r="AL247" s="82">
        <f t="shared" si="78"/>
        <v>0</v>
      </c>
      <c r="AM247" s="82">
        <f t="shared" si="79"/>
        <v>256096014993383.78</v>
      </c>
      <c r="AN247" s="144">
        <f t="shared" si="71"/>
        <v>263871828301692.56</v>
      </c>
      <c r="AO247" s="145">
        <f t="shared" si="60"/>
        <v>1030.3628828762121</v>
      </c>
      <c r="AP247" s="146">
        <f t="shared" si="72"/>
        <v>4.1220837630490749E-4</v>
      </c>
      <c r="AQ247" s="139">
        <f>(F247-E247)/E247</f>
        <v>1.2919896640826874E-3</v>
      </c>
      <c r="AR247" s="139">
        <f>(M247-L247)/L247</f>
        <v>-3.5955056179775284E-2</v>
      </c>
      <c r="AS247" s="139">
        <f>(T247-S247)/S247</f>
        <v>2.3622047244094488E-2</v>
      </c>
      <c r="AT247" s="139" t="e">
        <f>(#REF!-#REF!)/#REF!</f>
        <v>#REF!</v>
      </c>
    </row>
    <row r="248" spans="1:46" x14ac:dyDescent="0.3">
      <c r="A248" s="48">
        <v>20190103</v>
      </c>
      <c r="B248" s="48" t="s">
        <v>88</v>
      </c>
      <c r="C248" s="79">
        <v>0.3</v>
      </c>
      <c r="D248" s="79">
        <f t="shared" si="61"/>
        <v>0.30186791366821875</v>
      </c>
      <c r="E248" s="49">
        <v>38750</v>
      </c>
      <c r="F248" s="49">
        <v>37600</v>
      </c>
      <c r="G248" s="49">
        <v>5969782550</v>
      </c>
      <c r="H248" s="49">
        <f t="shared" si="62"/>
        <v>0.34250413636912502</v>
      </c>
      <c r="I248" s="49">
        <f t="shared" si="73"/>
        <v>0.34250413636912502</v>
      </c>
      <c r="J248" s="48">
        <v>0.15</v>
      </c>
      <c r="K248" s="48">
        <f t="shared" si="63"/>
        <v>0.14697117370972373</v>
      </c>
      <c r="L248" s="48">
        <v>214500</v>
      </c>
      <c r="M248" s="48">
        <v>210500</v>
      </c>
      <c r="N248" s="51">
        <v>125456133</v>
      </c>
      <c r="O248" s="48">
        <f t="shared" si="64"/>
        <v>1.41737050198748</v>
      </c>
      <c r="P248" s="48">
        <f t="shared" si="74"/>
        <v>1.41737050198748</v>
      </c>
      <c r="Q248" s="49">
        <v>0.15</v>
      </c>
      <c r="R248" s="49">
        <f t="shared" si="65"/>
        <v>0.15253616035897147</v>
      </c>
      <c r="S248" s="49">
        <v>260000</v>
      </c>
      <c r="T248" s="49">
        <v>249400</v>
      </c>
      <c r="U248" s="49">
        <v>15956260</v>
      </c>
      <c r="V248" s="49">
        <f t="shared" si="66"/>
        <v>9.7620377189396894</v>
      </c>
      <c r="W248" s="49">
        <f t="shared" si="75"/>
        <v>9.7620377189396894</v>
      </c>
      <c r="X248" s="48">
        <v>0.1</v>
      </c>
      <c r="Y248" s="76">
        <f t="shared" si="67"/>
        <v>0.10057492593885174</v>
      </c>
      <c r="Z248" s="18">
        <v>9845</v>
      </c>
      <c r="AA248" s="18">
        <v>9750</v>
      </c>
      <c r="AB248" s="18">
        <v>62100000</v>
      </c>
      <c r="AC248" s="135">
        <f t="shared" si="68"/>
        <v>42.304710777068898</v>
      </c>
      <c r="AD248" s="48">
        <f t="shared" si="76"/>
        <v>42.304710777068898</v>
      </c>
      <c r="AE248" s="49">
        <v>0.3</v>
      </c>
      <c r="AF248" s="49">
        <f t="shared" si="69"/>
        <v>0.29804982632423438</v>
      </c>
      <c r="AG248" s="19">
        <v>19900</v>
      </c>
      <c r="AH248" s="19">
        <v>18850</v>
      </c>
      <c r="AI248" s="19">
        <v>7234332</v>
      </c>
      <c r="AJ248" s="137">
        <f t="shared" si="70"/>
        <v>556.63986697835401</v>
      </c>
      <c r="AK248" s="49">
        <f t="shared" si="77"/>
        <v>556.63986697835401</v>
      </c>
      <c r="AL248" s="82">
        <f t="shared" si="78"/>
        <v>0</v>
      </c>
      <c r="AM248" s="82">
        <f t="shared" si="79"/>
        <v>256096014993383.78</v>
      </c>
      <c r="AN248" s="81">
        <f t="shared" si="71"/>
        <v>254680224903362.53</v>
      </c>
      <c r="AO248" s="80">
        <f t="shared" si="60"/>
        <v>994.47164341835696</v>
      </c>
      <c r="AP248" s="52">
        <f t="shared" si="72"/>
        <v>-3.4833591207853239E-2</v>
      </c>
      <c r="AQ248" s="48">
        <f>(F248-E248)/E248</f>
        <v>-2.9677419354838711E-2</v>
      </c>
      <c r="AR248" s="48">
        <f>(M248-L248)/L248</f>
        <v>-1.8648018648018648E-2</v>
      </c>
      <c r="AS248" s="48">
        <f>(T248-S248)/S248</f>
        <v>-4.0769230769230766E-2</v>
      </c>
      <c r="AT248" s="48" t="e">
        <f>(#REF!-#REF!)/#REF!</f>
        <v>#REF!</v>
      </c>
    </row>
    <row r="249" spans="1:46" x14ac:dyDescent="0.3">
      <c r="A249" s="48">
        <v>20190104</v>
      </c>
      <c r="B249" s="48" t="s">
        <v>88</v>
      </c>
      <c r="C249" s="79">
        <v>0.3</v>
      </c>
      <c r="D249" s="79">
        <f t="shared" si="61"/>
        <v>0.29939427936898733</v>
      </c>
      <c r="E249" s="49">
        <v>37600</v>
      </c>
      <c r="F249" s="49">
        <v>37450</v>
      </c>
      <c r="G249" s="49">
        <v>5969782550</v>
      </c>
      <c r="H249" s="49">
        <f t="shared" si="62"/>
        <v>0.34250413636912502</v>
      </c>
      <c r="I249" s="49">
        <f t="shared" si="73"/>
        <v>0.34250413636912502</v>
      </c>
      <c r="J249" s="48">
        <v>0.15</v>
      </c>
      <c r="K249" s="48">
        <f t="shared" si="63"/>
        <v>0.15295557489671993</v>
      </c>
      <c r="L249" s="48">
        <v>210500</v>
      </c>
      <c r="M249" s="48">
        <v>220000</v>
      </c>
      <c r="N249" s="51">
        <v>125456133</v>
      </c>
      <c r="O249" s="48">
        <f t="shared" si="64"/>
        <v>1.41737050198748</v>
      </c>
      <c r="P249" s="48">
        <f t="shared" si="74"/>
        <v>1.41737050198748</v>
      </c>
      <c r="Q249" s="49">
        <v>0.15</v>
      </c>
      <c r="R249" s="49">
        <f t="shared" si="65"/>
        <v>0.1548155124976919</v>
      </c>
      <c r="S249" s="49">
        <v>249400</v>
      </c>
      <c r="T249" s="49">
        <v>254200</v>
      </c>
      <c r="U249" s="49">
        <v>15956260</v>
      </c>
      <c r="V249" s="49">
        <f t="shared" si="66"/>
        <v>9.7620377189396894</v>
      </c>
      <c r="W249" s="49">
        <f t="shared" si="75"/>
        <v>9.7620377189396894</v>
      </c>
      <c r="X249" s="48">
        <v>0.1</v>
      </c>
      <c r="Y249" s="76">
        <f t="shared" si="67"/>
        <v>0.10076661753484339</v>
      </c>
      <c r="Z249" s="18">
        <v>9750</v>
      </c>
      <c r="AA249" s="18">
        <v>9810</v>
      </c>
      <c r="AB249" s="18">
        <v>62100000</v>
      </c>
      <c r="AC249" s="135">
        <f t="shared" si="68"/>
        <v>42.304710777068898</v>
      </c>
      <c r="AD249" s="48">
        <f t="shared" si="76"/>
        <v>42.304710777068898</v>
      </c>
      <c r="AE249" s="49">
        <v>0.3</v>
      </c>
      <c r="AF249" s="49">
        <f t="shared" si="69"/>
        <v>0.2920680157017575</v>
      </c>
      <c r="AG249" s="19">
        <v>18850</v>
      </c>
      <c r="AH249" s="19">
        <v>18550</v>
      </c>
      <c r="AI249" s="19">
        <v>7234332</v>
      </c>
      <c r="AJ249" s="137">
        <f t="shared" si="70"/>
        <v>556.63986697835401</v>
      </c>
      <c r="AK249" s="49">
        <f t="shared" si="77"/>
        <v>556.63986697835401</v>
      </c>
      <c r="AL249" s="82">
        <f t="shared" si="78"/>
        <v>0</v>
      </c>
      <c r="AM249" s="82">
        <f t="shared" si="79"/>
        <v>256096014993383.78</v>
      </c>
      <c r="AN249" s="81">
        <f t="shared" si="71"/>
        <v>255760019941024.62</v>
      </c>
      <c r="AO249" s="80">
        <f t="shared" si="60"/>
        <v>998.6880113992878</v>
      </c>
      <c r="AP249" s="52">
        <f t="shared" si="72"/>
        <v>4.2398071466750592E-3</v>
      </c>
      <c r="AQ249" s="48">
        <f>(F249-E249)/E249</f>
        <v>-3.9893617021276593E-3</v>
      </c>
      <c r="AR249" s="48">
        <f>(M249-L249)/L249</f>
        <v>4.5130641330166268E-2</v>
      </c>
      <c r="AS249" s="48">
        <f>(T249-S249)/S249</f>
        <v>1.9246190858059342E-2</v>
      </c>
      <c r="AT249" s="48" t="e">
        <f>(#REF!-#REF!)/#REF!</f>
        <v>#REF!</v>
      </c>
    </row>
    <row r="250" spans="1:46" x14ac:dyDescent="0.3">
      <c r="A250" s="48">
        <v>20190107</v>
      </c>
      <c r="B250" s="48" t="s">
        <v>88</v>
      </c>
      <c r="C250" s="79">
        <v>0.3</v>
      </c>
      <c r="D250" s="79">
        <f t="shared" si="61"/>
        <v>0.30246507810434931</v>
      </c>
      <c r="E250" s="49">
        <v>37450</v>
      </c>
      <c r="F250" s="49">
        <v>38750</v>
      </c>
      <c r="G250" s="49">
        <v>5969782550</v>
      </c>
      <c r="H250" s="49">
        <f t="shared" si="62"/>
        <v>0.34250413636912502</v>
      </c>
      <c r="I250" s="49">
        <f t="shared" si="73"/>
        <v>0.342763197241575</v>
      </c>
      <c r="J250" s="48">
        <v>0.15</v>
      </c>
      <c r="K250" s="48">
        <f t="shared" si="63"/>
        <v>0.14662507174424855</v>
      </c>
      <c r="L250" s="48">
        <v>220000</v>
      </c>
      <c r="M250" s="48">
        <v>216000</v>
      </c>
      <c r="N250" s="51">
        <v>125456133</v>
      </c>
      <c r="O250" s="48">
        <f t="shared" si="64"/>
        <v>1.41737050198748</v>
      </c>
      <c r="P250" s="48">
        <f t="shared" si="74"/>
        <v>1.4184425627302299</v>
      </c>
      <c r="Q250" s="49">
        <v>0.15</v>
      </c>
      <c r="R250" s="49">
        <f t="shared" si="65"/>
        <v>0.15186988990001676</v>
      </c>
      <c r="S250" s="49">
        <v>254200</v>
      </c>
      <c r="T250" s="49">
        <v>255400</v>
      </c>
      <c r="U250" s="49">
        <v>15956260</v>
      </c>
      <c r="V250" s="49">
        <f t="shared" si="66"/>
        <v>9.7620377189396894</v>
      </c>
      <c r="W250" s="49">
        <f t="shared" si="75"/>
        <v>9.7694214604476599</v>
      </c>
      <c r="X250" s="48">
        <v>0.1</v>
      </c>
      <c r="Y250" s="76">
        <f t="shared" si="67"/>
        <v>0.10003971234487209</v>
      </c>
      <c r="Z250" s="18">
        <v>9810</v>
      </c>
      <c r="AA250" s="18">
        <v>9975</v>
      </c>
      <c r="AB250" s="18">
        <v>60600000</v>
      </c>
      <c r="AC250" s="135">
        <f t="shared" si="68"/>
        <v>42.304710777068898</v>
      </c>
      <c r="AD250" s="48">
        <f t="shared" si="76"/>
        <v>43.384647256530101</v>
      </c>
      <c r="AE250" s="49">
        <v>0.3</v>
      </c>
      <c r="AF250" s="49">
        <f t="shared" si="69"/>
        <v>0.29900024790651325</v>
      </c>
      <c r="AG250" s="19">
        <v>18550</v>
      </c>
      <c r="AH250" s="19">
        <v>19450</v>
      </c>
      <c r="AI250" s="19">
        <v>7234332</v>
      </c>
      <c r="AJ250" s="137">
        <f t="shared" si="70"/>
        <v>556.63986697835401</v>
      </c>
      <c r="AK250" s="49">
        <f t="shared" si="77"/>
        <v>557.06089433034094</v>
      </c>
      <c r="AL250" s="82">
        <f t="shared" si="78"/>
        <v>1</v>
      </c>
      <c r="AM250" s="82">
        <f t="shared" si="79"/>
        <v>256289719098036.44</v>
      </c>
      <c r="AN250" s="81">
        <f t="shared" si="71"/>
        <v>262149579223653.94</v>
      </c>
      <c r="AO250" s="80">
        <f t="shared" si="60"/>
        <v>1022.8642028491826</v>
      </c>
      <c r="AP250" s="52">
        <f t="shared" si="72"/>
        <v>2.4207952006974499E-2</v>
      </c>
      <c r="AQ250" s="48">
        <f>(F250-E250)/E250</f>
        <v>3.4712950600801068E-2</v>
      </c>
      <c r="AR250" s="48">
        <f>(M250-L250)/L250</f>
        <v>-1.8181818181818181E-2</v>
      </c>
      <c r="AS250" s="48">
        <f>(T250-S250)/S250</f>
        <v>4.7206923682140047E-3</v>
      </c>
      <c r="AT250" s="48" t="e">
        <f>(#REF!-#REF!)/#REF!</f>
        <v>#REF!</v>
      </c>
    </row>
    <row r="251" spans="1:46" x14ac:dyDescent="0.3">
      <c r="A251" s="48">
        <v>20190108</v>
      </c>
      <c r="B251" s="48" t="s">
        <v>88</v>
      </c>
      <c r="C251" s="79">
        <v>0.3</v>
      </c>
      <c r="D251" s="79">
        <f t="shared" si="61"/>
        <v>0.29582759624473631</v>
      </c>
      <c r="E251" s="49">
        <v>38750</v>
      </c>
      <c r="F251" s="49">
        <v>38100</v>
      </c>
      <c r="G251" s="49">
        <v>5969782550</v>
      </c>
      <c r="H251" s="49">
        <f t="shared" si="62"/>
        <v>0.342763197241575</v>
      </c>
      <c r="I251" s="49">
        <f t="shared" si="73"/>
        <v>0.34425811053338801</v>
      </c>
      <c r="J251" s="48">
        <v>0.15</v>
      </c>
      <c r="K251" s="48">
        <f t="shared" si="63"/>
        <v>0.14416589829203663</v>
      </c>
      <c r="L251" s="48">
        <v>216000</v>
      </c>
      <c r="M251" s="48">
        <v>213500</v>
      </c>
      <c r="N251" s="51">
        <v>125456133</v>
      </c>
      <c r="O251" s="48">
        <f t="shared" si="64"/>
        <v>1.4184425627302299</v>
      </c>
      <c r="P251" s="48">
        <f t="shared" si="74"/>
        <v>1.42462889970504</v>
      </c>
      <c r="Q251" s="49">
        <v>0.15</v>
      </c>
      <c r="R251" s="49">
        <f t="shared" si="65"/>
        <v>0.15367389835180967</v>
      </c>
      <c r="S251" s="49">
        <v>255400</v>
      </c>
      <c r="T251" s="49">
        <v>259800</v>
      </c>
      <c r="U251" s="49">
        <v>15956260</v>
      </c>
      <c r="V251" s="49">
        <f t="shared" si="66"/>
        <v>9.7694214604476599</v>
      </c>
      <c r="W251" s="49">
        <f t="shared" si="75"/>
        <v>9.8120294128535104</v>
      </c>
      <c r="X251" s="48">
        <v>0.1</v>
      </c>
      <c r="Y251" s="76">
        <f t="shared" si="67"/>
        <v>9.8964942948015056E-2</v>
      </c>
      <c r="Z251" s="18">
        <v>9975</v>
      </c>
      <c r="AA251" s="18">
        <v>9920</v>
      </c>
      <c r="AB251" s="18">
        <v>65100000</v>
      </c>
      <c r="AC251" s="135">
        <f t="shared" si="68"/>
        <v>43.384647256530101</v>
      </c>
      <c r="AD251" s="48">
        <f t="shared" si="76"/>
        <v>40.561845071879503</v>
      </c>
      <c r="AE251" s="49">
        <v>0.3</v>
      </c>
      <c r="AF251" s="49">
        <f t="shared" si="69"/>
        <v>0.30736766416340233</v>
      </c>
      <c r="AG251" s="19">
        <v>19450</v>
      </c>
      <c r="AH251" s="19">
        <v>20100</v>
      </c>
      <c r="AI251" s="19">
        <v>7234332</v>
      </c>
      <c r="AJ251" s="137">
        <f t="shared" si="70"/>
        <v>557.06089433034094</v>
      </c>
      <c r="AK251" s="49">
        <f t="shared" si="77"/>
        <v>559.49043677242798</v>
      </c>
      <c r="AL251" s="82">
        <f t="shared" si="78"/>
        <v>1</v>
      </c>
      <c r="AM251" s="82">
        <f t="shared" si="79"/>
        <v>257407490523667.91</v>
      </c>
      <c r="AN251" s="81">
        <f t="shared" si="71"/>
        <v>264684789101720.91</v>
      </c>
      <c r="AO251" s="80">
        <f t="shared" si="60"/>
        <v>1028.2715105269397</v>
      </c>
      <c r="AP251" s="52">
        <f t="shared" si="72"/>
        <v>5.2864374984431736E-3</v>
      </c>
      <c r="AQ251" s="48">
        <f>(F251-E251)/E251</f>
        <v>-1.6774193548387096E-2</v>
      </c>
      <c r="AR251" s="48">
        <f>(M251-L251)/L251</f>
        <v>-1.1574074074074073E-2</v>
      </c>
      <c r="AS251" s="48">
        <f>(T251-S251)/S251</f>
        <v>1.7227877838684416E-2</v>
      </c>
      <c r="AT251" s="48" t="e">
        <f>(#REF!-#REF!)/#REF!</f>
        <v>#REF!</v>
      </c>
    </row>
    <row r="252" spans="1:46" x14ac:dyDescent="0.3">
      <c r="A252" s="48">
        <v>20190109</v>
      </c>
      <c r="B252" s="48" t="s">
        <v>88</v>
      </c>
      <c r="C252" s="79">
        <v>0.3</v>
      </c>
      <c r="D252" s="79">
        <f t="shared" si="61"/>
        <v>0.29831546080664306</v>
      </c>
      <c r="E252" s="49">
        <v>38100</v>
      </c>
      <c r="F252" s="49">
        <v>39600</v>
      </c>
      <c r="G252" s="49">
        <v>5969782550</v>
      </c>
      <c r="H252" s="49">
        <f t="shared" si="62"/>
        <v>0.34425811053338801</v>
      </c>
      <c r="I252" s="49">
        <f t="shared" si="73"/>
        <v>0.33715020774621501</v>
      </c>
      <c r="J252" s="48">
        <v>0.15</v>
      </c>
      <c r="K252" s="48">
        <f t="shared" si="63"/>
        <v>0.1401991251451862</v>
      </c>
      <c r="L252" s="48">
        <v>213500</v>
      </c>
      <c r="M252" s="48">
        <v>214000</v>
      </c>
      <c r="N252" s="51">
        <v>125456133</v>
      </c>
      <c r="O252" s="48">
        <f t="shared" si="64"/>
        <v>1.42462889970504</v>
      </c>
      <c r="P252" s="48">
        <f t="shared" si="74"/>
        <v>1.39521456372553</v>
      </c>
      <c r="Q252" s="49">
        <v>0.15</v>
      </c>
      <c r="R252" s="49">
        <f t="shared" si="65"/>
        <v>0.13985672625889861</v>
      </c>
      <c r="S252" s="49">
        <v>259800</v>
      </c>
      <c r="T252" s="49">
        <v>243700</v>
      </c>
      <c r="U252" s="49">
        <v>15956260</v>
      </c>
      <c r="V252" s="49">
        <f t="shared" si="66"/>
        <v>9.8120294128535104</v>
      </c>
      <c r="W252" s="49">
        <f t="shared" si="75"/>
        <v>9.6094402825542105</v>
      </c>
      <c r="X252" s="48">
        <v>0.1</v>
      </c>
      <c r="Y252" s="76">
        <f t="shared" si="67"/>
        <v>9.8194830560324131E-2</v>
      </c>
      <c r="Z252" s="18">
        <v>9920</v>
      </c>
      <c r="AA252" s="18">
        <v>10145</v>
      </c>
      <c r="AB252" s="18">
        <v>70100000</v>
      </c>
      <c r="AC252" s="135">
        <f t="shared" si="68"/>
        <v>40.561845071879503</v>
      </c>
      <c r="AD252" s="48">
        <f t="shared" si="76"/>
        <v>36.890957152027902</v>
      </c>
      <c r="AE252" s="49">
        <v>0.3</v>
      </c>
      <c r="AF252" s="49">
        <f t="shared" si="69"/>
        <v>0.32343385722894796</v>
      </c>
      <c r="AG252" s="19">
        <v>20100</v>
      </c>
      <c r="AH252" s="19">
        <v>21800</v>
      </c>
      <c r="AI252" s="19">
        <v>7234332</v>
      </c>
      <c r="AJ252" s="137">
        <f t="shared" si="70"/>
        <v>559.49043677242798</v>
      </c>
      <c r="AK252" s="49">
        <f t="shared" si="77"/>
        <v>547.93862865737901</v>
      </c>
      <c r="AL252" s="82">
        <f t="shared" si="78"/>
        <v>1</v>
      </c>
      <c r="AM252" s="82">
        <f t="shared" si="79"/>
        <v>252092793895322.69</v>
      </c>
      <c r="AN252" s="81">
        <f t="shared" si="71"/>
        <v>267178414055371.69</v>
      </c>
      <c r="AO252" s="80">
        <f t="shared" si="60"/>
        <v>1059.8415366300121</v>
      </c>
      <c r="AP252" s="52">
        <f t="shared" si="72"/>
        <v>3.0702033246933325E-2</v>
      </c>
      <c r="AQ252" s="48">
        <f>(F252-E252)/E252</f>
        <v>3.937007874015748E-2</v>
      </c>
      <c r="AR252" s="48">
        <f>(M252-L252)/L252</f>
        <v>2.34192037470726E-3</v>
      </c>
      <c r="AS252" s="48">
        <f>(T252-S252)/S252</f>
        <v>-6.19707467282525E-2</v>
      </c>
      <c r="AT252" s="48" t="e">
        <f>(#REF!-#REF!)/#REF!</f>
        <v>#REF!</v>
      </c>
    </row>
    <row r="253" spans="1:46" x14ac:dyDescent="0.3">
      <c r="A253" s="48">
        <v>20190110</v>
      </c>
      <c r="B253" s="48" t="s">
        <v>88</v>
      </c>
      <c r="C253" s="79">
        <v>0.3</v>
      </c>
      <c r="D253" s="79">
        <f t="shared" si="61"/>
        <v>0.29451094959181523</v>
      </c>
      <c r="E253" s="49">
        <v>39600</v>
      </c>
      <c r="F253" s="49">
        <v>39800</v>
      </c>
      <c r="G253" s="49">
        <v>5969782550</v>
      </c>
      <c r="H253" s="49">
        <f t="shared" si="62"/>
        <v>0.33715020774621501</v>
      </c>
      <c r="I253" s="49">
        <f t="shared" si="73"/>
        <v>0.33715020774621501</v>
      </c>
      <c r="J253" s="48">
        <v>0.15</v>
      </c>
      <c r="K253" s="48">
        <f t="shared" si="63"/>
        <v>0.1393244151489198</v>
      </c>
      <c r="L253" s="48">
        <v>214000</v>
      </c>
      <c r="M253" s="48">
        <v>216500</v>
      </c>
      <c r="N253" s="51">
        <v>125456133</v>
      </c>
      <c r="O253" s="48">
        <f t="shared" si="64"/>
        <v>1.39521456372553</v>
      </c>
      <c r="P253" s="48">
        <f t="shared" si="74"/>
        <v>1.39521456372553</v>
      </c>
      <c r="Q253" s="49">
        <v>0.15</v>
      </c>
      <c r="R253" s="49">
        <f t="shared" si="65"/>
        <v>0.14053610254403801</v>
      </c>
      <c r="S253" s="49">
        <v>243700</v>
      </c>
      <c r="T253" s="49">
        <v>249300</v>
      </c>
      <c r="U253" s="49">
        <v>15956260</v>
      </c>
      <c r="V253" s="49">
        <f t="shared" si="66"/>
        <v>9.6094402825542105</v>
      </c>
      <c r="W253" s="49">
        <f t="shared" si="75"/>
        <v>9.6094402825542105</v>
      </c>
      <c r="X253" s="48">
        <v>0.1</v>
      </c>
      <c r="Y253" s="76">
        <f t="shared" si="67"/>
        <v>9.6265219032315705E-2</v>
      </c>
      <c r="Z253" s="18">
        <v>10145</v>
      </c>
      <c r="AA253" s="18">
        <v>10125</v>
      </c>
      <c r="AB253" s="18">
        <v>70100000</v>
      </c>
      <c r="AC253" s="135">
        <f t="shared" si="68"/>
        <v>36.890957152027902</v>
      </c>
      <c r="AD253" s="48">
        <f t="shared" si="76"/>
        <v>36.890957152027902</v>
      </c>
      <c r="AE253" s="49">
        <v>0.3</v>
      </c>
      <c r="AF253" s="49">
        <f t="shared" si="69"/>
        <v>0.32936331368291144</v>
      </c>
      <c r="AG253" s="19">
        <v>21800</v>
      </c>
      <c r="AH253" s="19">
        <v>22600</v>
      </c>
      <c r="AI253" s="19">
        <v>7234332</v>
      </c>
      <c r="AJ253" s="137">
        <f t="shared" si="70"/>
        <v>547.93862865737901</v>
      </c>
      <c r="AK253" s="49">
        <f t="shared" si="77"/>
        <v>547.93862865737901</v>
      </c>
      <c r="AL253" s="82">
        <f t="shared" si="78"/>
        <v>0</v>
      </c>
      <c r="AM253" s="82">
        <f t="shared" si="79"/>
        <v>252092793895322.69</v>
      </c>
      <c r="AN253" s="81">
        <f t="shared" si="71"/>
        <v>271996659217348.69</v>
      </c>
      <c r="AO253" s="80">
        <f t="shared" si="60"/>
        <v>1078.9545191454015</v>
      </c>
      <c r="AP253" s="52">
        <f t="shared" si="72"/>
        <v>1.8033811522582047E-2</v>
      </c>
      <c r="AQ253" s="48">
        <f>(F253-E253)/E253</f>
        <v>5.0505050505050509E-3</v>
      </c>
      <c r="AR253" s="48">
        <f>(M253-L253)/L253</f>
        <v>1.1682242990654205E-2</v>
      </c>
      <c r="AS253" s="48">
        <f>(T253-S253)/S253</f>
        <v>2.2979072630283134E-2</v>
      </c>
      <c r="AT253" s="48" t="e">
        <f>(#REF!-#REF!)/#REF!</f>
        <v>#REF!</v>
      </c>
    </row>
    <row r="254" spans="1:46" x14ac:dyDescent="0.3">
      <c r="A254" s="48">
        <v>20190111</v>
      </c>
      <c r="B254" s="48" t="s">
        <v>88</v>
      </c>
      <c r="C254" s="79">
        <v>0.3</v>
      </c>
      <c r="D254" s="79">
        <f t="shared" si="61"/>
        <v>0.29900559207883276</v>
      </c>
      <c r="E254" s="49">
        <v>39800</v>
      </c>
      <c r="F254" s="49">
        <v>40500</v>
      </c>
      <c r="G254" s="49">
        <v>5969782550</v>
      </c>
      <c r="H254" s="49">
        <f t="shared" si="62"/>
        <v>0.33715020774621501</v>
      </c>
      <c r="I254" s="49">
        <f t="shared" si="73"/>
        <v>0.33417397536285598</v>
      </c>
      <c r="J254" s="48">
        <v>0.15</v>
      </c>
      <c r="K254" s="48">
        <f t="shared" si="63"/>
        <v>0.13900587063460204</v>
      </c>
      <c r="L254" s="48">
        <v>216500</v>
      </c>
      <c r="M254" s="48">
        <v>216500</v>
      </c>
      <c r="N254" s="51">
        <v>125456133</v>
      </c>
      <c r="O254" s="48">
        <f t="shared" si="64"/>
        <v>1.39521456372553</v>
      </c>
      <c r="P254" s="48">
        <f t="shared" si="74"/>
        <v>1.3828981460847001</v>
      </c>
      <c r="Q254" s="49">
        <v>0.15</v>
      </c>
      <c r="R254" s="49">
        <f t="shared" si="65"/>
        <v>0.13987732730753538</v>
      </c>
      <c r="S254" s="49">
        <v>249300</v>
      </c>
      <c r="T254" s="49">
        <v>248700</v>
      </c>
      <c r="U254" s="49">
        <v>15956260</v>
      </c>
      <c r="V254" s="49">
        <f t="shared" si="66"/>
        <v>9.6094402825542105</v>
      </c>
      <c r="W254" s="49">
        <f t="shared" si="75"/>
        <v>9.52461183903619</v>
      </c>
      <c r="X254" s="48">
        <v>0.1</v>
      </c>
      <c r="Y254" s="76">
        <f t="shared" si="67"/>
        <v>9.7136005831601077E-2</v>
      </c>
      <c r="Z254" s="18">
        <v>10125</v>
      </c>
      <c r="AA254" s="18">
        <v>10240</v>
      </c>
      <c r="AB254" s="18">
        <v>68700000</v>
      </c>
      <c r="AC254" s="135">
        <f t="shared" si="68"/>
        <v>36.890957152027902</v>
      </c>
      <c r="AD254" s="48">
        <f t="shared" si="76"/>
        <v>37.310442323182599</v>
      </c>
      <c r="AE254" s="49">
        <v>0.3</v>
      </c>
      <c r="AF254" s="49">
        <f t="shared" si="69"/>
        <v>0.32497520414742864</v>
      </c>
      <c r="AG254" s="19">
        <v>22600</v>
      </c>
      <c r="AH254" s="19">
        <v>22350</v>
      </c>
      <c r="AI254" s="19">
        <v>7234332</v>
      </c>
      <c r="AJ254" s="137">
        <f t="shared" si="70"/>
        <v>547.93862865737901</v>
      </c>
      <c r="AK254" s="49">
        <f t="shared" si="77"/>
        <v>543.10163715259898</v>
      </c>
      <c r="AL254" s="82">
        <f t="shared" si="78"/>
        <v>1</v>
      </c>
      <c r="AM254" s="82">
        <f t="shared" si="79"/>
        <v>249867415652733.97</v>
      </c>
      <c r="AN254" s="81">
        <f t="shared" si="71"/>
        <v>270213379934055.81</v>
      </c>
      <c r="AO254" s="80">
        <f t="shared" si="60"/>
        <v>1081.4270409295732</v>
      </c>
      <c r="AP254" s="52">
        <f t="shared" si="72"/>
        <v>2.2915903685450001E-3</v>
      </c>
      <c r="AQ254" s="48">
        <f>(F254-E254)/E254</f>
        <v>1.7587939698492462E-2</v>
      </c>
      <c r="AR254" s="48">
        <f>(M254-L254)/L254</f>
        <v>0</v>
      </c>
      <c r="AS254" s="48">
        <f>(T254-S254)/S254</f>
        <v>-2.4067388688327317E-3</v>
      </c>
      <c r="AT254" s="48" t="e">
        <f>(#REF!-#REF!)/#REF!</f>
        <v>#REF!</v>
      </c>
    </row>
    <row r="255" spans="1:46" x14ac:dyDescent="0.3">
      <c r="A255" s="48">
        <v>20190114</v>
      </c>
      <c r="B255" s="48" t="s">
        <v>88</v>
      </c>
      <c r="C255" s="79">
        <v>0.3</v>
      </c>
      <c r="D255" s="79">
        <f t="shared" si="61"/>
        <v>0.2988861686656078</v>
      </c>
      <c r="E255" s="49">
        <v>40500</v>
      </c>
      <c r="F255" s="49">
        <v>40050</v>
      </c>
      <c r="G255" s="49">
        <v>5969782550</v>
      </c>
      <c r="H255" s="49">
        <f t="shared" si="62"/>
        <v>0.33417397536285598</v>
      </c>
      <c r="I255" s="49">
        <f t="shared" si="73"/>
        <v>0.33417397536285598</v>
      </c>
      <c r="J255" s="48">
        <v>0.15</v>
      </c>
      <c r="K255" s="48">
        <f t="shared" si="63"/>
        <v>0.13694201279146931</v>
      </c>
      <c r="L255" s="48">
        <v>216500</v>
      </c>
      <c r="M255" s="48">
        <v>211000</v>
      </c>
      <c r="N255" s="51">
        <v>125456133</v>
      </c>
      <c r="O255" s="48">
        <f t="shared" si="64"/>
        <v>1.3828981460847001</v>
      </c>
      <c r="P255" s="48">
        <f t="shared" si="74"/>
        <v>1.3828981460847001</v>
      </c>
      <c r="Q255" s="49">
        <v>0.15</v>
      </c>
      <c r="R255" s="49">
        <f t="shared" si="65"/>
        <v>0.13860670886441853</v>
      </c>
      <c r="S255" s="49">
        <v>248700</v>
      </c>
      <c r="T255" s="49">
        <v>243800</v>
      </c>
      <c r="U255" s="49">
        <v>15956260</v>
      </c>
      <c r="V255" s="49">
        <f t="shared" si="66"/>
        <v>9.52461183903619</v>
      </c>
      <c r="W255" s="49">
        <f t="shared" si="75"/>
        <v>9.52461183903619</v>
      </c>
      <c r="X255" s="48">
        <v>0.1</v>
      </c>
      <c r="Y255" s="76">
        <f t="shared" si="67"/>
        <v>9.7804641789945843E-2</v>
      </c>
      <c r="Z255" s="18">
        <v>10240</v>
      </c>
      <c r="AA255" s="18">
        <v>10200</v>
      </c>
      <c r="AB255" s="18">
        <v>68700000</v>
      </c>
      <c r="AC255" s="135">
        <f t="shared" si="68"/>
        <v>37.310442323182599</v>
      </c>
      <c r="AD255" s="48">
        <f t="shared" si="76"/>
        <v>37.310442323182599</v>
      </c>
      <c r="AE255" s="49">
        <v>0.3</v>
      </c>
      <c r="AF255" s="49">
        <f t="shared" si="69"/>
        <v>0.32776046788855862</v>
      </c>
      <c r="AG255" s="19">
        <v>22350</v>
      </c>
      <c r="AH255" s="19">
        <v>22300</v>
      </c>
      <c r="AI255" s="19">
        <v>7234332</v>
      </c>
      <c r="AJ255" s="137">
        <f t="shared" si="70"/>
        <v>543.10163715259898</v>
      </c>
      <c r="AK255" s="49">
        <f t="shared" si="77"/>
        <v>543.10163715259898</v>
      </c>
      <c r="AL255" s="82">
        <f t="shared" si="78"/>
        <v>0</v>
      </c>
      <c r="AM255" s="82">
        <f t="shared" si="79"/>
        <v>249867415652733.97</v>
      </c>
      <c r="AN255" s="81">
        <f t="shared" si="71"/>
        <v>267317776284055.97</v>
      </c>
      <c r="AO255" s="80">
        <f t="shared" si="60"/>
        <v>1069.8384804826835</v>
      </c>
      <c r="AP255" s="52">
        <f t="shared" si="72"/>
        <v>-1.0715989159036E-2</v>
      </c>
      <c r="AQ255" s="48">
        <f>(F255-E255)/E255</f>
        <v>-1.1111111111111112E-2</v>
      </c>
      <c r="AR255" s="48">
        <f>(M255-L255)/L255</f>
        <v>-2.5404157043879907E-2</v>
      </c>
      <c r="AS255" s="48">
        <f>(T255-S255)/S255</f>
        <v>-1.9702452754322478E-2</v>
      </c>
      <c r="AT255" s="48" t="e">
        <f>(#REF!-#REF!)/#REF!</f>
        <v>#REF!</v>
      </c>
    </row>
    <row r="256" spans="1:46" x14ac:dyDescent="0.3">
      <c r="A256" s="48">
        <v>20190115</v>
      </c>
      <c r="B256" s="48" t="s">
        <v>88</v>
      </c>
      <c r="C256" s="79">
        <v>0.3</v>
      </c>
      <c r="D256" s="79">
        <f t="shared" si="61"/>
        <v>0.30664004779575921</v>
      </c>
      <c r="E256" s="49">
        <v>40050</v>
      </c>
      <c r="F256" s="49">
        <v>41100</v>
      </c>
      <c r="G256" s="49">
        <v>5969782550</v>
      </c>
      <c r="H256" s="49">
        <f t="shared" si="62"/>
        <v>0.33417397536285598</v>
      </c>
      <c r="I256" s="49">
        <f t="shared" si="73"/>
        <v>0.33417397536285598</v>
      </c>
      <c r="J256" s="48">
        <v>0.15</v>
      </c>
      <c r="K256" s="48">
        <f t="shared" si="63"/>
        <v>0.13463442105098039</v>
      </c>
      <c r="L256" s="48">
        <v>211000</v>
      </c>
      <c r="M256" s="48">
        <v>207500</v>
      </c>
      <c r="N256" s="51">
        <v>125456133</v>
      </c>
      <c r="O256" s="48">
        <f t="shared" si="64"/>
        <v>1.3828981460847001</v>
      </c>
      <c r="P256" s="48">
        <f t="shared" si="74"/>
        <v>1.3828981460847001</v>
      </c>
      <c r="Q256" s="49">
        <v>0.15</v>
      </c>
      <c r="R256" s="49">
        <f t="shared" si="65"/>
        <v>0.14044524828341975</v>
      </c>
      <c r="S256" s="49">
        <v>243800</v>
      </c>
      <c r="T256" s="49">
        <v>247100</v>
      </c>
      <c r="U256" s="49">
        <v>15956260</v>
      </c>
      <c r="V256" s="49">
        <f t="shared" si="66"/>
        <v>9.52461183903619</v>
      </c>
      <c r="W256" s="49">
        <f t="shared" si="75"/>
        <v>9.52461183903619</v>
      </c>
      <c r="X256" s="48">
        <v>0.1</v>
      </c>
      <c r="Y256" s="76">
        <f t="shared" si="67"/>
        <v>9.8689148194423842E-2</v>
      </c>
      <c r="Z256" s="18">
        <v>10200</v>
      </c>
      <c r="AA256" s="18">
        <v>10295</v>
      </c>
      <c r="AB256" s="18">
        <v>68700000</v>
      </c>
      <c r="AC256" s="135">
        <f t="shared" si="68"/>
        <v>37.310442323182599</v>
      </c>
      <c r="AD256" s="48">
        <f t="shared" si="76"/>
        <v>37.310442323182599</v>
      </c>
      <c r="AE256" s="49">
        <v>0.3</v>
      </c>
      <c r="AF256" s="49">
        <f t="shared" si="69"/>
        <v>0.31959113467541683</v>
      </c>
      <c r="AG256" s="19">
        <v>22300</v>
      </c>
      <c r="AH256" s="19">
        <v>21750</v>
      </c>
      <c r="AI256" s="19">
        <v>7234332</v>
      </c>
      <c r="AJ256" s="137">
        <f t="shared" si="70"/>
        <v>543.10163715259898</v>
      </c>
      <c r="AK256" s="49">
        <f t="shared" si="77"/>
        <v>543.10163715259898</v>
      </c>
      <c r="AL256" s="82">
        <f t="shared" si="78"/>
        <v>0</v>
      </c>
      <c r="AM256" s="82">
        <f t="shared" si="79"/>
        <v>249867415652733.97</v>
      </c>
      <c r="AN256" s="81">
        <f t="shared" si="71"/>
        <v>267389337512391.56</v>
      </c>
      <c r="AO256" s="80">
        <f t="shared" si="60"/>
        <v>1070.124877282957</v>
      </c>
      <c r="AP256" s="52">
        <f t="shared" si="72"/>
        <v>2.6770097121972666E-4</v>
      </c>
      <c r="AQ256" s="48">
        <f>(F256-E256)/E256</f>
        <v>2.6217228464419477E-2</v>
      </c>
      <c r="AR256" s="48">
        <f>(M256-L256)/L256</f>
        <v>-1.6587677725118485E-2</v>
      </c>
      <c r="AS256" s="48">
        <f>(T256-S256)/S256</f>
        <v>1.3535684987694831E-2</v>
      </c>
      <c r="AT256" s="48" t="e">
        <f>(#REF!-#REF!)/#REF!</f>
        <v>#REF!</v>
      </c>
    </row>
    <row r="257" spans="1:46" x14ac:dyDescent="0.3">
      <c r="A257" s="48">
        <v>20190116</v>
      </c>
      <c r="B257" s="48" t="s">
        <v>88</v>
      </c>
      <c r="C257" s="79">
        <v>0.3</v>
      </c>
      <c r="D257" s="79">
        <f t="shared" si="61"/>
        <v>0.310691312017425</v>
      </c>
      <c r="E257" s="49">
        <v>41100</v>
      </c>
      <c r="F257" s="49">
        <v>41450</v>
      </c>
      <c r="G257" s="49">
        <v>5969782550</v>
      </c>
      <c r="H257" s="49">
        <f t="shared" si="62"/>
        <v>0.33417397536285598</v>
      </c>
      <c r="I257" s="49">
        <f t="shared" si="73"/>
        <v>0.33417397536285598</v>
      </c>
      <c r="J257" s="48">
        <v>0.15</v>
      </c>
      <c r="K257" s="48">
        <f t="shared" si="63"/>
        <v>0.13167608259931571</v>
      </c>
      <c r="L257" s="48">
        <v>207500</v>
      </c>
      <c r="M257" s="48">
        <v>202000</v>
      </c>
      <c r="N257" s="51">
        <v>125456133</v>
      </c>
      <c r="O257" s="48">
        <f t="shared" si="64"/>
        <v>1.3828981460847001</v>
      </c>
      <c r="P257" s="48">
        <f t="shared" si="74"/>
        <v>1.3828981460847001</v>
      </c>
      <c r="Q257" s="49">
        <v>0.15</v>
      </c>
      <c r="R257" s="49">
        <f t="shared" si="65"/>
        <v>0.14229835019654358</v>
      </c>
      <c r="S257" s="49">
        <v>247100</v>
      </c>
      <c r="T257" s="49">
        <v>249200</v>
      </c>
      <c r="U257" s="49">
        <v>15956260</v>
      </c>
      <c r="V257" s="49">
        <f t="shared" si="66"/>
        <v>9.52461183903619</v>
      </c>
      <c r="W257" s="49">
        <f t="shared" si="75"/>
        <v>9.52461183903619</v>
      </c>
      <c r="X257" s="48">
        <v>0.1</v>
      </c>
      <c r="Y257" s="76">
        <f t="shared" si="67"/>
        <v>0.10015990662262379</v>
      </c>
      <c r="Z257" s="18">
        <v>10295</v>
      </c>
      <c r="AA257" s="18">
        <v>10400</v>
      </c>
      <c r="AB257" s="18">
        <v>68700000</v>
      </c>
      <c r="AC257" s="135">
        <f t="shared" si="68"/>
        <v>37.310442323182599</v>
      </c>
      <c r="AD257" s="48">
        <f t="shared" si="76"/>
        <v>37.310442323182599</v>
      </c>
      <c r="AE257" s="49">
        <v>0.3</v>
      </c>
      <c r="AF257" s="49">
        <f t="shared" si="69"/>
        <v>0.31517434856409193</v>
      </c>
      <c r="AG257" s="19">
        <v>21750</v>
      </c>
      <c r="AH257" s="19">
        <v>21350</v>
      </c>
      <c r="AI257" s="19">
        <v>7234332</v>
      </c>
      <c r="AJ257" s="137">
        <f t="shared" si="70"/>
        <v>543.10163715259898</v>
      </c>
      <c r="AK257" s="49">
        <f t="shared" si="77"/>
        <v>543.10163715259898</v>
      </c>
      <c r="AL257" s="82">
        <f t="shared" si="78"/>
        <v>0</v>
      </c>
      <c r="AM257" s="82">
        <f t="shared" si="79"/>
        <v>249867415652733.97</v>
      </c>
      <c r="AN257" s="81">
        <f t="shared" si="71"/>
        <v>266150056743824.69</v>
      </c>
      <c r="AO257" s="80">
        <f t="shared" si="60"/>
        <v>1065.165123866012</v>
      </c>
      <c r="AP257" s="52">
        <f t="shared" si="72"/>
        <v>-4.6347426568923173E-3</v>
      </c>
      <c r="AQ257" s="48">
        <f>(F257-E257)/E257</f>
        <v>8.5158150851581509E-3</v>
      </c>
      <c r="AR257" s="48">
        <f>(M257-L257)/L257</f>
        <v>-2.6506024096385541E-2</v>
      </c>
      <c r="AS257" s="48">
        <f>(T257-S257)/S257</f>
        <v>8.4985835694051E-3</v>
      </c>
      <c r="AT257" s="48" t="e">
        <f>(#REF!-#REF!)/#REF!</f>
        <v>#REF!</v>
      </c>
    </row>
    <row r="258" spans="1:46" x14ac:dyDescent="0.3">
      <c r="A258" s="48">
        <v>20190117</v>
      </c>
      <c r="B258" s="48" t="s">
        <v>88</v>
      </c>
      <c r="C258" s="79">
        <v>0.3</v>
      </c>
      <c r="D258" s="79">
        <f t="shared" si="61"/>
        <v>0.31676975285433517</v>
      </c>
      <c r="E258" s="49">
        <v>41450</v>
      </c>
      <c r="F258" s="49">
        <v>41950</v>
      </c>
      <c r="G258" s="49">
        <v>5969782550</v>
      </c>
      <c r="H258" s="49">
        <f t="shared" si="62"/>
        <v>0.33417397536285598</v>
      </c>
      <c r="I258" s="49">
        <f t="shared" si="73"/>
        <v>0.33417397536285598</v>
      </c>
      <c r="J258" s="48">
        <v>0.15</v>
      </c>
      <c r="K258" s="48">
        <f t="shared" si="63"/>
        <v>0.12838357245157994</v>
      </c>
      <c r="L258" s="48">
        <v>202000</v>
      </c>
      <c r="M258" s="48">
        <v>195500</v>
      </c>
      <c r="N258" s="51">
        <v>125456133</v>
      </c>
      <c r="O258" s="48">
        <f t="shared" si="64"/>
        <v>1.3828981460847001</v>
      </c>
      <c r="P258" s="48">
        <f t="shared" si="74"/>
        <v>1.3828981460847001</v>
      </c>
      <c r="Q258" s="49">
        <v>0.15</v>
      </c>
      <c r="R258" s="49">
        <f t="shared" si="65"/>
        <v>0.14674707445996665</v>
      </c>
      <c r="S258" s="49">
        <v>249200</v>
      </c>
      <c r="T258" s="49">
        <v>255100</v>
      </c>
      <c r="U258" s="49">
        <v>15956260</v>
      </c>
      <c r="V258" s="49">
        <f t="shared" si="66"/>
        <v>9.52461183903619</v>
      </c>
      <c r="W258" s="49">
        <f t="shared" si="75"/>
        <v>9.52461183903619</v>
      </c>
      <c r="X258" s="48">
        <v>0.1</v>
      </c>
      <c r="Y258" s="76">
        <f t="shared" si="67"/>
        <v>0.10099932413624632</v>
      </c>
      <c r="Z258" s="18">
        <v>10400</v>
      </c>
      <c r="AA258" s="18">
        <v>10410</v>
      </c>
      <c r="AB258" s="18">
        <v>68700000</v>
      </c>
      <c r="AC258" s="135">
        <f t="shared" si="68"/>
        <v>37.310442323182599</v>
      </c>
      <c r="AD258" s="48">
        <f t="shared" si="76"/>
        <v>37.310442323182599</v>
      </c>
      <c r="AE258" s="49">
        <v>0.3</v>
      </c>
      <c r="AF258" s="49">
        <f t="shared" si="69"/>
        <v>0.30710027609787194</v>
      </c>
      <c r="AG258" s="19">
        <v>21350</v>
      </c>
      <c r="AH258" s="19">
        <v>20650</v>
      </c>
      <c r="AI258" s="19">
        <v>7234332</v>
      </c>
      <c r="AJ258" s="137">
        <f t="shared" si="70"/>
        <v>543.10163715259898</v>
      </c>
      <c r="AK258" s="49">
        <f t="shared" si="77"/>
        <v>543.10163715259898</v>
      </c>
      <c r="AL258" s="82">
        <f t="shared" si="78"/>
        <v>0</v>
      </c>
      <c r="AM258" s="82">
        <f t="shared" si="79"/>
        <v>249867415652733.97</v>
      </c>
      <c r="AN258" s="81">
        <f t="shared" si="71"/>
        <v>264191838243871.47</v>
      </c>
      <c r="AO258" s="80">
        <f t="shared" si="60"/>
        <v>1057.3280935960277</v>
      </c>
      <c r="AP258" s="52">
        <f t="shared" si="72"/>
        <v>-7.3575731071064921E-3</v>
      </c>
      <c r="AQ258" s="48">
        <f>(F258-E258)/E258</f>
        <v>1.2062726176115802E-2</v>
      </c>
      <c r="AR258" s="48">
        <f>(M258-L258)/L258</f>
        <v>-3.2178217821782179E-2</v>
      </c>
      <c r="AS258" s="48">
        <f>(T258-S258)/S258</f>
        <v>2.3675762439807384E-2</v>
      </c>
      <c r="AT258" s="48" t="e">
        <f>(#REF!-#REF!)/#REF!</f>
        <v>#REF!</v>
      </c>
    </row>
    <row r="259" spans="1:46" x14ac:dyDescent="0.3">
      <c r="A259" s="48">
        <v>20190118</v>
      </c>
      <c r="B259" s="48" t="s">
        <v>88</v>
      </c>
      <c r="C259" s="79">
        <v>0.3</v>
      </c>
      <c r="D259" s="79">
        <f t="shared" si="61"/>
        <v>0.30890209127521706</v>
      </c>
      <c r="E259" s="49">
        <v>41950</v>
      </c>
      <c r="F259" s="49">
        <v>42300</v>
      </c>
      <c r="G259" s="49">
        <v>5969782550</v>
      </c>
      <c r="H259" s="49">
        <f t="shared" si="62"/>
        <v>0.33417397536285598</v>
      </c>
      <c r="I259" s="49">
        <f t="shared" si="73"/>
        <v>0.33417397536285598</v>
      </c>
      <c r="J259" s="48">
        <v>0.15</v>
      </c>
      <c r="K259" s="48">
        <f t="shared" si="63"/>
        <v>0.12765196150569985</v>
      </c>
      <c r="L259" s="48">
        <v>195500</v>
      </c>
      <c r="M259" s="48">
        <v>201000</v>
      </c>
      <c r="N259" s="51">
        <v>125456133</v>
      </c>
      <c r="O259" s="48">
        <f t="shared" si="64"/>
        <v>1.3828981460847001</v>
      </c>
      <c r="P259" s="48">
        <f t="shared" si="74"/>
        <v>1.3828981460847001</v>
      </c>
      <c r="Q259" s="49">
        <v>0.15</v>
      </c>
      <c r="R259" s="49">
        <f t="shared" si="65"/>
        <v>0.14520054323931039</v>
      </c>
      <c r="S259" s="49">
        <v>255100</v>
      </c>
      <c r="T259" s="49">
        <v>261000</v>
      </c>
      <c r="U259" s="49">
        <v>15956260</v>
      </c>
      <c r="V259" s="49">
        <f t="shared" si="66"/>
        <v>9.52461183903619</v>
      </c>
      <c r="W259" s="49">
        <f t="shared" si="75"/>
        <v>9.52461183903619</v>
      </c>
      <c r="X259" s="48">
        <v>0.1</v>
      </c>
      <c r="Y259" s="76">
        <f t="shared" si="67"/>
        <v>9.8238825204865585E-2</v>
      </c>
      <c r="Z259" s="18">
        <v>10410</v>
      </c>
      <c r="AA259" s="18">
        <v>10470</v>
      </c>
      <c r="AB259" s="18">
        <v>68700000</v>
      </c>
      <c r="AC259" s="135">
        <f t="shared" si="68"/>
        <v>37.310442323182599</v>
      </c>
      <c r="AD259" s="48">
        <f t="shared" si="76"/>
        <v>37.310442323182599</v>
      </c>
      <c r="AE259" s="49">
        <v>0.3</v>
      </c>
      <c r="AF259" s="49">
        <f t="shared" si="69"/>
        <v>0.32000657877490712</v>
      </c>
      <c r="AG259" s="19">
        <v>20650</v>
      </c>
      <c r="AH259" s="19">
        <v>22250</v>
      </c>
      <c r="AI259" s="19">
        <v>7234332</v>
      </c>
      <c r="AJ259" s="137">
        <f t="shared" si="70"/>
        <v>543.10163715259898</v>
      </c>
      <c r="AK259" s="49">
        <f t="shared" si="77"/>
        <v>543.10163715259898</v>
      </c>
      <c r="AL259" s="82">
        <f t="shared" si="78"/>
        <v>0</v>
      </c>
      <c r="AM259" s="82">
        <f t="shared" si="79"/>
        <v>249867415652733.97</v>
      </c>
      <c r="AN259" s="81">
        <f t="shared" si="71"/>
        <v>273181104234850.94</v>
      </c>
      <c r="AO259" s="80">
        <f t="shared" ref="AO259:AO322" si="80">AN259/AM259*1000</f>
        <v>1093.3042370539356</v>
      </c>
      <c r="AP259" s="52">
        <f t="shared" si="72"/>
        <v>3.4025524977352305E-2</v>
      </c>
      <c r="AQ259" s="48">
        <f>(F259-E259)/E259</f>
        <v>8.3432657926102508E-3</v>
      </c>
      <c r="AR259" s="48">
        <f>(M259-L259)/L259</f>
        <v>2.8132992327365727E-2</v>
      </c>
      <c r="AS259" s="48">
        <f>(T259-S259)/S259</f>
        <v>2.3128185025480204E-2</v>
      </c>
      <c r="AT259" s="48" t="e">
        <f>(#REF!-#REF!)/#REF!</f>
        <v>#REF!</v>
      </c>
    </row>
    <row r="260" spans="1:46" x14ac:dyDescent="0.3">
      <c r="A260" s="48">
        <v>20190121</v>
      </c>
      <c r="B260" s="48" t="s">
        <v>88</v>
      </c>
      <c r="C260" s="79">
        <v>0.3</v>
      </c>
      <c r="D260" s="79">
        <f t="shared" ref="D260:D323" si="81">F260*G260*I260/AN260</f>
        <v>0.31234944209784093</v>
      </c>
      <c r="E260" s="49">
        <v>42300</v>
      </c>
      <c r="F260" s="49">
        <v>42750</v>
      </c>
      <c r="G260" s="49">
        <v>5969782550</v>
      </c>
      <c r="H260" s="49">
        <f t="shared" ref="H260:H323" si="82">I259</f>
        <v>0.33417397536285598</v>
      </c>
      <c r="I260" s="49">
        <f t="shared" si="73"/>
        <v>0.33417397536285598</v>
      </c>
      <c r="J260" s="48">
        <v>0.15</v>
      </c>
      <c r="K260" s="48">
        <f t="shared" ref="K260:K323" si="83">M260*N260*P260/AN260</f>
        <v>0.12581162152671929</v>
      </c>
      <c r="L260" s="48">
        <v>201000</v>
      </c>
      <c r="M260" s="48">
        <v>198000</v>
      </c>
      <c r="N260" s="51">
        <v>125456133</v>
      </c>
      <c r="O260" s="48">
        <f t="shared" ref="O260:O323" si="84">P259</f>
        <v>1.3828981460847001</v>
      </c>
      <c r="P260" s="48">
        <f t="shared" si="74"/>
        <v>1.3828981460847001</v>
      </c>
      <c r="Q260" s="49">
        <v>0.15</v>
      </c>
      <c r="R260" s="49">
        <f t="shared" ref="R260:R323" si="85">T260*U260*W260/AN260</f>
        <v>0.14304905448086427</v>
      </c>
      <c r="S260" s="49">
        <v>261000</v>
      </c>
      <c r="T260" s="49">
        <v>257000</v>
      </c>
      <c r="U260" s="49">
        <v>15956260</v>
      </c>
      <c r="V260" s="49">
        <f t="shared" ref="V260:V323" si="86">W259</f>
        <v>9.52461183903619</v>
      </c>
      <c r="W260" s="49">
        <f t="shared" si="75"/>
        <v>9.52461183903619</v>
      </c>
      <c r="X260" s="48">
        <v>0.1</v>
      </c>
      <c r="Y260" s="76">
        <f t="shared" ref="Y260:Y323" si="87">AA260*AB260*AD260/AN260</f>
        <v>9.8618108783970579E-2</v>
      </c>
      <c r="Z260" s="18">
        <v>10470</v>
      </c>
      <c r="AA260" s="18">
        <v>10505</v>
      </c>
      <c r="AB260" s="18">
        <v>68700000</v>
      </c>
      <c r="AC260" s="135">
        <f t="shared" ref="AC260:AC323" si="88">AD259</f>
        <v>37.310442323182599</v>
      </c>
      <c r="AD260" s="48">
        <f t="shared" si="76"/>
        <v>37.310442323182599</v>
      </c>
      <c r="AE260" s="49">
        <v>0.3</v>
      </c>
      <c r="AF260" s="49">
        <f t="shared" ref="AF260:AF323" si="89">AH260*AI260*AK260/AN260</f>
        <v>0.32017177311060496</v>
      </c>
      <c r="AG260" s="19">
        <v>22250</v>
      </c>
      <c r="AH260" s="19">
        <v>22250</v>
      </c>
      <c r="AI260" s="19">
        <v>7234332</v>
      </c>
      <c r="AJ260" s="137">
        <f t="shared" ref="AJ260:AJ323" si="90">AK259</f>
        <v>543.10163715259898</v>
      </c>
      <c r="AK260" s="49">
        <f t="shared" si="77"/>
        <v>543.10163715259898</v>
      </c>
      <c r="AL260" s="82">
        <f t="shared" si="78"/>
        <v>0</v>
      </c>
      <c r="AM260" s="82">
        <f t="shared" si="79"/>
        <v>249867415652733.97</v>
      </c>
      <c r="AN260" s="81">
        <f t="shared" ref="AN260:AN323" si="91">F260*G260*I260+M260*N260*P260+T260*U260*W260+AA260*AB260*AD260+AH260*AI260*AK260</f>
        <v>273040154985637.47</v>
      </c>
      <c r="AO260" s="80">
        <f t="shared" si="80"/>
        <v>1092.7401408957983</v>
      </c>
      <c r="AP260" s="52">
        <f t="shared" ref="AP260:AP323" si="92">(AO260-AO259)/AO259</f>
        <v>-5.1595533888842808E-4</v>
      </c>
      <c r="AQ260" s="48">
        <f>(F260-E260)/E260</f>
        <v>1.0638297872340425E-2</v>
      </c>
      <c r="AR260" s="48">
        <f>(M260-L260)/L260</f>
        <v>-1.4925373134328358E-2</v>
      </c>
      <c r="AS260" s="48">
        <f>(T260-S260)/S260</f>
        <v>-1.532567049808429E-2</v>
      </c>
      <c r="AT260" s="48" t="e">
        <f>(#REF!-#REF!)/#REF!</f>
        <v>#REF!</v>
      </c>
    </row>
    <row r="261" spans="1:46" x14ac:dyDescent="0.3">
      <c r="A261" s="48">
        <v>20190122</v>
      </c>
      <c r="B261" s="48" t="s">
        <v>88</v>
      </c>
      <c r="C261" s="79">
        <v>0.3</v>
      </c>
      <c r="D261" s="79">
        <f t="shared" si="81"/>
        <v>0.31109177504504792</v>
      </c>
      <c r="E261" s="49">
        <v>42750</v>
      </c>
      <c r="F261" s="49">
        <v>42150</v>
      </c>
      <c r="G261" s="49">
        <v>5969782550</v>
      </c>
      <c r="H261" s="49">
        <f t="shared" si="82"/>
        <v>0.33417397536285598</v>
      </c>
      <c r="I261" s="49">
        <f t="shared" ref="I261:I324" si="93">IF(B261="Y",ROUND(C261*(E261*G261+L261*N261+S261*U261+Z261*AB261+AG261*AI261)/(E261*G261),17),IF(AL261=0,H261,ROUND(F260*G260*I260/AN260*(E261*G261+L261*N261+S261*U261+Z261*AB261+AG261*AI261)/(E261*G261),17)))</f>
        <v>0.33417397536285598</v>
      </c>
      <c r="J261" s="48">
        <v>0.15</v>
      </c>
      <c r="K261" s="48">
        <f t="shared" si="83"/>
        <v>0.12837247064916263</v>
      </c>
      <c r="L261" s="48">
        <v>198000</v>
      </c>
      <c r="M261" s="48">
        <v>200000</v>
      </c>
      <c r="N261" s="51">
        <v>125456133</v>
      </c>
      <c r="O261" s="48">
        <f t="shared" si="84"/>
        <v>1.3828981460847001</v>
      </c>
      <c r="P261" s="48">
        <f t="shared" ref="P261:P324" si="94">IF(B261="Y",ROUND(J261*(E261*G261+L261*N261+S261*U261+Z261*AB261+AG261*AI261)/(L261*N261),17),IF(AL261=0,O261,ROUND(M260*N260*P260/AN260*(E261*G261+L261*N261+S261*U261+Z261*AB261+AG261*AI261)/(L261*N261),17)))</f>
        <v>1.3828981460847001</v>
      </c>
      <c r="Q261" s="49">
        <v>0.15</v>
      </c>
      <c r="R261" s="49">
        <f t="shared" si="85"/>
        <v>0.1445573836686552</v>
      </c>
      <c r="S261" s="49">
        <v>257000</v>
      </c>
      <c r="T261" s="49">
        <v>257100</v>
      </c>
      <c r="U261" s="49">
        <v>15956260</v>
      </c>
      <c r="V261" s="49">
        <f t="shared" si="86"/>
        <v>9.52461183903619</v>
      </c>
      <c r="W261" s="49">
        <f t="shared" ref="W261:W324" si="95">IF(B261="Y",ROUND(Q261*(E261*G261+L261*N261+S261*U261+Z261*AB261+AG261*AI261)/(S261*U261),17),IF(AL261=0,V261,ROUND(T260*U260*W260/AN260*(E261*G261+L261*N261+S261*U261+Z261*AB261+AG261*AI261)/(S261*U261),17)))</f>
        <v>9.52461183903619</v>
      </c>
      <c r="X261" s="48">
        <v>0.1</v>
      </c>
      <c r="Y261" s="76">
        <f t="shared" si="87"/>
        <v>9.9097623113590286E-2</v>
      </c>
      <c r="Z261" s="18">
        <v>10505</v>
      </c>
      <c r="AA261" s="18">
        <v>10450</v>
      </c>
      <c r="AB261" s="18">
        <v>68700000</v>
      </c>
      <c r="AC261" s="135">
        <f t="shared" si="88"/>
        <v>37.310442323182599</v>
      </c>
      <c r="AD261" s="48">
        <f t="shared" ref="AD261:AD324" si="96">IFERROR(IF(B261="Y",ROUND(X261*(E261*G261+L261*N261+S261*U261+Z261*AB261+AG261*AI261)/(Z261*AB261),17),IF(AL261=0,AC261,ROUND(AA260*AB260*AD260/AN260*(E261*G261+L261*N261+S261*U261+Z261*AB261+AG261*AI261)/(Z261*AB261),17))),0)</f>
        <v>37.310442323182599</v>
      </c>
      <c r="AE261" s="49">
        <v>0.3</v>
      </c>
      <c r="AF261" s="49">
        <f t="shared" si="89"/>
        <v>0.316880747523544</v>
      </c>
      <c r="AG261" s="19">
        <v>22250</v>
      </c>
      <c r="AH261" s="19">
        <v>21800</v>
      </c>
      <c r="AI261" s="19">
        <v>7234332</v>
      </c>
      <c r="AJ261" s="137">
        <f t="shared" si="90"/>
        <v>543.10163715259898</v>
      </c>
      <c r="AK261" s="49">
        <f t="shared" ref="AK261:AK324" si="97">IFERROR(IF(B261="Y",ROUND(AE261*(E261*G261+L261*N261+S261*U261+Z261*AB261+AG261*AI261)/(AG261*AI261),17),IF(AL261=0,AJ261,ROUND(AH260*AI260*AK260/AN260*(E261*G261+L261*N261+S261*U261+Z261*AB261+AG261*AI261)/(AG261*AI261),17))),0)</f>
        <v>543.10163715259898</v>
      </c>
      <c r="AL261" s="82">
        <f t="shared" ref="AL261:AL324" si="98">IF(AN260&lt;&gt;(E261*G261*H261+L261*N261*O261+S261*U261*V261+Z261*AB261*AC261+AG261*AI261*AJ261),1,0)</f>
        <v>0</v>
      </c>
      <c r="AM261" s="82">
        <f t="shared" ref="AM261:AM324" si="99">IF(AND(AL261=0,B261="N"),AM260,AM260*(E261*G261*I261+L261*N261*P261+S261*U261*W261+Z261*AB261*AD261+AG261*AI261*AK261)/AN260)</f>
        <v>249867415652733.97</v>
      </c>
      <c r="AN261" s="81">
        <f t="shared" si="91"/>
        <v>270296353826212.31</v>
      </c>
      <c r="AO261" s="80">
        <f t="shared" si="80"/>
        <v>1081.7591126082261</v>
      </c>
      <c r="AP261" s="52">
        <f t="shared" si="92"/>
        <v>-1.004907560050846E-2</v>
      </c>
      <c r="AQ261" s="48">
        <f>(F261-E261)/E261</f>
        <v>-1.4035087719298246E-2</v>
      </c>
      <c r="AR261" s="48">
        <f>(M261-L261)/L261</f>
        <v>1.0101010101010102E-2</v>
      </c>
      <c r="AS261" s="48">
        <f>(T261-S261)/S261</f>
        <v>3.8910505836575878E-4</v>
      </c>
      <c r="AT261" s="48" t="e">
        <f>(#REF!-#REF!)/#REF!</f>
        <v>#REF!</v>
      </c>
    </row>
    <row r="262" spans="1:46" x14ac:dyDescent="0.3">
      <c r="A262" s="48">
        <v>20190123</v>
      </c>
      <c r="B262" s="48" t="s">
        <v>88</v>
      </c>
      <c r="C262" s="79">
        <v>0.3</v>
      </c>
      <c r="D262" s="79">
        <f t="shared" si="81"/>
        <v>0.31181796233905057</v>
      </c>
      <c r="E262" s="49">
        <v>42150</v>
      </c>
      <c r="F262" s="49">
        <v>42000</v>
      </c>
      <c r="G262" s="49">
        <v>5969782550</v>
      </c>
      <c r="H262" s="49">
        <f t="shared" si="82"/>
        <v>0.33417397536285598</v>
      </c>
      <c r="I262" s="49">
        <f t="shared" si="93"/>
        <v>0.33417397536285598</v>
      </c>
      <c r="J262" s="48">
        <v>0.15</v>
      </c>
      <c r="K262" s="48">
        <f t="shared" si="83"/>
        <v>0.12913167621745647</v>
      </c>
      <c r="L262" s="48">
        <v>200000</v>
      </c>
      <c r="M262" s="48">
        <v>200000</v>
      </c>
      <c r="N262" s="51">
        <v>125456133</v>
      </c>
      <c r="O262" s="48">
        <f t="shared" si="84"/>
        <v>1.3828981460847001</v>
      </c>
      <c r="P262" s="48">
        <f t="shared" si="94"/>
        <v>1.3828981460847001</v>
      </c>
      <c r="Q262" s="49">
        <v>0.15</v>
      </c>
      <c r="R262" s="49">
        <f t="shared" si="85"/>
        <v>0.142471257986554</v>
      </c>
      <c r="S262" s="49">
        <v>257100</v>
      </c>
      <c r="T262" s="49">
        <v>251900</v>
      </c>
      <c r="U262" s="49">
        <v>15956260</v>
      </c>
      <c r="V262" s="49">
        <f t="shared" si="86"/>
        <v>9.52461183903619</v>
      </c>
      <c r="W262" s="49">
        <f t="shared" si="95"/>
        <v>9.52461183903619</v>
      </c>
      <c r="X262" s="48">
        <v>0.1</v>
      </c>
      <c r="Y262" s="76">
        <f t="shared" si="87"/>
        <v>0.10001756361011176</v>
      </c>
      <c r="Z262" s="18">
        <v>10450</v>
      </c>
      <c r="AA262" s="18">
        <v>10485</v>
      </c>
      <c r="AB262" s="18">
        <v>68700000</v>
      </c>
      <c r="AC262" s="135">
        <f t="shared" si="88"/>
        <v>37.310442323182599</v>
      </c>
      <c r="AD262" s="48">
        <f t="shared" si="96"/>
        <v>37.310442323182599</v>
      </c>
      <c r="AE262" s="49">
        <v>0.3</v>
      </c>
      <c r="AF262" s="49">
        <f t="shared" si="89"/>
        <v>0.31656153984682733</v>
      </c>
      <c r="AG262" s="19">
        <v>21800</v>
      </c>
      <c r="AH262" s="19">
        <v>21650</v>
      </c>
      <c r="AI262" s="19">
        <v>7234332</v>
      </c>
      <c r="AJ262" s="137">
        <f t="shared" si="90"/>
        <v>543.10163715259898</v>
      </c>
      <c r="AK262" s="49">
        <f t="shared" si="97"/>
        <v>543.10163715259898</v>
      </c>
      <c r="AL262" s="82">
        <f t="shared" si="98"/>
        <v>0</v>
      </c>
      <c r="AM262" s="82">
        <f t="shared" si="99"/>
        <v>249867415652733.97</v>
      </c>
      <c r="AN262" s="81">
        <f t="shared" si="91"/>
        <v>268707196905730.53</v>
      </c>
      <c r="AO262" s="80">
        <f t="shared" si="80"/>
        <v>1075.3991119801715</v>
      </c>
      <c r="AP262" s="52">
        <f t="shared" si="92"/>
        <v>-5.8793131982221728E-3</v>
      </c>
      <c r="AQ262" s="48">
        <f>(F262-E262)/E262</f>
        <v>-3.5587188612099642E-3</v>
      </c>
      <c r="AR262" s="48">
        <f>(M262-L262)/L262</f>
        <v>0</v>
      </c>
      <c r="AS262" s="48">
        <f>(T262-S262)/S262</f>
        <v>-2.0225593154414623E-2</v>
      </c>
      <c r="AT262" s="48" t="e">
        <f>(#REF!-#REF!)/#REF!</f>
        <v>#REF!</v>
      </c>
    </row>
    <row r="263" spans="1:46" x14ac:dyDescent="0.3">
      <c r="A263" s="48">
        <v>20190124</v>
      </c>
      <c r="B263" s="48" t="s">
        <v>88</v>
      </c>
      <c r="C263" s="79">
        <v>0.3</v>
      </c>
      <c r="D263" s="79">
        <f t="shared" si="81"/>
        <v>0.31413030133527775</v>
      </c>
      <c r="E263" s="49">
        <v>42000</v>
      </c>
      <c r="F263" s="49">
        <v>43050</v>
      </c>
      <c r="G263" s="49">
        <v>5969782550</v>
      </c>
      <c r="H263" s="49">
        <f t="shared" si="82"/>
        <v>0.33417397536285598</v>
      </c>
      <c r="I263" s="49">
        <f t="shared" si="93"/>
        <v>0.33417397536285598</v>
      </c>
      <c r="J263" s="48">
        <v>0.15</v>
      </c>
      <c r="K263" s="48">
        <f t="shared" si="83"/>
        <v>0.13199301954239062</v>
      </c>
      <c r="L263" s="48">
        <v>200000</v>
      </c>
      <c r="M263" s="48">
        <v>208000</v>
      </c>
      <c r="N263" s="51">
        <v>125456133</v>
      </c>
      <c r="O263" s="48">
        <f t="shared" si="84"/>
        <v>1.3828981460847001</v>
      </c>
      <c r="P263" s="48">
        <f t="shared" si="94"/>
        <v>1.3828981460847001</v>
      </c>
      <c r="Q263" s="49">
        <v>0.15</v>
      </c>
      <c r="R263" s="49">
        <f t="shared" si="85"/>
        <v>0.1454747603757042</v>
      </c>
      <c r="S263" s="49">
        <v>251900</v>
      </c>
      <c r="T263" s="49">
        <v>261700</v>
      </c>
      <c r="U263" s="49">
        <v>15956260</v>
      </c>
      <c r="V263" s="49">
        <f t="shared" si="86"/>
        <v>9.52461183903619</v>
      </c>
      <c r="W263" s="49">
        <f t="shared" si="95"/>
        <v>9.52461183903619</v>
      </c>
      <c r="X263" s="48">
        <v>0.1</v>
      </c>
      <c r="Y263" s="76">
        <f t="shared" si="87"/>
        <v>9.942677329942054E-2</v>
      </c>
      <c r="Z263" s="18">
        <v>10485</v>
      </c>
      <c r="AA263" s="18">
        <v>10605</v>
      </c>
      <c r="AB263" s="18">
        <v>68700000</v>
      </c>
      <c r="AC263" s="135">
        <f t="shared" si="88"/>
        <v>37.310442323182599</v>
      </c>
      <c r="AD263" s="48">
        <f t="shared" si="96"/>
        <v>37.310442323182599</v>
      </c>
      <c r="AE263" s="49">
        <v>0.3</v>
      </c>
      <c r="AF263" s="49">
        <f t="shared" si="89"/>
        <v>0.30897514544720678</v>
      </c>
      <c r="AG263" s="19">
        <v>21650</v>
      </c>
      <c r="AH263" s="19">
        <v>21500</v>
      </c>
      <c r="AI263" s="19">
        <v>7234332</v>
      </c>
      <c r="AJ263" s="137">
        <f t="shared" si="90"/>
        <v>543.10163715259898</v>
      </c>
      <c r="AK263" s="49">
        <f t="shared" si="97"/>
        <v>543.10163715259898</v>
      </c>
      <c r="AL263" s="82">
        <f t="shared" si="98"/>
        <v>0</v>
      </c>
      <c r="AM263" s="82">
        <f t="shared" si="99"/>
        <v>249867415652733.97</v>
      </c>
      <c r="AN263" s="81">
        <f t="shared" si="91"/>
        <v>273397451646803.75</v>
      </c>
      <c r="AO263" s="80">
        <f t="shared" si="80"/>
        <v>1094.17008589376</v>
      </c>
      <c r="AP263" s="52">
        <f t="shared" si="92"/>
        <v>1.7454890658245757E-2</v>
      </c>
      <c r="AQ263" s="48">
        <f>(F263-E263)/E263</f>
        <v>2.5000000000000001E-2</v>
      </c>
      <c r="AR263" s="48">
        <f>(M263-L263)/L263</f>
        <v>0.04</v>
      </c>
      <c r="AS263" s="48">
        <f>(T263-S263)/S263</f>
        <v>3.8904327113934101E-2</v>
      </c>
      <c r="AT263" s="48" t="e">
        <f>(#REF!-#REF!)/#REF!</f>
        <v>#REF!</v>
      </c>
    </row>
    <row r="264" spans="1:46" x14ac:dyDescent="0.3">
      <c r="A264" s="48">
        <v>20190125</v>
      </c>
      <c r="B264" s="48" t="s">
        <v>88</v>
      </c>
      <c r="C264" s="79">
        <v>0.3</v>
      </c>
      <c r="D264" s="79">
        <f t="shared" si="81"/>
        <v>0.31887586617301428</v>
      </c>
      <c r="E264" s="49">
        <v>43050</v>
      </c>
      <c r="F264" s="49">
        <v>44750</v>
      </c>
      <c r="G264" s="49">
        <v>5969782550</v>
      </c>
      <c r="H264" s="49">
        <f t="shared" si="82"/>
        <v>0.33417397536285598</v>
      </c>
      <c r="I264" s="49">
        <f t="shared" si="93"/>
        <v>0.33417397536285598</v>
      </c>
      <c r="J264" s="48">
        <v>0.15</v>
      </c>
      <c r="K264" s="48">
        <f t="shared" si="83"/>
        <v>0.12920687566916098</v>
      </c>
      <c r="L264" s="48">
        <v>208000</v>
      </c>
      <c r="M264" s="48">
        <v>208500</v>
      </c>
      <c r="N264" s="51">
        <v>125456133</v>
      </c>
      <c r="O264" s="48">
        <f t="shared" si="84"/>
        <v>1.3828981460847001</v>
      </c>
      <c r="P264" s="48">
        <f t="shared" si="94"/>
        <v>1.3828981460847001</v>
      </c>
      <c r="Q264" s="49">
        <v>0.15</v>
      </c>
      <c r="R264" s="49">
        <f t="shared" si="85"/>
        <v>0.14130256078120579</v>
      </c>
      <c r="S264" s="49">
        <v>261700</v>
      </c>
      <c r="T264" s="49">
        <v>260300</v>
      </c>
      <c r="U264" s="49">
        <v>15956260</v>
      </c>
      <c r="V264" s="49">
        <f t="shared" si="86"/>
        <v>9.52461183903619</v>
      </c>
      <c r="W264" s="49">
        <f t="shared" si="95"/>
        <v>9.52461183903619</v>
      </c>
      <c r="X264" s="48">
        <v>0.1</v>
      </c>
      <c r="Y264" s="76">
        <f t="shared" si="87"/>
        <v>9.9063089872236471E-2</v>
      </c>
      <c r="Z264" s="18">
        <v>10605</v>
      </c>
      <c r="AA264" s="18">
        <v>10820</v>
      </c>
      <c r="AB264" s="18">
        <v>68700000</v>
      </c>
      <c r="AC264" s="135">
        <f t="shared" si="88"/>
        <v>37.310442323182599</v>
      </c>
      <c r="AD264" s="48">
        <f t="shared" si="96"/>
        <v>37.310442323182599</v>
      </c>
      <c r="AE264" s="49">
        <v>0.3</v>
      </c>
      <c r="AF264" s="49">
        <f t="shared" si="89"/>
        <v>0.31155160750438243</v>
      </c>
      <c r="AG264" s="19">
        <v>21500</v>
      </c>
      <c r="AH264" s="19">
        <v>22200</v>
      </c>
      <c r="AI264" s="19">
        <v>7234332</v>
      </c>
      <c r="AJ264" s="137">
        <f t="shared" si="90"/>
        <v>543.10163715259898</v>
      </c>
      <c r="AK264" s="49">
        <f t="shared" si="97"/>
        <v>543.10163715259898</v>
      </c>
      <c r="AL264" s="82">
        <f t="shared" si="98"/>
        <v>0</v>
      </c>
      <c r="AM264" s="82">
        <f t="shared" si="99"/>
        <v>249867415652733.97</v>
      </c>
      <c r="AN264" s="81">
        <f t="shared" si="91"/>
        <v>279964216436513.62</v>
      </c>
      <c r="AO264" s="80">
        <f t="shared" si="80"/>
        <v>1120.4510828479063</v>
      </c>
      <c r="AP264" s="52">
        <f t="shared" si="92"/>
        <v>2.4019114846005846E-2</v>
      </c>
      <c r="AQ264" s="48">
        <f>(F264-E264)/E264</f>
        <v>3.9488966318234613E-2</v>
      </c>
      <c r="AR264" s="48">
        <f>(M264-L264)/L264</f>
        <v>2.403846153846154E-3</v>
      </c>
      <c r="AS264" s="48">
        <f>(T264-S264)/S264</f>
        <v>-5.349636988918609E-3</v>
      </c>
      <c r="AT264" s="48" t="e">
        <f>(#REF!-#REF!)/#REF!</f>
        <v>#REF!</v>
      </c>
    </row>
    <row r="265" spans="1:46" x14ac:dyDescent="0.3">
      <c r="A265" s="48">
        <v>20190128</v>
      </c>
      <c r="B265" s="48" t="s">
        <v>88</v>
      </c>
      <c r="C265" s="79">
        <v>0.3</v>
      </c>
      <c r="D265" s="79">
        <f t="shared" si="81"/>
        <v>0.32150341963904133</v>
      </c>
      <c r="E265" s="49">
        <v>44750</v>
      </c>
      <c r="F265" s="49">
        <v>45050</v>
      </c>
      <c r="G265" s="49">
        <v>5969782550</v>
      </c>
      <c r="H265" s="49">
        <f t="shared" si="82"/>
        <v>0.33417397536285598</v>
      </c>
      <c r="I265" s="49">
        <f t="shared" si="93"/>
        <v>0.33417397536285598</v>
      </c>
      <c r="J265" s="48">
        <v>0.15</v>
      </c>
      <c r="K265" s="48">
        <f t="shared" si="83"/>
        <v>0.13095564098549828</v>
      </c>
      <c r="L265" s="48">
        <v>208500</v>
      </c>
      <c r="M265" s="48">
        <v>211000</v>
      </c>
      <c r="N265" s="51">
        <v>125456133</v>
      </c>
      <c r="O265" s="48">
        <f t="shared" si="84"/>
        <v>1.3828981460847001</v>
      </c>
      <c r="P265" s="48">
        <f t="shared" si="94"/>
        <v>1.3828981460847001</v>
      </c>
      <c r="Q265" s="49">
        <v>0.15</v>
      </c>
      <c r="R265" s="49">
        <f t="shared" si="85"/>
        <v>0.1428229919829293</v>
      </c>
      <c r="S265" s="49">
        <v>260300</v>
      </c>
      <c r="T265" s="49">
        <v>262700</v>
      </c>
      <c r="U265" s="49">
        <v>15956260</v>
      </c>
      <c r="V265" s="49">
        <f t="shared" si="86"/>
        <v>9.52461183903619</v>
      </c>
      <c r="W265" s="49">
        <f t="shared" si="95"/>
        <v>9.52461183903619</v>
      </c>
      <c r="X265" s="48">
        <v>0.1</v>
      </c>
      <c r="Y265" s="76">
        <f t="shared" si="87"/>
        <v>9.9718575161312911E-2</v>
      </c>
      <c r="Z265" s="18">
        <v>10820</v>
      </c>
      <c r="AA265" s="18">
        <v>10875</v>
      </c>
      <c r="AB265" s="18">
        <v>68700000</v>
      </c>
      <c r="AC265" s="135">
        <f t="shared" si="88"/>
        <v>37.310442323182599</v>
      </c>
      <c r="AD265" s="48">
        <f t="shared" si="96"/>
        <v>37.310442323182599</v>
      </c>
      <c r="AE265" s="49">
        <v>0.3</v>
      </c>
      <c r="AF265" s="49">
        <f t="shared" si="89"/>
        <v>0.30499937223121826</v>
      </c>
      <c r="AG265" s="19">
        <v>22200</v>
      </c>
      <c r="AH265" s="19">
        <v>21700</v>
      </c>
      <c r="AI265" s="19">
        <v>7234332</v>
      </c>
      <c r="AJ265" s="137">
        <f t="shared" si="90"/>
        <v>543.10163715259898</v>
      </c>
      <c r="AK265" s="49">
        <f t="shared" si="97"/>
        <v>543.10163715259898</v>
      </c>
      <c r="AL265" s="82">
        <f t="shared" si="98"/>
        <v>0</v>
      </c>
      <c r="AM265" s="82">
        <f t="shared" si="99"/>
        <v>249867415652733.97</v>
      </c>
      <c r="AN265" s="81">
        <f t="shared" si="91"/>
        <v>279537666829732.81</v>
      </c>
      <c r="AO265" s="80">
        <f t="shared" si="80"/>
        <v>1118.7439790798278</v>
      </c>
      <c r="AP265" s="52">
        <f t="shared" si="92"/>
        <v>-1.5235861647252265E-3</v>
      </c>
      <c r="AQ265" s="48">
        <f>(F265-E265)/E265</f>
        <v>6.7039106145251395E-3</v>
      </c>
      <c r="AR265" s="48">
        <f>(M265-L265)/L265</f>
        <v>1.1990407673860911E-2</v>
      </c>
      <c r="AS265" s="48">
        <f>(T265-S265)/S265</f>
        <v>9.2201306185170952E-3</v>
      </c>
      <c r="AT265" s="48" t="e">
        <f>(#REF!-#REF!)/#REF!</f>
        <v>#REF!</v>
      </c>
    </row>
    <row r="266" spans="1:46" x14ac:dyDescent="0.3">
      <c r="A266" s="48">
        <v>20190129</v>
      </c>
      <c r="B266" s="48" t="s">
        <v>88</v>
      </c>
      <c r="C266" s="79">
        <v>0.3</v>
      </c>
      <c r="D266" s="79">
        <f t="shared" si="81"/>
        <v>0.32638971760511909</v>
      </c>
      <c r="E266" s="49">
        <v>45050</v>
      </c>
      <c r="F266" s="49">
        <v>45500</v>
      </c>
      <c r="G266" s="49">
        <v>5969782550</v>
      </c>
      <c r="H266" s="49">
        <f t="shared" si="82"/>
        <v>0.33417397536285598</v>
      </c>
      <c r="I266" s="49">
        <f t="shared" si="93"/>
        <v>0.33417397536285598</v>
      </c>
      <c r="J266" s="48">
        <v>0.15</v>
      </c>
      <c r="K266" s="48">
        <f t="shared" si="83"/>
        <v>0.13131916908321881</v>
      </c>
      <c r="L266" s="48">
        <v>211000</v>
      </c>
      <c r="M266" s="48">
        <v>210500</v>
      </c>
      <c r="N266" s="51">
        <v>125456133</v>
      </c>
      <c r="O266" s="48">
        <f t="shared" si="84"/>
        <v>1.3828981460847001</v>
      </c>
      <c r="P266" s="48">
        <f t="shared" si="94"/>
        <v>1.3828981460847001</v>
      </c>
      <c r="Q266" s="49">
        <v>0.15</v>
      </c>
      <c r="R266" s="49">
        <f t="shared" si="85"/>
        <v>0.14749429051868007</v>
      </c>
      <c r="S266" s="49">
        <v>262700</v>
      </c>
      <c r="T266" s="49">
        <v>269900</v>
      </c>
      <c r="U266" s="49">
        <v>15956260</v>
      </c>
      <c r="V266" s="49">
        <f t="shared" si="86"/>
        <v>9.52461183903619</v>
      </c>
      <c r="W266" s="49">
        <f t="shared" si="95"/>
        <v>9.52461183903619</v>
      </c>
      <c r="X266" s="48">
        <v>0.1</v>
      </c>
      <c r="Y266" s="76">
        <f t="shared" si="87"/>
        <v>0.10023290904191648</v>
      </c>
      <c r="Z266" s="18">
        <v>10875</v>
      </c>
      <c r="AA266" s="18">
        <v>10875</v>
      </c>
      <c r="AB266" s="18">
        <v>68700000</v>
      </c>
      <c r="AC266" s="135">
        <f t="shared" si="88"/>
        <v>37.310442323182599</v>
      </c>
      <c r="AD266" s="48">
        <f t="shared" si="96"/>
        <v>37.310442323182599</v>
      </c>
      <c r="AE266" s="49">
        <v>0.3</v>
      </c>
      <c r="AF266" s="49">
        <f t="shared" si="89"/>
        <v>0.29456391375106555</v>
      </c>
      <c r="AG266" s="19">
        <v>21700</v>
      </c>
      <c r="AH266" s="19">
        <v>20850</v>
      </c>
      <c r="AI266" s="19">
        <v>7234332</v>
      </c>
      <c r="AJ266" s="137">
        <f t="shared" si="90"/>
        <v>543.10163715259898</v>
      </c>
      <c r="AK266" s="49">
        <f t="shared" si="97"/>
        <v>543.10163715259898</v>
      </c>
      <c r="AL266" s="82">
        <f t="shared" si="98"/>
        <v>0</v>
      </c>
      <c r="AM266" s="82">
        <f t="shared" si="99"/>
        <v>249867415652733.97</v>
      </c>
      <c r="AN266" s="81">
        <f t="shared" si="91"/>
        <v>278103250784846</v>
      </c>
      <c r="AO266" s="80">
        <f t="shared" si="80"/>
        <v>1113.0032703878212</v>
      </c>
      <c r="AP266" s="52">
        <f t="shared" si="92"/>
        <v>-5.1313873409431464E-3</v>
      </c>
      <c r="AQ266" s="48">
        <f>(F266-E266)/E266</f>
        <v>9.9889012208657056E-3</v>
      </c>
      <c r="AR266" s="48">
        <f>(M266-L266)/L266</f>
        <v>-2.3696682464454978E-3</v>
      </c>
      <c r="AS266" s="48">
        <f>(T266-S266)/S266</f>
        <v>2.7407689379520365E-2</v>
      </c>
      <c r="AT266" s="48" t="e">
        <f>(#REF!-#REF!)/#REF!</f>
        <v>#REF!</v>
      </c>
    </row>
    <row r="267" spans="1:46" x14ac:dyDescent="0.3">
      <c r="A267" s="48">
        <v>20190130</v>
      </c>
      <c r="B267" s="48" t="s">
        <v>88</v>
      </c>
      <c r="C267" s="79">
        <v>0.3</v>
      </c>
      <c r="D267" s="79">
        <f t="shared" si="81"/>
        <v>0.32780005993803929</v>
      </c>
      <c r="E267" s="49">
        <v>45500</v>
      </c>
      <c r="F267" s="49">
        <v>46400</v>
      </c>
      <c r="G267" s="49">
        <v>5969782550</v>
      </c>
      <c r="H267" s="49">
        <f t="shared" si="82"/>
        <v>0.33417397536285598</v>
      </c>
      <c r="I267" s="49">
        <f t="shared" si="93"/>
        <v>0.33417397536285598</v>
      </c>
      <c r="J267" s="48">
        <v>0.15</v>
      </c>
      <c r="K267" s="48">
        <f t="shared" si="83"/>
        <v>0.13209320024769794</v>
      </c>
      <c r="L267" s="48">
        <v>210500</v>
      </c>
      <c r="M267" s="48">
        <v>215000</v>
      </c>
      <c r="N267" s="51">
        <v>125456133</v>
      </c>
      <c r="O267" s="48">
        <f t="shared" si="84"/>
        <v>1.3828981460847001</v>
      </c>
      <c r="P267" s="48">
        <f t="shared" si="94"/>
        <v>1.3828981460847001</v>
      </c>
      <c r="Q267" s="49">
        <v>0.15</v>
      </c>
      <c r="R267" s="49">
        <f t="shared" si="85"/>
        <v>0.1471958722683272</v>
      </c>
      <c r="S267" s="49">
        <v>269900</v>
      </c>
      <c r="T267" s="49">
        <v>273500</v>
      </c>
      <c r="U267" s="49">
        <v>15956260</v>
      </c>
      <c r="V267" s="49">
        <f t="shared" si="86"/>
        <v>9.52461183903619</v>
      </c>
      <c r="W267" s="49">
        <f t="shared" si="95"/>
        <v>9.52461183903619</v>
      </c>
      <c r="X267" s="48">
        <v>0.1</v>
      </c>
      <c r="Y267" s="76">
        <f t="shared" si="87"/>
        <v>0.10002962486406088</v>
      </c>
      <c r="Z267" s="18">
        <v>10875</v>
      </c>
      <c r="AA267" s="18">
        <v>11020</v>
      </c>
      <c r="AB267" s="18">
        <v>68700000</v>
      </c>
      <c r="AC267" s="135">
        <f t="shared" si="88"/>
        <v>37.310442323182599</v>
      </c>
      <c r="AD267" s="48">
        <f t="shared" si="96"/>
        <v>37.310442323182599</v>
      </c>
      <c r="AE267" s="49">
        <v>0.3</v>
      </c>
      <c r="AF267" s="49">
        <f t="shared" si="89"/>
        <v>0.29288124268187465</v>
      </c>
      <c r="AG267" s="19">
        <v>20850</v>
      </c>
      <c r="AH267" s="19">
        <v>21050</v>
      </c>
      <c r="AI267" s="19">
        <v>7234332</v>
      </c>
      <c r="AJ267" s="137">
        <f t="shared" si="90"/>
        <v>543.10163715259898</v>
      </c>
      <c r="AK267" s="49">
        <f t="shared" si="97"/>
        <v>543.10163715259898</v>
      </c>
      <c r="AL267" s="82">
        <f t="shared" si="98"/>
        <v>0</v>
      </c>
      <c r="AM267" s="82">
        <f t="shared" si="99"/>
        <v>249867415652733.97</v>
      </c>
      <c r="AN267" s="81">
        <f t="shared" si="91"/>
        <v>282384002237019.06</v>
      </c>
      <c r="AO267" s="80">
        <f t="shared" si="80"/>
        <v>1130.1353619852405</v>
      </c>
      <c r="AP267" s="52">
        <f t="shared" si="92"/>
        <v>1.5392669593369364E-2</v>
      </c>
      <c r="AQ267" s="48">
        <f>(F267-E267)/E267</f>
        <v>1.9780219780219779E-2</v>
      </c>
      <c r="AR267" s="48">
        <f>(M267-L267)/L267</f>
        <v>2.1377672209026127E-2</v>
      </c>
      <c r="AS267" s="48">
        <f>(T267-S267)/S267</f>
        <v>1.333827343460541E-2</v>
      </c>
      <c r="AT267" s="48" t="e">
        <f>(#REF!-#REF!)/#REF!</f>
        <v>#REF!</v>
      </c>
    </row>
    <row r="268" spans="1:46" x14ac:dyDescent="0.3">
      <c r="A268" s="48">
        <v>20190131</v>
      </c>
      <c r="B268" s="48" t="s">
        <v>88</v>
      </c>
      <c r="C268" s="79">
        <v>0.3</v>
      </c>
      <c r="D268" s="79">
        <f t="shared" si="81"/>
        <v>0.3259762779450569</v>
      </c>
      <c r="E268" s="49">
        <v>46400</v>
      </c>
      <c r="F268" s="49">
        <v>46150</v>
      </c>
      <c r="G268" s="49">
        <v>5969782550</v>
      </c>
      <c r="H268" s="49">
        <f t="shared" si="82"/>
        <v>0.33417397536285598</v>
      </c>
      <c r="I268" s="49">
        <f t="shared" si="93"/>
        <v>0.33417397536285598</v>
      </c>
      <c r="J268" s="48">
        <v>0.15</v>
      </c>
      <c r="K268" s="48">
        <f t="shared" si="83"/>
        <v>0.13452696986951454</v>
      </c>
      <c r="L268" s="48">
        <v>215000</v>
      </c>
      <c r="M268" s="48">
        <v>219000</v>
      </c>
      <c r="N268" s="51">
        <v>125456133</v>
      </c>
      <c r="O268" s="48">
        <f t="shared" si="84"/>
        <v>1.3828981460847001</v>
      </c>
      <c r="P268" s="48">
        <f t="shared" si="94"/>
        <v>1.3828981460847001</v>
      </c>
      <c r="Q268" s="49">
        <v>0.15</v>
      </c>
      <c r="R268" s="49">
        <f t="shared" si="85"/>
        <v>0.14851510480147564</v>
      </c>
      <c r="S268" s="49">
        <v>273500</v>
      </c>
      <c r="T268" s="49">
        <v>276000</v>
      </c>
      <c r="U268" s="49">
        <v>15956260</v>
      </c>
      <c r="V268" s="49">
        <f t="shared" si="86"/>
        <v>9.52461183903619</v>
      </c>
      <c r="W268" s="49">
        <f t="shared" si="95"/>
        <v>9.52461183903619</v>
      </c>
      <c r="X268" s="48">
        <v>0.1</v>
      </c>
      <c r="Y268" s="76">
        <f t="shared" si="87"/>
        <v>0.10023883462844362</v>
      </c>
      <c r="Z268" s="18">
        <v>11020</v>
      </c>
      <c r="AA268" s="18">
        <v>11045</v>
      </c>
      <c r="AB268" s="18">
        <v>68700000</v>
      </c>
      <c r="AC268" s="135">
        <f t="shared" si="88"/>
        <v>37.310442323182599</v>
      </c>
      <c r="AD268" s="48">
        <f t="shared" si="96"/>
        <v>37.310442323182599</v>
      </c>
      <c r="AE268" s="49">
        <v>0.3</v>
      </c>
      <c r="AF268" s="49">
        <f t="shared" si="89"/>
        <v>0.29074281275550939</v>
      </c>
      <c r="AG268" s="19">
        <v>21050</v>
      </c>
      <c r="AH268" s="19">
        <v>20900</v>
      </c>
      <c r="AI268" s="19">
        <v>7234332</v>
      </c>
      <c r="AJ268" s="137">
        <f t="shared" si="90"/>
        <v>543.10163715259898</v>
      </c>
      <c r="AK268" s="49">
        <f t="shared" si="97"/>
        <v>543.10163715259898</v>
      </c>
      <c r="AL268" s="82">
        <f t="shared" si="98"/>
        <v>0</v>
      </c>
      <c r="AM268" s="82">
        <f t="shared" si="99"/>
        <v>249867415652733.97</v>
      </c>
      <c r="AN268" s="81">
        <f t="shared" si="91"/>
        <v>282433914969296.44</v>
      </c>
      <c r="AO268" s="80">
        <f t="shared" si="80"/>
        <v>1130.3351188528857</v>
      </c>
      <c r="AP268" s="52">
        <f t="shared" si="92"/>
        <v>1.7675481571896939E-4</v>
      </c>
      <c r="AQ268" s="48">
        <f>(F268-E268)/E268</f>
        <v>-5.387931034482759E-3</v>
      </c>
      <c r="AR268" s="48">
        <f>(M268-L268)/L268</f>
        <v>1.8604651162790697E-2</v>
      </c>
      <c r="AS268" s="48">
        <f>(T268-S268)/S268</f>
        <v>9.140767824497258E-3</v>
      </c>
      <c r="AT268" s="48" t="e">
        <f>(#REF!-#REF!)/#REF!</f>
        <v>#REF!</v>
      </c>
    </row>
    <row r="269" spans="1:46" x14ac:dyDescent="0.3">
      <c r="A269" s="48">
        <v>20190201</v>
      </c>
      <c r="B269" s="48" t="s">
        <v>88</v>
      </c>
      <c r="C269" s="79">
        <v>0.3</v>
      </c>
      <c r="D269" s="79">
        <f t="shared" si="81"/>
        <v>0.3281734774282638</v>
      </c>
      <c r="E269" s="49">
        <v>46150</v>
      </c>
      <c r="F269" s="49">
        <v>46350</v>
      </c>
      <c r="G269" s="49">
        <v>5969782550</v>
      </c>
      <c r="H269" s="49">
        <f t="shared" si="82"/>
        <v>0.33417397536285598</v>
      </c>
      <c r="I269" s="49">
        <f t="shared" si="93"/>
        <v>0.33417397536285598</v>
      </c>
      <c r="J269" s="48">
        <v>0.15</v>
      </c>
      <c r="K269" s="48">
        <f t="shared" si="83"/>
        <v>0.13207845834229756</v>
      </c>
      <c r="L269" s="48">
        <v>219000</v>
      </c>
      <c r="M269" s="48">
        <v>214500</v>
      </c>
      <c r="N269" s="51">
        <v>125456133</v>
      </c>
      <c r="O269" s="48">
        <f t="shared" si="84"/>
        <v>1.3828981460847001</v>
      </c>
      <c r="P269" s="48">
        <f t="shared" si="94"/>
        <v>1.3828981460847001</v>
      </c>
      <c r="Q269" s="49">
        <v>0.15</v>
      </c>
      <c r="R269" s="49">
        <f t="shared" si="85"/>
        <v>0.15005764242349076</v>
      </c>
      <c r="S269" s="49">
        <v>276000</v>
      </c>
      <c r="T269" s="49">
        <v>278200</v>
      </c>
      <c r="U269" s="49">
        <v>15956260</v>
      </c>
      <c r="V269" s="49">
        <f t="shared" si="86"/>
        <v>9.52461183903619</v>
      </c>
      <c r="W269" s="49">
        <f t="shared" si="95"/>
        <v>9.52461183903619</v>
      </c>
      <c r="X269" s="48">
        <v>0.1</v>
      </c>
      <c r="Y269" s="76">
        <f t="shared" si="87"/>
        <v>0.10034257701198555</v>
      </c>
      <c r="Z269" s="18">
        <v>11045</v>
      </c>
      <c r="AA269" s="18">
        <v>11030</v>
      </c>
      <c r="AB269" s="18">
        <v>68700000</v>
      </c>
      <c r="AC269" s="135">
        <f t="shared" si="88"/>
        <v>37.310442323182599</v>
      </c>
      <c r="AD269" s="48">
        <f t="shared" si="96"/>
        <v>37.310442323182599</v>
      </c>
      <c r="AE269" s="49">
        <v>0.3</v>
      </c>
      <c r="AF269" s="49">
        <f t="shared" si="89"/>
        <v>0.28934784479396231</v>
      </c>
      <c r="AG269" s="19">
        <v>20900</v>
      </c>
      <c r="AH269" s="19">
        <v>20750</v>
      </c>
      <c r="AI269" s="19">
        <v>7234332</v>
      </c>
      <c r="AJ269" s="137">
        <f t="shared" si="90"/>
        <v>543.10163715259898</v>
      </c>
      <c r="AK269" s="49">
        <f t="shared" si="97"/>
        <v>543.10163715259898</v>
      </c>
      <c r="AL269" s="82">
        <f t="shared" si="98"/>
        <v>0</v>
      </c>
      <c r="AM269" s="82">
        <f t="shared" si="99"/>
        <v>249867415652733.97</v>
      </c>
      <c r="AN269" s="81">
        <f t="shared" si="91"/>
        <v>281758740179456.75</v>
      </c>
      <c r="AO269" s="80">
        <f t="shared" si="80"/>
        <v>1127.6329866517904</v>
      </c>
      <c r="AP269" s="52">
        <f t="shared" si="92"/>
        <v>-2.3905584777703394E-3</v>
      </c>
      <c r="AQ269" s="48">
        <f>(F269-E269)/E269</f>
        <v>4.3336944745395447E-3</v>
      </c>
      <c r="AR269" s="48">
        <f>(M269-L269)/L269</f>
        <v>-2.0547945205479451E-2</v>
      </c>
      <c r="AS269" s="48">
        <f>(T269-S269)/S269</f>
        <v>7.9710144927536229E-3</v>
      </c>
      <c r="AT269" s="48" t="e">
        <f>(#REF!-#REF!)/#REF!</f>
        <v>#REF!</v>
      </c>
    </row>
    <row r="270" spans="1:46" x14ac:dyDescent="0.3">
      <c r="A270" s="48">
        <v>20190207</v>
      </c>
      <c r="B270" s="48" t="s">
        <v>88</v>
      </c>
      <c r="C270" s="79">
        <v>0.3</v>
      </c>
      <c r="D270" s="79">
        <f t="shared" si="81"/>
        <v>0.32382330815326676</v>
      </c>
      <c r="E270" s="49">
        <v>46350</v>
      </c>
      <c r="F270" s="49">
        <v>46200</v>
      </c>
      <c r="G270" s="49">
        <v>5969782550</v>
      </c>
      <c r="H270" s="49">
        <f t="shared" si="82"/>
        <v>0.33417397536285598</v>
      </c>
      <c r="I270" s="49">
        <f t="shared" si="93"/>
        <v>0.33417397536285598</v>
      </c>
      <c r="J270" s="48">
        <v>0.15</v>
      </c>
      <c r="K270" s="48">
        <f t="shared" si="83"/>
        <v>0.13044602721259477</v>
      </c>
      <c r="L270" s="48">
        <v>214500</v>
      </c>
      <c r="M270" s="48">
        <v>214000</v>
      </c>
      <c r="N270" s="51">
        <v>125456133</v>
      </c>
      <c r="O270" s="48">
        <f t="shared" si="84"/>
        <v>1.3828981460847001</v>
      </c>
      <c r="P270" s="48">
        <f t="shared" si="94"/>
        <v>1.3828981460847001</v>
      </c>
      <c r="Q270" s="49">
        <v>0.15</v>
      </c>
      <c r="R270" s="49">
        <f t="shared" si="85"/>
        <v>0.15383552593804828</v>
      </c>
      <c r="S270" s="49">
        <v>278200</v>
      </c>
      <c r="T270" s="49">
        <v>288100</v>
      </c>
      <c r="U270" s="49">
        <v>15956260</v>
      </c>
      <c r="V270" s="49">
        <f t="shared" si="86"/>
        <v>9.52461183903619</v>
      </c>
      <c r="W270" s="49">
        <f t="shared" si="95"/>
        <v>9.52461183903619</v>
      </c>
      <c r="X270" s="48">
        <v>0.1</v>
      </c>
      <c r="Y270" s="76">
        <f t="shared" si="87"/>
        <v>9.9243876960668692E-2</v>
      </c>
      <c r="Z270" s="18">
        <v>11030</v>
      </c>
      <c r="AA270" s="18">
        <v>11020</v>
      </c>
      <c r="AB270" s="18">
        <v>68700000</v>
      </c>
      <c r="AC270" s="135">
        <f t="shared" si="88"/>
        <v>37.310442323182599</v>
      </c>
      <c r="AD270" s="48">
        <f t="shared" si="96"/>
        <v>37.310442323182599</v>
      </c>
      <c r="AE270" s="49">
        <v>0.3</v>
      </c>
      <c r="AF270" s="49">
        <f t="shared" si="89"/>
        <v>0.29265126173542139</v>
      </c>
      <c r="AG270" s="19">
        <v>20750</v>
      </c>
      <c r="AH270" s="19">
        <v>21200</v>
      </c>
      <c r="AI270" s="19">
        <v>7234332</v>
      </c>
      <c r="AJ270" s="137">
        <f t="shared" si="90"/>
        <v>543.10163715259898</v>
      </c>
      <c r="AK270" s="49">
        <f t="shared" si="97"/>
        <v>543.10163715259898</v>
      </c>
      <c r="AL270" s="82">
        <f t="shared" si="98"/>
        <v>0</v>
      </c>
      <c r="AM270" s="82">
        <f t="shared" si="99"/>
        <v>249867415652733.97</v>
      </c>
      <c r="AN270" s="81">
        <f t="shared" si="91"/>
        <v>284619733493237.19</v>
      </c>
      <c r="AO270" s="80">
        <f t="shared" si="80"/>
        <v>1139.0830322942229</v>
      </c>
      <c r="AP270" s="52">
        <f t="shared" si="92"/>
        <v>1.0154053471272104E-2</v>
      </c>
      <c r="AQ270" s="48">
        <f>(F270-E270)/E270</f>
        <v>-3.2362459546925568E-3</v>
      </c>
      <c r="AR270" s="48">
        <f>(M270-L270)/L270</f>
        <v>-2.331002331002331E-3</v>
      </c>
      <c r="AS270" s="48">
        <f>(T270-S270)/S270</f>
        <v>3.5585909417685122E-2</v>
      </c>
      <c r="AT270" s="48" t="e">
        <f>(#REF!-#REF!)/#REF!</f>
        <v>#REF!</v>
      </c>
    </row>
    <row r="271" spans="1:46" x14ac:dyDescent="0.3">
      <c r="A271" s="48">
        <v>20190208</v>
      </c>
      <c r="B271" s="48" t="s">
        <v>88</v>
      </c>
      <c r="C271" s="79">
        <v>0.3</v>
      </c>
      <c r="D271" s="79">
        <f t="shared" si="81"/>
        <v>0.31680197753466049</v>
      </c>
      <c r="E271" s="49">
        <v>46200</v>
      </c>
      <c r="F271" s="49">
        <v>44800</v>
      </c>
      <c r="G271" s="49">
        <v>5969782550</v>
      </c>
      <c r="H271" s="49">
        <f t="shared" si="82"/>
        <v>0.33417397536285598</v>
      </c>
      <c r="I271" s="49">
        <f t="shared" si="93"/>
        <v>0.33417397536285598</v>
      </c>
      <c r="J271" s="48">
        <v>0.15</v>
      </c>
      <c r="K271" s="48">
        <f t="shared" si="83"/>
        <v>0.13222064877995351</v>
      </c>
      <c r="L271" s="48">
        <v>214000</v>
      </c>
      <c r="M271" s="48">
        <v>215000</v>
      </c>
      <c r="N271" s="51">
        <v>125456133</v>
      </c>
      <c r="O271" s="48">
        <f t="shared" si="84"/>
        <v>1.3828981460847001</v>
      </c>
      <c r="P271" s="48">
        <f t="shared" si="94"/>
        <v>1.3828981460847001</v>
      </c>
      <c r="Q271" s="49">
        <v>0.15</v>
      </c>
      <c r="R271" s="49">
        <f t="shared" si="85"/>
        <v>0.15579568004108529</v>
      </c>
      <c r="S271" s="49">
        <v>288100</v>
      </c>
      <c r="T271" s="49">
        <v>289200</v>
      </c>
      <c r="U271" s="49">
        <v>15956260</v>
      </c>
      <c r="V271" s="49">
        <f t="shared" si="86"/>
        <v>9.52461183903619</v>
      </c>
      <c r="W271" s="49">
        <f t="shared" si="95"/>
        <v>9.52461183903619</v>
      </c>
      <c r="X271" s="48">
        <v>0.1</v>
      </c>
      <c r="Y271" s="76">
        <f t="shared" si="87"/>
        <v>9.853611237658276E-2</v>
      </c>
      <c r="Z271" s="18">
        <v>11020</v>
      </c>
      <c r="AA271" s="18">
        <v>10845</v>
      </c>
      <c r="AB271" s="18">
        <v>68700000</v>
      </c>
      <c r="AC271" s="135">
        <f t="shared" si="88"/>
        <v>37.310442323182599</v>
      </c>
      <c r="AD271" s="48">
        <f t="shared" si="96"/>
        <v>37.310442323182599</v>
      </c>
      <c r="AE271" s="49">
        <v>0.3</v>
      </c>
      <c r="AF271" s="49">
        <f t="shared" si="89"/>
        <v>0.29664558126771784</v>
      </c>
      <c r="AG271" s="19">
        <v>21200</v>
      </c>
      <c r="AH271" s="19">
        <v>21300</v>
      </c>
      <c r="AI271" s="19">
        <v>7234332</v>
      </c>
      <c r="AJ271" s="137">
        <f t="shared" si="90"/>
        <v>543.10163715259898</v>
      </c>
      <c r="AK271" s="49">
        <f t="shared" si="97"/>
        <v>543.10163715259898</v>
      </c>
      <c r="AL271" s="82">
        <f t="shared" si="98"/>
        <v>0</v>
      </c>
      <c r="AM271" s="82">
        <f t="shared" si="99"/>
        <v>249867415652733.97</v>
      </c>
      <c r="AN271" s="81">
        <f t="shared" si="91"/>
        <v>282111810057131.5</v>
      </c>
      <c r="AO271" s="80">
        <f t="shared" si="80"/>
        <v>1129.0460155445433</v>
      </c>
      <c r="AP271" s="52">
        <f t="shared" si="92"/>
        <v>-8.8114882454741975E-3</v>
      </c>
      <c r="AQ271" s="48">
        <f>(F271-E271)/E271</f>
        <v>-3.0303030303030304E-2</v>
      </c>
      <c r="AR271" s="48">
        <f>(M271-L271)/L271</f>
        <v>4.6728971962616819E-3</v>
      </c>
      <c r="AS271" s="48">
        <f>(T271-S271)/S271</f>
        <v>3.8181187087816732E-3</v>
      </c>
      <c r="AT271" s="48" t="e">
        <f>(#REF!-#REF!)/#REF!</f>
        <v>#REF!</v>
      </c>
    </row>
    <row r="272" spans="1:46" x14ac:dyDescent="0.3">
      <c r="A272" s="48">
        <v>20190211</v>
      </c>
      <c r="B272" s="48" t="s">
        <v>88</v>
      </c>
      <c r="C272" s="79">
        <v>0.3</v>
      </c>
      <c r="D272" s="79">
        <f t="shared" si="81"/>
        <v>0.31532267977505651</v>
      </c>
      <c r="E272" s="49">
        <v>44800</v>
      </c>
      <c r="F272" s="49">
        <v>45000</v>
      </c>
      <c r="G272" s="49">
        <v>5969782550</v>
      </c>
      <c r="H272" s="49">
        <f t="shared" si="82"/>
        <v>0.33417397536285598</v>
      </c>
      <c r="I272" s="49">
        <f t="shared" si="93"/>
        <v>0.33417397536285598</v>
      </c>
      <c r="J272" s="48">
        <v>0.15</v>
      </c>
      <c r="K272" s="48">
        <f t="shared" si="83"/>
        <v>0.13132303874766624</v>
      </c>
      <c r="L272" s="48">
        <v>215000</v>
      </c>
      <c r="M272" s="48">
        <v>215500</v>
      </c>
      <c r="N272" s="51">
        <v>125456133</v>
      </c>
      <c r="O272" s="48">
        <f t="shared" si="84"/>
        <v>1.3828981460847001</v>
      </c>
      <c r="P272" s="48">
        <f t="shared" si="94"/>
        <v>1.3828981460847001</v>
      </c>
      <c r="Q272" s="49">
        <v>0.15</v>
      </c>
      <c r="R272" s="49">
        <f t="shared" si="85"/>
        <v>0.15480605577932957</v>
      </c>
      <c r="S272" s="49">
        <v>289200</v>
      </c>
      <c r="T272" s="49">
        <v>290000</v>
      </c>
      <c r="U272" s="49">
        <v>15956260</v>
      </c>
      <c r="V272" s="49">
        <f t="shared" si="86"/>
        <v>9.52461183903619</v>
      </c>
      <c r="W272" s="49">
        <f t="shared" si="95"/>
        <v>9.52461183903619</v>
      </c>
      <c r="X272" s="48">
        <v>0.1</v>
      </c>
      <c r="Y272" s="76">
        <f t="shared" si="87"/>
        <v>9.7009880880995047E-2</v>
      </c>
      <c r="Z272" s="18">
        <v>10845</v>
      </c>
      <c r="AA272" s="18">
        <v>10775</v>
      </c>
      <c r="AB272" s="18">
        <v>68700000</v>
      </c>
      <c r="AC272" s="135">
        <f t="shared" si="88"/>
        <v>37.310442323182599</v>
      </c>
      <c r="AD272" s="48">
        <f t="shared" si="96"/>
        <v>37.310442323182599</v>
      </c>
      <c r="AE272" s="49">
        <v>0.3</v>
      </c>
      <c r="AF272" s="49">
        <f t="shared" si="89"/>
        <v>0.30153834481695257</v>
      </c>
      <c r="AG272" s="19">
        <v>21300</v>
      </c>
      <c r="AH272" s="19">
        <v>21850</v>
      </c>
      <c r="AI272" s="19">
        <v>7234332</v>
      </c>
      <c r="AJ272" s="137">
        <f t="shared" si="90"/>
        <v>543.10163715259898</v>
      </c>
      <c r="AK272" s="49">
        <f t="shared" si="97"/>
        <v>543.10163715259898</v>
      </c>
      <c r="AL272" s="82">
        <f t="shared" si="98"/>
        <v>0</v>
      </c>
      <c r="AM272" s="82">
        <f t="shared" si="99"/>
        <v>249867415652733.97</v>
      </c>
      <c r="AN272" s="81">
        <f t="shared" si="91"/>
        <v>284700639260646.87</v>
      </c>
      <c r="AO272" s="80">
        <f t="shared" si="80"/>
        <v>1139.4068270843452</v>
      </c>
      <c r="AP272" s="52">
        <f t="shared" si="92"/>
        <v>9.1766069736359535E-3</v>
      </c>
      <c r="AQ272" s="48">
        <f>(F272-E272)/E272</f>
        <v>4.464285714285714E-3</v>
      </c>
      <c r="AR272" s="48">
        <f>(M272-L272)/L272</f>
        <v>2.3255813953488372E-3</v>
      </c>
      <c r="AS272" s="48">
        <f>(T272-S272)/S272</f>
        <v>2.7662517289073307E-3</v>
      </c>
      <c r="AT272" s="48" t="e">
        <f>(#REF!-#REF!)/#REF!</f>
        <v>#REF!</v>
      </c>
    </row>
    <row r="273" spans="1:46" x14ac:dyDescent="0.3">
      <c r="A273" s="48">
        <v>20190212</v>
      </c>
      <c r="B273" s="48" t="s">
        <v>88</v>
      </c>
      <c r="C273" s="79">
        <v>0.3</v>
      </c>
      <c r="D273" s="79">
        <f t="shared" si="81"/>
        <v>0.32183118202765854</v>
      </c>
      <c r="E273" s="49">
        <v>45000</v>
      </c>
      <c r="F273" s="49">
        <v>46050</v>
      </c>
      <c r="G273" s="49">
        <v>5969782550</v>
      </c>
      <c r="H273" s="49">
        <f t="shared" si="82"/>
        <v>0.33417397536285598</v>
      </c>
      <c r="I273" s="49">
        <f t="shared" si="93"/>
        <v>0.33417397536285598</v>
      </c>
      <c r="J273" s="48">
        <v>0.15</v>
      </c>
      <c r="K273" s="48">
        <f t="shared" si="83"/>
        <v>0.1291541525796322</v>
      </c>
      <c r="L273" s="48">
        <v>215500</v>
      </c>
      <c r="M273" s="48">
        <v>212500</v>
      </c>
      <c r="N273" s="51">
        <v>125456133</v>
      </c>
      <c r="O273" s="48">
        <f t="shared" si="84"/>
        <v>1.3828981460847001</v>
      </c>
      <c r="P273" s="48">
        <f t="shared" si="94"/>
        <v>1.3828981460847001</v>
      </c>
      <c r="Q273" s="49">
        <v>0.15</v>
      </c>
      <c r="R273" s="49">
        <f t="shared" si="85"/>
        <v>0.14870195361642999</v>
      </c>
      <c r="S273" s="49">
        <v>290000</v>
      </c>
      <c r="T273" s="49">
        <v>279300</v>
      </c>
      <c r="U273" s="49">
        <v>15956260</v>
      </c>
      <c r="V273" s="49">
        <f t="shared" si="86"/>
        <v>9.52461183903619</v>
      </c>
      <c r="W273" s="49">
        <f t="shared" si="95"/>
        <v>9.52461183903619</v>
      </c>
      <c r="X273" s="48">
        <v>0.1</v>
      </c>
      <c r="Y273" s="76">
        <f t="shared" si="87"/>
        <v>9.8191358958508446E-2</v>
      </c>
      <c r="Z273" s="18">
        <v>10775</v>
      </c>
      <c r="AA273" s="18">
        <v>10935</v>
      </c>
      <c r="AB273" s="18">
        <v>68700000</v>
      </c>
      <c r="AC273" s="135">
        <f t="shared" si="88"/>
        <v>37.310442323182599</v>
      </c>
      <c r="AD273" s="48">
        <f t="shared" si="96"/>
        <v>37.310442323182599</v>
      </c>
      <c r="AE273" s="49">
        <v>0.3</v>
      </c>
      <c r="AF273" s="49">
        <f t="shared" si="89"/>
        <v>0.30212135281777075</v>
      </c>
      <c r="AG273" s="19">
        <v>21850</v>
      </c>
      <c r="AH273" s="19">
        <v>21950</v>
      </c>
      <c r="AI273" s="19">
        <v>7234332</v>
      </c>
      <c r="AJ273" s="137">
        <f t="shared" si="90"/>
        <v>543.10163715259898</v>
      </c>
      <c r="AK273" s="49">
        <f t="shared" si="97"/>
        <v>543.10163715259898</v>
      </c>
      <c r="AL273" s="82">
        <f t="shared" si="98"/>
        <v>0</v>
      </c>
      <c r="AM273" s="82">
        <f t="shared" si="99"/>
        <v>249867415652733.97</v>
      </c>
      <c r="AN273" s="81">
        <f t="shared" si="91"/>
        <v>285451711644797.12</v>
      </c>
      <c r="AO273" s="80">
        <f t="shared" si="80"/>
        <v>1142.4127107534432</v>
      </c>
      <c r="AP273" s="52">
        <f t="shared" si="92"/>
        <v>2.6381127422150327E-3</v>
      </c>
      <c r="AQ273" s="48">
        <f>(F273-E273)/E273</f>
        <v>2.3333333333333334E-2</v>
      </c>
      <c r="AR273" s="48">
        <f>(M273-L273)/L273</f>
        <v>-1.3921113689095127E-2</v>
      </c>
      <c r="AS273" s="48">
        <f>(T273-S273)/S273</f>
        <v>-3.689655172413793E-2</v>
      </c>
      <c r="AT273" s="48" t="e">
        <f>(#REF!-#REF!)/#REF!</f>
        <v>#REF!</v>
      </c>
    </row>
    <row r="274" spans="1:46" x14ac:dyDescent="0.3">
      <c r="A274" s="48">
        <v>20190213</v>
      </c>
      <c r="B274" s="48" t="s">
        <v>88</v>
      </c>
      <c r="C274" s="79">
        <v>0.3</v>
      </c>
      <c r="D274" s="79">
        <f t="shared" si="81"/>
        <v>0.32191527720625313</v>
      </c>
      <c r="E274" s="49">
        <v>46050</v>
      </c>
      <c r="F274" s="49">
        <v>46200</v>
      </c>
      <c r="G274" s="49">
        <v>5969782550</v>
      </c>
      <c r="H274" s="49">
        <f t="shared" si="82"/>
        <v>0.33417397536285598</v>
      </c>
      <c r="I274" s="49">
        <f t="shared" si="93"/>
        <v>0.33417397536285598</v>
      </c>
      <c r="J274" s="48">
        <v>0.15</v>
      </c>
      <c r="K274" s="48">
        <f t="shared" si="83"/>
        <v>0.12846547498959063</v>
      </c>
      <c r="L274" s="48">
        <v>212500</v>
      </c>
      <c r="M274" s="48">
        <v>212000</v>
      </c>
      <c r="N274" s="51">
        <v>125456133</v>
      </c>
      <c r="O274" s="48">
        <f t="shared" si="84"/>
        <v>1.3828981460847001</v>
      </c>
      <c r="P274" s="48">
        <f t="shared" si="94"/>
        <v>1.3828981460847001</v>
      </c>
      <c r="Q274" s="49">
        <v>0.15</v>
      </c>
      <c r="R274" s="49">
        <f t="shared" si="85"/>
        <v>0.15000958938369066</v>
      </c>
      <c r="S274" s="49">
        <v>279300</v>
      </c>
      <c r="T274" s="49">
        <v>282600</v>
      </c>
      <c r="U274" s="49">
        <v>15956260</v>
      </c>
      <c r="V274" s="49">
        <f t="shared" si="86"/>
        <v>9.52461183903619</v>
      </c>
      <c r="W274" s="49">
        <f t="shared" si="95"/>
        <v>9.52461183903619</v>
      </c>
      <c r="X274" s="48">
        <v>0.1</v>
      </c>
      <c r="Y274" s="76">
        <f t="shared" si="87"/>
        <v>9.8390530442748175E-2</v>
      </c>
      <c r="Z274" s="18">
        <v>10935</v>
      </c>
      <c r="AA274" s="18">
        <v>10990</v>
      </c>
      <c r="AB274" s="18">
        <v>68700000</v>
      </c>
      <c r="AC274" s="135">
        <f t="shared" si="88"/>
        <v>37.310442323182599</v>
      </c>
      <c r="AD274" s="48">
        <f t="shared" si="96"/>
        <v>37.310442323182599</v>
      </c>
      <c r="AE274" s="49">
        <v>0.3</v>
      </c>
      <c r="AF274" s="49">
        <f t="shared" si="89"/>
        <v>0.30121912797771749</v>
      </c>
      <c r="AG274" s="19">
        <v>21950</v>
      </c>
      <c r="AH274" s="19">
        <v>21950</v>
      </c>
      <c r="AI274" s="19">
        <v>7234332</v>
      </c>
      <c r="AJ274" s="137">
        <f t="shared" si="90"/>
        <v>543.10163715259898</v>
      </c>
      <c r="AK274" s="49">
        <f t="shared" si="97"/>
        <v>543.10163715259898</v>
      </c>
      <c r="AL274" s="82">
        <f t="shared" si="98"/>
        <v>0</v>
      </c>
      <c r="AM274" s="82">
        <f t="shared" si="99"/>
        <v>249867415652733.97</v>
      </c>
      <c r="AN274" s="81">
        <f t="shared" si="91"/>
        <v>286306709222841.75</v>
      </c>
      <c r="AO274" s="80">
        <f t="shared" si="80"/>
        <v>1145.8345157767635</v>
      </c>
      <c r="AP274" s="52">
        <f t="shared" si="92"/>
        <v>2.9952441802433699E-3</v>
      </c>
      <c r="AQ274" s="48">
        <f>(F274-E274)/E274</f>
        <v>3.2573289902280132E-3</v>
      </c>
      <c r="AR274" s="48">
        <f>(M274-L274)/L274</f>
        <v>-2.352941176470588E-3</v>
      </c>
      <c r="AS274" s="48">
        <f>(T274-S274)/S274</f>
        <v>1.1815252416756176E-2</v>
      </c>
      <c r="AT274" s="48" t="e">
        <f>(#REF!-#REF!)/#REF!</f>
        <v>#REF!</v>
      </c>
    </row>
    <row r="275" spans="1:46" s="47" customFormat="1" x14ac:dyDescent="0.3">
      <c r="A275" s="48">
        <v>20190214</v>
      </c>
      <c r="B275" s="48" t="s">
        <v>88</v>
      </c>
      <c r="C275" s="79">
        <v>0.3</v>
      </c>
      <c r="D275" s="79">
        <f t="shared" si="81"/>
        <v>0.32743971488459028</v>
      </c>
      <c r="E275" s="49">
        <v>46200</v>
      </c>
      <c r="F275" s="49">
        <v>47500</v>
      </c>
      <c r="G275" s="49">
        <v>5969782550</v>
      </c>
      <c r="H275" s="49">
        <f t="shared" si="82"/>
        <v>0.33417397536285598</v>
      </c>
      <c r="I275" s="49">
        <f t="shared" si="93"/>
        <v>0.35928849304385202</v>
      </c>
      <c r="J275" s="48">
        <v>0.15</v>
      </c>
      <c r="K275" s="48">
        <f t="shared" si="83"/>
        <v>0.12589485808951284</v>
      </c>
      <c r="L275" s="48">
        <v>212000</v>
      </c>
      <c r="M275" s="48">
        <v>210000</v>
      </c>
      <c r="N275" s="51">
        <v>125456133</v>
      </c>
      <c r="O275" s="48">
        <f t="shared" si="84"/>
        <v>1.3828981460847001</v>
      </c>
      <c r="P275" s="48">
        <f t="shared" si="94"/>
        <v>1.4868285012332401</v>
      </c>
      <c r="Q275" s="49">
        <v>0.15</v>
      </c>
      <c r="R275" s="49">
        <f t="shared" si="85"/>
        <v>0.14704255078696365</v>
      </c>
      <c r="S275" s="49">
        <v>282600</v>
      </c>
      <c r="T275" s="49">
        <v>280000</v>
      </c>
      <c r="U275" s="49">
        <v>15956260</v>
      </c>
      <c r="V275" s="49">
        <f t="shared" si="86"/>
        <v>9.52461183903619</v>
      </c>
      <c r="W275" s="49">
        <f t="shared" si="95"/>
        <v>10.2404247091927</v>
      </c>
      <c r="X275" s="48">
        <v>0.1</v>
      </c>
      <c r="Y275" s="76">
        <f t="shared" si="87"/>
        <v>9.8225735062076963E-2</v>
      </c>
      <c r="Z275" s="18">
        <v>10990</v>
      </c>
      <c r="AA275" s="18">
        <v>11090</v>
      </c>
      <c r="AB275" s="18">
        <v>68700000</v>
      </c>
      <c r="AC275" s="135">
        <f t="shared" si="88"/>
        <v>37.310442323182599</v>
      </c>
      <c r="AD275" s="48">
        <f t="shared" si="96"/>
        <v>40.114472057676103</v>
      </c>
      <c r="AE275" s="49">
        <v>0.3</v>
      </c>
      <c r="AF275" s="49">
        <f t="shared" si="89"/>
        <v>0.30139714117685634</v>
      </c>
      <c r="AG275" s="19">
        <v>21950</v>
      </c>
      <c r="AH275" s="19">
        <v>22200</v>
      </c>
      <c r="AI275" s="19">
        <v>7239332</v>
      </c>
      <c r="AJ275" s="137">
        <f t="shared" si="90"/>
        <v>543.10163715259898</v>
      </c>
      <c r="AK275" s="49">
        <f t="shared" si="97"/>
        <v>583.51461310522996</v>
      </c>
      <c r="AL275" s="82">
        <f t="shared" si="98"/>
        <v>1</v>
      </c>
      <c r="AM275" s="82">
        <f t="shared" si="99"/>
        <v>268645956445748.91</v>
      </c>
      <c r="AN275" s="81">
        <f t="shared" si="91"/>
        <v>311145895680021.62</v>
      </c>
      <c r="AO275" s="80">
        <f t="shared" si="80"/>
        <v>1158.2005543524913</v>
      </c>
      <c r="AP275" s="52">
        <f t="shared" si="92"/>
        <v>1.0792167983650597E-2</v>
      </c>
      <c r="AQ275" s="48">
        <f>(F275-E275)/E275</f>
        <v>2.813852813852814E-2</v>
      </c>
      <c r="AR275" s="48">
        <f>(M275-L275)/L275</f>
        <v>-9.433962264150943E-3</v>
      </c>
      <c r="AS275" s="48">
        <f>(T275-S275)/S275</f>
        <v>-9.200283085633405E-3</v>
      </c>
      <c r="AT275" s="48" t="e">
        <f>(#REF!-#REF!)/#REF!</f>
        <v>#REF!</v>
      </c>
    </row>
    <row r="276" spans="1:46" x14ac:dyDescent="0.3">
      <c r="A276" s="48">
        <v>20190215</v>
      </c>
      <c r="B276" s="48" t="s">
        <v>88</v>
      </c>
      <c r="C276" s="79">
        <v>0.3</v>
      </c>
      <c r="D276" s="79">
        <f t="shared" si="81"/>
        <v>0.31775096922530371</v>
      </c>
      <c r="E276" s="49">
        <v>47500</v>
      </c>
      <c r="F276" s="49">
        <v>46050</v>
      </c>
      <c r="G276" s="49">
        <v>5969782550</v>
      </c>
      <c r="H276" s="49">
        <f t="shared" si="82"/>
        <v>0.35928849304385202</v>
      </c>
      <c r="I276" s="49">
        <f t="shared" si="93"/>
        <v>0.35928849304385202</v>
      </c>
      <c r="J276" s="48">
        <v>0.15</v>
      </c>
      <c r="K276" s="48">
        <f t="shared" si="83"/>
        <v>0.12571648528783055</v>
      </c>
      <c r="L276" s="48">
        <v>210000</v>
      </c>
      <c r="M276" s="48">
        <v>209500</v>
      </c>
      <c r="N276" s="51">
        <v>125456133</v>
      </c>
      <c r="O276" s="48">
        <f t="shared" si="84"/>
        <v>1.4868285012332401</v>
      </c>
      <c r="P276" s="48">
        <f t="shared" si="94"/>
        <v>1.4868285012332401</v>
      </c>
      <c r="Q276" s="49">
        <v>0.15</v>
      </c>
      <c r="R276" s="49">
        <f t="shared" si="85"/>
        <v>0.14965525431608034</v>
      </c>
      <c r="S276" s="49">
        <v>280000</v>
      </c>
      <c r="T276" s="49">
        <v>284700</v>
      </c>
      <c r="U276" s="49">
        <v>15956260</v>
      </c>
      <c r="V276" s="49">
        <f t="shared" si="86"/>
        <v>10.2404247091927</v>
      </c>
      <c r="W276" s="49">
        <f t="shared" si="95"/>
        <v>10.2404247091927</v>
      </c>
      <c r="X276" s="48">
        <v>0.1</v>
      </c>
      <c r="Y276" s="76">
        <f t="shared" si="87"/>
        <v>9.7035134641467527E-2</v>
      </c>
      <c r="Z276" s="18">
        <v>11090</v>
      </c>
      <c r="AA276" s="18">
        <v>10945</v>
      </c>
      <c r="AB276" s="18">
        <v>68700000</v>
      </c>
      <c r="AC276" s="135">
        <f t="shared" si="88"/>
        <v>40.114472057676103</v>
      </c>
      <c r="AD276" s="48">
        <f t="shared" si="96"/>
        <v>40.114472057676103</v>
      </c>
      <c r="AE276" s="49">
        <v>0.3</v>
      </c>
      <c r="AF276" s="49">
        <f t="shared" si="89"/>
        <v>0.30984215652931779</v>
      </c>
      <c r="AG276" s="19">
        <v>22200</v>
      </c>
      <c r="AH276" s="19">
        <v>22800</v>
      </c>
      <c r="AI276" s="19">
        <v>7239332</v>
      </c>
      <c r="AJ276" s="137">
        <f t="shared" si="90"/>
        <v>583.51461310522996</v>
      </c>
      <c r="AK276" s="49">
        <f t="shared" si="97"/>
        <v>583.51461310522996</v>
      </c>
      <c r="AL276" s="82">
        <f t="shared" si="98"/>
        <v>0</v>
      </c>
      <c r="AM276" s="82">
        <f t="shared" si="99"/>
        <v>268645956445748.91</v>
      </c>
      <c r="AN276" s="81">
        <f t="shared" si="91"/>
        <v>310845490272818.25</v>
      </c>
      <c r="AO276" s="80">
        <f t="shared" si="80"/>
        <v>1157.0823338842667</v>
      </c>
      <c r="AP276" s="52">
        <f t="shared" si="92"/>
        <v>-9.6548086082525906E-4</v>
      </c>
      <c r="AQ276" s="48">
        <f>(F276-E276)/E276</f>
        <v>-3.0526315789473683E-2</v>
      </c>
      <c r="AR276" s="48">
        <f>(M276-L276)/L276</f>
        <v>-2.3809523809523812E-3</v>
      </c>
      <c r="AS276" s="48">
        <f>(T276-S276)/S276</f>
        <v>1.6785714285714286E-2</v>
      </c>
      <c r="AT276" s="48" t="e">
        <f>(#REF!-#REF!)/#REF!</f>
        <v>#REF!</v>
      </c>
    </row>
    <row r="277" spans="1:46" x14ac:dyDescent="0.3">
      <c r="A277" s="48">
        <v>20190218</v>
      </c>
      <c r="B277" s="48" t="s">
        <v>88</v>
      </c>
      <c r="C277" s="79">
        <v>0.3</v>
      </c>
      <c r="D277" s="79">
        <f t="shared" si="81"/>
        <v>0.31835276931386641</v>
      </c>
      <c r="E277" s="49">
        <v>46050</v>
      </c>
      <c r="F277" s="49">
        <v>46200</v>
      </c>
      <c r="G277" s="49">
        <v>5969782550</v>
      </c>
      <c r="H277" s="49">
        <f t="shared" si="82"/>
        <v>0.35928849304385202</v>
      </c>
      <c r="I277" s="49">
        <f t="shared" si="93"/>
        <v>0.35928849304385202</v>
      </c>
      <c r="J277" s="48">
        <v>0.15</v>
      </c>
      <c r="K277" s="48">
        <f t="shared" si="83"/>
        <v>0.12704379885007527</v>
      </c>
      <c r="L277" s="48">
        <v>209500</v>
      </c>
      <c r="M277" s="48">
        <v>212000</v>
      </c>
      <c r="N277" s="51">
        <v>125456133</v>
      </c>
      <c r="O277" s="48">
        <f t="shared" si="84"/>
        <v>1.4868285012332401</v>
      </c>
      <c r="P277" s="48">
        <f t="shared" si="94"/>
        <v>1.4868285012332401</v>
      </c>
      <c r="Q277" s="49">
        <v>0.15</v>
      </c>
      <c r="R277" s="49">
        <f t="shared" si="85"/>
        <v>0.14630220713011249</v>
      </c>
      <c r="S277" s="49">
        <v>284700</v>
      </c>
      <c r="T277" s="49">
        <v>278700</v>
      </c>
      <c r="U277" s="49">
        <v>15956260</v>
      </c>
      <c r="V277" s="49">
        <f t="shared" si="86"/>
        <v>10.2404247091927</v>
      </c>
      <c r="W277" s="49">
        <f t="shared" si="95"/>
        <v>10.2404247091927</v>
      </c>
      <c r="X277" s="48">
        <v>0.1</v>
      </c>
      <c r="Y277" s="76">
        <f t="shared" si="87"/>
        <v>9.7523023116408855E-2</v>
      </c>
      <c r="Z277" s="18">
        <v>10945</v>
      </c>
      <c r="AA277" s="18">
        <v>11015</v>
      </c>
      <c r="AB277" s="18">
        <v>68700000</v>
      </c>
      <c r="AC277" s="135">
        <f t="shared" si="88"/>
        <v>40.114472057676103</v>
      </c>
      <c r="AD277" s="48">
        <f t="shared" si="96"/>
        <v>40.114472057676103</v>
      </c>
      <c r="AE277" s="49">
        <v>0.3</v>
      </c>
      <c r="AF277" s="49">
        <f t="shared" si="89"/>
        <v>0.3107782015895369</v>
      </c>
      <c r="AG277" s="19">
        <v>22800</v>
      </c>
      <c r="AH277" s="19">
        <v>22900</v>
      </c>
      <c r="AI277" s="19">
        <v>7239332</v>
      </c>
      <c r="AJ277" s="137">
        <f t="shared" si="90"/>
        <v>583.51461310522996</v>
      </c>
      <c r="AK277" s="49">
        <f t="shared" si="97"/>
        <v>583.51461310522996</v>
      </c>
      <c r="AL277" s="82">
        <f t="shared" si="98"/>
        <v>0</v>
      </c>
      <c r="AM277" s="82">
        <f t="shared" si="99"/>
        <v>268645956445748.91</v>
      </c>
      <c r="AN277" s="81">
        <f t="shared" si="91"/>
        <v>311268493606959.44</v>
      </c>
      <c r="AO277" s="80">
        <f t="shared" si="80"/>
        <v>1158.6569093580154</v>
      </c>
      <c r="AP277" s="52">
        <f t="shared" si="92"/>
        <v>1.360815412731123E-3</v>
      </c>
      <c r="AQ277" s="48">
        <f>(F277-E277)/E277</f>
        <v>3.2573289902280132E-3</v>
      </c>
      <c r="AR277" s="48">
        <f>(M277-L277)/L277</f>
        <v>1.1933174224343675E-2</v>
      </c>
      <c r="AS277" s="48">
        <f>(T277-S277)/S277</f>
        <v>-2.107481559536354E-2</v>
      </c>
      <c r="AT277" s="48" t="e">
        <f>(#REF!-#REF!)/#REF!</f>
        <v>#REF!</v>
      </c>
    </row>
    <row r="278" spans="1:46" x14ac:dyDescent="0.3">
      <c r="A278" s="48">
        <v>20190219</v>
      </c>
      <c r="B278" s="48" t="s">
        <v>88</v>
      </c>
      <c r="C278" s="79">
        <v>0.3</v>
      </c>
      <c r="D278" s="79">
        <f t="shared" si="81"/>
        <v>0.31966344014465337</v>
      </c>
      <c r="E278" s="49">
        <v>46200</v>
      </c>
      <c r="F278" s="49">
        <v>45950</v>
      </c>
      <c r="G278" s="49">
        <v>5969782550</v>
      </c>
      <c r="H278" s="49">
        <f t="shared" si="82"/>
        <v>0.35928849304385202</v>
      </c>
      <c r="I278" s="49">
        <f t="shared" si="93"/>
        <v>0.35928849304385202</v>
      </c>
      <c r="J278" s="48">
        <v>0.15</v>
      </c>
      <c r="K278" s="48">
        <f t="shared" si="83"/>
        <v>0.13007590828935217</v>
      </c>
      <c r="L278" s="48">
        <v>212000</v>
      </c>
      <c r="M278" s="48">
        <v>215000</v>
      </c>
      <c r="N278" s="51">
        <v>125456133</v>
      </c>
      <c r="O278" s="48">
        <f t="shared" si="84"/>
        <v>1.4868285012332401</v>
      </c>
      <c r="P278" s="48">
        <f t="shared" si="94"/>
        <v>1.4868285012332401</v>
      </c>
      <c r="Q278" s="49">
        <v>0.15</v>
      </c>
      <c r="R278" s="49">
        <f t="shared" si="85"/>
        <v>0.15279155411206724</v>
      </c>
      <c r="S278" s="49">
        <v>278700</v>
      </c>
      <c r="T278" s="49">
        <v>288300</v>
      </c>
      <c r="U278" s="49">
        <v>15956260</v>
      </c>
      <c r="V278" s="49">
        <f t="shared" si="86"/>
        <v>10.2404247091927</v>
      </c>
      <c r="W278" s="49">
        <f t="shared" si="95"/>
        <v>10.2404247091927</v>
      </c>
      <c r="X278" s="48">
        <v>0.1</v>
      </c>
      <c r="Y278" s="76">
        <f t="shared" si="87"/>
        <v>9.8099767842839289E-2</v>
      </c>
      <c r="Z278" s="18">
        <v>11015</v>
      </c>
      <c r="AA278" s="18">
        <v>10975</v>
      </c>
      <c r="AB278" s="18">
        <v>68700000</v>
      </c>
      <c r="AC278" s="135">
        <f t="shared" si="88"/>
        <v>40.114472057676103</v>
      </c>
      <c r="AD278" s="48">
        <f t="shared" si="96"/>
        <v>40.114472057676103</v>
      </c>
      <c r="AE278" s="49">
        <v>0.3</v>
      </c>
      <c r="AF278" s="49">
        <f t="shared" si="89"/>
        <v>0.29936932961108792</v>
      </c>
      <c r="AG278" s="19">
        <v>22900</v>
      </c>
      <c r="AH278" s="19">
        <v>21850</v>
      </c>
      <c r="AI278" s="19">
        <v>7239332</v>
      </c>
      <c r="AJ278" s="137">
        <f t="shared" si="90"/>
        <v>583.51461310522996</v>
      </c>
      <c r="AK278" s="49">
        <f t="shared" si="97"/>
        <v>583.51461310522996</v>
      </c>
      <c r="AL278" s="82">
        <f t="shared" si="98"/>
        <v>0</v>
      </c>
      <c r="AM278" s="82">
        <f t="shared" si="99"/>
        <v>268645956445748.91</v>
      </c>
      <c r="AN278" s="81">
        <f t="shared" si="91"/>
        <v>308314796184653</v>
      </c>
      <c r="AO278" s="80">
        <f t="shared" si="80"/>
        <v>1147.6621508238293</v>
      </c>
      <c r="AP278" s="52">
        <f t="shared" si="92"/>
        <v>-9.4892270916314761E-3</v>
      </c>
      <c r="AQ278" s="48">
        <f>(F278-E278)/E278</f>
        <v>-5.411255411255411E-3</v>
      </c>
      <c r="AR278" s="48">
        <f>(M278-L278)/L278</f>
        <v>1.4150943396226415E-2</v>
      </c>
      <c r="AS278" s="48">
        <f>(T278-S278)/S278</f>
        <v>3.4445640473627553E-2</v>
      </c>
      <c r="AT278" s="48" t="e">
        <f>(#REF!-#REF!)/#REF!</f>
        <v>#REF!</v>
      </c>
    </row>
    <row r="279" spans="1:46" s="73" customFormat="1" x14ac:dyDescent="0.3">
      <c r="A279" s="48">
        <v>20190220</v>
      </c>
      <c r="B279" s="48" t="s">
        <v>88</v>
      </c>
      <c r="C279" s="79">
        <v>0.3</v>
      </c>
      <c r="D279" s="79">
        <f t="shared" si="81"/>
        <v>0.32524689849339089</v>
      </c>
      <c r="E279" s="49">
        <v>45950</v>
      </c>
      <c r="F279" s="49">
        <v>46900</v>
      </c>
      <c r="G279" s="49">
        <v>5969782550</v>
      </c>
      <c r="H279" s="49">
        <f t="shared" si="82"/>
        <v>0.35928849304385202</v>
      </c>
      <c r="I279" s="49">
        <f t="shared" si="93"/>
        <v>0.35752100530214298</v>
      </c>
      <c r="J279" s="48">
        <v>0.15</v>
      </c>
      <c r="K279" s="48">
        <f t="shared" si="83"/>
        <v>0.12876242717983394</v>
      </c>
      <c r="L279" s="48">
        <v>215000</v>
      </c>
      <c r="M279" s="48">
        <v>213500</v>
      </c>
      <c r="N279" s="51">
        <v>125461438</v>
      </c>
      <c r="O279" s="48">
        <f t="shared" si="84"/>
        <v>1.4868285012332401</v>
      </c>
      <c r="P279" s="48">
        <f t="shared" si="94"/>
        <v>1.4794516212022699</v>
      </c>
      <c r="Q279" s="49">
        <v>0.15</v>
      </c>
      <c r="R279" s="49">
        <f t="shared" si="85"/>
        <v>0.15352644153141889</v>
      </c>
      <c r="S279" s="49">
        <v>288300</v>
      </c>
      <c r="T279" s="49">
        <v>290600</v>
      </c>
      <c r="U279" s="49">
        <v>15956260</v>
      </c>
      <c r="V279" s="49">
        <f t="shared" si="86"/>
        <v>10.2404247091927</v>
      </c>
      <c r="W279" s="49">
        <f t="shared" si="95"/>
        <v>10.190047851893301</v>
      </c>
      <c r="X279" s="48">
        <v>0.1</v>
      </c>
      <c r="Y279" s="76">
        <f t="shared" si="87"/>
        <v>9.8816135342134848E-2</v>
      </c>
      <c r="Z279" s="18">
        <v>10975</v>
      </c>
      <c r="AA279" s="18">
        <v>11090</v>
      </c>
      <c r="AB279" s="18">
        <v>68700000</v>
      </c>
      <c r="AC279" s="135">
        <f t="shared" si="88"/>
        <v>40.114472057676103</v>
      </c>
      <c r="AD279" s="48">
        <f t="shared" si="96"/>
        <v>39.917132485160401</v>
      </c>
      <c r="AE279" s="49">
        <v>0.3</v>
      </c>
      <c r="AF279" s="49">
        <f t="shared" si="89"/>
        <v>0.29364809745322129</v>
      </c>
      <c r="AG279" s="19">
        <v>21850</v>
      </c>
      <c r="AH279" s="19">
        <v>21500</v>
      </c>
      <c r="AI279" s="19">
        <v>7239332</v>
      </c>
      <c r="AJ279" s="137">
        <f t="shared" si="90"/>
        <v>583.51461310522996</v>
      </c>
      <c r="AK279" s="49">
        <f t="shared" si="97"/>
        <v>580.64406493644697</v>
      </c>
      <c r="AL279" s="82">
        <f t="shared" si="98"/>
        <v>1</v>
      </c>
      <c r="AM279" s="82">
        <f t="shared" si="99"/>
        <v>267324376589809.41</v>
      </c>
      <c r="AN279" s="81">
        <f t="shared" si="91"/>
        <v>307765371959692.62</v>
      </c>
      <c r="AO279" s="80">
        <f t="shared" si="80"/>
        <v>1151.2806122875099</v>
      </c>
      <c r="AP279" s="52">
        <f t="shared" si="92"/>
        <v>3.152897794079216E-3</v>
      </c>
      <c r="AQ279" s="48">
        <f>(F279-E279)/E279</f>
        <v>2.0674646354733407E-2</v>
      </c>
      <c r="AR279" s="48">
        <f>(M279-L279)/L279</f>
        <v>-6.9767441860465115E-3</v>
      </c>
      <c r="AS279" s="48">
        <f>(T279-S279)/S279</f>
        <v>7.9778009018383628E-3</v>
      </c>
      <c r="AT279" s="48" t="e">
        <f>(#REF!-#REF!)/#REF!</f>
        <v>#REF!</v>
      </c>
    </row>
    <row r="280" spans="1:46" x14ac:dyDescent="0.3">
      <c r="A280" s="48">
        <v>20190221</v>
      </c>
      <c r="B280" s="48" t="s">
        <v>88</v>
      </c>
      <c r="C280" s="79">
        <v>0.3</v>
      </c>
      <c r="D280" s="79">
        <f t="shared" si="81"/>
        <v>0.32324408643277192</v>
      </c>
      <c r="E280" s="49">
        <v>46900</v>
      </c>
      <c r="F280" s="49">
        <v>46950</v>
      </c>
      <c r="G280" s="49">
        <v>5969782550</v>
      </c>
      <c r="H280" s="49">
        <f t="shared" si="82"/>
        <v>0.35752100530214298</v>
      </c>
      <c r="I280" s="49">
        <f t="shared" si="93"/>
        <v>0.35752100530214298</v>
      </c>
      <c r="J280" s="48">
        <v>0.15</v>
      </c>
      <c r="K280" s="48">
        <f t="shared" si="83"/>
        <v>0.1242407449989481</v>
      </c>
      <c r="L280" s="48">
        <v>213500</v>
      </c>
      <c r="M280" s="48">
        <v>207500</v>
      </c>
      <c r="N280" s="51">
        <v>125461438</v>
      </c>
      <c r="O280" s="48">
        <f t="shared" si="84"/>
        <v>1.4794516212022699</v>
      </c>
      <c r="P280" s="48">
        <f t="shared" si="94"/>
        <v>1.4794516212022699</v>
      </c>
      <c r="Q280" s="49">
        <v>0.15</v>
      </c>
      <c r="R280" s="49">
        <f t="shared" si="85"/>
        <v>0.15063527344507735</v>
      </c>
      <c r="S280" s="49">
        <v>290600</v>
      </c>
      <c r="T280" s="49">
        <v>287200</v>
      </c>
      <c r="U280" s="49">
        <v>15956260</v>
      </c>
      <c r="V280" s="49">
        <f t="shared" si="86"/>
        <v>10.190047851893301</v>
      </c>
      <c r="W280" s="49">
        <f t="shared" si="95"/>
        <v>10.190047851893301</v>
      </c>
      <c r="X280" s="48">
        <v>0.1</v>
      </c>
      <c r="Y280" s="76">
        <f t="shared" si="87"/>
        <v>9.8147286238928808E-2</v>
      </c>
      <c r="Z280" s="18">
        <v>11090</v>
      </c>
      <c r="AA280" s="18">
        <v>11095</v>
      </c>
      <c r="AB280" s="18">
        <v>68700000</v>
      </c>
      <c r="AC280" s="135">
        <f t="shared" si="88"/>
        <v>39.917132485160401</v>
      </c>
      <c r="AD280" s="48">
        <f t="shared" si="96"/>
        <v>39.917132485160401</v>
      </c>
      <c r="AE280" s="49">
        <v>0.3</v>
      </c>
      <c r="AF280" s="49">
        <f t="shared" si="89"/>
        <v>0.30373260888427389</v>
      </c>
      <c r="AG280" s="19">
        <v>21500</v>
      </c>
      <c r="AH280" s="19">
        <v>22400</v>
      </c>
      <c r="AI280" s="19">
        <v>7239332</v>
      </c>
      <c r="AJ280" s="137">
        <f t="shared" si="90"/>
        <v>580.64406493644697</v>
      </c>
      <c r="AK280" s="49">
        <f t="shared" si="97"/>
        <v>580.64406493644697</v>
      </c>
      <c r="AL280" s="82">
        <f t="shared" si="98"/>
        <v>0</v>
      </c>
      <c r="AM280" s="82">
        <f t="shared" si="99"/>
        <v>267324376589809.41</v>
      </c>
      <c r="AN280" s="81">
        <f t="shared" si="91"/>
        <v>310002419324479.37</v>
      </c>
      <c r="AO280" s="80">
        <f t="shared" si="80"/>
        <v>1159.6489002578182</v>
      </c>
      <c r="AP280" s="52">
        <f t="shared" si="92"/>
        <v>7.2686779235178198E-3</v>
      </c>
      <c r="AQ280" s="48">
        <f>(F280-E280)/E280</f>
        <v>1.0660980810234541E-3</v>
      </c>
      <c r="AR280" s="48">
        <f>(M280-L280)/L280</f>
        <v>-2.8103044496487119E-2</v>
      </c>
      <c r="AS280" s="48">
        <f>(T280-S280)/S280</f>
        <v>-1.1699931176875429E-2</v>
      </c>
      <c r="AT280" s="48" t="e">
        <f>(#REF!-#REF!)/#REF!</f>
        <v>#REF!</v>
      </c>
    </row>
    <row r="281" spans="1:46" x14ac:dyDescent="0.3">
      <c r="A281" s="48">
        <v>20190222</v>
      </c>
      <c r="B281" s="48" t="s">
        <v>88</v>
      </c>
      <c r="C281" s="79">
        <v>0.3</v>
      </c>
      <c r="D281" s="79">
        <f t="shared" si="81"/>
        <v>0.32493816527510178</v>
      </c>
      <c r="E281" s="49">
        <v>46950</v>
      </c>
      <c r="F281" s="49">
        <v>47150</v>
      </c>
      <c r="G281" s="49">
        <v>5969782550</v>
      </c>
      <c r="H281" s="49">
        <f t="shared" si="82"/>
        <v>0.35752100530214298</v>
      </c>
      <c r="I281" s="49">
        <f t="shared" si="93"/>
        <v>0.35752100530214298</v>
      </c>
      <c r="J281" s="48">
        <v>0.15</v>
      </c>
      <c r="K281" s="48">
        <f t="shared" si="83"/>
        <v>0.12406244227494462</v>
      </c>
      <c r="L281" s="48">
        <v>207500</v>
      </c>
      <c r="M281" s="48">
        <v>207000</v>
      </c>
      <c r="N281" s="51">
        <v>125461438</v>
      </c>
      <c r="O281" s="48">
        <f t="shared" si="84"/>
        <v>1.4794516212022699</v>
      </c>
      <c r="P281" s="48">
        <f t="shared" si="94"/>
        <v>1.4794516212022699</v>
      </c>
      <c r="Q281" s="49">
        <v>0.15</v>
      </c>
      <c r="R281" s="49">
        <f t="shared" si="85"/>
        <v>0.1509399245744491</v>
      </c>
      <c r="S281" s="49">
        <v>287200</v>
      </c>
      <c r="T281" s="49">
        <v>287500</v>
      </c>
      <c r="U281" s="49">
        <v>15956260</v>
      </c>
      <c r="V281" s="49">
        <f t="shared" si="86"/>
        <v>10.190047851893301</v>
      </c>
      <c r="W281" s="49">
        <f t="shared" si="95"/>
        <v>10.190047851893301</v>
      </c>
      <c r="X281" s="48">
        <v>0.1</v>
      </c>
      <c r="Y281" s="76">
        <f t="shared" si="87"/>
        <v>9.8066067284289557E-2</v>
      </c>
      <c r="Z281" s="18">
        <v>11095</v>
      </c>
      <c r="AA281" s="18">
        <v>11075</v>
      </c>
      <c r="AB281" s="18">
        <v>68700000</v>
      </c>
      <c r="AC281" s="135">
        <f t="shared" si="88"/>
        <v>39.917132485160401</v>
      </c>
      <c r="AD281" s="48">
        <f t="shared" si="96"/>
        <v>39.917132485160401</v>
      </c>
      <c r="AE281" s="49">
        <v>0.3</v>
      </c>
      <c r="AF281" s="49">
        <f t="shared" si="89"/>
        <v>0.3019934005912151</v>
      </c>
      <c r="AG281" s="19">
        <v>22400</v>
      </c>
      <c r="AH281" s="19">
        <v>22250</v>
      </c>
      <c r="AI281" s="19">
        <v>7239332</v>
      </c>
      <c r="AJ281" s="137">
        <f t="shared" si="90"/>
        <v>580.64406493644697</v>
      </c>
      <c r="AK281" s="49">
        <f t="shared" si="97"/>
        <v>580.64406493644697</v>
      </c>
      <c r="AL281" s="82">
        <f t="shared" si="98"/>
        <v>0</v>
      </c>
      <c r="AM281" s="82">
        <f t="shared" si="99"/>
        <v>267324376589809.41</v>
      </c>
      <c r="AN281" s="81">
        <f t="shared" si="91"/>
        <v>309699887894158.75</v>
      </c>
      <c r="AO281" s="80">
        <f t="shared" si="80"/>
        <v>1158.5171986368141</v>
      </c>
      <c r="AP281" s="52">
        <f t="shared" si="92"/>
        <v>-9.7590022355260745E-4</v>
      </c>
      <c r="AQ281" s="48">
        <f>(F281-E281)/E281</f>
        <v>4.2598509052183178E-3</v>
      </c>
      <c r="AR281" s="48">
        <f>(M281-L281)/L281</f>
        <v>-2.4096385542168677E-3</v>
      </c>
      <c r="AS281" s="48">
        <f>(T281-S281)/S281</f>
        <v>1.0445682451253482E-3</v>
      </c>
      <c r="AT281" s="48" t="e">
        <f>(#REF!-#REF!)/#REF!</f>
        <v>#REF!</v>
      </c>
    </row>
    <row r="282" spans="1:46" x14ac:dyDescent="0.3">
      <c r="A282" s="48">
        <v>20190225</v>
      </c>
      <c r="B282" s="48" t="s">
        <v>88</v>
      </c>
      <c r="C282" s="79">
        <v>0.3</v>
      </c>
      <c r="D282" s="79">
        <f t="shared" si="81"/>
        <v>0.32551725894328293</v>
      </c>
      <c r="E282" s="49">
        <v>47150</v>
      </c>
      <c r="F282" s="49">
        <v>47350</v>
      </c>
      <c r="G282" s="49">
        <v>5969782550</v>
      </c>
      <c r="H282" s="49">
        <f t="shared" si="82"/>
        <v>0.35752100530214298</v>
      </c>
      <c r="I282" s="49">
        <f t="shared" si="93"/>
        <v>0.35752100530214298</v>
      </c>
      <c r="J282" s="48">
        <v>0.15</v>
      </c>
      <c r="K282" s="48">
        <f t="shared" si="83"/>
        <v>0.12196498254240769</v>
      </c>
      <c r="L282" s="48">
        <v>207000</v>
      </c>
      <c r="M282" s="48">
        <v>204000</v>
      </c>
      <c r="N282" s="51">
        <v>125461438</v>
      </c>
      <c r="O282" s="48">
        <f t="shared" si="84"/>
        <v>1.4794516212022699</v>
      </c>
      <c r="P282" s="48">
        <f t="shared" si="94"/>
        <v>1.4794516212022699</v>
      </c>
      <c r="Q282" s="49">
        <v>0.15</v>
      </c>
      <c r="R282" s="49">
        <f t="shared" si="85"/>
        <v>0.14821348691985248</v>
      </c>
      <c r="S282" s="49">
        <v>287500</v>
      </c>
      <c r="T282" s="49">
        <v>283000</v>
      </c>
      <c r="U282" s="49">
        <v>15956260</v>
      </c>
      <c r="V282" s="49">
        <f t="shared" si="86"/>
        <v>10.190047851893301</v>
      </c>
      <c r="W282" s="49">
        <f t="shared" si="95"/>
        <v>10.190047851893301</v>
      </c>
      <c r="X282" s="48">
        <v>0.1</v>
      </c>
      <c r="Y282" s="76">
        <f t="shared" si="87"/>
        <v>9.8311698269855807E-2</v>
      </c>
      <c r="Z282" s="18">
        <v>11075</v>
      </c>
      <c r="AA282" s="18">
        <v>11130</v>
      </c>
      <c r="AB282" s="18">
        <v>68700000</v>
      </c>
      <c r="AC282" s="135">
        <f t="shared" si="88"/>
        <v>39.917132485160401</v>
      </c>
      <c r="AD282" s="48">
        <f t="shared" si="96"/>
        <v>39.917132485160401</v>
      </c>
      <c r="AE282" s="49">
        <v>0.3</v>
      </c>
      <c r="AF282" s="49">
        <f t="shared" si="89"/>
        <v>0.30599257332460106</v>
      </c>
      <c r="AG282" s="19">
        <v>22250</v>
      </c>
      <c r="AH282" s="19">
        <v>22600</v>
      </c>
      <c r="AI282" s="19">
        <v>7239332</v>
      </c>
      <c r="AJ282" s="137">
        <f t="shared" si="90"/>
        <v>580.64406493644697</v>
      </c>
      <c r="AK282" s="49">
        <f t="shared" si="97"/>
        <v>580.64406493644697</v>
      </c>
      <c r="AL282" s="82">
        <f t="shared" si="98"/>
        <v>0</v>
      </c>
      <c r="AM282" s="82">
        <f t="shared" si="99"/>
        <v>267324376589809.41</v>
      </c>
      <c r="AN282" s="81">
        <f t="shared" si="91"/>
        <v>310460275495202.75</v>
      </c>
      <c r="AO282" s="80">
        <f t="shared" si="80"/>
        <v>1161.3616365842402</v>
      </c>
      <c r="AP282" s="52">
        <f t="shared" si="92"/>
        <v>2.4552401559277733E-3</v>
      </c>
      <c r="AQ282" s="48">
        <f>(F282-E282)/E282</f>
        <v>4.2417815482502655E-3</v>
      </c>
      <c r="AR282" s="48">
        <f>(M282-L282)/L282</f>
        <v>-1.4492753623188406E-2</v>
      </c>
      <c r="AS282" s="48">
        <f>(T282-S282)/S282</f>
        <v>-1.5652173913043479E-2</v>
      </c>
      <c r="AT282" s="48" t="e">
        <f>(#REF!-#REF!)/#REF!</f>
        <v>#REF!</v>
      </c>
    </row>
    <row r="283" spans="1:46" x14ac:dyDescent="0.3">
      <c r="A283" s="48">
        <v>20190226</v>
      </c>
      <c r="B283" s="48" t="s">
        <v>88</v>
      </c>
      <c r="C283" s="79">
        <v>0.3</v>
      </c>
      <c r="D283" s="79">
        <f t="shared" si="81"/>
        <v>0.32254284322021293</v>
      </c>
      <c r="E283" s="49">
        <v>47350</v>
      </c>
      <c r="F283" s="49">
        <v>46750</v>
      </c>
      <c r="G283" s="49">
        <v>5969782550</v>
      </c>
      <c r="H283" s="49">
        <f t="shared" si="82"/>
        <v>0.35752100530214298</v>
      </c>
      <c r="I283" s="49">
        <f t="shared" si="93"/>
        <v>0.35752100530214298</v>
      </c>
      <c r="J283" s="48">
        <v>0.15</v>
      </c>
      <c r="K283" s="48">
        <f t="shared" si="83"/>
        <v>0.12270155345412509</v>
      </c>
      <c r="L283" s="48">
        <v>204000</v>
      </c>
      <c r="M283" s="48">
        <v>204500</v>
      </c>
      <c r="N283" s="51">
        <v>125461438</v>
      </c>
      <c r="O283" s="48">
        <f t="shared" si="84"/>
        <v>1.4794516212022699</v>
      </c>
      <c r="P283" s="48">
        <f t="shared" si="94"/>
        <v>1.4794516212022699</v>
      </c>
      <c r="Q283" s="49">
        <v>0.15</v>
      </c>
      <c r="R283" s="49">
        <f t="shared" si="85"/>
        <v>0.14795561333880078</v>
      </c>
      <c r="S283" s="49">
        <v>283000</v>
      </c>
      <c r="T283" s="49">
        <v>281500</v>
      </c>
      <c r="U283" s="49">
        <v>15956260</v>
      </c>
      <c r="V283" s="49">
        <f t="shared" si="86"/>
        <v>10.190047851893301</v>
      </c>
      <c r="W283" s="49">
        <f t="shared" si="95"/>
        <v>10.190047851893301</v>
      </c>
      <c r="X283" s="48">
        <v>0.1</v>
      </c>
      <c r="Y283" s="76">
        <f t="shared" si="87"/>
        <v>9.8353336828759158E-2</v>
      </c>
      <c r="Z283" s="18">
        <v>11130</v>
      </c>
      <c r="AA283" s="18">
        <v>11095</v>
      </c>
      <c r="AB283" s="18">
        <v>68700000</v>
      </c>
      <c r="AC283" s="135">
        <f t="shared" si="88"/>
        <v>39.917132485160401</v>
      </c>
      <c r="AD283" s="48">
        <f t="shared" si="96"/>
        <v>39.917132485160401</v>
      </c>
      <c r="AE283" s="49">
        <v>0.3</v>
      </c>
      <c r="AF283" s="49">
        <f t="shared" si="89"/>
        <v>0.30844665315810205</v>
      </c>
      <c r="AG283" s="19">
        <v>22600</v>
      </c>
      <c r="AH283" s="19">
        <v>22700</v>
      </c>
      <c r="AI283" s="19">
        <v>7239332</v>
      </c>
      <c r="AJ283" s="137">
        <f t="shared" si="90"/>
        <v>580.64406493644697</v>
      </c>
      <c r="AK283" s="49">
        <f t="shared" si="97"/>
        <v>580.64406493644697</v>
      </c>
      <c r="AL283" s="82">
        <f t="shared" si="98"/>
        <v>0</v>
      </c>
      <c r="AM283" s="82">
        <f t="shared" si="99"/>
        <v>267324376589809.41</v>
      </c>
      <c r="AN283" s="81">
        <f t="shared" si="91"/>
        <v>309352963155423.75</v>
      </c>
      <c r="AO283" s="80">
        <f t="shared" si="80"/>
        <v>1157.2194316947919</v>
      </c>
      <c r="AP283" s="52">
        <f t="shared" si="92"/>
        <v>-3.5666796275716623E-3</v>
      </c>
      <c r="AQ283" s="48">
        <f>(F283-E283)/E283</f>
        <v>-1.2671594508975714E-2</v>
      </c>
      <c r="AR283" s="48">
        <f>(M283-L283)/L283</f>
        <v>2.4509803921568627E-3</v>
      </c>
      <c r="AS283" s="48">
        <f>(T283-S283)/S283</f>
        <v>-5.3003533568904597E-3</v>
      </c>
      <c r="AT283" s="48" t="e">
        <f>(#REF!-#REF!)/#REF!</f>
        <v>#REF!</v>
      </c>
    </row>
    <row r="284" spans="1:46" x14ac:dyDescent="0.3">
      <c r="A284" s="48">
        <v>20190227</v>
      </c>
      <c r="B284" s="48" t="s">
        <v>88</v>
      </c>
      <c r="C284" s="79">
        <v>0.3</v>
      </c>
      <c r="D284" s="79">
        <f t="shared" si="81"/>
        <v>0.31886340484202891</v>
      </c>
      <c r="E284" s="49">
        <v>46750</v>
      </c>
      <c r="F284" s="49">
        <v>46750</v>
      </c>
      <c r="G284" s="49">
        <v>5969782550</v>
      </c>
      <c r="H284" s="49">
        <f t="shared" si="82"/>
        <v>0.35752100530214298</v>
      </c>
      <c r="I284" s="49">
        <f t="shared" si="93"/>
        <v>0.35752100530214298</v>
      </c>
      <c r="J284" s="48">
        <v>0.15</v>
      </c>
      <c r="K284" s="48">
        <f t="shared" si="83"/>
        <v>0.12011549782591006</v>
      </c>
      <c r="L284" s="48">
        <v>204500</v>
      </c>
      <c r="M284" s="48">
        <v>202500</v>
      </c>
      <c r="N284" s="51">
        <v>125461438</v>
      </c>
      <c r="O284" s="48">
        <f t="shared" si="84"/>
        <v>1.4794516212022699</v>
      </c>
      <c r="P284" s="48">
        <f t="shared" si="94"/>
        <v>1.4794516212022699</v>
      </c>
      <c r="Q284" s="49">
        <v>0.15</v>
      </c>
      <c r="R284" s="49">
        <f t="shared" si="85"/>
        <v>0.14408546960698557</v>
      </c>
      <c r="S284" s="49">
        <v>281500</v>
      </c>
      <c r="T284" s="49">
        <v>277300</v>
      </c>
      <c r="U284" s="49">
        <v>15956260</v>
      </c>
      <c r="V284" s="49">
        <f t="shared" si="86"/>
        <v>10.190047851893301</v>
      </c>
      <c r="W284" s="49">
        <f t="shared" si="95"/>
        <v>10.190047851893301</v>
      </c>
      <c r="X284" s="48">
        <v>0.1</v>
      </c>
      <c r="Y284" s="76">
        <f t="shared" si="87"/>
        <v>9.7231361718298798E-2</v>
      </c>
      <c r="Z284" s="18">
        <v>11095</v>
      </c>
      <c r="AA284" s="18">
        <v>11095</v>
      </c>
      <c r="AB284" s="18">
        <v>68700000</v>
      </c>
      <c r="AC284" s="135">
        <f t="shared" si="88"/>
        <v>39.917132485160401</v>
      </c>
      <c r="AD284" s="48">
        <f t="shared" si="96"/>
        <v>39.917132485160401</v>
      </c>
      <c r="AE284" s="49">
        <v>0.3</v>
      </c>
      <c r="AF284" s="49">
        <f t="shared" si="89"/>
        <v>0.31970426600677665</v>
      </c>
      <c r="AG284" s="19">
        <v>22700</v>
      </c>
      <c r="AH284" s="19">
        <v>23800</v>
      </c>
      <c r="AI284" s="19">
        <v>7239332</v>
      </c>
      <c r="AJ284" s="137">
        <f t="shared" si="90"/>
        <v>580.64406493644697</v>
      </c>
      <c r="AK284" s="49">
        <f t="shared" si="97"/>
        <v>580.64406493644697</v>
      </c>
      <c r="AL284" s="82">
        <f t="shared" si="98"/>
        <v>0</v>
      </c>
      <c r="AM284" s="82">
        <f t="shared" si="99"/>
        <v>267324376589809.41</v>
      </c>
      <c r="AN284" s="81">
        <f t="shared" si="91"/>
        <v>312922658353287.31</v>
      </c>
      <c r="AO284" s="80">
        <f t="shared" si="80"/>
        <v>1170.572853643816</v>
      </c>
      <c r="AP284" s="52">
        <f t="shared" si="92"/>
        <v>1.1539230662129051E-2</v>
      </c>
      <c r="AQ284" s="48">
        <f>(F284-E284)/E284</f>
        <v>0</v>
      </c>
      <c r="AR284" s="48">
        <f>(M284-L284)/L284</f>
        <v>-9.7799511002444987E-3</v>
      </c>
      <c r="AS284" s="48">
        <f>(T284-S284)/S284</f>
        <v>-1.4920071047957371E-2</v>
      </c>
      <c r="AT284" s="48" t="e">
        <f>(#REF!-#REF!)/#REF!</f>
        <v>#REF!</v>
      </c>
    </row>
    <row r="285" spans="1:46" x14ac:dyDescent="0.3">
      <c r="A285" s="48">
        <v>20190228</v>
      </c>
      <c r="B285" s="48" t="s">
        <v>88</v>
      </c>
      <c r="C285" s="79">
        <v>0.3</v>
      </c>
      <c r="D285" s="79">
        <f t="shared" si="81"/>
        <v>0.31361141011261867</v>
      </c>
      <c r="E285" s="49">
        <v>46750</v>
      </c>
      <c r="F285" s="49">
        <v>45100</v>
      </c>
      <c r="G285" s="49">
        <v>5969782550</v>
      </c>
      <c r="H285" s="49">
        <f t="shared" si="82"/>
        <v>0.35752100530214298</v>
      </c>
      <c r="I285" s="49">
        <f t="shared" si="93"/>
        <v>0.35387380738312102</v>
      </c>
      <c r="J285" s="48">
        <v>0.15</v>
      </c>
      <c r="K285" s="48">
        <f t="shared" si="83"/>
        <v>0.12366863854818411</v>
      </c>
      <c r="L285" s="48">
        <v>202500</v>
      </c>
      <c r="M285" s="48">
        <v>204500</v>
      </c>
      <c r="N285" s="51">
        <v>125461438</v>
      </c>
      <c r="O285" s="48">
        <f t="shared" si="84"/>
        <v>1.4794516212022699</v>
      </c>
      <c r="P285" s="48">
        <f t="shared" si="94"/>
        <v>1.4643592132203</v>
      </c>
      <c r="Q285" s="49">
        <v>0.15</v>
      </c>
      <c r="R285" s="49">
        <f t="shared" si="85"/>
        <v>0.14716170384811381</v>
      </c>
      <c r="S285" s="49">
        <v>277300</v>
      </c>
      <c r="T285" s="49">
        <v>277800</v>
      </c>
      <c r="U285" s="49">
        <v>15956260</v>
      </c>
      <c r="V285" s="49">
        <f t="shared" si="86"/>
        <v>10.190047851893301</v>
      </c>
      <c r="W285" s="49">
        <f t="shared" si="95"/>
        <v>10.086095578407299</v>
      </c>
      <c r="X285" s="48">
        <v>0.1</v>
      </c>
      <c r="Y285" s="76">
        <f t="shared" si="87"/>
        <v>9.7833013258403267E-2</v>
      </c>
      <c r="Z285" s="18">
        <v>11095</v>
      </c>
      <c r="AA285" s="18">
        <v>10950</v>
      </c>
      <c r="AB285" s="18">
        <v>57700000</v>
      </c>
      <c r="AC285" s="135">
        <f t="shared" si="88"/>
        <v>39.917132485160401</v>
      </c>
      <c r="AD285" s="48">
        <f t="shared" si="96"/>
        <v>47.0421448949607</v>
      </c>
      <c r="AE285" s="49">
        <v>0.3</v>
      </c>
      <c r="AF285" s="49">
        <f t="shared" si="89"/>
        <v>0.31772523423268012</v>
      </c>
      <c r="AG285" s="19">
        <v>23800</v>
      </c>
      <c r="AH285" s="19">
        <v>23200</v>
      </c>
      <c r="AI285" s="19">
        <v>7239332</v>
      </c>
      <c r="AJ285" s="137">
        <f t="shared" si="90"/>
        <v>580.64406493644697</v>
      </c>
      <c r="AK285" s="49">
        <f t="shared" si="97"/>
        <v>574.72070996171203</v>
      </c>
      <c r="AL285" s="82">
        <f t="shared" si="98"/>
        <v>1</v>
      </c>
      <c r="AM285" s="82">
        <f t="shared" si="99"/>
        <v>264597306304307.56</v>
      </c>
      <c r="AN285" s="81">
        <f t="shared" si="91"/>
        <v>303802691820459.25</v>
      </c>
      <c r="AO285" s="80">
        <f t="shared" si="80"/>
        <v>1148.1700099813656</v>
      </c>
      <c r="AP285" s="52">
        <f t="shared" si="92"/>
        <v>-1.9138359131354931E-2</v>
      </c>
      <c r="AQ285" s="48">
        <f>(F285-E285)/E285</f>
        <v>-3.5294117647058823E-2</v>
      </c>
      <c r="AR285" s="48">
        <f>(M285-L285)/L285</f>
        <v>9.876543209876543E-3</v>
      </c>
      <c r="AS285" s="48">
        <f>(T285-S285)/S285</f>
        <v>1.8031013342949874E-3</v>
      </c>
      <c r="AT285" s="48" t="e">
        <f>(#REF!-#REF!)/#REF!</f>
        <v>#REF!</v>
      </c>
    </row>
    <row r="286" spans="1:46" x14ac:dyDescent="0.3">
      <c r="A286" s="48">
        <v>20190304</v>
      </c>
      <c r="B286" s="48" t="s">
        <v>88</v>
      </c>
      <c r="C286" s="79">
        <v>0.3</v>
      </c>
      <c r="D286" s="79">
        <f t="shared" si="81"/>
        <v>0.30777389120628607</v>
      </c>
      <c r="E286" s="49">
        <v>45100</v>
      </c>
      <c r="F286" s="49">
        <v>44850</v>
      </c>
      <c r="G286" s="49">
        <v>5969782550</v>
      </c>
      <c r="H286" s="49">
        <f t="shared" si="82"/>
        <v>0.35387380738312102</v>
      </c>
      <c r="I286" s="49">
        <f t="shared" si="93"/>
        <v>0.35387380738312102</v>
      </c>
      <c r="J286" s="48">
        <v>0.15</v>
      </c>
      <c r="K286" s="48">
        <f t="shared" si="83"/>
        <v>0.12383356706421048</v>
      </c>
      <c r="L286" s="48">
        <v>204500</v>
      </c>
      <c r="M286" s="48">
        <v>207500</v>
      </c>
      <c r="N286" s="51">
        <v>125461438</v>
      </c>
      <c r="O286" s="48">
        <f t="shared" si="84"/>
        <v>1.4643592132203</v>
      </c>
      <c r="P286" s="48">
        <f t="shared" si="94"/>
        <v>1.4643592132203</v>
      </c>
      <c r="Q286" s="49">
        <v>0.15</v>
      </c>
      <c r="R286" s="49">
        <f t="shared" si="85"/>
        <v>0.15202358959786841</v>
      </c>
      <c r="S286" s="49">
        <v>277800</v>
      </c>
      <c r="T286" s="49">
        <v>290800</v>
      </c>
      <c r="U286" s="49">
        <v>15956260</v>
      </c>
      <c r="V286" s="49">
        <f t="shared" si="86"/>
        <v>10.086095578407299</v>
      </c>
      <c r="W286" s="49">
        <f t="shared" si="95"/>
        <v>10.086095578407299</v>
      </c>
      <c r="X286" s="48">
        <v>0.1</v>
      </c>
      <c r="Y286" s="76">
        <f t="shared" si="87"/>
        <v>9.6062206972629349E-2</v>
      </c>
      <c r="Z286" s="18">
        <v>10950</v>
      </c>
      <c r="AA286" s="18">
        <v>10895</v>
      </c>
      <c r="AB286" s="18">
        <v>57700000</v>
      </c>
      <c r="AC286" s="135">
        <f t="shared" si="88"/>
        <v>47.0421448949607</v>
      </c>
      <c r="AD286" s="48">
        <f t="shared" si="96"/>
        <v>47.0421448949607</v>
      </c>
      <c r="AE286" s="49">
        <v>0.3</v>
      </c>
      <c r="AF286" s="49">
        <f t="shared" si="89"/>
        <v>0.32030674515900565</v>
      </c>
      <c r="AG286" s="19">
        <v>23200</v>
      </c>
      <c r="AH286" s="19">
        <v>23700</v>
      </c>
      <c r="AI286" s="19">
        <v>7239332</v>
      </c>
      <c r="AJ286" s="137">
        <f t="shared" si="90"/>
        <v>574.72070996171203</v>
      </c>
      <c r="AK286" s="49">
        <f t="shared" si="97"/>
        <v>574.72070996171203</v>
      </c>
      <c r="AL286" s="82">
        <f t="shared" si="98"/>
        <v>0</v>
      </c>
      <c r="AM286" s="82">
        <f t="shared" si="99"/>
        <v>264597306304307.56</v>
      </c>
      <c r="AN286" s="81">
        <f t="shared" si="91"/>
        <v>307848897729483.37</v>
      </c>
      <c r="AO286" s="80">
        <f t="shared" si="80"/>
        <v>1163.4619491380352</v>
      </c>
      <c r="AP286" s="52">
        <f t="shared" si="92"/>
        <v>1.3318532119574953E-2</v>
      </c>
      <c r="AQ286" s="48">
        <f>(F286-E286)/E286</f>
        <v>-5.5432372505543242E-3</v>
      </c>
      <c r="AR286" s="48">
        <f>(M286-L286)/L286</f>
        <v>1.4669926650366748E-2</v>
      </c>
      <c r="AS286" s="48">
        <f>(T286-S286)/S286</f>
        <v>4.679625629949604E-2</v>
      </c>
      <c r="AT286" s="48" t="e">
        <f>(#REF!-#REF!)/#REF!</f>
        <v>#REF!</v>
      </c>
    </row>
    <row r="287" spans="1:46" x14ac:dyDescent="0.3">
      <c r="A287" s="48">
        <v>20190305</v>
      </c>
      <c r="B287" s="48" t="s">
        <v>88</v>
      </c>
      <c r="C287" s="79">
        <v>0.3</v>
      </c>
      <c r="D287" s="79">
        <f t="shared" si="81"/>
        <v>0.30478711167518929</v>
      </c>
      <c r="E287" s="49">
        <v>44850</v>
      </c>
      <c r="F287" s="49">
        <v>44250</v>
      </c>
      <c r="G287" s="49">
        <v>5969782550</v>
      </c>
      <c r="H287" s="49">
        <f t="shared" si="82"/>
        <v>0.35387380738312102</v>
      </c>
      <c r="I287" s="49">
        <f t="shared" si="93"/>
        <v>0.35387380738312102</v>
      </c>
      <c r="J287" s="48">
        <v>0.15</v>
      </c>
      <c r="K287" s="48">
        <f t="shared" si="83"/>
        <v>0.12579215928822515</v>
      </c>
      <c r="L287" s="48">
        <v>207500</v>
      </c>
      <c r="M287" s="48">
        <v>210000</v>
      </c>
      <c r="N287" s="51">
        <v>125461438</v>
      </c>
      <c r="O287" s="48">
        <f t="shared" si="84"/>
        <v>1.4643592132203</v>
      </c>
      <c r="P287" s="48">
        <f t="shared" si="94"/>
        <v>1.4643592132203</v>
      </c>
      <c r="Q287" s="49">
        <v>0.15</v>
      </c>
      <c r="R287" s="49">
        <f t="shared" si="85"/>
        <v>0.15636762507697441</v>
      </c>
      <c r="S287" s="49">
        <v>290800</v>
      </c>
      <c r="T287" s="49">
        <v>298000</v>
      </c>
      <c r="U287" s="49">
        <v>15956260</v>
      </c>
      <c r="V287" s="49">
        <f t="shared" si="86"/>
        <v>10.086095578407299</v>
      </c>
      <c r="W287" s="49">
        <f t="shared" si="95"/>
        <v>10.086095578407299</v>
      </c>
      <c r="X287" s="48">
        <v>0.1</v>
      </c>
      <c r="Y287" s="76">
        <f t="shared" si="87"/>
        <v>9.5623380303172634E-2</v>
      </c>
      <c r="Z287" s="18">
        <v>10895</v>
      </c>
      <c r="AA287" s="18">
        <v>10805</v>
      </c>
      <c r="AB287" s="18">
        <v>57700000</v>
      </c>
      <c r="AC287" s="135">
        <f t="shared" si="88"/>
        <v>47.0421448949607</v>
      </c>
      <c r="AD287" s="48">
        <f t="shared" si="96"/>
        <v>47.0421448949607</v>
      </c>
      <c r="AE287" s="49">
        <v>0.3</v>
      </c>
      <c r="AF287" s="49">
        <f t="shared" si="89"/>
        <v>0.31742972365643851</v>
      </c>
      <c r="AG287" s="19">
        <v>23700</v>
      </c>
      <c r="AH287" s="19">
        <v>23400</v>
      </c>
      <c r="AI287" s="19">
        <v>7239332</v>
      </c>
      <c r="AJ287" s="137">
        <f t="shared" si="90"/>
        <v>574.72070996171203</v>
      </c>
      <c r="AK287" s="49">
        <f t="shared" si="97"/>
        <v>574.72070996171203</v>
      </c>
      <c r="AL287" s="82">
        <f t="shared" si="98"/>
        <v>0</v>
      </c>
      <c r="AM287" s="82">
        <f t="shared" si="99"/>
        <v>264597306304307.56</v>
      </c>
      <c r="AN287" s="81">
        <f t="shared" si="91"/>
        <v>306706943203228.69</v>
      </c>
      <c r="AO287" s="80">
        <f t="shared" si="80"/>
        <v>1159.1461284586615</v>
      </c>
      <c r="AP287" s="52">
        <f t="shared" si="92"/>
        <v>-3.7094643985315797E-3</v>
      </c>
      <c r="AQ287" s="48">
        <f>(F287-E287)/E287</f>
        <v>-1.3377926421404682E-2</v>
      </c>
      <c r="AR287" s="48">
        <f>(M287-L287)/L287</f>
        <v>1.2048192771084338E-2</v>
      </c>
      <c r="AS287" s="48">
        <f>(T287-S287)/S287</f>
        <v>2.4759284731774415E-2</v>
      </c>
      <c r="AT287" s="48" t="e">
        <f>(#REF!-#REF!)/#REF!</f>
        <v>#REF!</v>
      </c>
    </row>
    <row r="288" spans="1:46" x14ac:dyDescent="0.3">
      <c r="A288" s="48">
        <v>20190306</v>
      </c>
      <c r="B288" s="48" t="s">
        <v>88</v>
      </c>
      <c r="C288" s="79">
        <v>0.3</v>
      </c>
      <c r="D288" s="79">
        <f t="shared" si="81"/>
        <v>0.30271430884243833</v>
      </c>
      <c r="E288" s="49">
        <v>44250</v>
      </c>
      <c r="F288" s="49">
        <v>44000</v>
      </c>
      <c r="G288" s="49">
        <v>5969782550</v>
      </c>
      <c r="H288" s="49">
        <f t="shared" si="82"/>
        <v>0.35387380738312102</v>
      </c>
      <c r="I288" s="49">
        <f t="shared" si="93"/>
        <v>0.35387380738312102</v>
      </c>
      <c r="J288" s="48">
        <v>0.15</v>
      </c>
      <c r="K288" s="48">
        <f t="shared" si="83"/>
        <v>0.12624485350943301</v>
      </c>
      <c r="L288" s="48">
        <v>210000</v>
      </c>
      <c r="M288" s="48">
        <v>211000</v>
      </c>
      <c r="N288" s="51">
        <v>125461438</v>
      </c>
      <c r="O288" s="48">
        <f t="shared" si="84"/>
        <v>1.4643592132203</v>
      </c>
      <c r="P288" s="48">
        <f t="shared" si="94"/>
        <v>1.4643592132203</v>
      </c>
      <c r="Q288" s="49">
        <v>0.15</v>
      </c>
      <c r="R288" s="49">
        <f t="shared" si="85"/>
        <v>0.15597696048029</v>
      </c>
      <c r="S288" s="49">
        <v>298000</v>
      </c>
      <c r="T288" s="49">
        <v>297600</v>
      </c>
      <c r="U288" s="49">
        <v>15956260</v>
      </c>
      <c r="V288" s="49">
        <f t="shared" si="86"/>
        <v>10.086095578407299</v>
      </c>
      <c r="W288" s="49">
        <f t="shared" si="95"/>
        <v>10.086095578407299</v>
      </c>
      <c r="X288" s="48">
        <v>0.1</v>
      </c>
      <c r="Y288" s="76">
        <f t="shared" si="87"/>
        <v>9.5291690547462962E-2</v>
      </c>
      <c r="Z288" s="18">
        <v>10805</v>
      </c>
      <c r="AA288" s="18">
        <v>10780</v>
      </c>
      <c r="AB288" s="18">
        <v>57700000</v>
      </c>
      <c r="AC288" s="135">
        <f t="shared" si="88"/>
        <v>47.0421448949607</v>
      </c>
      <c r="AD288" s="48">
        <f t="shared" si="96"/>
        <v>47.0421448949607</v>
      </c>
      <c r="AE288" s="49">
        <v>0.3</v>
      </c>
      <c r="AF288" s="49">
        <f t="shared" si="89"/>
        <v>0.31977218662037565</v>
      </c>
      <c r="AG288" s="19">
        <v>23400</v>
      </c>
      <c r="AH288" s="19">
        <v>23600</v>
      </c>
      <c r="AI288" s="19">
        <v>7239332</v>
      </c>
      <c r="AJ288" s="137">
        <f t="shared" si="90"/>
        <v>574.72070996171203</v>
      </c>
      <c r="AK288" s="49">
        <f t="shared" si="97"/>
        <v>574.72070996171203</v>
      </c>
      <c r="AL288" s="82">
        <f t="shared" si="98"/>
        <v>0</v>
      </c>
      <c r="AM288" s="82">
        <f t="shared" si="99"/>
        <v>264597306304307.56</v>
      </c>
      <c r="AN288" s="81">
        <f t="shared" si="91"/>
        <v>307062412361766.56</v>
      </c>
      <c r="AO288" s="80">
        <f t="shared" si="80"/>
        <v>1160.489562991321</v>
      </c>
      <c r="AP288" s="52">
        <f t="shared" si="92"/>
        <v>1.1589863432024295E-3</v>
      </c>
      <c r="AQ288" s="48">
        <f>(F288-E288)/E288</f>
        <v>-5.6497175141242938E-3</v>
      </c>
      <c r="AR288" s="48">
        <f>(M288-L288)/L288</f>
        <v>4.7619047619047623E-3</v>
      </c>
      <c r="AS288" s="48">
        <f>(T288-S288)/S288</f>
        <v>-1.3422818791946308E-3</v>
      </c>
      <c r="AT288" s="48" t="e">
        <f>(#REF!-#REF!)/#REF!</f>
        <v>#REF!</v>
      </c>
    </row>
    <row r="289" spans="1:46" x14ac:dyDescent="0.3">
      <c r="A289" s="48">
        <v>20190307</v>
      </c>
      <c r="B289" s="48" t="s">
        <v>88</v>
      </c>
      <c r="C289" s="79">
        <v>0.3</v>
      </c>
      <c r="D289" s="79">
        <f t="shared" si="81"/>
        <v>0.31001206940280951</v>
      </c>
      <c r="E289" s="49">
        <v>44000</v>
      </c>
      <c r="F289" s="49">
        <v>44450</v>
      </c>
      <c r="G289" s="49">
        <v>5969782550</v>
      </c>
      <c r="H289" s="49">
        <f t="shared" si="82"/>
        <v>0.35387380738312102</v>
      </c>
      <c r="I289" s="49">
        <f t="shared" si="93"/>
        <v>0.33974524267142803</v>
      </c>
      <c r="J289" s="48">
        <v>0.15</v>
      </c>
      <c r="K289" s="48">
        <f t="shared" si="83"/>
        <v>0.125553301236282</v>
      </c>
      <c r="L289" s="48">
        <v>211000</v>
      </c>
      <c r="M289" s="48">
        <v>207000</v>
      </c>
      <c r="N289" s="51">
        <v>125461438</v>
      </c>
      <c r="O289" s="48">
        <f t="shared" si="84"/>
        <v>1.4643592132203</v>
      </c>
      <c r="P289" s="48">
        <f t="shared" si="94"/>
        <v>1.4058940387047201</v>
      </c>
      <c r="Q289" s="49">
        <v>0.15</v>
      </c>
      <c r="R289" s="49">
        <f t="shared" si="85"/>
        <v>0.15089415925141147</v>
      </c>
      <c r="S289" s="49">
        <v>297600</v>
      </c>
      <c r="T289" s="49">
        <v>284000</v>
      </c>
      <c r="U289" s="49">
        <v>15956260</v>
      </c>
      <c r="V289" s="49">
        <f t="shared" si="86"/>
        <v>10.086095578407299</v>
      </c>
      <c r="W289" s="49">
        <f t="shared" si="95"/>
        <v>9.6834038530104998</v>
      </c>
      <c r="X289" s="48">
        <v>0.1</v>
      </c>
      <c r="Y289" s="76">
        <f t="shared" si="87"/>
        <v>9.6242548741998932E-2</v>
      </c>
      <c r="Z289" s="18">
        <v>10780</v>
      </c>
      <c r="AA289" s="18">
        <v>10740</v>
      </c>
      <c r="AB289" s="18">
        <v>68700000</v>
      </c>
      <c r="AC289" s="135">
        <f t="shared" si="88"/>
        <v>47.0421448949607</v>
      </c>
      <c r="AD289" s="48">
        <f t="shared" si="96"/>
        <v>37.932472950665797</v>
      </c>
      <c r="AE289" s="49">
        <v>0.3</v>
      </c>
      <c r="AF289" s="49">
        <f t="shared" si="89"/>
        <v>0.31729792136749807</v>
      </c>
      <c r="AG289" s="19">
        <v>23600</v>
      </c>
      <c r="AH289" s="19">
        <v>23100</v>
      </c>
      <c r="AI289" s="19">
        <v>7239332</v>
      </c>
      <c r="AJ289" s="137">
        <f t="shared" si="90"/>
        <v>574.72070996171203</v>
      </c>
      <c r="AK289" s="49">
        <f t="shared" si="97"/>
        <v>551.77473720975604</v>
      </c>
      <c r="AL289" s="82">
        <f t="shared" si="98"/>
        <v>1</v>
      </c>
      <c r="AM289" s="82">
        <f t="shared" si="99"/>
        <v>254033144485423.16</v>
      </c>
      <c r="AN289" s="81">
        <f t="shared" si="91"/>
        <v>290807136165958.19</v>
      </c>
      <c r="AO289" s="80">
        <f t="shared" si="80"/>
        <v>1144.7606049794231</v>
      </c>
      <c r="AP289" s="52">
        <f t="shared" si="92"/>
        <v>-1.3553726387124399E-2</v>
      </c>
      <c r="AQ289" s="48">
        <f>(F289-E289)/E289</f>
        <v>1.0227272727272727E-2</v>
      </c>
      <c r="AR289" s="48">
        <f>(M289-L289)/L289</f>
        <v>-1.8957345971563982E-2</v>
      </c>
      <c r="AS289" s="48">
        <f>(T289-S289)/S289</f>
        <v>-4.5698924731182797E-2</v>
      </c>
      <c r="AT289" s="48" t="e">
        <f>(#REF!-#REF!)/#REF!</f>
        <v>#REF!</v>
      </c>
    </row>
    <row r="290" spans="1:46" x14ac:dyDescent="0.3">
      <c r="A290" s="48">
        <v>20190308</v>
      </c>
      <c r="B290" s="48" t="s">
        <v>88</v>
      </c>
      <c r="C290" s="79">
        <v>0.3</v>
      </c>
      <c r="D290" s="79">
        <f t="shared" si="81"/>
        <v>0.30918666963359676</v>
      </c>
      <c r="E290" s="49">
        <v>44450</v>
      </c>
      <c r="F290" s="49">
        <v>43800</v>
      </c>
      <c r="G290" s="49">
        <v>5969782550</v>
      </c>
      <c r="H290" s="49">
        <f t="shared" si="82"/>
        <v>0.33974524267142803</v>
      </c>
      <c r="I290" s="49">
        <f t="shared" si="93"/>
        <v>0.33974524267142803</v>
      </c>
      <c r="J290" s="48">
        <v>0.15</v>
      </c>
      <c r="K290" s="48">
        <f t="shared" si="83"/>
        <v>0.12646339170144991</v>
      </c>
      <c r="L290" s="48">
        <v>207000</v>
      </c>
      <c r="M290" s="48">
        <v>206000</v>
      </c>
      <c r="N290" s="51">
        <v>125461438</v>
      </c>
      <c r="O290" s="48">
        <f t="shared" si="84"/>
        <v>1.4058940387047201</v>
      </c>
      <c r="P290" s="48">
        <f t="shared" si="94"/>
        <v>1.4058940387047201</v>
      </c>
      <c r="Q290" s="49">
        <v>0.15</v>
      </c>
      <c r="R290" s="49">
        <f t="shared" si="85"/>
        <v>0.151381325204127</v>
      </c>
      <c r="S290" s="49">
        <v>284000</v>
      </c>
      <c r="T290" s="49">
        <v>281500</v>
      </c>
      <c r="U290" s="49">
        <v>15956260</v>
      </c>
      <c r="V290" s="49">
        <f t="shared" si="86"/>
        <v>9.6834038530104998</v>
      </c>
      <c r="W290" s="49">
        <f t="shared" si="95"/>
        <v>9.6834038530104998</v>
      </c>
      <c r="X290" s="48">
        <v>0.1</v>
      </c>
      <c r="Y290" s="76">
        <f t="shared" si="87"/>
        <v>9.668516729428081E-2</v>
      </c>
      <c r="Z290" s="18">
        <v>10740</v>
      </c>
      <c r="AA290" s="18">
        <v>10660</v>
      </c>
      <c r="AB290" s="18">
        <v>68700000</v>
      </c>
      <c r="AC290" s="135">
        <f t="shared" si="88"/>
        <v>37.932472950665797</v>
      </c>
      <c r="AD290" s="48">
        <f t="shared" si="96"/>
        <v>37.932472950665797</v>
      </c>
      <c r="AE290" s="49">
        <v>0.3</v>
      </c>
      <c r="AF290" s="49">
        <f t="shared" si="89"/>
        <v>0.31628344616654547</v>
      </c>
      <c r="AG290" s="19">
        <v>23100</v>
      </c>
      <c r="AH290" s="19">
        <v>22750</v>
      </c>
      <c r="AI290" s="19">
        <v>7239332</v>
      </c>
      <c r="AJ290" s="137">
        <f t="shared" si="90"/>
        <v>551.77473720975604</v>
      </c>
      <c r="AK290" s="49">
        <f t="shared" si="97"/>
        <v>551.77473720975604</v>
      </c>
      <c r="AL290" s="82">
        <f t="shared" si="98"/>
        <v>0</v>
      </c>
      <c r="AM290" s="82">
        <f t="shared" si="99"/>
        <v>254033144485423.16</v>
      </c>
      <c r="AN290" s="81">
        <f t="shared" si="91"/>
        <v>287319594960040.25</v>
      </c>
      <c r="AO290" s="80">
        <f t="shared" si="80"/>
        <v>1131.0319192483448</v>
      </c>
      <c r="AP290" s="52">
        <f t="shared" si="92"/>
        <v>-1.1992625944116089E-2</v>
      </c>
      <c r="AQ290" s="48">
        <f>(F290-E290)/E290</f>
        <v>-1.4623172103487065E-2</v>
      </c>
      <c r="AR290" s="48">
        <f>(M290-L290)/L290</f>
        <v>-4.830917874396135E-3</v>
      </c>
      <c r="AS290" s="48">
        <f>(T290-S290)/S290</f>
        <v>-8.8028169014084511E-3</v>
      </c>
      <c r="AT290" s="48" t="e">
        <f>(#REF!-#REF!)/#REF!</f>
        <v>#REF!</v>
      </c>
    </row>
    <row r="291" spans="1:46" x14ac:dyDescent="0.3">
      <c r="A291" s="48">
        <v>20190311</v>
      </c>
      <c r="B291" s="48" t="s">
        <v>88</v>
      </c>
      <c r="C291" s="79">
        <v>0.3</v>
      </c>
      <c r="D291" s="79">
        <f t="shared" si="81"/>
        <v>0.29917550092571932</v>
      </c>
      <c r="E291" s="49">
        <v>43800</v>
      </c>
      <c r="F291" s="49">
        <v>43650</v>
      </c>
      <c r="G291" s="49">
        <v>5969782550</v>
      </c>
      <c r="H291" s="49">
        <f t="shared" si="82"/>
        <v>0.33974524267142803</v>
      </c>
      <c r="I291" s="49">
        <f t="shared" si="93"/>
        <v>0.34599723907846203</v>
      </c>
      <c r="J291" s="48">
        <v>0.15</v>
      </c>
      <c r="K291" s="48">
        <f t="shared" si="83"/>
        <v>0.12219307497556854</v>
      </c>
      <c r="L291" s="48">
        <v>206000</v>
      </c>
      <c r="M291" s="48">
        <v>205000</v>
      </c>
      <c r="N291" s="51">
        <v>125461438</v>
      </c>
      <c r="O291" s="48">
        <f t="shared" si="84"/>
        <v>1.4058940387047201</v>
      </c>
      <c r="P291" s="48">
        <f t="shared" si="94"/>
        <v>1.4317653192252</v>
      </c>
      <c r="Q291" s="49">
        <v>0.15</v>
      </c>
      <c r="R291" s="49">
        <f t="shared" si="85"/>
        <v>0.15042924986273676</v>
      </c>
      <c r="S291" s="49">
        <v>281500</v>
      </c>
      <c r="T291" s="49">
        <v>288100</v>
      </c>
      <c r="U291" s="49">
        <v>15956260</v>
      </c>
      <c r="V291" s="49">
        <f t="shared" si="86"/>
        <v>9.6834038530104998</v>
      </c>
      <c r="W291" s="49">
        <f t="shared" si="95"/>
        <v>9.8615979775870297</v>
      </c>
      <c r="X291" s="48">
        <v>0.1</v>
      </c>
      <c r="Y291" s="76">
        <f t="shared" si="87"/>
        <v>9.3435768121562623E-2</v>
      </c>
      <c r="Z291" s="18">
        <v>10660</v>
      </c>
      <c r="AA291" s="18">
        <v>10610</v>
      </c>
      <c r="AB291" s="18">
        <v>59000000</v>
      </c>
      <c r="AC291" s="135">
        <f t="shared" si="88"/>
        <v>37.932472950665797</v>
      </c>
      <c r="AD291" s="48">
        <f t="shared" si="96"/>
        <v>44.981624037011798</v>
      </c>
      <c r="AE291" s="49">
        <v>0.3</v>
      </c>
      <c r="AF291" s="49">
        <f t="shared" si="89"/>
        <v>0.33476640611441288</v>
      </c>
      <c r="AG291" s="19">
        <v>22750</v>
      </c>
      <c r="AH291" s="19">
        <v>24800</v>
      </c>
      <c r="AI291" s="19">
        <v>7239332</v>
      </c>
      <c r="AJ291" s="137">
        <f t="shared" si="90"/>
        <v>551.77473720975604</v>
      </c>
      <c r="AK291" s="49">
        <f t="shared" si="97"/>
        <v>561.92850315332703</v>
      </c>
      <c r="AL291" s="82">
        <f t="shared" si="98"/>
        <v>1</v>
      </c>
      <c r="AM291" s="82">
        <f t="shared" si="99"/>
        <v>258707865738624.91</v>
      </c>
      <c r="AN291" s="81">
        <f t="shared" si="91"/>
        <v>301362608742024.62</v>
      </c>
      <c r="AO291" s="80">
        <f t="shared" si="80"/>
        <v>1164.8760963707775</v>
      </c>
      <c r="AP291" s="52">
        <f t="shared" si="92"/>
        <v>2.9923273204282948E-2</v>
      </c>
      <c r="AQ291" s="48">
        <f>(F291-E291)/E291</f>
        <v>-3.4246575342465752E-3</v>
      </c>
      <c r="AR291" s="48">
        <f>(M291-L291)/L291</f>
        <v>-4.8543689320388345E-3</v>
      </c>
      <c r="AS291" s="48">
        <f>(T291-S291)/S291</f>
        <v>2.3445825932504442E-2</v>
      </c>
      <c r="AT291" s="48" t="e">
        <f>(#REF!-#REF!)/#REF!</f>
        <v>#REF!</v>
      </c>
    </row>
    <row r="292" spans="1:46" x14ac:dyDescent="0.3">
      <c r="A292" s="48">
        <v>20190312</v>
      </c>
      <c r="B292" s="48" t="s">
        <v>88</v>
      </c>
      <c r="C292" s="79">
        <v>0.3</v>
      </c>
      <c r="D292" s="79">
        <f t="shared" si="81"/>
        <v>0.30024304252798251</v>
      </c>
      <c r="E292" s="49">
        <v>43650</v>
      </c>
      <c r="F292" s="49">
        <v>44650</v>
      </c>
      <c r="G292" s="49">
        <v>5969782550</v>
      </c>
      <c r="H292" s="49">
        <f t="shared" si="82"/>
        <v>0.34599723907846203</v>
      </c>
      <c r="I292" s="49">
        <f t="shared" si="93"/>
        <v>0.34599723907846203</v>
      </c>
      <c r="J292" s="48">
        <v>0.15</v>
      </c>
      <c r="K292" s="48">
        <f t="shared" si="83"/>
        <v>0.12222181516056588</v>
      </c>
      <c r="L292" s="48">
        <v>205000</v>
      </c>
      <c r="M292" s="48">
        <v>209000</v>
      </c>
      <c r="N292" s="51">
        <v>125461438</v>
      </c>
      <c r="O292" s="48">
        <f t="shared" si="84"/>
        <v>1.4317653192252</v>
      </c>
      <c r="P292" s="48">
        <f t="shared" si="94"/>
        <v>1.4317653192252</v>
      </c>
      <c r="Q292" s="49">
        <v>0.15</v>
      </c>
      <c r="R292" s="49">
        <f t="shared" si="85"/>
        <v>0.15444934055641182</v>
      </c>
      <c r="S292" s="49">
        <v>288100</v>
      </c>
      <c r="T292" s="49">
        <v>301500</v>
      </c>
      <c r="U292" s="49">
        <v>15956260</v>
      </c>
      <c r="V292" s="49">
        <f t="shared" si="86"/>
        <v>9.8615979775870297</v>
      </c>
      <c r="W292" s="49">
        <f t="shared" si="95"/>
        <v>9.8615979775870297</v>
      </c>
      <c r="X292" s="48">
        <v>0.1</v>
      </c>
      <c r="Y292" s="76">
        <f t="shared" si="87"/>
        <v>9.2662665221204227E-2</v>
      </c>
      <c r="Z292" s="18">
        <v>10610</v>
      </c>
      <c r="AA292" s="18">
        <v>10725</v>
      </c>
      <c r="AB292" s="18">
        <v>59000000</v>
      </c>
      <c r="AC292" s="135">
        <f t="shared" si="88"/>
        <v>44.981624037011798</v>
      </c>
      <c r="AD292" s="48">
        <f t="shared" si="96"/>
        <v>44.981624037011798</v>
      </c>
      <c r="AE292" s="49">
        <v>0.3</v>
      </c>
      <c r="AF292" s="49">
        <f t="shared" si="89"/>
        <v>0.33042313653383548</v>
      </c>
      <c r="AG292" s="19">
        <v>24800</v>
      </c>
      <c r="AH292" s="19">
        <v>24950</v>
      </c>
      <c r="AI292" s="19">
        <v>7239332</v>
      </c>
      <c r="AJ292" s="137">
        <f t="shared" si="90"/>
        <v>561.92850315332703</v>
      </c>
      <c r="AK292" s="49">
        <f t="shared" si="97"/>
        <v>561.92850315332703</v>
      </c>
      <c r="AL292" s="82">
        <f t="shared" si="98"/>
        <v>0</v>
      </c>
      <c r="AM292" s="82">
        <f t="shared" si="99"/>
        <v>258707865738624.91</v>
      </c>
      <c r="AN292" s="81">
        <f t="shared" si="91"/>
        <v>307170607299851.62</v>
      </c>
      <c r="AO292" s="80">
        <f t="shared" si="80"/>
        <v>1187.3261233200735</v>
      </c>
      <c r="AP292" s="52">
        <f t="shared" si="92"/>
        <v>1.9272459121824227E-2</v>
      </c>
      <c r="AQ292" s="48">
        <f>(F292-E292)/E292</f>
        <v>2.2909507445589918E-2</v>
      </c>
      <c r="AR292" s="48">
        <f>(M292-L292)/L292</f>
        <v>1.9512195121951219E-2</v>
      </c>
      <c r="AS292" s="48">
        <f>(T292-S292)/S292</f>
        <v>4.6511627906976744E-2</v>
      </c>
      <c r="AT292" s="48" t="e">
        <f>(#REF!-#REF!)/#REF!</f>
        <v>#REF!</v>
      </c>
    </row>
    <row r="293" spans="1:46" x14ac:dyDescent="0.3">
      <c r="A293" s="48">
        <v>20190313</v>
      </c>
      <c r="B293" s="48" t="s">
        <v>88</v>
      </c>
      <c r="C293" s="79">
        <v>0.3</v>
      </c>
      <c r="D293" s="79">
        <f t="shared" si="81"/>
        <v>0.29358254470446571</v>
      </c>
      <c r="E293" s="49">
        <v>44650</v>
      </c>
      <c r="F293" s="49">
        <v>43850</v>
      </c>
      <c r="G293" s="49">
        <v>5969782550</v>
      </c>
      <c r="H293" s="49">
        <f t="shared" si="82"/>
        <v>0.34599723907846203</v>
      </c>
      <c r="I293" s="49">
        <f t="shared" si="93"/>
        <v>0.34599723907846203</v>
      </c>
      <c r="J293" s="48">
        <v>0.15</v>
      </c>
      <c r="K293" s="48">
        <f t="shared" si="83"/>
        <v>0.1208174563239352</v>
      </c>
      <c r="L293" s="48">
        <v>209000</v>
      </c>
      <c r="M293" s="48">
        <v>207500</v>
      </c>
      <c r="N293" s="51">
        <v>125461438</v>
      </c>
      <c r="O293" s="48">
        <f t="shared" si="84"/>
        <v>1.4317653192252</v>
      </c>
      <c r="P293" s="48">
        <f t="shared" si="94"/>
        <v>1.4317653192252</v>
      </c>
      <c r="Q293" s="49">
        <v>0.15</v>
      </c>
      <c r="R293" s="49">
        <f t="shared" si="85"/>
        <v>0.15923582572458148</v>
      </c>
      <c r="S293" s="49">
        <v>301500</v>
      </c>
      <c r="T293" s="49">
        <v>312200</v>
      </c>
      <c r="U293" s="49">
        <v>15956260</v>
      </c>
      <c r="V293" s="49">
        <f t="shared" si="86"/>
        <v>9.8615979775870297</v>
      </c>
      <c r="W293" s="49">
        <f t="shared" si="95"/>
        <v>9.8615979775870297</v>
      </c>
      <c r="X293" s="48">
        <v>0.1</v>
      </c>
      <c r="Y293" s="76">
        <f t="shared" si="87"/>
        <v>9.1442879809585653E-2</v>
      </c>
      <c r="Z293" s="18">
        <v>10725</v>
      </c>
      <c r="AA293" s="18">
        <v>10630</v>
      </c>
      <c r="AB293" s="18">
        <v>59000000</v>
      </c>
      <c r="AC293" s="135">
        <f t="shared" si="88"/>
        <v>44.981624037011798</v>
      </c>
      <c r="AD293" s="48">
        <f t="shared" si="96"/>
        <v>44.981624037011798</v>
      </c>
      <c r="AE293" s="49">
        <v>0.3</v>
      </c>
      <c r="AF293" s="49">
        <f t="shared" si="89"/>
        <v>0.33492129343743199</v>
      </c>
      <c r="AG293" s="19">
        <v>24950</v>
      </c>
      <c r="AH293" s="19">
        <v>25400</v>
      </c>
      <c r="AI293" s="19">
        <v>7239332</v>
      </c>
      <c r="AJ293" s="137">
        <f t="shared" si="90"/>
        <v>561.92850315332703</v>
      </c>
      <c r="AK293" s="49">
        <f t="shared" si="97"/>
        <v>561.92850315332703</v>
      </c>
      <c r="AL293" s="82">
        <f t="shared" si="98"/>
        <v>0</v>
      </c>
      <c r="AM293" s="82">
        <f t="shared" si="99"/>
        <v>258707865738624.91</v>
      </c>
      <c r="AN293" s="81">
        <f t="shared" si="91"/>
        <v>308510899985188.44</v>
      </c>
      <c r="AO293" s="80">
        <f t="shared" si="80"/>
        <v>1192.5068420489388</v>
      </c>
      <c r="AP293" s="52">
        <f t="shared" si="92"/>
        <v>4.3633494009031127E-3</v>
      </c>
      <c r="AQ293" s="48">
        <f>(F293-E293)/E293</f>
        <v>-1.7917133258678612E-2</v>
      </c>
      <c r="AR293" s="48">
        <f>(M293-L293)/L293</f>
        <v>-7.1770334928229667E-3</v>
      </c>
      <c r="AS293" s="48">
        <f>(T293-S293)/S293</f>
        <v>3.5489220563847429E-2</v>
      </c>
      <c r="AT293" s="48" t="e">
        <f>(#REF!-#REF!)/#REF!</f>
        <v>#REF!</v>
      </c>
    </row>
    <row r="294" spans="1:46" x14ac:dyDescent="0.3">
      <c r="A294" s="48">
        <v>20190314</v>
      </c>
      <c r="B294" s="48" t="s">
        <v>88</v>
      </c>
      <c r="C294" s="79">
        <v>0.3</v>
      </c>
      <c r="D294" s="79">
        <f t="shared" si="81"/>
        <v>0.29624519438558994</v>
      </c>
      <c r="E294" s="49">
        <v>43850</v>
      </c>
      <c r="F294" s="49">
        <v>43850</v>
      </c>
      <c r="G294" s="49">
        <v>5969782550</v>
      </c>
      <c r="H294" s="49">
        <f t="shared" si="82"/>
        <v>0.34599723907846203</v>
      </c>
      <c r="I294" s="49">
        <f t="shared" si="93"/>
        <v>0.34599723907846203</v>
      </c>
      <c r="J294" s="48">
        <v>0.15</v>
      </c>
      <c r="K294" s="48">
        <f t="shared" si="83"/>
        <v>0.12103191106969845</v>
      </c>
      <c r="L294" s="48">
        <v>207500</v>
      </c>
      <c r="M294" s="48">
        <v>206000</v>
      </c>
      <c r="N294" s="51">
        <v>125461438</v>
      </c>
      <c r="O294" s="48">
        <f t="shared" si="84"/>
        <v>1.4317653192252</v>
      </c>
      <c r="P294" s="48">
        <f t="shared" si="94"/>
        <v>1.4317653192252</v>
      </c>
      <c r="Q294" s="49">
        <v>0.15</v>
      </c>
      <c r="R294" s="49">
        <f t="shared" si="85"/>
        <v>0.15790079782415131</v>
      </c>
      <c r="S294" s="49">
        <v>312200</v>
      </c>
      <c r="T294" s="49">
        <v>306800</v>
      </c>
      <c r="U294" s="49">
        <v>15956260</v>
      </c>
      <c r="V294" s="49">
        <f t="shared" si="86"/>
        <v>9.8615979775870297</v>
      </c>
      <c r="W294" s="49">
        <f t="shared" si="95"/>
        <v>9.8615979775870297</v>
      </c>
      <c r="X294" s="48">
        <v>0.1</v>
      </c>
      <c r="Y294" s="76">
        <f t="shared" si="87"/>
        <v>9.2185418282257764E-2</v>
      </c>
      <c r="Z294" s="18">
        <v>10630</v>
      </c>
      <c r="AA294" s="18">
        <v>10620</v>
      </c>
      <c r="AB294" s="18">
        <v>59000000</v>
      </c>
      <c r="AC294" s="135">
        <f t="shared" si="88"/>
        <v>44.981624037011798</v>
      </c>
      <c r="AD294" s="48">
        <f t="shared" si="96"/>
        <v>44.981624037011798</v>
      </c>
      <c r="AE294" s="49">
        <v>0.3</v>
      </c>
      <c r="AF294" s="49">
        <f t="shared" si="89"/>
        <v>0.33263667843830247</v>
      </c>
      <c r="AG294" s="19">
        <v>25400</v>
      </c>
      <c r="AH294" s="19">
        <v>25000</v>
      </c>
      <c r="AI294" s="19">
        <v>7239332</v>
      </c>
      <c r="AJ294" s="137">
        <f t="shared" si="90"/>
        <v>561.92850315332703</v>
      </c>
      <c r="AK294" s="49">
        <f t="shared" si="97"/>
        <v>561.92850315332703</v>
      </c>
      <c r="AL294" s="82">
        <f t="shared" si="98"/>
        <v>0</v>
      </c>
      <c r="AM294" s="82">
        <f t="shared" si="99"/>
        <v>258707865738624.91</v>
      </c>
      <c r="AN294" s="81">
        <f t="shared" si="91"/>
        <v>305738006230160.25</v>
      </c>
      <c r="AO294" s="80">
        <f t="shared" si="80"/>
        <v>1181.7885991106677</v>
      </c>
      <c r="AP294" s="52">
        <f t="shared" si="92"/>
        <v>-8.9879928234668956E-3</v>
      </c>
      <c r="AQ294" s="48">
        <f>(F294-E294)/E294</f>
        <v>0</v>
      </c>
      <c r="AR294" s="48">
        <f>(M294-L294)/L294</f>
        <v>-7.2289156626506026E-3</v>
      </c>
      <c r="AS294" s="48">
        <f>(T294-S294)/S294</f>
        <v>-1.729660474055093E-2</v>
      </c>
      <c r="AT294" s="48" t="e">
        <f>(#REF!-#REF!)/#REF!</f>
        <v>#REF!</v>
      </c>
    </row>
    <row r="295" spans="1:46" x14ac:dyDescent="0.3">
      <c r="A295" s="48">
        <v>20190315</v>
      </c>
      <c r="B295" s="48" t="s">
        <v>88</v>
      </c>
      <c r="C295" s="79">
        <v>0.3</v>
      </c>
      <c r="D295" s="79">
        <f t="shared" si="81"/>
        <v>0.29088423584704448</v>
      </c>
      <c r="E295" s="49">
        <v>43850</v>
      </c>
      <c r="F295" s="49">
        <v>44200</v>
      </c>
      <c r="G295" s="49">
        <v>5969782550</v>
      </c>
      <c r="H295" s="49">
        <f t="shared" si="82"/>
        <v>0.34599723907846203</v>
      </c>
      <c r="I295" s="49">
        <f t="shared" si="93"/>
        <v>0.34599723907846203</v>
      </c>
      <c r="J295" s="48">
        <v>0.15</v>
      </c>
      <c r="K295" s="48">
        <f t="shared" si="83"/>
        <v>0.11618362119263609</v>
      </c>
      <c r="L295" s="48">
        <v>206000</v>
      </c>
      <c r="M295" s="48">
        <v>203000</v>
      </c>
      <c r="N295" s="51">
        <v>125461438</v>
      </c>
      <c r="O295" s="48">
        <f t="shared" si="84"/>
        <v>1.4317653192252</v>
      </c>
      <c r="P295" s="48">
        <f t="shared" si="94"/>
        <v>1.4317653192252</v>
      </c>
      <c r="Q295" s="49">
        <v>0.15</v>
      </c>
      <c r="R295" s="49">
        <f t="shared" si="85"/>
        <v>0.1531638885427837</v>
      </c>
      <c r="S295" s="49">
        <v>306800</v>
      </c>
      <c r="T295" s="49">
        <v>305500</v>
      </c>
      <c r="U295" s="49">
        <v>15956260</v>
      </c>
      <c r="V295" s="49">
        <f t="shared" si="86"/>
        <v>9.8615979775870297</v>
      </c>
      <c r="W295" s="49">
        <f t="shared" si="95"/>
        <v>9.8615979775870297</v>
      </c>
      <c r="X295" s="48">
        <v>0.1</v>
      </c>
      <c r="Y295" s="76">
        <f t="shared" si="87"/>
        <v>9.1111079600488587E-2</v>
      </c>
      <c r="Z295" s="18">
        <v>10620</v>
      </c>
      <c r="AA295" s="18">
        <v>10775</v>
      </c>
      <c r="AB295" s="18">
        <v>59000000</v>
      </c>
      <c r="AC295" s="135">
        <f t="shared" si="88"/>
        <v>44.981624037011798</v>
      </c>
      <c r="AD295" s="48">
        <f t="shared" si="96"/>
        <v>44.981624037011798</v>
      </c>
      <c r="AE295" s="49">
        <v>0.3</v>
      </c>
      <c r="AF295" s="49">
        <f t="shared" si="89"/>
        <v>0.34865717481704711</v>
      </c>
      <c r="AG295" s="19">
        <v>25000</v>
      </c>
      <c r="AH295" s="19">
        <v>26900</v>
      </c>
      <c r="AI295" s="19">
        <v>7239332</v>
      </c>
      <c r="AJ295" s="137">
        <f t="shared" si="90"/>
        <v>561.92850315332703</v>
      </c>
      <c r="AK295" s="49">
        <f t="shared" si="97"/>
        <v>561.92850315332703</v>
      </c>
      <c r="AL295" s="82">
        <f t="shared" si="98"/>
        <v>0</v>
      </c>
      <c r="AM295" s="82">
        <f t="shared" si="99"/>
        <v>258707865738624.91</v>
      </c>
      <c r="AN295" s="81">
        <f t="shared" si="91"/>
        <v>313858018874534.06</v>
      </c>
      <c r="AO295" s="80">
        <f t="shared" si="80"/>
        <v>1213.1754014453813</v>
      </c>
      <c r="AP295" s="52">
        <f t="shared" si="92"/>
        <v>2.6558728319373809E-2</v>
      </c>
      <c r="AQ295" s="48">
        <f>(F295-E295)/E295</f>
        <v>7.98175598631699E-3</v>
      </c>
      <c r="AR295" s="48">
        <f>(M295-L295)/L295</f>
        <v>-1.4563106796116505E-2</v>
      </c>
      <c r="AS295" s="48">
        <f>(T295-S295)/S295</f>
        <v>-4.2372881355932203E-3</v>
      </c>
      <c r="AT295" s="48" t="e">
        <f>(#REF!-#REF!)/#REF!</f>
        <v>#REF!</v>
      </c>
    </row>
    <row r="296" spans="1:46" x14ac:dyDescent="0.3">
      <c r="A296" s="48">
        <v>20190318</v>
      </c>
      <c r="B296" s="48" t="s">
        <v>88</v>
      </c>
      <c r="C296" s="79">
        <v>0.3</v>
      </c>
      <c r="D296" s="79">
        <f t="shared" si="81"/>
        <v>0.28737465040836846</v>
      </c>
      <c r="E296" s="49">
        <v>44200</v>
      </c>
      <c r="F296" s="49">
        <v>43700</v>
      </c>
      <c r="G296" s="49">
        <v>5969782550</v>
      </c>
      <c r="H296" s="49">
        <f t="shared" si="82"/>
        <v>0.34599723907846203</v>
      </c>
      <c r="I296" s="49">
        <f t="shared" si="93"/>
        <v>0.34599723907846203</v>
      </c>
      <c r="J296" s="48">
        <v>0.15</v>
      </c>
      <c r="K296" s="48">
        <f t="shared" si="83"/>
        <v>0.11495133793389911</v>
      </c>
      <c r="L296" s="48">
        <v>203000</v>
      </c>
      <c r="M296" s="48">
        <v>201000</v>
      </c>
      <c r="N296" s="51">
        <v>125461438</v>
      </c>
      <c r="O296" s="48">
        <f t="shared" si="84"/>
        <v>1.4317653192252</v>
      </c>
      <c r="P296" s="48">
        <f t="shared" si="94"/>
        <v>1.4317653192252</v>
      </c>
      <c r="Q296" s="49">
        <v>0.15</v>
      </c>
      <c r="R296" s="49">
        <f t="shared" si="85"/>
        <v>0.14999129947650827</v>
      </c>
      <c r="S296" s="49">
        <v>305500</v>
      </c>
      <c r="T296" s="49">
        <v>299400</v>
      </c>
      <c r="U296" s="49">
        <v>15956260</v>
      </c>
      <c r="V296" s="49">
        <f t="shared" si="86"/>
        <v>9.8615979775870297</v>
      </c>
      <c r="W296" s="49">
        <f t="shared" si="95"/>
        <v>9.8615979775870297</v>
      </c>
      <c r="X296" s="48">
        <v>0.1</v>
      </c>
      <c r="Y296" s="76">
        <f t="shared" si="87"/>
        <v>9.0872699842123261E-2</v>
      </c>
      <c r="Z296" s="18">
        <v>10775</v>
      </c>
      <c r="AA296" s="18">
        <v>10755</v>
      </c>
      <c r="AB296" s="18">
        <v>59000000</v>
      </c>
      <c r="AC296" s="135">
        <f t="shared" si="88"/>
        <v>44.981624037011798</v>
      </c>
      <c r="AD296" s="48">
        <f t="shared" si="96"/>
        <v>44.981624037011798</v>
      </c>
      <c r="AE296" s="49">
        <v>0.3</v>
      </c>
      <c r="AF296" s="49">
        <f t="shared" si="89"/>
        <v>0.35681001233910081</v>
      </c>
      <c r="AG296" s="19">
        <v>26900</v>
      </c>
      <c r="AH296" s="19">
        <v>27550</v>
      </c>
      <c r="AI296" s="19">
        <v>7239332</v>
      </c>
      <c r="AJ296" s="137">
        <f t="shared" si="90"/>
        <v>561.92850315332703</v>
      </c>
      <c r="AK296" s="49">
        <f t="shared" si="97"/>
        <v>561.92850315332703</v>
      </c>
      <c r="AL296" s="82">
        <f t="shared" si="98"/>
        <v>0</v>
      </c>
      <c r="AM296" s="82">
        <f t="shared" si="99"/>
        <v>258707865738624.91</v>
      </c>
      <c r="AN296" s="81">
        <f t="shared" si="91"/>
        <v>314097244542687.75</v>
      </c>
      <c r="AO296" s="80">
        <f t="shared" si="80"/>
        <v>1214.1000956655228</v>
      </c>
      <c r="AP296" s="52">
        <f t="shared" si="92"/>
        <v>7.6220983300496754E-4</v>
      </c>
      <c r="AQ296" s="48">
        <f>(F296-E296)/E296</f>
        <v>-1.1312217194570135E-2</v>
      </c>
      <c r="AR296" s="48">
        <f>(M296-L296)/L296</f>
        <v>-9.852216748768473E-3</v>
      </c>
      <c r="AS296" s="48">
        <f>(T296-S296)/S296</f>
        <v>-1.9967266775777415E-2</v>
      </c>
      <c r="AT296" s="48" t="e">
        <f>(#REF!-#REF!)/#REF!</f>
        <v>#REF!</v>
      </c>
    </row>
    <row r="297" spans="1:46" x14ac:dyDescent="0.3">
      <c r="A297" s="48">
        <v>20190319</v>
      </c>
      <c r="B297" s="48" t="s">
        <v>88</v>
      </c>
      <c r="C297" s="79">
        <v>0.3</v>
      </c>
      <c r="D297" s="79">
        <f t="shared" si="81"/>
        <v>0.29331851236126882</v>
      </c>
      <c r="E297" s="49">
        <v>43700</v>
      </c>
      <c r="F297" s="49">
        <v>43900</v>
      </c>
      <c r="G297" s="49">
        <v>5969782550</v>
      </c>
      <c r="H297" s="49">
        <f t="shared" si="82"/>
        <v>0.34599723907846203</v>
      </c>
      <c r="I297" s="49">
        <f t="shared" si="93"/>
        <v>0.34599723907846203</v>
      </c>
      <c r="J297" s="48">
        <v>0.15</v>
      </c>
      <c r="K297" s="48">
        <f t="shared" si="83"/>
        <v>0.11795651838762033</v>
      </c>
      <c r="L297" s="48">
        <v>201000</v>
      </c>
      <c r="M297" s="48">
        <v>203000</v>
      </c>
      <c r="N297" s="51">
        <v>125461438</v>
      </c>
      <c r="O297" s="48">
        <f t="shared" si="84"/>
        <v>1.4317653192252</v>
      </c>
      <c r="P297" s="48">
        <f t="shared" si="94"/>
        <v>1.4317653192252</v>
      </c>
      <c r="Q297" s="49">
        <v>0.15</v>
      </c>
      <c r="R297" s="49">
        <f t="shared" si="85"/>
        <v>0.14750970256958645</v>
      </c>
      <c r="S297" s="49">
        <v>299400</v>
      </c>
      <c r="T297" s="49">
        <v>289800</v>
      </c>
      <c r="U297" s="49">
        <v>15956260</v>
      </c>
      <c r="V297" s="49">
        <f t="shared" si="86"/>
        <v>9.8615979775870297</v>
      </c>
      <c r="W297" s="49">
        <f t="shared" si="95"/>
        <v>9.8615979775870297</v>
      </c>
      <c r="X297" s="48">
        <v>0.1</v>
      </c>
      <c r="Y297" s="76">
        <f t="shared" si="87"/>
        <v>9.2501383808582346E-2</v>
      </c>
      <c r="Z297" s="18">
        <v>10755</v>
      </c>
      <c r="AA297" s="18">
        <v>10775</v>
      </c>
      <c r="AB297" s="18">
        <v>59000000</v>
      </c>
      <c r="AC297" s="135">
        <f t="shared" si="88"/>
        <v>44.981624037011798</v>
      </c>
      <c r="AD297" s="48">
        <f t="shared" si="96"/>
        <v>44.981624037011798</v>
      </c>
      <c r="AE297" s="49">
        <v>0.3</v>
      </c>
      <c r="AF297" s="49">
        <f t="shared" si="89"/>
        <v>0.34871388287294214</v>
      </c>
      <c r="AG297" s="19">
        <v>27550</v>
      </c>
      <c r="AH297" s="19">
        <v>26500</v>
      </c>
      <c r="AI297" s="19">
        <v>7239332</v>
      </c>
      <c r="AJ297" s="137">
        <f t="shared" si="90"/>
        <v>561.92850315332703</v>
      </c>
      <c r="AK297" s="49">
        <f t="shared" si="97"/>
        <v>561.92850315332703</v>
      </c>
      <c r="AL297" s="82">
        <f t="shared" si="98"/>
        <v>0</v>
      </c>
      <c r="AM297" s="82">
        <f t="shared" si="99"/>
        <v>258707865738624.91</v>
      </c>
      <c r="AN297" s="81">
        <f t="shared" si="91"/>
        <v>309140704317508.5</v>
      </c>
      <c r="AO297" s="80">
        <f t="shared" si="80"/>
        <v>1194.9412648699147</v>
      </c>
      <c r="AP297" s="52">
        <f t="shared" si="92"/>
        <v>-1.5780272865480626E-2</v>
      </c>
      <c r="AQ297" s="48">
        <f>(F297-E297)/E297</f>
        <v>4.5766590389016018E-3</v>
      </c>
      <c r="AR297" s="48">
        <f>(M297-L297)/L297</f>
        <v>9.9502487562189053E-3</v>
      </c>
      <c r="AS297" s="48">
        <f>(T297-S297)/S297</f>
        <v>-3.2064128256513023E-2</v>
      </c>
      <c r="AT297" s="48" t="e">
        <f>(#REF!-#REF!)/#REF!</f>
        <v>#REF!</v>
      </c>
    </row>
    <row r="298" spans="1:46" x14ac:dyDescent="0.3">
      <c r="A298" s="48">
        <v>20190320</v>
      </c>
      <c r="B298" s="48" t="s">
        <v>88</v>
      </c>
      <c r="C298" s="79">
        <v>0.3</v>
      </c>
      <c r="D298" s="79">
        <f t="shared" si="81"/>
        <v>0.29092440036646083</v>
      </c>
      <c r="E298" s="49">
        <v>43900</v>
      </c>
      <c r="F298" s="49">
        <v>44050</v>
      </c>
      <c r="G298" s="49">
        <v>5969782550</v>
      </c>
      <c r="H298" s="49">
        <f t="shared" si="82"/>
        <v>0.34599723907846203</v>
      </c>
      <c r="I298" s="49">
        <f t="shared" si="93"/>
        <v>0.32814958843811398</v>
      </c>
      <c r="J298" s="48">
        <v>0.15</v>
      </c>
      <c r="K298" s="48">
        <f t="shared" si="83"/>
        <v>0.11544662643985207</v>
      </c>
      <c r="L298" s="48">
        <v>203000</v>
      </c>
      <c r="M298" s="48">
        <v>201000</v>
      </c>
      <c r="N298" s="51">
        <v>125461438</v>
      </c>
      <c r="O298" s="48">
        <f t="shared" si="84"/>
        <v>1.4317653192252</v>
      </c>
      <c r="P298" s="48">
        <f t="shared" si="94"/>
        <v>1.35791025817166</v>
      </c>
      <c r="Q298" s="49">
        <v>0.15</v>
      </c>
      <c r="R298" s="49">
        <f t="shared" si="85"/>
        <v>0.14827284601854857</v>
      </c>
      <c r="S298" s="49">
        <v>289800</v>
      </c>
      <c r="T298" s="49">
        <v>294700</v>
      </c>
      <c r="U298" s="49">
        <v>15956260</v>
      </c>
      <c r="V298" s="49">
        <f t="shared" si="86"/>
        <v>9.8615979775870297</v>
      </c>
      <c r="W298" s="49">
        <f t="shared" si="95"/>
        <v>9.3529050298389205</v>
      </c>
      <c r="X298" s="48">
        <v>0.1</v>
      </c>
      <c r="Y298" s="76">
        <f t="shared" si="87"/>
        <v>9.1561242456752179E-2</v>
      </c>
      <c r="Z298" s="18">
        <v>10775</v>
      </c>
      <c r="AA298" s="18">
        <v>10790</v>
      </c>
      <c r="AB298" s="18">
        <v>77600000</v>
      </c>
      <c r="AC298" s="135">
        <f t="shared" si="88"/>
        <v>44.981624037011798</v>
      </c>
      <c r="AD298" s="48">
        <f t="shared" si="96"/>
        <v>32.435802871417998</v>
      </c>
      <c r="AE298" s="49">
        <v>0.3</v>
      </c>
      <c r="AF298" s="49">
        <f t="shared" si="89"/>
        <v>0.35379488471838638</v>
      </c>
      <c r="AG298" s="19">
        <v>26500</v>
      </c>
      <c r="AH298" s="19">
        <v>27200</v>
      </c>
      <c r="AI298" s="19">
        <v>7239332</v>
      </c>
      <c r="AJ298" s="137">
        <f t="shared" si="90"/>
        <v>561.92850315332703</v>
      </c>
      <c r="AK298" s="49">
        <f t="shared" si="97"/>
        <v>532.94242327637198</v>
      </c>
      <c r="AL298" s="82">
        <f t="shared" si="98"/>
        <v>1</v>
      </c>
      <c r="AM298" s="82">
        <f t="shared" si="99"/>
        <v>245362881778894.84</v>
      </c>
      <c r="AN298" s="81">
        <f t="shared" si="91"/>
        <v>296617070266142.56</v>
      </c>
      <c r="AO298" s="80">
        <f t="shared" si="80"/>
        <v>1208.8913698586025</v>
      </c>
      <c r="AP298" s="52">
        <f t="shared" si="92"/>
        <v>1.1674301824539034E-2</v>
      </c>
      <c r="AQ298" s="48">
        <f>(F298-E298)/E298</f>
        <v>3.4168564920273349E-3</v>
      </c>
      <c r="AR298" s="48">
        <f>(M298-L298)/L298</f>
        <v>-9.852216748768473E-3</v>
      </c>
      <c r="AS298" s="48">
        <f>(T298-S298)/S298</f>
        <v>1.6908212560386472E-2</v>
      </c>
      <c r="AT298" s="48" t="e">
        <f>(#REF!-#REF!)/#REF!</f>
        <v>#REF!</v>
      </c>
    </row>
    <row r="299" spans="1:46" x14ac:dyDescent="0.3">
      <c r="A299" s="48">
        <v>20190321</v>
      </c>
      <c r="B299" s="48" t="s">
        <v>88</v>
      </c>
      <c r="C299" s="79">
        <v>0.3</v>
      </c>
      <c r="D299" s="79">
        <f t="shared" si="81"/>
        <v>0.30418395796258318</v>
      </c>
      <c r="E299" s="49">
        <v>44050</v>
      </c>
      <c r="F299" s="49">
        <v>45850</v>
      </c>
      <c r="G299" s="49">
        <v>5969782550</v>
      </c>
      <c r="H299" s="49">
        <f t="shared" si="82"/>
        <v>0.32814958843811398</v>
      </c>
      <c r="I299" s="49">
        <f t="shared" si="93"/>
        <v>0.32814958843811398</v>
      </c>
      <c r="J299" s="48">
        <v>0.15</v>
      </c>
      <c r="K299" s="48">
        <f t="shared" si="83"/>
        <v>0.11568107013426639</v>
      </c>
      <c r="L299" s="48">
        <v>201000</v>
      </c>
      <c r="M299" s="48">
        <v>200500</v>
      </c>
      <c r="N299" s="51">
        <v>125461438</v>
      </c>
      <c r="O299" s="48">
        <f t="shared" si="84"/>
        <v>1.35791025817166</v>
      </c>
      <c r="P299" s="48">
        <f t="shared" si="94"/>
        <v>1.35791025817166</v>
      </c>
      <c r="Q299" s="49">
        <v>0.15</v>
      </c>
      <c r="R299" s="49">
        <f t="shared" si="85"/>
        <v>0.1429300759137293</v>
      </c>
      <c r="S299" s="49">
        <v>294700</v>
      </c>
      <c r="T299" s="49">
        <v>282800</v>
      </c>
      <c r="U299" s="49">
        <v>15956260</v>
      </c>
      <c r="V299" s="49">
        <f t="shared" si="86"/>
        <v>9.3529050298389205</v>
      </c>
      <c r="W299" s="49">
        <f t="shared" si="95"/>
        <v>9.3529050298389205</v>
      </c>
      <c r="X299" s="48">
        <v>0.1</v>
      </c>
      <c r="Y299" s="76">
        <f t="shared" si="87"/>
        <v>9.2913637335323707E-2</v>
      </c>
      <c r="Z299" s="18">
        <v>10790</v>
      </c>
      <c r="AA299" s="18">
        <v>10900</v>
      </c>
      <c r="AB299" s="18">
        <v>77600000</v>
      </c>
      <c r="AC299" s="135">
        <f t="shared" si="88"/>
        <v>32.435802871417998</v>
      </c>
      <c r="AD299" s="48">
        <f t="shared" si="96"/>
        <v>32.435802871417998</v>
      </c>
      <c r="AE299" s="49">
        <v>0.3</v>
      </c>
      <c r="AF299" s="49">
        <f t="shared" si="89"/>
        <v>0.34429125865409743</v>
      </c>
      <c r="AG299" s="19">
        <v>27200</v>
      </c>
      <c r="AH299" s="19">
        <v>26350</v>
      </c>
      <c r="AI299" s="19">
        <v>7239332</v>
      </c>
      <c r="AJ299" s="137">
        <f t="shared" si="90"/>
        <v>532.94242327637198</v>
      </c>
      <c r="AK299" s="49">
        <f t="shared" si="97"/>
        <v>532.94242327637198</v>
      </c>
      <c r="AL299" s="82">
        <f t="shared" si="98"/>
        <v>0</v>
      </c>
      <c r="AM299" s="82">
        <f t="shared" si="99"/>
        <v>245362881778894.84</v>
      </c>
      <c r="AN299" s="81">
        <f t="shared" si="91"/>
        <v>295279576686315.25</v>
      </c>
      <c r="AO299" s="80">
        <f t="shared" si="80"/>
        <v>1203.4402862630302</v>
      </c>
      <c r="AP299" s="52">
        <f t="shared" si="92"/>
        <v>-4.509159161430595E-3</v>
      </c>
      <c r="AQ299" s="48">
        <f>(F299-E299)/E299</f>
        <v>4.0862656072644721E-2</v>
      </c>
      <c r="AR299" s="48">
        <f>(M299-L299)/L299</f>
        <v>-2.4875621890547263E-3</v>
      </c>
      <c r="AS299" s="48">
        <f>(T299-S299)/S299</f>
        <v>-4.0380047505938245E-2</v>
      </c>
      <c r="AT299" s="48" t="e">
        <f>(#REF!-#REF!)/#REF!</f>
        <v>#REF!</v>
      </c>
    </row>
    <row r="300" spans="1:46" x14ac:dyDescent="0.3">
      <c r="A300" s="48">
        <v>20190322</v>
      </c>
      <c r="B300" s="48" t="s">
        <v>88</v>
      </c>
      <c r="C300" s="79">
        <v>0.3</v>
      </c>
      <c r="D300" s="79">
        <f t="shared" si="81"/>
        <v>0.30895087882391931</v>
      </c>
      <c r="E300" s="49">
        <v>45850</v>
      </c>
      <c r="F300" s="49">
        <v>46550</v>
      </c>
      <c r="G300" s="49">
        <v>5969782550</v>
      </c>
      <c r="H300" s="49">
        <f t="shared" si="82"/>
        <v>0.32814958843811398</v>
      </c>
      <c r="I300" s="49">
        <f t="shared" si="93"/>
        <v>0.32814958843811398</v>
      </c>
      <c r="J300" s="48">
        <v>0.15</v>
      </c>
      <c r="K300" s="48">
        <f t="shared" si="83"/>
        <v>0.11514991021334528</v>
      </c>
      <c r="L300" s="48">
        <v>200500</v>
      </c>
      <c r="M300" s="48">
        <v>199500</v>
      </c>
      <c r="N300" s="51">
        <v>125461438</v>
      </c>
      <c r="O300" s="48">
        <f t="shared" si="84"/>
        <v>1.35791025817166</v>
      </c>
      <c r="P300" s="48">
        <f t="shared" si="94"/>
        <v>1.35791025817166</v>
      </c>
      <c r="Q300" s="49">
        <v>0.15</v>
      </c>
      <c r="R300" s="49">
        <f t="shared" si="85"/>
        <v>0.14222853428493809</v>
      </c>
      <c r="S300" s="49">
        <v>282800</v>
      </c>
      <c r="T300" s="49">
        <v>281300</v>
      </c>
      <c r="U300" s="49">
        <v>15956260</v>
      </c>
      <c r="V300" s="49">
        <f t="shared" si="86"/>
        <v>9.3529050298389205</v>
      </c>
      <c r="W300" s="49">
        <f t="shared" si="95"/>
        <v>9.3529050298389205</v>
      </c>
      <c r="X300" s="48">
        <v>0.1</v>
      </c>
      <c r="Y300" s="76">
        <f t="shared" si="87"/>
        <v>9.3163799645354345E-2</v>
      </c>
      <c r="Z300" s="18">
        <v>10900</v>
      </c>
      <c r="AA300" s="18">
        <v>10925</v>
      </c>
      <c r="AB300" s="18">
        <v>77600000</v>
      </c>
      <c r="AC300" s="135">
        <f t="shared" si="88"/>
        <v>32.435802871417998</v>
      </c>
      <c r="AD300" s="48">
        <f t="shared" si="96"/>
        <v>32.435802871417998</v>
      </c>
      <c r="AE300" s="49">
        <v>0.3</v>
      </c>
      <c r="AF300" s="49">
        <f t="shared" si="89"/>
        <v>0.34050687703244292</v>
      </c>
      <c r="AG300" s="19">
        <v>26350</v>
      </c>
      <c r="AH300" s="19">
        <v>26050</v>
      </c>
      <c r="AI300" s="19">
        <v>7239332</v>
      </c>
      <c r="AJ300" s="137">
        <f t="shared" si="90"/>
        <v>532.94242327637198</v>
      </c>
      <c r="AK300" s="49">
        <f t="shared" si="97"/>
        <v>532.94242327637198</v>
      </c>
      <c r="AL300" s="82">
        <f t="shared" si="98"/>
        <v>0</v>
      </c>
      <c r="AM300" s="82">
        <f t="shared" si="99"/>
        <v>245362881778894.84</v>
      </c>
      <c r="AN300" s="81">
        <f t="shared" si="91"/>
        <v>295162123732702.12</v>
      </c>
      <c r="AO300" s="80">
        <f t="shared" si="80"/>
        <v>1202.9615954652959</v>
      </c>
      <c r="AP300" s="52">
        <f t="shared" si="92"/>
        <v>-3.9776863314154587E-4</v>
      </c>
      <c r="AQ300" s="48">
        <f>(F300-E300)/E300</f>
        <v>1.5267175572519083E-2</v>
      </c>
      <c r="AR300" s="48">
        <f>(M300-L300)/L300</f>
        <v>-4.9875311720698253E-3</v>
      </c>
      <c r="AS300" s="48">
        <f>(T300-S300)/S300</f>
        <v>-5.3041018387553042E-3</v>
      </c>
      <c r="AT300" s="48" t="e">
        <f>(#REF!-#REF!)/#REF!</f>
        <v>#REF!</v>
      </c>
    </row>
    <row r="301" spans="1:46" x14ac:dyDescent="0.3">
      <c r="A301" s="48">
        <v>20190325</v>
      </c>
      <c r="B301" s="48" t="s">
        <v>88</v>
      </c>
      <c r="C301" s="79">
        <v>0.3</v>
      </c>
      <c r="D301" s="79">
        <f t="shared" si="81"/>
        <v>0.30421761977997663</v>
      </c>
      <c r="E301" s="49">
        <v>46550</v>
      </c>
      <c r="F301" s="49">
        <v>45500</v>
      </c>
      <c r="G301" s="49">
        <v>5969782550</v>
      </c>
      <c r="H301" s="49">
        <f t="shared" si="82"/>
        <v>0.32814958843811398</v>
      </c>
      <c r="I301" s="49">
        <f t="shared" si="93"/>
        <v>0.32814958843811398</v>
      </c>
      <c r="J301" s="48">
        <v>0.15</v>
      </c>
      <c r="K301" s="48">
        <f t="shared" si="83"/>
        <v>0.11513016092485739</v>
      </c>
      <c r="L301" s="48">
        <v>199500</v>
      </c>
      <c r="M301" s="48">
        <v>198000</v>
      </c>
      <c r="N301" s="51">
        <v>125461438</v>
      </c>
      <c r="O301" s="48">
        <f t="shared" si="84"/>
        <v>1.35791025817166</v>
      </c>
      <c r="P301" s="48">
        <f t="shared" si="94"/>
        <v>1.35791025817166</v>
      </c>
      <c r="Q301" s="49">
        <v>0.15</v>
      </c>
      <c r="R301" s="49">
        <f t="shared" si="85"/>
        <v>0.13828976991906319</v>
      </c>
      <c r="S301" s="49">
        <v>281300</v>
      </c>
      <c r="T301" s="49">
        <v>271500</v>
      </c>
      <c r="U301" s="49">
        <v>15956260</v>
      </c>
      <c r="V301" s="49">
        <f t="shared" si="86"/>
        <v>9.3529050298389205</v>
      </c>
      <c r="W301" s="49">
        <f t="shared" si="95"/>
        <v>9.3529050298389205</v>
      </c>
      <c r="X301" s="48">
        <v>0.1</v>
      </c>
      <c r="Y301" s="76">
        <f t="shared" si="87"/>
        <v>9.209239132291383E-2</v>
      </c>
      <c r="Z301" s="18">
        <v>10925</v>
      </c>
      <c r="AA301" s="18">
        <v>10720</v>
      </c>
      <c r="AB301" s="18">
        <v>77600000</v>
      </c>
      <c r="AC301" s="135">
        <f t="shared" si="88"/>
        <v>32.435802871417998</v>
      </c>
      <c r="AD301" s="48">
        <f t="shared" si="96"/>
        <v>32.435802871417998</v>
      </c>
      <c r="AE301" s="49">
        <v>0.3</v>
      </c>
      <c r="AF301" s="49">
        <f t="shared" si="89"/>
        <v>0.35027005805318895</v>
      </c>
      <c r="AG301" s="19">
        <v>26050</v>
      </c>
      <c r="AH301" s="19">
        <v>26600</v>
      </c>
      <c r="AI301" s="19">
        <v>7239332</v>
      </c>
      <c r="AJ301" s="137">
        <f t="shared" si="90"/>
        <v>532.94242327637198</v>
      </c>
      <c r="AK301" s="49">
        <f t="shared" si="97"/>
        <v>532.94242327637198</v>
      </c>
      <c r="AL301" s="82">
        <f t="shared" si="98"/>
        <v>0</v>
      </c>
      <c r="AM301" s="82">
        <f t="shared" si="99"/>
        <v>245362881778894.84</v>
      </c>
      <c r="AN301" s="81">
        <f t="shared" si="91"/>
        <v>292993110708144.25</v>
      </c>
      <c r="AO301" s="80">
        <f t="shared" si="80"/>
        <v>1194.121574477474</v>
      </c>
      <c r="AP301" s="52">
        <f t="shared" si="92"/>
        <v>-7.3485479679029951E-3</v>
      </c>
      <c r="AQ301" s="48">
        <f>(F301-E301)/E301</f>
        <v>-2.2556390977443608E-2</v>
      </c>
      <c r="AR301" s="48">
        <f>(M301-L301)/L301</f>
        <v>-7.5187969924812026E-3</v>
      </c>
      <c r="AS301" s="48">
        <f>(T301-S301)/S301</f>
        <v>-3.4838250977603978E-2</v>
      </c>
      <c r="AT301" s="48" t="e">
        <f>(#REF!-#REF!)/#REF!</f>
        <v>#REF!</v>
      </c>
    </row>
    <row r="302" spans="1:46" x14ac:dyDescent="0.3">
      <c r="A302" s="48">
        <v>20190326</v>
      </c>
      <c r="B302" s="48" t="s">
        <v>88</v>
      </c>
      <c r="C302" s="79">
        <v>0.3</v>
      </c>
      <c r="D302" s="79">
        <f t="shared" si="81"/>
        <v>0.29247218533301478</v>
      </c>
      <c r="E302" s="49">
        <v>45500</v>
      </c>
      <c r="F302" s="49">
        <v>45250</v>
      </c>
      <c r="G302" s="49">
        <v>5969782550</v>
      </c>
      <c r="H302" s="49">
        <f t="shared" si="82"/>
        <v>0.32814958843811398</v>
      </c>
      <c r="I302" s="49">
        <f t="shared" si="93"/>
        <v>0.32814958843811398</v>
      </c>
      <c r="J302" s="48">
        <v>0.15</v>
      </c>
      <c r="K302" s="48">
        <f t="shared" si="83"/>
        <v>0.10820508598595212</v>
      </c>
      <c r="L302" s="48">
        <v>198000</v>
      </c>
      <c r="M302" s="48">
        <v>192500</v>
      </c>
      <c r="N302" s="51">
        <v>125461438</v>
      </c>
      <c r="O302" s="48">
        <f t="shared" si="84"/>
        <v>1.35791025817166</v>
      </c>
      <c r="P302" s="48">
        <f t="shared" si="94"/>
        <v>1.35791025817166</v>
      </c>
      <c r="Q302" s="49">
        <v>0.15</v>
      </c>
      <c r="R302" s="49">
        <f t="shared" si="85"/>
        <v>0.14097256030689578</v>
      </c>
      <c r="S302" s="49">
        <v>271500</v>
      </c>
      <c r="T302" s="49">
        <v>286300</v>
      </c>
      <c r="U302" s="49">
        <v>15956260</v>
      </c>
      <c r="V302" s="49">
        <f t="shared" si="86"/>
        <v>9.3529050298389205</v>
      </c>
      <c r="W302" s="49">
        <f t="shared" si="95"/>
        <v>9.3529050298389205</v>
      </c>
      <c r="X302" s="48">
        <v>0.1</v>
      </c>
      <c r="Y302" s="76">
        <f t="shared" si="87"/>
        <v>8.9192074550742767E-2</v>
      </c>
      <c r="Z302" s="18">
        <v>10720</v>
      </c>
      <c r="AA302" s="18">
        <v>10740</v>
      </c>
      <c r="AB302" s="18">
        <v>77600000</v>
      </c>
      <c r="AC302" s="135">
        <f t="shared" si="88"/>
        <v>32.435802871417998</v>
      </c>
      <c r="AD302" s="48">
        <f t="shared" si="96"/>
        <v>32.435802871417998</v>
      </c>
      <c r="AE302" s="49">
        <v>0.3</v>
      </c>
      <c r="AF302" s="49">
        <f t="shared" si="89"/>
        <v>0.36915809382339448</v>
      </c>
      <c r="AG302" s="19">
        <v>26600</v>
      </c>
      <c r="AH302" s="19">
        <v>29000</v>
      </c>
      <c r="AI302" s="19">
        <v>7239332</v>
      </c>
      <c r="AJ302" s="137">
        <f t="shared" si="90"/>
        <v>532.94242327637198</v>
      </c>
      <c r="AK302" s="49">
        <f t="shared" si="97"/>
        <v>532.94242327637198</v>
      </c>
      <c r="AL302" s="82">
        <f t="shared" si="98"/>
        <v>0</v>
      </c>
      <c r="AM302" s="82">
        <f t="shared" si="99"/>
        <v>245362881778894.84</v>
      </c>
      <c r="AN302" s="81">
        <f t="shared" si="91"/>
        <v>303084962520176.62</v>
      </c>
      <c r="AO302" s="80">
        <f t="shared" si="80"/>
        <v>1235.251886197266</v>
      </c>
      <c r="AP302" s="52">
        <f t="shared" si="92"/>
        <v>3.4443990125368799E-2</v>
      </c>
      <c r="AQ302" s="48">
        <f>(F302-E302)/E302</f>
        <v>-5.4945054945054949E-3</v>
      </c>
      <c r="AR302" s="48">
        <f>(M302-L302)/L302</f>
        <v>-2.7777777777777776E-2</v>
      </c>
      <c r="AS302" s="48">
        <f>(T302-S302)/S302</f>
        <v>5.4511970534069983E-2</v>
      </c>
      <c r="AT302" s="48" t="e">
        <f>(#REF!-#REF!)/#REF!</f>
        <v>#REF!</v>
      </c>
    </row>
    <row r="303" spans="1:46" x14ac:dyDescent="0.3">
      <c r="A303" s="48">
        <v>20190327</v>
      </c>
      <c r="B303" s="48" t="s">
        <v>88</v>
      </c>
      <c r="C303" s="79">
        <v>0.3</v>
      </c>
      <c r="D303" s="79">
        <f t="shared" si="81"/>
        <v>0.2992529896049122</v>
      </c>
      <c r="E303" s="49">
        <v>45250</v>
      </c>
      <c r="F303" s="49">
        <v>45350</v>
      </c>
      <c r="G303" s="49">
        <v>5969782550</v>
      </c>
      <c r="H303" s="49">
        <f t="shared" si="82"/>
        <v>0.32814958843811398</v>
      </c>
      <c r="I303" s="49">
        <f t="shared" si="93"/>
        <v>0.32814958843811398</v>
      </c>
      <c r="J303" s="48">
        <v>0.15</v>
      </c>
      <c r="K303" s="48">
        <f t="shared" si="83"/>
        <v>0.10501788078644006</v>
      </c>
      <c r="L303" s="48">
        <v>192500</v>
      </c>
      <c r="M303" s="48">
        <v>183000</v>
      </c>
      <c r="N303" s="51">
        <v>125461438</v>
      </c>
      <c r="O303" s="48">
        <f t="shared" si="84"/>
        <v>1.35791025817166</v>
      </c>
      <c r="P303" s="48">
        <f t="shared" si="94"/>
        <v>1.35791025817166</v>
      </c>
      <c r="Q303" s="49">
        <v>0.15</v>
      </c>
      <c r="R303" s="49">
        <f t="shared" si="85"/>
        <v>0.13552778703273169</v>
      </c>
      <c r="S303" s="49">
        <v>286300</v>
      </c>
      <c r="T303" s="49">
        <v>269600</v>
      </c>
      <c r="U303" s="49">
        <v>15956260</v>
      </c>
      <c r="V303" s="49">
        <f t="shared" si="86"/>
        <v>9.3529050298389205</v>
      </c>
      <c r="W303" s="49">
        <f t="shared" si="95"/>
        <v>9.3529050298389205</v>
      </c>
      <c r="X303" s="48">
        <v>0.1</v>
      </c>
      <c r="Y303" s="76">
        <f t="shared" si="87"/>
        <v>9.0465215759210182E-2</v>
      </c>
      <c r="Z303" s="18">
        <v>10740</v>
      </c>
      <c r="AA303" s="18">
        <v>10670</v>
      </c>
      <c r="AB303" s="18">
        <v>77600000</v>
      </c>
      <c r="AC303" s="135">
        <f t="shared" si="88"/>
        <v>32.435802871417998</v>
      </c>
      <c r="AD303" s="48">
        <f t="shared" si="96"/>
        <v>32.435802871417998</v>
      </c>
      <c r="AE303" s="49">
        <v>0.3</v>
      </c>
      <c r="AF303" s="49">
        <f t="shared" si="89"/>
        <v>0.36973612681670576</v>
      </c>
      <c r="AG303" s="19">
        <v>29000</v>
      </c>
      <c r="AH303" s="19">
        <v>28450</v>
      </c>
      <c r="AI303" s="19">
        <v>7239332</v>
      </c>
      <c r="AJ303" s="137">
        <f t="shared" si="90"/>
        <v>532.94242327637198</v>
      </c>
      <c r="AK303" s="49">
        <f t="shared" si="97"/>
        <v>532.94242327637198</v>
      </c>
      <c r="AL303" s="82">
        <f t="shared" si="98"/>
        <v>0</v>
      </c>
      <c r="AM303" s="82">
        <f t="shared" si="99"/>
        <v>245362881778894.84</v>
      </c>
      <c r="AN303" s="81">
        <f t="shared" si="91"/>
        <v>296871953111733.87</v>
      </c>
      <c r="AO303" s="80">
        <f t="shared" si="80"/>
        <v>1209.9301693858311</v>
      </c>
      <c r="AP303" s="52">
        <f t="shared" si="92"/>
        <v>-2.0499233471634751E-2</v>
      </c>
      <c r="AQ303" s="48">
        <f>(F303-E303)/E303</f>
        <v>2.2099447513812156E-3</v>
      </c>
      <c r="AR303" s="48">
        <f>(M303-L303)/L303</f>
        <v>-4.9350649350649353E-2</v>
      </c>
      <c r="AS303" s="48">
        <f>(T303-S303)/S303</f>
        <v>-5.8330422633601116E-2</v>
      </c>
      <c r="AT303" s="48" t="e">
        <f>(#REF!-#REF!)/#REF!</f>
        <v>#REF!</v>
      </c>
    </row>
    <row r="304" spans="1:46" x14ac:dyDescent="0.3">
      <c r="A304" s="48">
        <v>20190328</v>
      </c>
      <c r="B304" s="48" t="s">
        <v>88</v>
      </c>
      <c r="C304" s="79">
        <v>0.3</v>
      </c>
      <c r="D304" s="79">
        <f t="shared" si="81"/>
        <v>0.29277006399564348</v>
      </c>
      <c r="E304" s="49">
        <v>45350</v>
      </c>
      <c r="F304" s="49">
        <v>44850</v>
      </c>
      <c r="G304" s="49">
        <v>5969782550</v>
      </c>
      <c r="H304" s="49">
        <f t="shared" si="82"/>
        <v>0.32814958843811398</v>
      </c>
      <c r="I304" s="49">
        <f t="shared" si="93"/>
        <v>0.33041489489478598</v>
      </c>
      <c r="J304" s="48">
        <v>0.15</v>
      </c>
      <c r="K304" s="48">
        <f t="shared" si="83"/>
        <v>0.10246897230628799</v>
      </c>
      <c r="L304" s="48">
        <v>183000</v>
      </c>
      <c r="M304" s="48">
        <v>180500</v>
      </c>
      <c r="N304" s="51">
        <v>125461438</v>
      </c>
      <c r="O304" s="48">
        <f t="shared" si="84"/>
        <v>1.35791025817166</v>
      </c>
      <c r="P304" s="48">
        <f t="shared" si="94"/>
        <v>1.367284284481</v>
      </c>
      <c r="Q304" s="49">
        <v>0.15</v>
      </c>
      <c r="R304" s="49">
        <f t="shared" si="85"/>
        <v>0.13441802768341923</v>
      </c>
      <c r="S304" s="49">
        <v>269600</v>
      </c>
      <c r="T304" s="49">
        <v>270300</v>
      </c>
      <c r="U304" s="49">
        <v>15956260</v>
      </c>
      <c r="V304" s="49">
        <f t="shared" si="86"/>
        <v>9.3529050298389205</v>
      </c>
      <c r="W304" s="49">
        <f t="shared" si="95"/>
        <v>9.4174706940945896</v>
      </c>
      <c r="X304" s="48">
        <v>0.1</v>
      </c>
      <c r="Y304" s="76">
        <f t="shared" si="87"/>
        <v>8.9156596724652579E-2</v>
      </c>
      <c r="Z304" s="18">
        <v>10670</v>
      </c>
      <c r="AA304" s="18">
        <v>10630</v>
      </c>
      <c r="AB304" s="18">
        <v>67900000</v>
      </c>
      <c r="AC304" s="135">
        <f t="shared" si="88"/>
        <v>32.435802871417998</v>
      </c>
      <c r="AD304" s="48">
        <f t="shared" si="96"/>
        <v>37.325389828108001</v>
      </c>
      <c r="AE304" s="49">
        <v>0.3</v>
      </c>
      <c r="AF304" s="49">
        <f t="shared" si="89"/>
        <v>0.38118633928999673</v>
      </c>
      <c r="AG304" s="19">
        <v>28450</v>
      </c>
      <c r="AH304" s="19">
        <v>29650</v>
      </c>
      <c r="AI304" s="19">
        <v>7239332</v>
      </c>
      <c r="AJ304" s="137">
        <f t="shared" si="90"/>
        <v>532.94242327637198</v>
      </c>
      <c r="AK304" s="49">
        <f t="shared" si="97"/>
        <v>536.62147074441395</v>
      </c>
      <c r="AL304" s="82">
        <f t="shared" si="98"/>
        <v>1</v>
      </c>
      <c r="AM304" s="82">
        <f t="shared" si="99"/>
        <v>247056688932415.56</v>
      </c>
      <c r="AN304" s="81">
        <f t="shared" si="91"/>
        <v>302171784070723.69</v>
      </c>
      <c r="AO304" s="80">
        <f t="shared" si="80"/>
        <v>1223.0868363713289</v>
      </c>
      <c r="AP304" s="52">
        <f t="shared" si="92"/>
        <v>1.0873906047136808E-2</v>
      </c>
      <c r="AQ304" s="48">
        <f>(F304-E304)/E304</f>
        <v>-1.1025358324145534E-2</v>
      </c>
      <c r="AR304" s="48">
        <f>(M304-L304)/L304</f>
        <v>-1.3661202185792349E-2</v>
      </c>
      <c r="AS304" s="48">
        <f>(T304-S304)/S304</f>
        <v>2.5964391691394658E-3</v>
      </c>
      <c r="AT304" s="48" t="e">
        <f>(#REF!-#REF!)/#REF!</f>
        <v>#REF!</v>
      </c>
    </row>
    <row r="305" spans="1:46" x14ac:dyDescent="0.3">
      <c r="A305" s="48">
        <v>20190329</v>
      </c>
      <c r="B305" s="48" t="s">
        <v>88</v>
      </c>
      <c r="C305" s="79">
        <v>0.3</v>
      </c>
      <c r="D305" s="79">
        <f t="shared" si="81"/>
        <v>0.28888902093983321</v>
      </c>
      <c r="E305" s="49">
        <v>44850</v>
      </c>
      <c r="F305" s="49">
        <v>44650</v>
      </c>
      <c r="G305" s="49">
        <v>5969782550</v>
      </c>
      <c r="H305" s="49">
        <f t="shared" si="82"/>
        <v>0.33041489489478598</v>
      </c>
      <c r="I305" s="49">
        <f t="shared" si="93"/>
        <v>0.33041489489478598</v>
      </c>
      <c r="J305" s="48">
        <v>0.15</v>
      </c>
      <c r="K305" s="48">
        <f t="shared" si="83"/>
        <v>0.10184485700151005</v>
      </c>
      <c r="L305" s="48">
        <v>180500</v>
      </c>
      <c r="M305" s="48">
        <v>181000</v>
      </c>
      <c r="N305" s="51">
        <v>125461438</v>
      </c>
      <c r="O305" s="48">
        <f t="shared" si="84"/>
        <v>1.367284284481</v>
      </c>
      <c r="P305" s="48">
        <f t="shared" si="94"/>
        <v>1.367284284481</v>
      </c>
      <c r="Q305" s="49">
        <v>0.15</v>
      </c>
      <c r="R305" s="49">
        <f t="shared" si="85"/>
        <v>0.13791278755508629</v>
      </c>
      <c r="S305" s="49">
        <v>270300</v>
      </c>
      <c r="T305" s="49">
        <v>279800</v>
      </c>
      <c r="U305" s="49">
        <v>15956260</v>
      </c>
      <c r="V305" s="49">
        <f t="shared" si="86"/>
        <v>9.4174706940945896</v>
      </c>
      <c r="W305" s="49">
        <f t="shared" si="95"/>
        <v>9.4174706940945896</v>
      </c>
      <c r="X305" s="48">
        <v>0.1</v>
      </c>
      <c r="Y305" s="76">
        <f t="shared" si="87"/>
        <v>8.9075392909609363E-2</v>
      </c>
      <c r="Z305" s="18">
        <v>10630</v>
      </c>
      <c r="AA305" s="18">
        <v>10715</v>
      </c>
      <c r="AB305" s="18">
        <v>67900000</v>
      </c>
      <c r="AC305" s="135">
        <f t="shared" si="88"/>
        <v>37.325389828108001</v>
      </c>
      <c r="AD305" s="48">
        <f t="shared" si="96"/>
        <v>37.325389828108001</v>
      </c>
      <c r="AE305" s="49">
        <v>0.3</v>
      </c>
      <c r="AF305" s="49">
        <f t="shared" si="89"/>
        <v>0.38227794159396111</v>
      </c>
      <c r="AG305" s="19">
        <v>29650</v>
      </c>
      <c r="AH305" s="19">
        <v>30000</v>
      </c>
      <c r="AI305" s="19">
        <v>7239332</v>
      </c>
      <c r="AJ305" s="137">
        <f t="shared" si="90"/>
        <v>536.62147074441395</v>
      </c>
      <c r="AK305" s="49">
        <f t="shared" si="97"/>
        <v>536.62147074441395</v>
      </c>
      <c r="AL305" s="82">
        <f t="shared" si="98"/>
        <v>0</v>
      </c>
      <c r="AM305" s="82">
        <f t="shared" si="99"/>
        <v>247056688932415.56</v>
      </c>
      <c r="AN305" s="81">
        <f t="shared" si="91"/>
        <v>304865692918270.25</v>
      </c>
      <c r="AO305" s="80">
        <f t="shared" si="80"/>
        <v>1233.9908473462494</v>
      </c>
      <c r="AP305" s="52">
        <f t="shared" si="92"/>
        <v>8.9151568397798399E-3</v>
      </c>
      <c r="AQ305" s="48">
        <f>(F305-E305)/E305</f>
        <v>-4.459308807134894E-3</v>
      </c>
      <c r="AR305" s="48">
        <f>(M305-L305)/L305</f>
        <v>2.7700831024930748E-3</v>
      </c>
      <c r="AS305" s="48">
        <f>(T305-S305)/S305</f>
        <v>3.5146133925268219E-2</v>
      </c>
      <c r="AT305" s="48" t="e">
        <f>(#REF!-#REF!)/#REF!</f>
        <v>#REF!</v>
      </c>
    </row>
    <row r="306" spans="1:46" x14ac:dyDescent="0.3">
      <c r="A306" s="48">
        <v>20190401</v>
      </c>
      <c r="B306" s="48" t="s">
        <v>88</v>
      </c>
      <c r="C306" s="79">
        <v>0.3</v>
      </c>
      <c r="D306" s="79">
        <f t="shared" si="81"/>
        <v>0.29223749031899343</v>
      </c>
      <c r="E306" s="49">
        <v>44650</v>
      </c>
      <c r="F306" s="49">
        <v>45050</v>
      </c>
      <c r="G306" s="49">
        <v>5969782550</v>
      </c>
      <c r="H306" s="49">
        <f t="shared" si="82"/>
        <v>0.33041489489478598</v>
      </c>
      <c r="I306" s="49">
        <f t="shared" si="93"/>
        <v>0.33041489489478598</v>
      </c>
      <c r="J306" s="48">
        <v>0.15</v>
      </c>
      <c r="K306" s="48">
        <f t="shared" si="83"/>
        <v>0.10267470796806553</v>
      </c>
      <c r="L306" s="48">
        <v>181000</v>
      </c>
      <c r="M306" s="48">
        <v>182000</v>
      </c>
      <c r="N306" s="51">
        <v>125461438</v>
      </c>
      <c r="O306" s="48">
        <f t="shared" si="84"/>
        <v>1.367284284481</v>
      </c>
      <c r="P306" s="48">
        <f t="shared" si="94"/>
        <v>1.367284284481</v>
      </c>
      <c r="Q306" s="49">
        <v>0.15</v>
      </c>
      <c r="R306" s="49">
        <f t="shared" si="85"/>
        <v>0.13585108984909031</v>
      </c>
      <c r="S306" s="49">
        <v>279800</v>
      </c>
      <c r="T306" s="49">
        <v>274900</v>
      </c>
      <c r="U306" s="49">
        <v>15956260</v>
      </c>
      <c r="V306" s="49">
        <f t="shared" si="86"/>
        <v>9.4174706940945896</v>
      </c>
      <c r="W306" s="49">
        <f t="shared" si="95"/>
        <v>9.4174706940945896</v>
      </c>
      <c r="X306" s="48">
        <v>0.1</v>
      </c>
      <c r="Y306" s="76">
        <f t="shared" si="87"/>
        <v>9.0432985776092115E-2</v>
      </c>
      <c r="Z306" s="18">
        <v>10715</v>
      </c>
      <c r="AA306" s="18">
        <v>10850</v>
      </c>
      <c r="AB306" s="18">
        <v>67900000</v>
      </c>
      <c r="AC306" s="135">
        <f t="shared" si="88"/>
        <v>37.325389828108001</v>
      </c>
      <c r="AD306" s="48">
        <f t="shared" si="96"/>
        <v>37.325389828108001</v>
      </c>
      <c r="AE306" s="49">
        <v>0.3</v>
      </c>
      <c r="AF306" s="49">
        <f t="shared" si="89"/>
        <v>0.3788037260877587</v>
      </c>
      <c r="AG306" s="19">
        <v>30000</v>
      </c>
      <c r="AH306" s="19">
        <v>29650</v>
      </c>
      <c r="AI306" s="19">
        <v>7239332</v>
      </c>
      <c r="AJ306" s="137">
        <f t="shared" si="90"/>
        <v>536.62147074441395</v>
      </c>
      <c r="AK306" s="49">
        <f t="shared" si="97"/>
        <v>536.62147074441395</v>
      </c>
      <c r="AL306" s="82">
        <f t="shared" si="98"/>
        <v>0</v>
      </c>
      <c r="AM306" s="82">
        <f t="shared" si="99"/>
        <v>247056688932415.56</v>
      </c>
      <c r="AN306" s="81">
        <f t="shared" si="91"/>
        <v>304072394947777.06</v>
      </c>
      <c r="AO306" s="80">
        <f t="shared" si="80"/>
        <v>1230.7798516273267</v>
      </c>
      <c r="AP306" s="52">
        <f t="shared" si="92"/>
        <v>-2.6021228000419261E-3</v>
      </c>
      <c r="AQ306" s="48">
        <f>(F306-E306)/E306</f>
        <v>8.9585666293393058E-3</v>
      </c>
      <c r="AR306" s="48">
        <f>(M306-L306)/L306</f>
        <v>5.5248618784530384E-3</v>
      </c>
      <c r="AS306" s="48">
        <f>(T306-S306)/S306</f>
        <v>-1.7512508934953538E-2</v>
      </c>
      <c r="AT306" s="48" t="e">
        <f>(#REF!-#REF!)/#REF!</f>
        <v>#REF!</v>
      </c>
    </row>
    <row r="307" spans="1:46" x14ac:dyDescent="0.3">
      <c r="A307" s="48">
        <v>20190402</v>
      </c>
      <c r="B307" s="48" t="s">
        <v>88</v>
      </c>
      <c r="C307" s="79">
        <v>0.3</v>
      </c>
      <c r="D307" s="79">
        <f t="shared" si="81"/>
        <v>0.294400072009455</v>
      </c>
      <c r="E307" s="49">
        <v>45050</v>
      </c>
      <c r="F307" s="49">
        <v>45750</v>
      </c>
      <c r="G307" s="49">
        <v>5969782550</v>
      </c>
      <c r="H307" s="49">
        <f t="shared" si="82"/>
        <v>0.33041489489478598</v>
      </c>
      <c r="I307" s="49">
        <f t="shared" si="93"/>
        <v>0.33041489489478598</v>
      </c>
      <c r="J307" s="48">
        <v>0.15</v>
      </c>
      <c r="K307" s="48">
        <f t="shared" si="83"/>
        <v>0.10632891162205572</v>
      </c>
      <c r="L307" s="48">
        <v>182000</v>
      </c>
      <c r="M307" s="48">
        <v>190000</v>
      </c>
      <c r="N307" s="51">
        <v>125461438</v>
      </c>
      <c r="O307" s="48">
        <f t="shared" si="84"/>
        <v>1.367284284481</v>
      </c>
      <c r="P307" s="48">
        <f t="shared" si="94"/>
        <v>1.367284284481</v>
      </c>
      <c r="Q307" s="49">
        <v>0.15</v>
      </c>
      <c r="R307" s="49">
        <f t="shared" si="85"/>
        <v>0.13579189070755029</v>
      </c>
      <c r="S307" s="49">
        <v>274900</v>
      </c>
      <c r="T307" s="49">
        <v>277000</v>
      </c>
      <c r="U307" s="49">
        <v>15956260</v>
      </c>
      <c r="V307" s="49">
        <f t="shared" si="86"/>
        <v>9.4174706940945896</v>
      </c>
      <c r="W307" s="49">
        <f t="shared" si="95"/>
        <v>9.4174706940945896</v>
      </c>
      <c r="X307" s="48">
        <v>0.1</v>
      </c>
      <c r="Y307" s="76">
        <f t="shared" si="87"/>
        <v>9.0245706875630605E-2</v>
      </c>
      <c r="Z307" s="18">
        <v>10850</v>
      </c>
      <c r="AA307" s="18">
        <v>10915</v>
      </c>
      <c r="AB307" s="18">
        <v>67900000</v>
      </c>
      <c r="AC307" s="135">
        <f t="shared" si="88"/>
        <v>37.325389828108001</v>
      </c>
      <c r="AD307" s="48">
        <f t="shared" si="96"/>
        <v>37.325389828108001</v>
      </c>
      <c r="AE307" s="49">
        <v>0.3</v>
      </c>
      <c r="AF307" s="49">
        <f t="shared" si="89"/>
        <v>0.37323341878530825</v>
      </c>
      <c r="AG307" s="19">
        <v>29650</v>
      </c>
      <c r="AH307" s="19">
        <v>29450</v>
      </c>
      <c r="AI307" s="19">
        <v>7239332</v>
      </c>
      <c r="AJ307" s="137">
        <f t="shared" si="90"/>
        <v>536.62147074441395</v>
      </c>
      <c r="AK307" s="49">
        <f t="shared" si="97"/>
        <v>536.62147074441395</v>
      </c>
      <c r="AL307" s="82">
        <f t="shared" si="98"/>
        <v>0</v>
      </c>
      <c r="AM307" s="82">
        <f t="shared" si="99"/>
        <v>247056688932415.56</v>
      </c>
      <c r="AN307" s="81">
        <f t="shared" si="91"/>
        <v>306528821513290.87</v>
      </c>
      <c r="AO307" s="80">
        <f t="shared" si="80"/>
        <v>1240.7226164888191</v>
      </c>
      <c r="AP307" s="52">
        <f t="shared" si="92"/>
        <v>8.0784267376055423E-3</v>
      </c>
      <c r="AQ307" s="48">
        <f>(F307-E307)/E307</f>
        <v>1.5538290788013319E-2</v>
      </c>
      <c r="AR307" s="48">
        <f>(M307-L307)/L307</f>
        <v>4.3956043956043959E-2</v>
      </c>
      <c r="AS307" s="48">
        <f>(T307-S307)/S307</f>
        <v>7.6391415060021823E-3</v>
      </c>
      <c r="AT307" s="48" t="e">
        <f>(#REF!-#REF!)/#REF!</f>
        <v>#REF!</v>
      </c>
    </row>
    <row r="308" spans="1:46" x14ac:dyDescent="0.3">
      <c r="A308" s="48">
        <v>20190403</v>
      </c>
      <c r="B308" s="48" t="s">
        <v>88</v>
      </c>
      <c r="C308" s="79">
        <v>0.3</v>
      </c>
      <c r="D308" s="79">
        <f t="shared" si="81"/>
        <v>0.29069458152676403</v>
      </c>
      <c r="E308" s="49">
        <v>45750</v>
      </c>
      <c r="F308" s="49">
        <v>46600</v>
      </c>
      <c r="G308" s="49">
        <v>5969782550</v>
      </c>
      <c r="H308" s="49">
        <f t="shared" si="82"/>
        <v>0.33041489489478598</v>
      </c>
      <c r="I308" s="49">
        <f t="shared" si="93"/>
        <v>0.33041489489478598</v>
      </c>
      <c r="J308" s="48">
        <v>0.15</v>
      </c>
      <c r="K308" s="48">
        <f t="shared" si="83"/>
        <v>0.10497428938776583</v>
      </c>
      <c r="L308" s="48">
        <v>190000</v>
      </c>
      <c r="M308" s="48">
        <v>193500</v>
      </c>
      <c r="N308" s="51">
        <v>125461438</v>
      </c>
      <c r="O308" s="48">
        <f t="shared" si="84"/>
        <v>1.367284284481</v>
      </c>
      <c r="P308" s="48">
        <f t="shared" si="94"/>
        <v>1.367284284481</v>
      </c>
      <c r="Q308" s="49">
        <v>0.15</v>
      </c>
      <c r="R308" s="49">
        <f t="shared" si="85"/>
        <v>0.13282507963872001</v>
      </c>
      <c r="S308" s="49">
        <v>277000</v>
      </c>
      <c r="T308" s="49">
        <v>279500</v>
      </c>
      <c r="U308" s="49">
        <v>15956260</v>
      </c>
      <c r="V308" s="49">
        <f t="shared" si="86"/>
        <v>9.4174706940945896</v>
      </c>
      <c r="W308" s="49">
        <f t="shared" si="95"/>
        <v>9.4174706940945896</v>
      </c>
      <c r="X308" s="48">
        <v>0.1</v>
      </c>
      <c r="Y308" s="76">
        <f t="shared" si="87"/>
        <v>8.8806913818510372E-2</v>
      </c>
      <c r="Z308" s="18">
        <v>10915</v>
      </c>
      <c r="AA308" s="18">
        <v>11080</v>
      </c>
      <c r="AB308" s="18">
        <v>67900000</v>
      </c>
      <c r="AC308" s="135">
        <f t="shared" si="88"/>
        <v>37.325389828108001</v>
      </c>
      <c r="AD308" s="48">
        <f t="shared" si="96"/>
        <v>37.325389828108001</v>
      </c>
      <c r="AE308" s="49">
        <v>0.3</v>
      </c>
      <c r="AF308" s="49">
        <f t="shared" si="89"/>
        <v>0.38269913562823982</v>
      </c>
      <c r="AG308" s="19">
        <v>29450</v>
      </c>
      <c r="AH308" s="19">
        <v>31150</v>
      </c>
      <c r="AI308" s="19">
        <v>7239332</v>
      </c>
      <c r="AJ308" s="137">
        <f t="shared" si="90"/>
        <v>536.62147074441395</v>
      </c>
      <c r="AK308" s="49">
        <f t="shared" si="97"/>
        <v>536.62147074441395</v>
      </c>
      <c r="AL308" s="82">
        <f t="shared" si="98"/>
        <v>0</v>
      </c>
      <c r="AM308" s="82">
        <f t="shared" si="99"/>
        <v>247056688932415.56</v>
      </c>
      <c r="AN308" s="81">
        <f t="shared" si="91"/>
        <v>316203817616586.25</v>
      </c>
      <c r="AO308" s="80">
        <f t="shared" si="80"/>
        <v>1279.8836533549045</v>
      </c>
      <c r="AP308" s="52">
        <f t="shared" si="92"/>
        <v>3.1563087789041121E-2</v>
      </c>
      <c r="AQ308" s="48">
        <f>(F308-E308)/E308</f>
        <v>1.8579234972677595E-2</v>
      </c>
      <c r="AR308" s="48">
        <f>(M308-L308)/L308</f>
        <v>1.8421052631578946E-2</v>
      </c>
      <c r="AS308" s="48">
        <f>(T308-S308)/S308</f>
        <v>9.0252707581227436E-3</v>
      </c>
      <c r="AT308" s="48" t="e">
        <f>(#REF!-#REF!)/#REF!</f>
        <v>#REF!</v>
      </c>
    </row>
    <row r="309" spans="1:46" x14ac:dyDescent="0.3">
      <c r="A309" s="48">
        <v>20190404</v>
      </c>
      <c r="B309" s="48" t="s">
        <v>88</v>
      </c>
      <c r="C309" s="79">
        <v>0.3</v>
      </c>
      <c r="D309" s="79">
        <f t="shared" si="81"/>
        <v>0.29322246084618236</v>
      </c>
      <c r="E309" s="49">
        <v>46600</v>
      </c>
      <c r="F309" s="49">
        <v>46950</v>
      </c>
      <c r="G309" s="49">
        <v>5969782550</v>
      </c>
      <c r="H309" s="49">
        <f t="shared" si="82"/>
        <v>0.33041489489478598</v>
      </c>
      <c r="I309" s="49">
        <f t="shared" si="93"/>
        <v>0.33041489489478598</v>
      </c>
      <c r="J309" s="48">
        <v>0.15</v>
      </c>
      <c r="K309" s="48">
        <f t="shared" si="83"/>
        <v>0.10455464348584323</v>
      </c>
      <c r="L309" s="48">
        <v>193500</v>
      </c>
      <c r="M309" s="48">
        <v>192500</v>
      </c>
      <c r="N309" s="51">
        <v>125461438</v>
      </c>
      <c r="O309" s="48">
        <f t="shared" si="84"/>
        <v>1.367284284481</v>
      </c>
      <c r="P309" s="48">
        <f t="shared" si="94"/>
        <v>1.367284284481</v>
      </c>
      <c r="Q309" s="49">
        <v>0.15</v>
      </c>
      <c r="R309" s="49">
        <f t="shared" si="85"/>
        <v>0.12984117171738008</v>
      </c>
      <c r="S309" s="49">
        <v>279500</v>
      </c>
      <c r="T309" s="49">
        <v>272900</v>
      </c>
      <c r="U309" s="49">
        <v>15956260</v>
      </c>
      <c r="V309" s="49">
        <f t="shared" si="86"/>
        <v>9.4174706940945896</v>
      </c>
      <c r="W309" s="49">
        <f t="shared" si="95"/>
        <v>9.4174706940945896</v>
      </c>
      <c r="X309" s="48">
        <v>0.1</v>
      </c>
      <c r="Y309" s="76">
        <f t="shared" si="87"/>
        <v>8.9232368849338051E-2</v>
      </c>
      <c r="Z309" s="18">
        <v>11080</v>
      </c>
      <c r="AA309" s="18">
        <v>11120</v>
      </c>
      <c r="AB309" s="18">
        <v>67900000</v>
      </c>
      <c r="AC309" s="135">
        <f t="shared" si="88"/>
        <v>37.325389828108001</v>
      </c>
      <c r="AD309" s="48">
        <f t="shared" si="96"/>
        <v>37.325389828108001</v>
      </c>
      <c r="AE309" s="49">
        <v>0.3</v>
      </c>
      <c r="AF309" s="49">
        <f t="shared" si="89"/>
        <v>0.38314935510125636</v>
      </c>
      <c r="AG309" s="19">
        <v>31150</v>
      </c>
      <c r="AH309" s="19">
        <v>31150</v>
      </c>
      <c r="AI309" s="19">
        <v>7239332</v>
      </c>
      <c r="AJ309" s="137">
        <f t="shared" si="90"/>
        <v>536.62147074441395</v>
      </c>
      <c r="AK309" s="49">
        <f t="shared" si="97"/>
        <v>536.62147074441395</v>
      </c>
      <c r="AL309" s="82">
        <f t="shared" si="98"/>
        <v>0</v>
      </c>
      <c r="AM309" s="82">
        <f t="shared" si="99"/>
        <v>247056688932415.56</v>
      </c>
      <c r="AN309" s="81">
        <f t="shared" si="91"/>
        <v>315832262466518.12</v>
      </c>
      <c r="AO309" s="80">
        <f t="shared" si="80"/>
        <v>1278.3797266582678</v>
      </c>
      <c r="AP309" s="52">
        <f t="shared" si="92"/>
        <v>-1.1750495388346239E-3</v>
      </c>
      <c r="AQ309" s="48">
        <f>(F309-E309)/E309</f>
        <v>7.5107296137339056E-3</v>
      </c>
      <c r="AR309" s="48">
        <f>(M309-L309)/L309</f>
        <v>-5.1679586563307496E-3</v>
      </c>
      <c r="AS309" s="48">
        <f>(T309-S309)/S309</f>
        <v>-2.3613595706618962E-2</v>
      </c>
      <c r="AT309" s="48" t="e">
        <f>(#REF!-#REF!)/#REF!</f>
        <v>#REF!</v>
      </c>
    </row>
    <row r="310" spans="1:46" x14ac:dyDescent="0.3">
      <c r="A310" s="48">
        <v>20190405</v>
      </c>
      <c r="B310" s="48" t="s">
        <v>88</v>
      </c>
      <c r="C310" s="79">
        <v>0.3</v>
      </c>
      <c r="D310" s="79">
        <f t="shared" si="81"/>
        <v>0.29763005722085861</v>
      </c>
      <c r="E310" s="49">
        <v>46950</v>
      </c>
      <c r="F310" s="49">
        <v>46850</v>
      </c>
      <c r="G310" s="49">
        <v>5969782550</v>
      </c>
      <c r="H310" s="49">
        <f t="shared" si="82"/>
        <v>0.33041489489478598</v>
      </c>
      <c r="I310" s="49">
        <f t="shared" si="93"/>
        <v>0.33041489489478598</v>
      </c>
      <c r="J310" s="48">
        <v>0.15</v>
      </c>
      <c r="K310" s="48">
        <f t="shared" si="83"/>
        <v>0.10607654729648155</v>
      </c>
      <c r="L310" s="48">
        <v>192500</v>
      </c>
      <c r="M310" s="48">
        <v>192000</v>
      </c>
      <c r="N310" s="51">
        <v>125461438</v>
      </c>
      <c r="O310" s="48">
        <f t="shared" si="84"/>
        <v>1.367284284481</v>
      </c>
      <c r="P310" s="48">
        <f t="shared" si="94"/>
        <v>1.367284284481</v>
      </c>
      <c r="Q310" s="49">
        <v>0.15</v>
      </c>
      <c r="R310" s="49">
        <f t="shared" si="85"/>
        <v>0.12829926638669142</v>
      </c>
      <c r="S310" s="49">
        <v>272900</v>
      </c>
      <c r="T310" s="49">
        <v>265100</v>
      </c>
      <c r="U310" s="49">
        <v>15956260</v>
      </c>
      <c r="V310" s="49">
        <f t="shared" si="86"/>
        <v>9.4174706940945896</v>
      </c>
      <c r="W310" s="49">
        <f t="shared" si="95"/>
        <v>9.4174706940945896</v>
      </c>
      <c r="X310" s="48">
        <v>0.1</v>
      </c>
      <c r="Y310" s="76">
        <f t="shared" si="87"/>
        <v>9.0766999128816278E-2</v>
      </c>
      <c r="Z310" s="18">
        <v>11120</v>
      </c>
      <c r="AA310" s="18">
        <v>11120</v>
      </c>
      <c r="AB310" s="18">
        <v>67900000</v>
      </c>
      <c r="AC310" s="135">
        <f t="shared" si="88"/>
        <v>37.325389828108001</v>
      </c>
      <c r="AD310" s="48">
        <f t="shared" si="96"/>
        <v>37.325389828108001</v>
      </c>
      <c r="AE310" s="49">
        <v>0.3</v>
      </c>
      <c r="AF310" s="49">
        <f t="shared" si="89"/>
        <v>0.37722712996715213</v>
      </c>
      <c r="AG310" s="19">
        <v>31150</v>
      </c>
      <c r="AH310" s="19">
        <v>30150</v>
      </c>
      <c r="AI310" s="19">
        <v>7239332</v>
      </c>
      <c r="AJ310" s="137">
        <f t="shared" si="90"/>
        <v>536.62147074441395</v>
      </c>
      <c r="AK310" s="49">
        <f t="shared" si="97"/>
        <v>536.62147074441395</v>
      </c>
      <c r="AL310" s="82">
        <f t="shared" si="98"/>
        <v>0</v>
      </c>
      <c r="AM310" s="82">
        <f t="shared" si="99"/>
        <v>247056688932415.56</v>
      </c>
      <c r="AN310" s="81">
        <f t="shared" si="91"/>
        <v>310492372882536.5</v>
      </c>
      <c r="AO310" s="80">
        <f t="shared" si="80"/>
        <v>1256.7657011200142</v>
      </c>
      <c r="AP310" s="52">
        <f t="shared" si="92"/>
        <v>-1.6907359439087371E-2</v>
      </c>
      <c r="AQ310" s="48">
        <f>(F310-E310)/E310</f>
        <v>-2.1299254526091589E-3</v>
      </c>
      <c r="AR310" s="48">
        <f>(M310-L310)/L310</f>
        <v>-2.5974025974025974E-3</v>
      </c>
      <c r="AS310" s="48">
        <f>(T310-S310)/S310</f>
        <v>-2.8581898131183583E-2</v>
      </c>
      <c r="AT310" s="48" t="e">
        <f>(#REF!-#REF!)/#REF!</f>
        <v>#REF!</v>
      </c>
    </row>
    <row r="311" spans="1:46" x14ac:dyDescent="0.3">
      <c r="A311" s="48">
        <v>20190408</v>
      </c>
      <c r="B311" s="48" t="s">
        <v>88</v>
      </c>
      <c r="C311" s="79">
        <v>0.3</v>
      </c>
      <c r="D311" s="79">
        <f t="shared" si="81"/>
        <v>0.29774092527463464</v>
      </c>
      <c r="E311" s="49">
        <v>46850</v>
      </c>
      <c r="F311" s="49">
        <v>46650</v>
      </c>
      <c r="G311" s="49">
        <v>5969782550</v>
      </c>
      <c r="H311" s="49">
        <f t="shared" si="82"/>
        <v>0.33041489489478598</v>
      </c>
      <c r="I311" s="49">
        <f t="shared" si="93"/>
        <v>0.33041489489478598</v>
      </c>
      <c r="J311" s="48">
        <v>0.15</v>
      </c>
      <c r="K311" s="48">
        <f t="shared" si="83"/>
        <v>0.1085137073588448</v>
      </c>
      <c r="L311" s="48">
        <v>192000</v>
      </c>
      <c r="M311" s="48">
        <v>195500</v>
      </c>
      <c r="N311" s="51">
        <v>125461438</v>
      </c>
      <c r="O311" s="48">
        <f t="shared" si="84"/>
        <v>1.367284284481</v>
      </c>
      <c r="P311" s="48">
        <f t="shared" si="94"/>
        <v>1.367284284481</v>
      </c>
      <c r="Q311" s="49">
        <v>0.15</v>
      </c>
      <c r="R311" s="49">
        <f t="shared" si="85"/>
        <v>0.13186326458399503</v>
      </c>
      <c r="S311" s="49">
        <v>265100</v>
      </c>
      <c r="T311" s="49">
        <v>271200</v>
      </c>
      <c r="U311" s="49">
        <v>15956260</v>
      </c>
      <c r="V311" s="49">
        <f t="shared" si="86"/>
        <v>9.4174706940945896</v>
      </c>
      <c r="W311" s="49">
        <f t="shared" si="95"/>
        <v>9.4174706940945896</v>
      </c>
      <c r="X311" s="48">
        <v>0.1</v>
      </c>
      <c r="Y311" s="76">
        <f t="shared" si="87"/>
        <v>9.1067087234673869E-2</v>
      </c>
      <c r="Z311" s="18">
        <v>11120</v>
      </c>
      <c r="AA311" s="18">
        <v>11105</v>
      </c>
      <c r="AB311" s="18">
        <v>67900000</v>
      </c>
      <c r="AC311" s="135">
        <f t="shared" si="88"/>
        <v>37.325389828108001</v>
      </c>
      <c r="AD311" s="48">
        <f t="shared" si="96"/>
        <v>37.325389828108001</v>
      </c>
      <c r="AE311" s="49">
        <v>0.3</v>
      </c>
      <c r="AF311" s="49">
        <f t="shared" si="89"/>
        <v>0.37081501554785151</v>
      </c>
      <c r="AG311" s="19">
        <v>30150</v>
      </c>
      <c r="AH311" s="19">
        <v>29500</v>
      </c>
      <c r="AI311" s="19">
        <v>7239332</v>
      </c>
      <c r="AJ311" s="137">
        <f t="shared" si="90"/>
        <v>536.62147074441395</v>
      </c>
      <c r="AK311" s="49">
        <f t="shared" si="97"/>
        <v>536.62147074441395</v>
      </c>
      <c r="AL311" s="82">
        <f t="shared" si="98"/>
        <v>0</v>
      </c>
      <c r="AM311" s="82">
        <f t="shared" si="99"/>
        <v>247056688932415.56</v>
      </c>
      <c r="AN311" s="81">
        <f t="shared" si="91"/>
        <v>309051775828373.5</v>
      </c>
      <c r="AO311" s="80">
        <f t="shared" si="80"/>
        <v>1250.9346626632612</v>
      </c>
      <c r="AP311" s="52">
        <f t="shared" si="92"/>
        <v>-4.6397180091376613E-3</v>
      </c>
      <c r="AQ311" s="48">
        <f>(F311-E311)/E311</f>
        <v>-4.2689434364994666E-3</v>
      </c>
      <c r="AR311" s="48">
        <f>(M311-L311)/L311</f>
        <v>1.8229166666666668E-2</v>
      </c>
      <c r="AS311" s="48">
        <f>(T311-S311)/S311</f>
        <v>2.3010184835910975E-2</v>
      </c>
      <c r="AT311" s="48" t="e">
        <f>(#REF!-#REF!)/#REF!</f>
        <v>#REF!</v>
      </c>
    </row>
    <row r="312" spans="1:46" x14ac:dyDescent="0.3">
      <c r="A312" s="48">
        <v>20190409</v>
      </c>
      <c r="B312" s="48" t="s">
        <v>88</v>
      </c>
      <c r="C312" s="79">
        <v>0.3</v>
      </c>
      <c r="D312" s="79">
        <f t="shared" si="81"/>
        <v>0.29613478264689191</v>
      </c>
      <c r="E312" s="49">
        <v>46650</v>
      </c>
      <c r="F312" s="49">
        <v>46650</v>
      </c>
      <c r="G312" s="49">
        <v>5969782550</v>
      </c>
      <c r="H312" s="49">
        <f t="shared" si="82"/>
        <v>0.33041489489478598</v>
      </c>
      <c r="I312" s="49">
        <f t="shared" si="93"/>
        <v>0.33041489489478598</v>
      </c>
      <c r="J312" s="48">
        <v>0.15</v>
      </c>
      <c r="K312" s="48">
        <f t="shared" si="83"/>
        <v>0.11289690572081862</v>
      </c>
      <c r="L312" s="48">
        <v>195500</v>
      </c>
      <c r="M312" s="48">
        <v>204500</v>
      </c>
      <c r="N312" s="51">
        <v>125461438</v>
      </c>
      <c r="O312" s="48">
        <f t="shared" si="84"/>
        <v>1.367284284481</v>
      </c>
      <c r="P312" s="48">
        <f t="shared" si="94"/>
        <v>1.367284284481</v>
      </c>
      <c r="Q312" s="49">
        <v>0.15</v>
      </c>
      <c r="R312" s="49">
        <f t="shared" si="85"/>
        <v>0.13100685783548893</v>
      </c>
      <c r="S312" s="49">
        <v>271200</v>
      </c>
      <c r="T312" s="49">
        <v>270900</v>
      </c>
      <c r="U312" s="49">
        <v>15956260</v>
      </c>
      <c r="V312" s="49">
        <f t="shared" si="86"/>
        <v>9.4174706940945896</v>
      </c>
      <c r="W312" s="49">
        <f t="shared" si="95"/>
        <v>9.4174706940945896</v>
      </c>
      <c r="X312" s="48">
        <v>0.1</v>
      </c>
      <c r="Y312" s="76">
        <f t="shared" si="87"/>
        <v>9.1146773953317342E-2</v>
      </c>
      <c r="Z312" s="18">
        <v>11105</v>
      </c>
      <c r="AA312" s="18">
        <v>11175</v>
      </c>
      <c r="AB312" s="18">
        <v>67900000</v>
      </c>
      <c r="AC312" s="135">
        <f t="shared" si="88"/>
        <v>37.325389828108001</v>
      </c>
      <c r="AD312" s="48">
        <f t="shared" si="96"/>
        <v>37.325389828108001</v>
      </c>
      <c r="AE312" s="49">
        <v>0.3</v>
      </c>
      <c r="AF312" s="49">
        <f t="shared" si="89"/>
        <v>0.36881467984348326</v>
      </c>
      <c r="AG312" s="19">
        <v>29500</v>
      </c>
      <c r="AH312" s="19">
        <v>29500</v>
      </c>
      <c r="AI312" s="19">
        <v>7239332</v>
      </c>
      <c r="AJ312" s="137">
        <f t="shared" si="90"/>
        <v>536.62147074441395</v>
      </c>
      <c r="AK312" s="49">
        <f t="shared" si="97"/>
        <v>536.62147074441395</v>
      </c>
      <c r="AL312" s="82">
        <f t="shared" si="98"/>
        <v>0</v>
      </c>
      <c r="AM312" s="82">
        <f t="shared" si="99"/>
        <v>247056688932415.56</v>
      </c>
      <c r="AN312" s="81">
        <f t="shared" si="91"/>
        <v>310727976195317.31</v>
      </c>
      <c r="AO312" s="80">
        <f t="shared" si="80"/>
        <v>1257.7193418159973</v>
      </c>
      <c r="AP312" s="52">
        <f t="shared" si="92"/>
        <v>5.4236878673514346E-3</v>
      </c>
      <c r="AQ312" s="48">
        <f>(F312-E312)/E312</f>
        <v>0</v>
      </c>
      <c r="AR312" s="48">
        <f>(M312-L312)/L312</f>
        <v>4.6035805626598467E-2</v>
      </c>
      <c r="AS312" s="48">
        <f>(T312-S312)/S312</f>
        <v>-1.1061946902654867E-3</v>
      </c>
      <c r="AT312" s="48" t="e">
        <f>(#REF!-#REF!)/#REF!</f>
        <v>#REF!</v>
      </c>
    </row>
    <row r="313" spans="1:46" x14ac:dyDescent="0.3">
      <c r="A313" s="48">
        <v>20190410</v>
      </c>
      <c r="B313" s="48" t="s">
        <v>88</v>
      </c>
      <c r="C313" s="79">
        <v>0.3</v>
      </c>
      <c r="D313" s="79">
        <f t="shared" si="81"/>
        <v>0.29337586356686834</v>
      </c>
      <c r="E313" s="49">
        <v>46650</v>
      </c>
      <c r="F313" s="49">
        <v>46700</v>
      </c>
      <c r="G313" s="49">
        <v>5969782550</v>
      </c>
      <c r="H313" s="49">
        <f t="shared" si="82"/>
        <v>0.33041489489478598</v>
      </c>
      <c r="I313" s="49">
        <f t="shared" si="93"/>
        <v>0.33041489489478598</v>
      </c>
      <c r="J313" s="48">
        <v>0.15</v>
      </c>
      <c r="K313" s="48">
        <f t="shared" si="83"/>
        <v>0.11227169533324222</v>
      </c>
      <c r="L313" s="48">
        <v>204500</v>
      </c>
      <c r="M313" s="48">
        <v>205500</v>
      </c>
      <c r="N313" s="51">
        <v>125461438</v>
      </c>
      <c r="O313" s="48">
        <f t="shared" si="84"/>
        <v>1.367284284481</v>
      </c>
      <c r="P313" s="48">
        <f t="shared" si="94"/>
        <v>1.367284284481</v>
      </c>
      <c r="Q313" s="49">
        <v>0.15</v>
      </c>
      <c r="R313" s="49">
        <f t="shared" si="85"/>
        <v>0.13304530365418946</v>
      </c>
      <c r="S313" s="49">
        <v>270900</v>
      </c>
      <c r="T313" s="49">
        <v>278000</v>
      </c>
      <c r="U313" s="49">
        <v>15956260</v>
      </c>
      <c r="V313" s="49">
        <f t="shared" si="86"/>
        <v>9.4174706940945896</v>
      </c>
      <c r="W313" s="49">
        <f t="shared" si="95"/>
        <v>9.4174706940945896</v>
      </c>
      <c r="X313" s="48">
        <v>0.1</v>
      </c>
      <c r="Y313" s="76">
        <f t="shared" si="87"/>
        <v>8.9514840888565345E-2</v>
      </c>
      <c r="Z313" s="18">
        <v>11175</v>
      </c>
      <c r="AA313" s="18">
        <v>11090</v>
      </c>
      <c r="AB313" s="18">
        <v>67900000</v>
      </c>
      <c r="AC313" s="135">
        <f t="shared" si="88"/>
        <v>37.325389828108001</v>
      </c>
      <c r="AD313" s="48">
        <f t="shared" si="96"/>
        <v>37.325389828108001</v>
      </c>
      <c r="AE313" s="49">
        <v>0.3</v>
      </c>
      <c r="AF313" s="49">
        <f t="shared" si="89"/>
        <v>0.37179229655713453</v>
      </c>
      <c r="AG313" s="19">
        <v>29500</v>
      </c>
      <c r="AH313" s="19">
        <v>30050</v>
      </c>
      <c r="AI313" s="19">
        <v>7239332</v>
      </c>
      <c r="AJ313" s="137">
        <f t="shared" si="90"/>
        <v>536.62147074441395</v>
      </c>
      <c r="AK313" s="49">
        <f t="shared" si="97"/>
        <v>536.62147074441395</v>
      </c>
      <c r="AL313" s="82">
        <f t="shared" si="98"/>
        <v>0</v>
      </c>
      <c r="AM313" s="82">
        <f t="shared" si="99"/>
        <v>247056688932415.56</v>
      </c>
      <c r="AN313" s="81">
        <f t="shared" si="91"/>
        <v>313986248993531.5</v>
      </c>
      <c r="AO313" s="80">
        <f t="shared" si="80"/>
        <v>1270.9077028042948</v>
      </c>
      <c r="AP313" s="52">
        <f t="shared" si="92"/>
        <v>1.0485933188603979E-2</v>
      </c>
      <c r="AQ313" s="48">
        <f>(F313-E313)/E313</f>
        <v>1.0718113612004287E-3</v>
      </c>
      <c r="AR313" s="48">
        <f>(M313-L313)/L313</f>
        <v>4.8899755501222494E-3</v>
      </c>
      <c r="AS313" s="48">
        <f>(T313-S313)/S313</f>
        <v>2.6208933185677373E-2</v>
      </c>
      <c r="AT313" s="48" t="e">
        <f>(#REF!-#REF!)/#REF!</f>
        <v>#REF!</v>
      </c>
    </row>
    <row r="314" spans="1:46" x14ac:dyDescent="0.3">
      <c r="A314" s="48">
        <v>20190411</v>
      </c>
      <c r="B314" s="48" t="s">
        <v>88</v>
      </c>
      <c r="C314" s="79">
        <v>0.3</v>
      </c>
      <c r="D314" s="79">
        <f t="shared" si="81"/>
        <v>0.2918333765538878</v>
      </c>
      <c r="E314" s="49">
        <v>46700</v>
      </c>
      <c r="F314" s="49">
        <v>46250</v>
      </c>
      <c r="G314" s="49">
        <v>5969782550</v>
      </c>
      <c r="H314" s="49">
        <f t="shared" si="82"/>
        <v>0.33041489489478598</v>
      </c>
      <c r="I314" s="49">
        <f t="shared" si="93"/>
        <v>0.33041489489478598</v>
      </c>
      <c r="J314" s="48">
        <v>0.15</v>
      </c>
      <c r="K314" s="48">
        <f t="shared" si="83"/>
        <v>0.11551178024122773</v>
      </c>
      <c r="L314" s="48">
        <v>205500</v>
      </c>
      <c r="M314" s="48">
        <v>210500</v>
      </c>
      <c r="N314" s="51">
        <v>125461438</v>
      </c>
      <c r="O314" s="48">
        <f t="shared" si="84"/>
        <v>1.367284284481</v>
      </c>
      <c r="P314" s="48">
        <f t="shared" si="94"/>
        <v>1.367284284481</v>
      </c>
      <c r="Q314" s="49">
        <v>0.15</v>
      </c>
      <c r="R314" s="49">
        <f t="shared" si="85"/>
        <v>0.13387382595569247</v>
      </c>
      <c r="S314" s="49">
        <v>278000</v>
      </c>
      <c r="T314" s="49">
        <v>278500</v>
      </c>
      <c r="U314" s="49">
        <v>15956260</v>
      </c>
      <c r="V314" s="49">
        <f t="shared" si="86"/>
        <v>9.4174706940945896</v>
      </c>
      <c r="W314" s="49">
        <f t="shared" si="95"/>
        <v>9.4174706940945896</v>
      </c>
      <c r="X314" s="48">
        <v>0.1</v>
      </c>
      <c r="Y314" s="76">
        <f t="shared" si="87"/>
        <v>9.0315941016589005E-2</v>
      </c>
      <c r="Z314" s="18">
        <v>11090</v>
      </c>
      <c r="AA314" s="18">
        <v>11140</v>
      </c>
      <c r="AB314" s="18">
        <v>67900000</v>
      </c>
      <c r="AC314" s="135">
        <f t="shared" si="88"/>
        <v>37.325389828108001</v>
      </c>
      <c r="AD314" s="48">
        <f t="shared" si="96"/>
        <v>37.325389828108001</v>
      </c>
      <c r="AE314" s="49">
        <v>0.3</v>
      </c>
      <c r="AF314" s="49">
        <f t="shared" si="89"/>
        <v>0.36846507623260305</v>
      </c>
      <c r="AG314" s="19">
        <v>30050</v>
      </c>
      <c r="AH314" s="19">
        <v>29650</v>
      </c>
      <c r="AI314" s="19">
        <v>7239332</v>
      </c>
      <c r="AJ314" s="137">
        <f t="shared" si="90"/>
        <v>536.62147074441395</v>
      </c>
      <c r="AK314" s="49">
        <f t="shared" si="97"/>
        <v>536.62147074441395</v>
      </c>
      <c r="AL314" s="82">
        <f t="shared" si="98"/>
        <v>0</v>
      </c>
      <c r="AM314" s="82">
        <f t="shared" si="99"/>
        <v>247056688932415.56</v>
      </c>
      <c r="AN314" s="81">
        <f t="shared" si="91"/>
        <v>312604270082665.31</v>
      </c>
      <c r="AO314" s="80">
        <f t="shared" si="80"/>
        <v>1265.3139303108721</v>
      </c>
      <c r="AP314" s="52">
        <f t="shared" si="92"/>
        <v>-4.4013994730536504E-3</v>
      </c>
      <c r="AQ314" s="48">
        <f>(F314-E314)/E314</f>
        <v>-9.6359743040685224E-3</v>
      </c>
      <c r="AR314" s="48">
        <f>(M314-L314)/L314</f>
        <v>2.4330900243309004E-2</v>
      </c>
      <c r="AS314" s="48">
        <f>(T314-S314)/S314</f>
        <v>1.7985611510791368E-3</v>
      </c>
      <c r="AT314" s="48" t="e">
        <f>(#REF!-#REF!)/#REF!</f>
        <v>#REF!</v>
      </c>
    </row>
    <row r="315" spans="1:46" x14ac:dyDescent="0.3">
      <c r="A315" s="48">
        <v>20190412</v>
      </c>
      <c r="B315" s="48" t="s">
        <v>88</v>
      </c>
      <c r="C315" s="79">
        <v>0.3</v>
      </c>
      <c r="D315" s="79">
        <f t="shared" si="81"/>
        <v>0.29812101479654973</v>
      </c>
      <c r="E315" s="49">
        <v>46250</v>
      </c>
      <c r="F315" s="49">
        <v>46850</v>
      </c>
      <c r="G315" s="49">
        <v>5969782550</v>
      </c>
      <c r="H315" s="49">
        <f t="shared" si="82"/>
        <v>0.33041489489478598</v>
      </c>
      <c r="I315" s="49">
        <f t="shared" si="93"/>
        <v>0.33041489489478598</v>
      </c>
      <c r="J315" s="48">
        <v>0.15</v>
      </c>
      <c r="K315" s="48">
        <f t="shared" si="83"/>
        <v>0.11565921379391256</v>
      </c>
      <c r="L315" s="48">
        <v>210500</v>
      </c>
      <c r="M315" s="48">
        <v>209000</v>
      </c>
      <c r="N315" s="51">
        <v>125461438</v>
      </c>
      <c r="O315" s="48">
        <f t="shared" si="84"/>
        <v>1.367284284481</v>
      </c>
      <c r="P315" s="48">
        <f t="shared" si="94"/>
        <v>1.367284284481</v>
      </c>
      <c r="Q315" s="49">
        <v>0.15</v>
      </c>
      <c r="R315" s="49">
        <f t="shared" si="85"/>
        <v>0.13287377814212456</v>
      </c>
      <c r="S315" s="49">
        <v>278500</v>
      </c>
      <c r="T315" s="49">
        <v>274100</v>
      </c>
      <c r="U315" s="49">
        <v>15956260</v>
      </c>
      <c r="V315" s="49">
        <f t="shared" si="86"/>
        <v>9.4174706940945896</v>
      </c>
      <c r="W315" s="49">
        <f t="shared" si="95"/>
        <v>9.4174706940945896</v>
      </c>
      <c r="X315" s="48">
        <v>0.1</v>
      </c>
      <c r="Y315" s="76">
        <f t="shared" si="87"/>
        <v>9.1162003348956022E-2</v>
      </c>
      <c r="Z315" s="18">
        <v>11140</v>
      </c>
      <c r="AA315" s="18">
        <v>11150</v>
      </c>
      <c r="AB315" s="18">
        <v>67900000</v>
      </c>
      <c r="AC315" s="135">
        <f t="shared" si="88"/>
        <v>37.325389828108001</v>
      </c>
      <c r="AD315" s="48">
        <f t="shared" si="96"/>
        <v>37.325389828108001</v>
      </c>
      <c r="AE315" s="49">
        <v>0.3</v>
      </c>
      <c r="AF315" s="49">
        <f t="shared" si="89"/>
        <v>0.36218398991845707</v>
      </c>
      <c r="AG315" s="19">
        <v>29650</v>
      </c>
      <c r="AH315" s="19">
        <v>28900</v>
      </c>
      <c r="AI315" s="19">
        <v>7239332</v>
      </c>
      <c r="AJ315" s="137">
        <f t="shared" si="90"/>
        <v>536.62147074441395</v>
      </c>
      <c r="AK315" s="49">
        <f t="shared" si="97"/>
        <v>536.62147074441395</v>
      </c>
      <c r="AL315" s="82">
        <f t="shared" si="98"/>
        <v>0</v>
      </c>
      <c r="AM315" s="82">
        <f t="shared" si="99"/>
        <v>247056688932415.56</v>
      </c>
      <c r="AN315" s="81">
        <f t="shared" si="91"/>
        <v>309981041661002.06</v>
      </c>
      <c r="AO315" s="80">
        <f t="shared" si="80"/>
        <v>1254.6960092458778</v>
      </c>
      <c r="AP315" s="52">
        <f t="shared" si="92"/>
        <v>-8.3915309953045726E-3</v>
      </c>
      <c r="AQ315" s="48">
        <f>(F315-E315)/E315</f>
        <v>1.2972972972972972E-2</v>
      </c>
      <c r="AR315" s="48">
        <f>(M315-L315)/L315</f>
        <v>-7.1258907363420431E-3</v>
      </c>
      <c r="AS315" s="48">
        <f>(T315-S315)/S315</f>
        <v>-1.5798922800718134E-2</v>
      </c>
      <c r="AT315" s="48" t="e">
        <f>(#REF!-#REF!)/#REF!</f>
        <v>#REF!</v>
      </c>
    </row>
    <row r="316" spans="1:46" x14ac:dyDescent="0.3">
      <c r="A316" s="48">
        <v>20190415</v>
      </c>
      <c r="B316" s="48" t="s">
        <v>88</v>
      </c>
      <c r="C316" s="79">
        <v>0.3</v>
      </c>
      <c r="D316" s="79">
        <f t="shared" si="81"/>
        <v>0.30644359352442757</v>
      </c>
      <c r="E316" s="49">
        <v>46850</v>
      </c>
      <c r="F316" s="49">
        <v>47050</v>
      </c>
      <c r="G316" s="49">
        <v>5969782550</v>
      </c>
      <c r="H316" s="49">
        <f t="shared" si="82"/>
        <v>0.33041489489478598</v>
      </c>
      <c r="I316" s="49">
        <f t="shared" si="93"/>
        <v>0.33041489489478598</v>
      </c>
      <c r="J316" s="48">
        <v>0.15</v>
      </c>
      <c r="K316" s="48">
        <f t="shared" si="83"/>
        <v>0.11526734402187286</v>
      </c>
      <c r="L316" s="48">
        <v>209000</v>
      </c>
      <c r="M316" s="48">
        <v>203500</v>
      </c>
      <c r="N316" s="51">
        <v>125461438</v>
      </c>
      <c r="O316" s="48">
        <f t="shared" si="84"/>
        <v>1.367284284481</v>
      </c>
      <c r="P316" s="48">
        <f t="shared" si="94"/>
        <v>1.367284284481</v>
      </c>
      <c r="Q316" s="49">
        <v>0.15</v>
      </c>
      <c r="R316" s="49">
        <f t="shared" si="85"/>
        <v>0.13317437980309649</v>
      </c>
      <c r="S316" s="49">
        <v>274100</v>
      </c>
      <c r="T316" s="49">
        <v>268400</v>
      </c>
      <c r="U316" s="49">
        <v>15956260</v>
      </c>
      <c r="V316" s="49">
        <f t="shared" si="86"/>
        <v>9.4174706940945896</v>
      </c>
      <c r="W316" s="49">
        <f t="shared" si="95"/>
        <v>9.4174706940945896</v>
      </c>
      <c r="X316" s="48">
        <v>0.1</v>
      </c>
      <c r="Y316" s="76">
        <f t="shared" si="87"/>
        <v>9.3643363144329708E-2</v>
      </c>
      <c r="Z316" s="18">
        <v>11150</v>
      </c>
      <c r="AA316" s="18">
        <v>11190</v>
      </c>
      <c r="AB316" s="18">
        <v>67900000</v>
      </c>
      <c r="AC316" s="135">
        <f t="shared" si="88"/>
        <v>37.325389828108001</v>
      </c>
      <c r="AD316" s="48">
        <f t="shared" si="96"/>
        <v>37.325389828108001</v>
      </c>
      <c r="AE316" s="49">
        <v>0.3</v>
      </c>
      <c r="AF316" s="49">
        <f t="shared" si="89"/>
        <v>0.35147131950627336</v>
      </c>
      <c r="AG316" s="19">
        <v>28900</v>
      </c>
      <c r="AH316" s="19">
        <v>27400</v>
      </c>
      <c r="AI316" s="19">
        <v>7239332</v>
      </c>
      <c r="AJ316" s="137">
        <f t="shared" si="90"/>
        <v>536.62147074441395</v>
      </c>
      <c r="AK316" s="49">
        <f t="shared" si="97"/>
        <v>536.62147074441395</v>
      </c>
      <c r="AL316" s="82">
        <f t="shared" si="98"/>
        <v>0</v>
      </c>
      <c r="AM316" s="82">
        <f t="shared" si="99"/>
        <v>247056688932415.56</v>
      </c>
      <c r="AN316" s="81">
        <f t="shared" si="91"/>
        <v>302849743585950.37</v>
      </c>
      <c r="AO316" s="80">
        <f t="shared" si="80"/>
        <v>1225.8309819281901</v>
      </c>
      <c r="AP316" s="52">
        <f t="shared" si="92"/>
        <v>-2.3005594267440702E-2</v>
      </c>
      <c r="AQ316" s="48">
        <f>(F316-E316)/E316</f>
        <v>4.2689434364994666E-3</v>
      </c>
      <c r="AR316" s="48">
        <f>(M316-L316)/L316</f>
        <v>-2.6315789473684209E-2</v>
      </c>
      <c r="AS316" s="48">
        <f>(T316-S316)/S316</f>
        <v>-2.0795330171470266E-2</v>
      </c>
      <c r="AT316" s="48" t="e">
        <f>(#REF!-#REF!)/#REF!</f>
        <v>#REF!</v>
      </c>
    </row>
    <row r="317" spans="1:46" x14ac:dyDescent="0.3">
      <c r="A317" s="48">
        <v>20190416</v>
      </c>
      <c r="B317" s="48" t="s">
        <v>88</v>
      </c>
      <c r="C317" s="79">
        <v>0.3</v>
      </c>
      <c r="D317" s="79">
        <f t="shared" si="81"/>
        <v>0.3028301504445583</v>
      </c>
      <c r="E317" s="49">
        <v>47050</v>
      </c>
      <c r="F317" s="49">
        <v>47250</v>
      </c>
      <c r="G317" s="49">
        <v>5969782550</v>
      </c>
      <c r="H317" s="49">
        <f t="shared" si="82"/>
        <v>0.33041489489478598</v>
      </c>
      <c r="I317" s="49">
        <f t="shared" si="93"/>
        <v>0.33041489489478598</v>
      </c>
      <c r="J317" s="48">
        <v>0.15</v>
      </c>
      <c r="K317" s="48">
        <f t="shared" si="83"/>
        <v>0.11593420505408814</v>
      </c>
      <c r="L317" s="48">
        <v>203500</v>
      </c>
      <c r="M317" s="48">
        <v>208000</v>
      </c>
      <c r="N317" s="51">
        <v>125461438</v>
      </c>
      <c r="O317" s="48">
        <f t="shared" si="84"/>
        <v>1.367284284481</v>
      </c>
      <c r="P317" s="48">
        <f t="shared" si="94"/>
        <v>1.367284284481</v>
      </c>
      <c r="Q317" s="49">
        <v>0.15</v>
      </c>
      <c r="R317" s="49">
        <f t="shared" si="85"/>
        <v>0.13192584874222596</v>
      </c>
      <c r="S317" s="49">
        <v>268400</v>
      </c>
      <c r="T317" s="49">
        <v>270200</v>
      </c>
      <c r="U317" s="49">
        <v>15956260</v>
      </c>
      <c r="V317" s="49">
        <f t="shared" si="86"/>
        <v>9.4174706940945896</v>
      </c>
      <c r="W317" s="49">
        <f t="shared" si="95"/>
        <v>9.4174706940945896</v>
      </c>
      <c r="X317" s="48">
        <v>0.1</v>
      </c>
      <c r="Y317" s="76">
        <f t="shared" si="87"/>
        <v>9.2723899476536142E-2</v>
      </c>
      <c r="Z317" s="18">
        <v>11190</v>
      </c>
      <c r="AA317" s="18">
        <v>11260</v>
      </c>
      <c r="AB317" s="18">
        <v>67900000</v>
      </c>
      <c r="AC317" s="135">
        <f t="shared" si="88"/>
        <v>37.325389828108001</v>
      </c>
      <c r="AD317" s="48">
        <f t="shared" si="96"/>
        <v>37.325389828108001</v>
      </c>
      <c r="AE317" s="49">
        <v>0.3</v>
      </c>
      <c r="AF317" s="49">
        <f t="shared" si="89"/>
        <v>0.35658589628259157</v>
      </c>
      <c r="AG317" s="19">
        <v>27400</v>
      </c>
      <c r="AH317" s="19">
        <v>28250</v>
      </c>
      <c r="AI317" s="19">
        <v>7239332</v>
      </c>
      <c r="AJ317" s="137">
        <f t="shared" si="90"/>
        <v>536.62147074441395</v>
      </c>
      <c r="AK317" s="49">
        <f t="shared" si="97"/>
        <v>536.62147074441395</v>
      </c>
      <c r="AL317" s="82">
        <f t="shared" si="98"/>
        <v>0</v>
      </c>
      <c r="AM317" s="82">
        <f t="shared" si="99"/>
        <v>247056688932415.56</v>
      </c>
      <c r="AN317" s="81">
        <f t="shared" si="91"/>
        <v>307766134251727.25</v>
      </c>
      <c r="AO317" s="80">
        <f t="shared" si="80"/>
        <v>1245.7308303679213</v>
      </c>
      <c r="AP317" s="52">
        <f t="shared" si="92"/>
        <v>1.623376202193012E-2</v>
      </c>
      <c r="AQ317" s="48">
        <f>(F317-E317)/E317</f>
        <v>4.2507970244420826E-3</v>
      </c>
      <c r="AR317" s="48">
        <f>(M317-L317)/L317</f>
        <v>2.2113022113022112E-2</v>
      </c>
      <c r="AS317" s="48">
        <f>(T317-S317)/S317</f>
        <v>6.7064083457526085E-3</v>
      </c>
      <c r="AT317" s="48" t="e">
        <f>(#REF!-#REF!)/#REF!</f>
        <v>#REF!</v>
      </c>
    </row>
    <row r="318" spans="1:46" x14ac:dyDescent="0.3">
      <c r="A318" s="48">
        <v>20190417</v>
      </c>
      <c r="B318" s="48" t="s">
        <v>88</v>
      </c>
      <c r="C318" s="79">
        <v>0.3</v>
      </c>
      <c r="D318" s="79">
        <f t="shared" si="81"/>
        <v>0.30258947739654846</v>
      </c>
      <c r="E318" s="49">
        <v>47250</v>
      </c>
      <c r="F318" s="49">
        <v>47050</v>
      </c>
      <c r="G318" s="49">
        <v>5969782550</v>
      </c>
      <c r="H318" s="49">
        <f t="shared" si="82"/>
        <v>0.33041489489478598</v>
      </c>
      <c r="I318" s="49">
        <f t="shared" si="93"/>
        <v>0.33041489489478598</v>
      </c>
      <c r="J318" s="48">
        <v>0.15</v>
      </c>
      <c r="K318" s="48">
        <f t="shared" si="83"/>
        <v>0.11661413813365576</v>
      </c>
      <c r="L318" s="48">
        <v>208000</v>
      </c>
      <c r="M318" s="48">
        <v>208500</v>
      </c>
      <c r="N318" s="51">
        <v>125461438</v>
      </c>
      <c r="O318" s="48">
        <f t="shared" si="84"/>
        <v>1.367284284481</v>
      </c>
      <c r="P318" s="48">
        <f t="shared" si="94"/>
        <v>1.367284284481</v>
      </c>
      <c r="Q318" s="49">
        <v>0.15</v>
      </c>
      <c r="R318" s="49">
        <f t="shared" si="85"/>
        <v>0.13056857358159737</v>
      </c>
      <c r="S318" s="49">
        <v>270200</v>
      </c>
      <c r="T318" s="49">
        <v>266500</v>
      </c>
      <c r="U318" s="49">
        <v>15956260</v>
      </c>
      <c r="V318" s="49">
        <f t="shared" si="86"/>
        <v>9.4174706940945896</v>
      </c>
      <c r="W318" s="49">
        <f t="shared" si="95"/>
        <v>9.4174706940945896</v>
      </c>
      <c r="X318" s="48">
        <v>0.1</v>
      </c>
      <c r="Y318" s="76">
        <f t="shared" si="87"/>
        <v>9.304404475563921E-2</v>
      </c>
      <c r="Z318" s="18">
        <v>11260</v>
      </c>
      <c r="AA318" s="18">
        <v>11260</v>
      </c>
      <c r="AB318" s="18">
        <v>67900000</v>
      </c>
      <c r="AC318" s="135">
        <f t="shared" si="88"/>
        <v>37.325389828108001</v>
      </c>
      <c r="AD318" s="48">
        <f t="shared" si="96"/>
        <v>37.325389828108001</v>
      </c>
      <c r="AE318" s="49">
        <v>0.3</v>
      </c>
      <c r="AF318" s="49">
        <f t="shared" si="89"/>
        <v>0.35718376613255931</v>
      </c>
      <c r="AG318" s="19">
        <v>28250</v>
      </c>
      <c r="AH318" s="19">
        <v>28200</v>
      </c>
      <c r="AI318" s="19">
        <v>7239332</v>
      </c>
      <c r="AJ318" s="137">
        <f t="shared" si="90"/>
        <v>536.62147074441395</v>
      </c>
      <c r="AK318" s="49">
        <f t="shared" si="97"/>
        <v>536.62147074441395</v>
      </c>
      <c r="AL318" s="82">
        <f t="shared" si="98"/>
        <v>0</v>
      </c>
      <c r="AM318" s="82">
        <f t="shared" si="99"/>
        <v>247056688932415.56</v>
      </c>
      <c r="AN318" s="81">
        <f t="shared" si="91"/>
        <v>306707174753489</v>
      </c>
      <c r="AO318" s="80">
        <f t="shared" si="80"/>
        <v>1241.4445286983967</v>
      </c>
      <c r="AP318" s="52">
        <f t="shared" si="92"/>
        <v>-3.4407927981188985E-3</v>
      </c>
      <c r="AQ318" s="48">
        <f>(F318-E318)/E318</f>
        <v>-4.2328042328042331E-3</v>
      </c>
      <c r="AR318" s="48">
        <f>(M318-L318)/L318</f>
        <v>2.403846153846154E-3</v>
      </c>
      <c r="AS318" s="48">
        <f>(T318-S318)/S318</f>
        <v>-1.3693560325684678E-2</v>
      </c>
      <c r="AT318" s="48" t="e">
        <f>(#REF!-#REF!)/#REF!</f>
        <v>#REF!</v>
      </c>
    </row>
    <row r="319" spans="1:46" x14ac:dyDescent="0.3">
      <c r="A319" s="48">
        <v>20190418</v>
      </c>
      <c r="B319" s="48" t="s">
        <v>88</v>
      </c>
      <c r="C319" s="79">
        <v>0.3</v>
      </c>
      <c r="D319" s="79">
        <f t="shared" si="81"/>
        <v>0.30452441862863533</v>
      </c>
      <c r="E319" s="49">
        <v>47050</v>
      </c>
      <c r="F319" s="49">
        <v>45600</v>
      </c>
      <c r="G319" s="49">
        <v>5969782550</v>
      </c>
      <c r="H319" s="49">
        <f t="shared" si="82"/>
        <v>0.33041489489478598</v>
      </c>
      <c r="I319" s="49">
        <f t="shared" si="93"/>
        <v>0.33041489489478598</v>
      </c>
      <c r="J319" s="48">
        <v>0.15</v>
      </c>
      <c r="K319" s="48">
        <f t="shared" si="83"/>
        <v>0.11818779975797805</v>
      </c>
      <c r="L319" s="48">
        <v>208500</v>
      </c>
      <c r="M319" s="48">
        <v>203500</v>
      </c>
      <c r="N319" s="51">
        <v>125461438</v>
      </c>
      <c r="O319" s="48">
        <f t="shared" si="84"/>
        <v>1.367284284481</v>
      </c>
      <c r="P319" s="48">
        <f t="shared" si="94"/>
        <v>1.367284284481</v>
      </c>
      <c r="Q319" s="49">
        <v>0.15</v>
      </c>
      <c r="R319" s="49">
        <f t="shared" si="85"/>
        <v>0.13100315835832932</v>
      </c>
      <c r="S319" s="49">
        <v>266500</v>
      </c>
      <c r="T319" s="49">
        <v>257500</v>
      </c>
      <c r="U319" s="49">
        <v>15956260</v>
      </c>
      <c r="V319" s="49">
        <f t="shared" si="86"/>
        <v>9.4174706940945896</v>
      </c>
      <c r="W319" s="49">
        <f t="shared" si="95"/>
        <v>9.4174706940945896</v>
      </c>
      <c r="X319" s="48">
        <v>0.1</v>
      </c>
      <c r="Y319" s="76">
        <f t="shared" si="87"/>
        <v>9.5114991849334599E-2</v>
      </c>
      <c r="Z319" s="18">
        <v>11260</v>
      </c>
      <c r="AA319" s="18">
        <v>11085</v>
      </c>
      <c r="AB319" s="18">
        <v>67900000</v>
      </c>
      <c r="AC319" s="135">
        <f t="shared" si="88"/>
        <v>37.325389828108001</v>
      </c>
      <c r="AD319" s="48">
        <f t="shared" si="96"/>
        <v>37.325389828108001</v>
      </c>
      <c r="AE319" s="49">
        <v>0.3</v>
      </c>
      <c r="AF319" s="49">
        <f t="shared" si="89"/>
        <v>0.35116963140572272</v>
      </c>
      <c r="AG319" s="19">
        <v>28200</v>
      </c>
      <c r="AH319" s="19">
        <v>26700</v>
      </c>
      <c r="AI319" s="19">
        <v>7239332</v>
      </c>
      <c r="AJ319" s="137">
        <f t="shared" si="90"/>
        <v>536.62147074441395</v>
      </c>
      <c r="AK319" s="49">
        <f t="shared" si="97"/>
        <v>536.62147074441395</v>
      </c>
      <c r="AL319" s="82">
        <f t="shared" si="98"/>
        <v>0</v>
      </c>
      <c r="AM319" s="82">
        <f t="shared" si="99"/>
        <v>247056688932415.56</v>
      </c>
      <c r="AN319" s="81">
        <f t="shared" si="91"/>
        <v>295366236213406.44</v>
      </c>
      <c r="AO319" s="80">
        <f t="shared" si="80"/>
        <v>1195.5403332318049</v>
      </c>
      <c r="AP319" s="52">
        <f t="shared" si="92"/>
        <v>-3.697643705008747E-2</v>
      </c>
      <c r="AQ319" s="48">
        <f>(F319-E319)/E319</f>
        <v>-3.0818278427205102E-2</v>
      </c>
      <c r="AR319" s="48">
        <f>(M319-L319)/L319</f>
        <v>-2.3980815347721823E-2</v>
      </c>
      <c r="AS319" s="48">
        <f>(T319-S319)/S319</f>
        <v>-3.3771106941838651E-2</v>
      </c>
      <c r="AT319" s="48" t="e">
        <f>(#REF!-#REF!)/#REF!</f>
        <v>#REF!</v>
      </c>
    </row>
    <row r="320" spans="1:46" x14ac:dyDescent="0.3">
      <c r="A320" s="48">
        <v>20190419</v>
      </c>
      <c r="B320" s="48" t="s">
        <v>88</v>
      </c>
      <c r="C320" s="79">
        <v>0.3</v>
      </c>
      <c r="D320" s="79">
        <f t="shared" si="81"/>
        <v>0.29804169849637552</v>
      </c>
      <c r="E320" s="49">
        <v>45600</v>
      </c>
      <c r="F320" s="49">
        <v>45300</v>
      </c>
      <c r="G320" s="49">
        <v>5969782550</v>
      </c>
      <c r="H320" s="49">
        <f t="shared" si="82"/>
        <v>0.33041489489478598</v>
      </c>
      <c r="I320" s="49">
        <f t="shared" si="93"/>
        <v>0.33041489489478598</v>
      </c>
      <c r="J320" s="48">
        <v>0.15</v>
      </c>
      <c r="K320" s="48">
        <f t="shared" si="83"/>
        <v>0.12473440948158476</v>
      </c>
      <c r="L320" s="48">
        <v>203500</v>
      </c>
      <c r="M320" s="48">
        <v>218000</v>
      </c>
      <c r="N320" s="51">
        <v>125461438</v>
      </c>
      <c r="O320" s="48">
        <f t="shared" si="84"/>
        <v>1.367284284481</v>
      </c>
      <c r="P320" s="48">
        <f t="shared" si="94"/>
        <v>1.367284284481</v>
      </c>
      <c r="Q320" s="49">
        <v>0.15</v>
      </c>
      <c r="R320" s="49">
        <f t="shared" si="85"/>
        <v>0.13106833232814757</v>
      </c>
      <c r="S320" s="49">
        <v>257500</v>
      </c>
      <c r="T320" s="49">
        <v>261500</v>
      </c>
      <c r="U320" s="49">
        <v>15956260</v>
      </c>
      <c r="V320" s="49">
        <f t="shared" si="86"/>
        <v>9.4174706940945896</v>
      </c>
      <c r="W320" s="49">
        <f t="shared" si="95"/>
        <v>9.4174706940945896</v>
      </c>
      <c r="X320" s="48">
        <v>0.1</v>
      </c>
      <c r="Y320" s="76">
        <f t="shared" si="87"/>
        <v>9.3706673832346279E-2</v>
      </c>
      <c r="Z320" s="18">
        <v>11085</v>
      </c>
      <c r="AA320" s="18">
        <v>11085</v>
      </c>
      <c r="AB320" s="18">
        <v>67900000</v>
      </c>
      <c r="AC320" s="135">
        <f t="shared" si="88"/>
        <v>37.325389828108001</v>
      </c>
      <c r="AD320" s="48">
        <f t="shared" si="96"/>
        <v>37.325389828108001</v>
      </c>
      <c r="AE320" s="49">
        <v>0.3</v>
      </c>
      <c r="AF320" s="49">
        <f t="shared" si="89"/>
        <v>0.35244888586154599</v>
      </c>
      <c r="AG320" s="19">
        <v>26700</v>
      </c>
      <c r="AH320" s="19">
        <v>27200</v>
      </c>
      <c r="AI320" s="19">
        <v>7239332</v>
      </c>
      <c r="AJ320" s="137">
        <f t="shared" si="90"/>
        <v>536.62147074441395</v>
      </c>
      <c r="AK320" s="49">
        <f t="shared" si="97"/>
        <v>536.62147074441395</v>
      </c>
      <c r="AL320" s="82">
        <f t="shared" si="98"/>
        <v>0</v>
      </c>
      <c r="AM320" s="82">
        <f t="shared" si="99"/>
        <v>247056688932415.56</v>
      </c>
      <c r="AN320" s="81">
        <f t="shared" si="91"/>
        <v>299805296688582.37</v>
      </c>
      <c r="AO320" s="80">
        <f t="shared" si="80"/>
        <v>1213.5081142069246</v>
      </c>
      <c r="AP320" s="52">
        <f t="shared" si="92"/>
        <v>1.502900443897939E-2</v>
      </c>
      <c r="AQ320" s="48">
        <f>(F320-E320)/E320</f>
        <v>-6.5789473684210523E-3</v>
      </c>
      <c r="AR320" s="48">
        <f>(M320-L320)/L320</f>
        <v>7.125307125307126E-2</v>
      </c>
      <c r="AS320" s="48">
        <f>(T320-S320)/S320</f>
        <v>1.5533980582524271E-2</v>
      </c>
      <c r="AT320" s="48" t="e">
        <f>(#REF!-#REF!)/#REF!</f>
        <v>#REF!</v>
      </c>
    </row>
    <row r="321" spans="1:46" x14ac:dyDescent="0.3">
      <c r="A321" s="48">
        <v>20190422</v>
      </c>
      <c r="B321" s="48" t="s">
        <v>88</v>
      </c>
      <c r="C321" s="79">
        <v>0.3</v>
      </c>
      <c r="D321" s="79">
        <f t="shared" si="81"/>
        <v>0.30090234961046269</v>
      </c>
      <c r="E321" s="49">
        <v>45300</v>
      </c>
      <c r="F321" s="49">
        <v>45350</v>
      </c>
      <c r="G321" s="49">
        <v>5969782550</v>
      </c>
      <c r="H321" s="49">
        <f t="shared" si="82"/>
        <v>0.33041489489478598</v>
      </c>
      <c r="I321" s="49">
        <f t="shared" si="93"/>
        <v>0.33041489489478598</v>
      </c>
      <c r="J321" s="48">
        <v>0.15</v>
      </c>
      <c r="K321" s="48">
        <f t="shared" si="83"/>
        <v>0.12723536365340468</v>
      </c>
      <c r="L321" s="48">
        <v>218000</v>
      </c>
      <c r="M321" s="48">
        <v>220500</v>
      </c>
      <c r="N321" s="51">
        <v>125461438</v>
      </c>
      <c r="O321" s="48">
        <f t="shared" si="84"/>
        <v>1.367284284481</v>
      </c>
      <c r="P321" s="48">
        <f t="shared" si="94"/>
        <v>1.367284284481</v>
      </c>
      <c r="Q321" s="49">
        <v>0.15</v>
      </c>
      <c r="R321" s="49">
        <f t="shared" si="85"/>
        <v>0.13106841786670367</v>
      </c>
      <c r="S321" s="49">
        <v>261500</v>
      </c>
      <c r="T321" s="49">
        <v>259300</v>
      </c>
      <c r="U321" s="49">
        <v>15956260</v>
      </c>
      <c r="V321" s="49">
        <f t="shared" si="86"/>
        <v>9.4174706940945896</v>
      </c>
      <c r="W321" s="49">
        <f t="shared" si="95"/>
        <v>9.4174706940945896</v>
      </c>
      <c r="X321" s="48">
        <v>0.1</v>
      </c>
      <c r="Y321" s="76">
        <f t="shared" si="87"/>
        <v>9.4501778632048727E-2</v>
      </c>
      <c r="Z321" s="18">
        <v>11085</v>
      </c>
      <c r="AA321" s="18">
        <v>11085</v>
      </c>
      <c r="AB321" s="18">
        <v>67900000</v>
      </c>
      <c r="AC321" s="135">
        <f t="shared" si="88"/>
        <v>37.325389828108001</v>
      </c>
      <c r="AD321" s="48">
        <f t="shared" si="96"/>
        <v>37.325389828108001</v>
      </c>
      <c r="AE321" s="49">
        <v>0.3</v>
      </c>
      <c r="AF321" s="49">
        <f t="shared" si="89"/>
        <v>0.34629209023738028</v>
      </c>
      <c r="AG321" s="19">
        <v>27200</v>
      </c>
      <c r="AH321" s="19">
        <v>26500</v>
      </c>
      <c r="AI321" s="19">
        <v>7239332</v>
      </c>
      <c r="AJ321" s="137">
        <f t="shared" si="90"/>
        <v>536.62147074441395</v>
      </c>
      <c r="AK321" s="49">
        <f t="shared" si="97"/>
        <v>536.62147074441395</v>
      </c>
      <c r="AL321" s="82">
        <f t="shared" si="98"/>
        <v>0</v>
      </c>
      <c r="AM321" s="82">
        <f t="shared" si="99"/>
        <v>247056688932415.56</v>
      </c>
      <c r="AN321" s="81">
        <f t="shared" si="91"/>
        <v>297282840139891.87</v>
      </c>
      <c r="AO321" s="80">
        <f t="shared" si="80"/>
        <v>1203.2980828186201</v>
      </c>
      <c r="AP321" s="52">
        <f t="shared" si="92"/>
        <v>-8.4136490467368423E-3</v>
      </c>
      <c r="AQ321" s="48">
        <f>(F321-E321)/E321</f>
        <v>1.1037527593818985E-3</v>
      </c>
      <c r="AR321" s="48">
        <f>(M321-L321)/L321</f>
        <v>1.1467889908256881E-2</v>
      </c>
      <c r="AS321" s="48">
        <f>(T321-S321)/S321</f>
        <v>-8.4130019120458883E-3</v>
      </c>
      <c r="AT321" s="48" t="e">
        <f>(#REF!-#REF!)/#REF!</f>
        <v>#REF!</v>
      </c>
    </row>
    <row r="322" spans="1:46" x14ac:dyDescent="0.3">
      <c r="A322" s="48">
        <v>20190423</v>
      </c>
      <c r="B322" s="48" t="s">
        <v>88</v>
      </c>
      <c r="C322" s="79">
        <v>0.3</v>
      </c>
      <c r="D322" s="79">
        <f t="shared" si="81"/>
        <v>0.29616082882553446</v>
      </c>
      <c r="E322" s="49">
        <v>45350</v>
      </c>
      <c r="F322" s="49">
        <v>45200</v>
      </c>
      <c r="G322" s="49">
        <v>5969782550</v>
      </c>
      <c r="H322" s="49">
        <f t="shared" si="82"/>
        <v>0.33041489489478598</v>
      </c>
      <c r="I322" s="49">
        <f t="shared" si="93"/>
        <v>0.33041489489478598</v>
      </c>
      <c r="J322" s="48">
        <v>0.15</v>
      </c>
      <c r="K322" s="48">
        <f t="shared" si="83"/>
        <v>0.12621584134105238</v>
      </c>
      <c r="L322" s="48">
        <v>220500</v>
      </c>
      <c r="M322" s="48">
        <v>221500</v>
      </c>
      <c r="N322" s="51">
        <v>125461438</v>
      </c>
      <c r="O322" s="48">
        <f t="shared" si="84"/>
        <v>1.367284284481</v>
      </c>
      <c r="P322" s="48">
        <f t="shared" si="94"/>
        <v>1.367284284481</v>
      </c>
      <c r="Q322" s="49">
        <v>0.15</v>
      </c>
      <c r="R322" s="49">
        <f t="shared" si="85"/>
        <v>0.12943119219869964</v>
      </c>
      <c r="S322" s="49">
        <v>259300</v>
      </c>
      <c r="T322" s="49">
        <v>259300</v>
      </c>
      <c r="U322" s="49">
        <v>15956260</v>
      </c>
      <c r="V322" s="49">
        <f t="shared" si="86"/>
        <v>9.4174706940945896</v>
      </c>
      <c r="W322" s="49">
        <f t="shared" si="95"/>
        <v>9.4174706940945896</v>
      </c>
      <c r="X322" s="48">
        <v>0.1</v>
      </c>
      <c r="Y322" s="76">
        <f t="shared" si="87"/>
        <v>9.3321320821031464E-2</v>
      </c>
      <c r="Z322" s="18">
        <v>11085</v>
      </c>
      <c r="AA322" s="18">
        <v>11085</v>
      </c>
      <c r="AB322" s="18">
        <v>67900000</v>
      </c>
      <c r="AC322" s="135">
        <f t="shared" si="88"/>
        <v>37.325389828108001</v>
      </c>
      <c r="AD322" s="48">
        <f t="shared" si="96"/>
        <v>37.325389828108001</v>
      </c>
      <c r="AE322" s="49">
        <v>0.3</v>
      </c>
      <c r="AF322" s="49">
        <f t="shared" si="89"/>
        <v>0.35487081681368216</v>
      </c>
      <c r="AG322" s="19">
        <v>26500</v>
      </c>
      <c r="AH322" s="19">
        <v>27500</v>
      </c>
      <c r="AI322" s="19">
        <v>7239332</v>
      </c>
      <c r="AJ322" s="137">
        <f t="shared" si="90"/>
        <v>536.62147074441395</v>
      </c>
      <c r="AK322" s="49">
        <f t="shared" si="97"/>
        <v>536.62147074441395</v>
      </c>
      <c r="AL322" s="82">
        <f t="shared" si="98"/>
        <v>0</v>
      </c>
      <c r="AM322" s="82">
        <f t="shared" si="99"/>
        <v>247056688932415.56</v>
      </c>
      <c r="AN322" s="81">
        <f t="shared" si="91"/>
        <v>301043286816354.31</v>
      </c>
      <c r="AO322" s="80">
        <f t="shared" si="80"/>
        <v>1218.5190699236937</v>
      </c>
      <c r="AP322" s="52">
        <f t="shared" si="92"/>
        <v>1.2649390306863776E-2</v>
      </c>
      <c r="AQ322" s="48">
        <f>(F322-E322)/E322</f>
        <v>-3.3076074972436605E-3</v>
      </c>
      <c r="AR322" s="48">
        <f>(M322-L322)/L322</f>
        <v>4.5351473922902496E-3</v>
      </c>
      <c r="AS322" s="48">
        <f>(T322-S322)/S322</f>
        <v>0</v>
      </c>
      <c r="AT322" s="48" t="e">
        <f>(#REF!-#REF!)/#REF!</f>
        <v>#REF!</v>
      </c>
    </row>
    <row r="323" spans="1:46" s="73" customFormat="1" x14ac:dyDescent="0.3">
      <c r="A323" s="48">
        <v>20190424</v>
      </c>
      <c r="B323" s="48" t="s">
        <v>88</v>
      </c>
      <c r="C323" s="79">
        <v>0.3</v>
      </c>
      <c r="D323" s="79">
        <f t="shared" si="81"/>
        <v>0.29656785660501495</v>
      </c>
      <c r="E323" s="49">
        <v>45200</v>
      </c>
      <c r="F323" s="49">
        <v>44750</v>
      </c>
      <c r="G323" s="49">
        <v>5969782550</v>
      </c>
      <c r="H323" s="49">
        <f t="shared" si="82"/>
        <v>0.33041489489478598</v>
      </c>
      <c r="I323" s="49">
        <f t="shared" si="93"/>
        <v>0.33285346015324302</v>
      </c>
      <c r="J323" s="48">
        <v>0.15</v>
      </c>
      <c r="K323" s="48">
        <f t="shared" si="83"/>
        <v>0.12564305462476311</v>
      </c>
      <c r="L323" s="48">
        <v>221500</v>
      </c>
      <c r="M323" s="48">
        <v>218000</v>
      </c>
      <c r="N323" s="51">
        <v>127953489</v>
      </c>
      <c r="O323" s="48">
        <f t="shared" si="84"/>
        <v>1.367284284481</v>
      </c>
      <c r="P323" s="48">
        <f t="shared" si="94"/>
        <v>1.3505491988037901</v>
      </c>
      <c r="Q323" s="49">
        <v>0.15</v>
      </c>
      <c r="R323" s="49">
        <f t="shared" si="85"/>
        <v>0.13071045966234132</v>
      </c>
      <c r="S323" s="49">
        <v>259300</v>
      </c>
      <c r="T323" s="49">
        <v>258900</v>
      </c>
      <c r="U323" s="49">
        <v>15956260</v>
      </c>
      <c r="V323" s="49">
        <f t="shared" si="86"/>
        <v>9.4174706940945896</v>
      </c>
      <c r="W323" s="49">
        <f t="shared" si="95"/>
        <v>9.4869745730419108</v>
      </c>
      <c r="X323" s="48">
        <v>0.1</v>
      </c>
      <c r="Y323" s="76">
        <f t="shared" si="87"/>
        <v>9.3367487513620506E-2</v>
      </c>
      <c r="Z323" s="18">
        <v>11085</v>
      </c>
      <c r="AA323" s="18">
        <v>10965</v>
      </c>
      <c r="AB323" s="18">
        <v>67900000</v>
      </c>
      <c r="AC323" s="135">
        <f t="shared" si="88"/>
        <v>37.325389828108001</v>
      </c>
      <c r="AD323" s="48">
        <f t="shared" si="96"/>
        <v>37.600862878202101</v>
      </c>
      <c r="AE323" s="49">
        <v>0.3</v>
      </c>
      <c r="AF323" s="49">
        <f t="shared" si="89"/>
        <v>0.35371114159426026</v>
      </c>
      <c r="AG323" s="19">
        <v>27500</v>
      </c>
      <c r="AH323" s="19">
        <v>27100</v>
      </c>
      <c r="AI323" s="19">
        <v>7239332</v>
      </c>
      <c r="AJ323" s="137">
        <f t="shared" si="90"/>
        <v>536.62147074441395</v>
      </c>
      <c r="AK323" s="49">
        <f t="shared" si="97"/>
        <v>540.58190502179798</v>
      </c>
      <c r="AL323" s="82">
        <f t="shared" si="98"/>
        <v>1</v>
      </c>
      <c r="AM323" s="82">
        <f t="shared" si="99"/>
        <v>248880044561379.91</v>
      </c>
      <c r="AN323" s="81">
        <f t="shared" si="91"/>
        <v>299833772746805.62</v>
      </c>
      <c r="AO323" s="80">
        <f t="shared" ref="AO323:AO380" si="100">AN323/AM323*1000</f>
        <v>1204.7320759493809</v>
      </c>
      <c r="AP323" s="52">
        <f t="shared" si="92"/>
        <v>-1.1314549205353108E-2</v>
      </c>
      <c r="AQ323" s="48">
        <f>(F323-E323)/E323</f>
        <v>-9.9557522123893804E-3</v>
      </c>
      <c r="AR323" s="48">
        <f>(M323-L323)/L323</f>
        <v>-1.580135440180587E-2</v>
      </c>
      <c r="AS323" s="48">
        <f>(T323-S323)/S323</f>
        <v>-1.5426147319706903E-3</v>
      </c>
      <c r="AT323" s="48" t="e">
        <f>(#REF!-#REF!)/#REF!</f>
        <v>#REF!</v>
      </c>
    </row>
    <row r="324" spans="1:46" x14ac:dyDescent="0.3">
      <c r="A324" s="48">
        <v>20190425</v>
      </c>
      <c r="B324" s="48" t="s">
        <v>88</v>
      </c>
      <c r="C324" s="79">
        <v>0.3</v>
      </c>
      <c r="D324" s="79">
        <f t="shared" ref="D324:D380" si="101">F324*G324*I324/AN324</f>
        <v>0.30290122378280698</v>
      </c>
      <c r="E324" s="49">
        <v>44750</v>
      </c>
      <c r="F324" s="49">
        <v>44650</v>
      </c>
      <c r="G324" s="49">
        <v>5969782550</v>
      </c>
      <c r="H324" s="49">
        <f t="shared" ref="H324:H380" si="102">I323</f>
        <v>0.33285346015324302</v>
      </c>
      <c r="I324" s="49">
        <f t="shared" si="93"/>
        <v>0.33285346015324302</v>
      </c>
      <c r="J324" s="48">
        <v>0.15</v>
      </c>
      <c r="K324" s="48">
        <f t="shared" ref="K324:K380" si="103">M324*N324*P324/AN324</f>
        <v>0.12477882465233825</v>
      </c>
      <c r="L324" s="48">
        <v>218000</v>
      </c>
      <c r="M324" s="48">
        <v>211500</v>
      </c>
      <c r="N324" s="51">
        <v>127953489</v>
      </c>
      <c r="O324" s="48">
        <f t="shared" ref="O324:O380" si="104">P323</f>
        <v>1.3505491988037901</v>
      </c>
      <c r="P324" s="48">
        <f t="shared" si="94"/>
        <v>1.3505491988037901</v>
      </c>
      <c r="Q324" s="49">
        <v>0.15</v>
      </c>
      <c r="R324" s="49">
        <f t="shared" ref="R324:R380" si="105">T324*U324*W324/AN324</f>
        <v>0.1313718645022236</v>
      </c>
      <c r="S324" s="49">
        <v>258900</v>
      </c>
      <c r="T324" s="49">
        <v>254200</v>
      </c>
      <c r="U324" s="49">
        <v>15956260</v>
      </c>
      <c r="V324" s="49">
        <f t="shared" ref="V324:V380" si="106">W323</f>
        <v>9.4869745730419108</v>
      </c>
      <c r="W324" s="49">
        <f t="shared" si="95"/>
        <v>9.4869745730419108</v>
      </c>
      <c r="X324" s="48">
        <v>0.1</v>
      </c>
      <c r="Y324" s="76">
        <f t="shared" ref="Y324:Y380" si="107">AA324*AB324*AD324/AN324</f>
        <v>9.5574976136311357E-2</v>
      </c>
      <c r="Z324" s="18">
        <v>10965</v>
      </c>
      <c r="AA324" s="18">
        <v>10965</v>
      </c>
      <c r="AB324" s="18">
        <v>67900000</v>
      </c>
      <c r="AC324" s="135">
        <f t="shared" ref="AC324:AC380" si="108">AD323</f>
        <v>37.600862878202101</v>
      </c>
      <c r="AD324" s="48">
        <f t="shared" si="96"/>
        <v>37.600862878202101</v>
      </c>
      <c r="AE324" s="49">
        <v>0.3</v>
      </c>
      <c r="AF324" s="49">
        <f t="shared" ref="AF324:AF380" si="109">AH324*AI324*AK324/AN324</f>
        <v>0.34537311092631978</v>
      </c>
      <c r="AG324" s="19">
        <v>27100</v>
      </c>
      <c r="AH324" s="19">
        <v>25850</v>
      </c>
      <c r="AI324" s="19">
        <v>7239332</v>
      </c>
      <c r="AJ324" s="137">
        <f t="shared" ref="AJ324:AJ380" si="110">AK323</f>
        <v>540.58190502179798</v>
      </c>
      <c r="AK324" s="49">
        <f t="shared" si="97"/>
        <v>540.58190502179798</v>
      </c>
      <c r="AL324" s="82">
        <f t="shared" si="98"/>
        <v>0</v>
      </c>
      <c r="AM324" s="82">
        <f t="shared" si="99"/>
        <v>248880044561379.91</v>
      </c>
      <c r="AN324" s="81">
        <f t="shared" ref="AN324:AN380" si="111">F324*G324*I324+M324*N324*P324+T324*U324*W324+AA324*AB324*AD324+AH324*AI324*AK324</f>
        <v>292908532806457</v>
      </c>
      <c r="AO324" s="80">
        <f t="shared" si="100"/>
        <v>1176.9064623990719</v>
      </c>
      <c r="AP324" s="52">
        <f t="shared" ref="AP324:AP380" si="112">(AO324-AO323)/AO323</f>
        <v>-2.3096930932449262E-2</v>
      </c>
      <c r="AQ324" s="48">
        <f>(F324-E324)/E324</f>
        <v>-2.2346368715083797E-3</v>
      </c>
      <c r="AR324" s="48">
        <f>(M324-L324)/L324</f>
        <v>-2.9816513761467892E-2</v>
      </c>
      <c r="AS324" s="48">
        <f>(T324-S324)/S324</f>
        <v>-1.8153727307840865E-2</v>
      </c>
      <c r="AT324" s="48" t="e">
        <f>(#REF!-#REF!)/#REF!</f>
        <v>#REF!</v>
      </c>
    </row>
    <row r="325" spans="1:46" x14ac:dyDescent="0.3">
      <c r="A325" s="48">
        <v>20190426</v>
      </c>
      <c r="B325" s="48" t="s">
        <v>88</v>
      </c>
      <c r="C325" s="79">
        <v>0.3</v>
      </c>
      <c r="D325" s="79">
        <f t="shared" si="101"/>
        <v>0.30208760640428278</v>
      </c>
      <c r="E325" s="49">
        <v>44650</v>
      </c>
      <c r="F325" s="49">
        <v>44850</v>
      </c>
      <c r="G325" s="49">
        <v>5969782550</v>
      </c>
      <c r="H325" s="49">
        <f t="shared" si="102"/>
        <v>0.33285346015324302</v>
      </c>
      <c r="I325" s="49">
        <f t="shared" ref="I325:I380" si="113">IF(B325="Y",ROUND(C325*(E325*G325+L325*N325+S325*U325+Z325*AB325+AG325*AI325)/(E325*G325),17),IF(AL325=0,H325,ROUND(F324*G324*I324/AN324*(E325*G325+L325*N325+S325*U325+Z325*AB325+AG325*AI325)/(E325*G325),17)))</f>
        <v>0.33285346015324302</v>
      </c>
      <c r="J325" s="48">
        <v>0.15</v>
      </c>
      <c r="K325" s="48">
        <f t="shared" si="103"/>
        <v>0.12418160700378565</v>
      </c>
      <c r="L325" s="48">
        <v>211500</v>
      </c>
      <c r="M325" s="48">
        <v>212000</v>
      </c>
      <c r="N325" s="51">
        <v>127953489</v>
      </c>
      <c r="O325" s="48">
        <f t="shared" si="104"/>
        <v>1.3505491988037901</v>
      </c>
      <c r="P325" s="48">
        <f t="shared" ref="P325:P380" si="114">IF(B325="Y",ROUND(J325*(E325*G325+L325*N325+S325*U325+Z325*AB325+AG325*AI325)/(L325*N325),17),IF(AL325=0,O325,ROUND(M324*N324*P324/AN324*(E325*G325+L325*N325+S325*U325+Z325*AB325+AG325*AI325)/(L325*N325),17)))</f>
        <v>1.3505491988037901</v>
      </c>
      <c r="Q325" s="49">
        <v>0.15</v>
      </c>
      <c r="R325" s="49">
        <f t="shared" si="105"/>
        <v>0.13043473483380336</v>
      </c>
      <c r="S325" s="49">
        <v>254200</v>
      </c>
      <c r="T325" s="49">
        <v>254200</v>
      </c>
      <c r="U325" s="49">
        <v>15956260</v>
      </c>
      <c r="V325" s="49">
        <f t="shared" si="106"/>
        <v>9.4869745730419108</v>
      </c>
      <c r="W325" s="49">
        <f t="shared" ref="W325:W380" si="115">IF(B325="Y",ROUND(Q325*(E325*G325+L325*N325+S325*U325+Z325*AB325+AG325*AI325)/(S325*U325),17),IF(AL325=0,V325,ROUND(T324*U324*W324/AN324*(E325*G325+L325*N325+S325*U325+Z325*AB325+AG325*AI325)/(S325*U325),17)))</f>
        <v>9.4869745730419108</v>
      </c>
      <c r="X325" s="48">
        <v>0.1</v>
      </c>
      <c r="Y325" s="76">
        <f t="shared" si="107"/>
        <v>9.4417219944597217E-2</v>
      </c>
      <c r="Z325" s="18">
        <v>10965</v>
      </c>
      <c r="AA325" s="18">
        <v>10910</v>
      </c>
      <c r="AB325" s="18">
        <v>67900000</v>
      </c>
      <c r="AC325" s="135">
        <f t="shared" si="108"/>
        <v>37.600862878202101</v>
      </c>
      <c r="AD325" s="48">
        <f t="shared" ref="AD325:AD380" si="116">IFERROR(IF(B325="Y",ROUND(X325*(E325*G325+L325*N325+S325*U325+Z325*AB325+AG325*AI325)/(Z325*AB325),17),IF(AL325=0,AC325,ROUND(AA324*AB324*AD324/AN324*(E325*G325+L325*N325+S325*U325+Z325*AB325+AG325*AI325)/(Z325*AB325),17))),0)</f>
        <v>37.600862878202101</v>
      </c>
      <c r="AE325" s="49">
        <v>0.3</v>
      </c>
      <c r="AF325" s="49">
        <f t="shared" si="109"/>
        <v>0.34887883181353097</v>
      </c>
      <c r="AG325" s="19">
        <v>25850</v>
      </c>
      <c r="AH325" s="19">
        <v>26300</v>
      </c>
      <c r="AI325" s="19">
        <v>7239332</v>
      </c>
      <c r="AJ325" s="137">
        <f t="shared" si="110"/>
        <v>540.58190502179798</v>
      </c>
      <c r="AK325" s="49">
        <f t="shared" ref="AK325:AK380" si="117">IFERROR(IF(B325="Y",ROUND(AE325*(E325*G325+L325*N325+S325*U325+Z325*AB325+AG325*AI325)/(AG325*AI325),17),IF(AL325=0,AJ325,ROUND(AH324*AI324*AK324/AN324*(E325*G325+L325*N325+S325*U325+Z325*AB325+AG325*AI325)/(AG325*AI325),17))),0)</f>
        <v>540.58190502179798</v>
      </c>
      <c r="AL325" s="82">
        <f t="shared" ref="AL325:AL380" si="118">IF(AN324&lt;&gt;(E325*G325*H325+L325*N325*O325+S325*U325*V325+Z325*AB325*AC325+AG325*AI325*AJ325),1,0)</f>
        <v>0</v>
      </c>
      <c r="AM325" s="82">
        <f t="shared" ref="AM325:AM380" si="119">IF(AND(AL325=0,B325="N"),AM324,AM324*(E325*G325*I325+L325*N325*P325+S325*U325*W325+Z325*AB325*AD325+AG325*AI325*AK325)/AN324)</f>
        <v>248880044561379.91</v>
      </c>
      <c r="AN325" s="81">
        <f t="shared" si="111"/>
        <v>295012982028331.25</v>
      </c>
      <c r="AO325" s="80">
        <f t="shared" si="100"/>
        <v>1185.3621392115022</v>
      </c>
      <c r="AP325" s="52">
        <f t="shared" si="112"/>
        <v>7.1846634227785266E-3</v>
      </c>
      <c r="AQ325" s="48">
        <f>(F325-E325)/E325</f>
        <v>4.4792833146696529E-3</v>
      </c>
      <c r="AR325" s="48">
        <f>(M325-L325)/L325</f>
        <v>2.3640661938534278E-3</v>
      </c>
      <c r="AS325" s="48">
        <f>(T325-S325)/S325</f>
        <v>0</v>
      </c>
      <c r="AT325" s="48" t="e">
        <f>(#REF!-#REF!)/#REF!</f>
        <v>#REF!</v>
      </c>
    </row>
    <row r="326" spans="1:46" x14ac:dyDescent="0.3">
      <c r="A326" s="48">
        <v>20190429</v>
      </c>
      <c r="B326" s="48" t="s">
        <v>88</v>
      </c>
      <c r="C326" s="79">
        <v>0.3</v>
      </c>
      <c r="D326" s="79">
        <f t="shared" si="101"/>
        <v>0.30297909729447936</v>
      </c>
      <c r="E326" s="49">
        <v>44850</v>
      </c>
      <c r="F326" s="49">
        <v>46150</v>
      </c>
      <c r="G326" s="49">
        <v>5969782550</v>
      </c>
      <c r="H326" s="49">
        <f t="shared" si="102"/>
        <v>0.33285346015324302</v>
      </c>
      <c r="I326" s="49">
        <f t="shared" si="113"/>
        <v>0.33285346015324302</v>
      </c>
      <c r="J326" s="48">
        <v>0.15</v>
      </c>
      <c r="K326" s="48">
        <f t="shared" si="103"/>
        <v>0.1233234504049579</v>
      </c>
      <c r="L326" s="48">
        <v>212000</v>
      </c>
      <c r="M326" s="48">
        <v>216000</v>
      </c>
      <c r="N326" s="51">
        <v>127953489</v>
      </c>
      <c r="O326" s="48">
        <f t="shared" si="104"/>
        <v>1.3505491988037901</v>
      </c>
      <c r="P326" s="48">
        <f t="shared" si="114"/>
        <v>1.3505491988037901</v>
      </c>
      <c r="Q326" s="49">
        <v>0.15</v>
      </c>
      <c r="R326" s="49">
        <f t="shared" si="105"/>
        <v>0.12923517165322757</v>
      </c>
      <c r="S326" s="49">
        <v>254200</v>
      </c>
      <c r="T326" s="49">
        <v>258400</v>
      </c>
      <c r="U326" s="49">
        <v>15956260</v>
      </c>
      <c r="V326" s="49">
        <f t="shared" si="106"/>
        <v>9.4869745730419108</v>
      </c>
      <c r="W326" s="49">
        <f t="shared" si="115"/>
        <v>9.4869745730419108</v>
      </c>
      <c r="X326" s="48">
        <v>0.1</v>
      </c>
      <c r="Y326" s="76">
        <f t="shared" si="107"/>
        <v>9.3420178835511972E-2</v>
      </c>
      <c r="Z326" s="18">
        <v>10910</v>
      </c>
      <c r="AA326" s="18">
        <v>11075</v>
      </c>
      <c r="AB326" s="18">
        <v>67900000</v>
      </c>
      <c r="AC326" s="135">
        <f t="shared" si="108"/>
        <v>37.600862878202101</v>
      </c>
      <c r="AD326" s="48">
        <f t="shared" si="116"/>
        <v>37.600862878202101</v>
      </c>
      <c r="AE326" s="49">
        <v>0.3</v>
      </c>
      <c r="AF326" s="49">
        <f t="shared" si="109"/>
        <v>0.35104210181182316</v>
      </c>
      <c r="AG326" s="19">
        <v>26300</v>
      </c>
      <c r="AH326" s="19">
        <v>27150</v>
      </c>
      <c r="AI326" s="19">
        <v>7239332</v>
      </c>
      <c r="AJ326" s="137">
        <f t="shared" si="110"/>
        <v>540.58190502179798</v>
      </c>
      <c r="AK326" s="49">
        <f t="shared" si="117"/>
        <v>540.58190502179798</v>
      </c>
      <c r="AL326" s="82">
        <f t="shared" si="118"/>
        <v>0</v>
      </c>
      <c r="AM326" s="82">
        <f t="shared" si="119"/>
        <v>248880044561379.91</v>
      </c>
      <c r="AN326" s="81">
        <f t="shared" si="111"/>
        <v>302670870794650.56</v>
      </c>
      <c r="AO326" s="80">
        <f t="shared" si="100"/>
        <v>1216.1315356884893</v>
      </c>
      <c r="AP326" s="52">
        <f t="shared" si="112"/>
        <v>2.5957802648779393E-2</v>
      </c>
      <c r="AQ326" s="48">
        <f>(F326-E326)/E326</f>
        <v>2.8985507246376812E-2</v>
      </c>
      <c r="AR326" s="48">
        <f>(M326-L326)/L326</f>
        <v>1.8867924528301886E-2</v>
      </c>
      <c r="AS326" s="48">
        <f>(T326-S326)/S326</f>
        <v>1.6522423288749016E-2</v>
      </c>
      <c r="AT326" s="48" t="e">
        <f>(#REF!-#REF!)/#REF!</f>
        <v>#REF!</v>
      </c>
    </row>
    <row r="327" spans="1:46" x14ac:dyDescent="0.3">
      <c r="A327" s="48">
        <v>20190430</v>
      </c>
      <c r="B327" s="48" t="s">
        <v>88</v>
      </c>
      <c r="C327" s="79">
        <v>0.3</v>
      </c>
      <c r="D327" s="79">
        <f t="shared" si="101"/>
        <v>0.30300261273853807</v>
      </c>
      <c r="E327" s="49">
        <v>46150</v>
      </c>
      <c r="F327" s="49">
        <v>45850</v>
      </c>
      <c r="G327" s="49">
        <v>5969782550</v>
      </c>
      <c r="H327" s="49">
        <f t="shared" si="102"/>
        <v>0.33285346015324302</v>
      </c>
      <c r="I327" s="49">
        <f t="shared" si="113"/>
        <v>0.33285346015324302</v>
      </c>
      <c r="J327" s="48">
        <v>0.15</v>
      </c>
      <c r="K327" s="48">
        <f t="shared" si="103"/>
        <v>0.12184111040898234</v>
      </c>
      <c r="L327" s="48">
        <v>216000</v>
      </c>
      <c r="M327" s="48">
        <v>212000</v>
      </c>
      <c r="N327" s="51">
        <v>127953489</v>
      </c>
      <c r="O327" s="48">
        <f t="shared" si="104"/>
        <v>1.3505491988037901</v>
      </c>
      <c r="P327" s="48">
        <f t="shared" si="114"/>
        <v>1.3505491988037901</v>
      </c>
      <c r="Q327" s="49">
        <v>0.15</v>
      </c>
      <c r="R327" s="49">
        <f t="shared" si="105"/>
        <v>0.13104741366957837</v>
      </c>
      <c r="S327" s="49">
        <v>258400</v>
      </c>
      <c r="T327" s="49">
        <v>260300</v>
      </c>
      <c r="U327" s="49">
        <v>15956260</v>
      </c>
      <c r="V327" s="49">
        <f t="shared" si="106"/>
        <v>9.4869745730419108</v>
      </c>
      <c r="W327" s="49">
        <f t="shared" si="115"/>
        <v>9.4869745730419108</v>
      </c>
      <c r="X327" s="48">
        <v>0.1</v>
      </c>
      <c r="Y327" s="76">
        <f t="shared" si="107"/>
        <v>9.3996276848769697E-2</v>
      </c>
      <c r="Z327" s="18">
        <v>11075</v>
      </c>
      <c r="AA327" s="18">
        <v>11070</v>
      </c>
      <c r="AB327" s="18">
        <v>67900000</v>
      </c>
      <c r="AC327" s="135">
        <f t="shared" si="108"/>
        <v>37.600862878202101</v>
      </c>
      <c r="AD327" s="48">
        <f t="shared" si="116"/>
        <v>37.600862878202101</v>
      </c>
      <c r="AE327" s="49">
        <v>0.3</v>
      </c>
      <c r="AF327" s="49">
        <f t="shared" si="109"/>
        <v>0.35011258633413145</v>
      </c>
      <c r="AG327" s="19">
        <v>27150</v>
      </c>
      <c r="AH327" s="19">
        <v>26900</v>
      </c>
      <c r="AI327" s="19">
        <v>7239332</v>
      </c>
      <c r="AJ327" s="137">
        <f t="shared" si="110"/>
        <v>540.58190502179798</v>
      </c>
      <c r="AK327" s="49">
        <f t="shared" si="117"/>
        <v>540.58190502179798</v>
      </c>
      <c r="AL327" s="82">
        <f t="shared" si="118"/>
        <v>0</v>
      </c>
      <c r="AM327" s="82">
        <f t="shared" si="119"/>
        <v>248880044561379.91</v>
      </c>
      <c r="AN327" s="81">
        <f t="shared" si="111"/>
        <v>300680009171652.31</v>
      </c>
      <c r="AO327" s="80">
        <f t="shared" si="100"/>
        <v>1208.1322538396496</v>
      </c>
      <c r="AP327" s="52">
        <f t="shared" si="112"/>
        <v>-6.5776452744571437E-3</v>
      </c>
      <c r="AQ327" s="48">
        <f>(F327-E327)/E327</f>
        <v>-6.5005417118093175E-3</v>
      </c>
      <c r="AR327" s="48">
        <f>(M327-L327)/L327</f>
        <v>-1.8518518518518517E-2</v>
      </c>
      <c r="AS327" s="48">
        <f>(T327-S327)/S327</f>
        <v>7.3529411764705881E-3</v>
      </c>
      <c r="AT327" s="48" t="e">
        <f>(#REF!-#REF!)/#REF!</f>
        <v>#REF!</v>
      </c>
    </row>
    <row r="328" spans="1:46" x14ac:dyDescent="0.3">
      <c r="A328" s="48">
        <v>20190502</v>
      </c>
      <c r="B328" s="48" t="s">
        <v>88</v>
      </c>
      <c r="C328" s="79">
        <v>0.3</v>
      </c>
      <c r="D328" s="79">
        <f t="shared" si="101"/>
        <v>0.30677213554597965</v>
      </c>
      <c r="E328" s="49">
        <v>45850</v>
      </c>
      <c r="F328" s="49">
        <v>45900</v>
      </c>
      <c r="G328" s="49">
        <v>5969782550</v>
      </c>
      <c r="H328" s="49">
        <f t="shared" si="102"/>
        <v>0.33285346015324302</v>
      </c>
      <c r="I328" s="49">
        <f t="shared" si="113"/>
        <v>0.33285346015324302</v>
      </c>
      <c r="J328" s="48">
        <v>0.15</v>
      </c>
      <c r="K328" s="48">
        <f t="shared" si="103"/>
        <v>0.12031631542166876</v>
      </c>
      <c r="L328" s="48">
        <v>212000</v>
      </c>
      <c r="M328" s="48">
        <v>207000</v>
      </c>
      <c r="N328" s="51">
        <v>127953489</v>
      </c>
      <c r="O328" s="48">
        <f t="shared" si="104"/>
        <v>1.3505491988037901</v>
      </c>
      <c r="P328" s="48">
        <f t="shared" si="114"/>
        <v>1.3505491988037901</v>
      </c>
      <c r="Q328" s="49">
        <v>0.15</v>
      </c>
      <c r="R328" s="49">
        <f t="shared" si="105"/>
        <v>0.12718705483841317</v>
      </c>
      <c r="S328" s="49">
        <v>260300</v>
      </c>
      <c r="T328" s="49">
        <v>249800</v>
      </c>
      <c r="U328" s="49">
        <v>15956260</v>
      </c>
      <c r="V328" s="49">
        <f t="shared" si="106"/>
        <v>9.4869745730419108</v>
      </c>
      <c r="W328" s="49">
        <f t="shared" si="115"/>
        <v>9.4869745730419108</v>
      </c>
      <c r="X328" s="48">
        <v>0.1</v>
      </c>
      <c r="Y328" s="76">
        <f t="shared" si="107"/>
        <v>9.4933166818878048E-2</v>
      </c>
      <c r="Z328" s="18">
        <v>11070</v>
      </c>
      <c r="AA328" s="18">
        <v>11055</v>
      </c>
      <c r="AB328" s="18">
        <v>67900000</v>
      </c>
      <c r="AC328" s="135">
        <f t="shared" si="108"/>
        <v>37.600862878202101</v>
      </c>
      <c r="AD328" s="48">
        <f t="shared" si="116"/>
        <v>37.600862878202101</v>
      </c>
      <c r="AE328" s="49">
        <v>0.3</v>
      </c>
      <c r="AF328" s="49">
        <f t="shared" si="109"/>
        <v>0.35079132737506047</v>
      </c>
      <c r="AG328" s="19">
        <v>26900</v>
      </c>
      <c r="AH328" s="19">
        <v>26650</v>
      </c>
      <c r="AI328" s="19">
        <v>7239332</v>
      </c>
      <c r="AJ328" s="137">
        <f t="shared" si="110"/>
        <v>540.58190502179798</v>
      </c>
      <c r="AK328" s="49">
        <f t="shared" si="117"/>
        <v>540.58190502179798</v>
      </c>
      <c r="AL328" s="82">
        <f t="shared" si="118"/>
        <v>0</v>
      </c>
      <c r="AM328" s="82">
        <f t="shared" si="119"/>
        <v>248880044561379.91</v>
      </c>
      <c r="AN328" s="81">
        <f t="shared" si="111"/>
        <v>297309210805081.62</v>
      </c>
      <c r="AO328" s="80">
        <f t="shared" si="100"/>
        <v>1194.588386260747</v>
      </c>
      <c r="AP328" s="52">
        <f t="shared" si="112"/>
        <v>-1.1210583556442477E-2</v>
      </c>
      <c r="AQ328" s="48">
        <f>(F328-E328)/E328</f>
        <v>1.0905125408942203E-3</v>
      </c>
      <c r="AR328" s="48">
        <f>(M328-L328)/L328</f>
        <v>-2.358490566037736E-2</v>
      </c>
      <c r="AS328" s="48">
        <f>(T328-S328)/S328</f>
        <v>-4.0338071456012294E-2</v>
      </c>
      <c r="AT328" s="48" t="e">
        <f>(#REF!-#REF!)/#REF!</f>
        <v>#REF!</v>
      </c>
    </row>
    <row r="329" spans="1:46" x14ac:dyDescent="0.3">
      <c r="A329" s="48">
        <v>20190503</v>
      </c>
      <c r="B329" s="48" t="s">
        <v>88</v>
      </c>
      <c r="C329" s="79">
        <v>0.3</v>
      </c>
      <c r="D329" s="79">
        <f t="shared" si="101"/>
        <v>0.30148479412228341</v>
      </c>
      <c r="E329" s="49">
        <v>45900</v>
      </c>
      <c r="F329" s="49">
        <v>45300</v>
      </c>
      <c r="G329" s="49">
        <v>5969782550</v>
      </c>
      <c r="H329" s="49">
        <f t="shared" si="102"/>
        <v>0.33285346015324302</v>
      </c>
      <c r="I329" s="49">
        <f t="shared" si="113"/>
        <v>0.33285346015324302</v>
      </c>
      <c r="J329" s="48">
        <v>0.15</v>
      </c>
      <c r="K329" s="48">
        <f t="shared" si="103"/>
        <v>0.11836177708673147</v>
      </c>
      <c r="L329" s="48">
        <v>207000</v>
      </c>
      <c r="M329" s="48">
        <v>204500</v>
      </c>
      <c r="N329" s="51">
        <v>127953489</v>
      </c>
      <c r="O329" s="48">
        <f t="shared" si="104"/>
        <v>1.3505491988037901</v>
      </c>
      <c r="P329" s="48">
        <f t="shared" si="114"/>
        <v>1.3505491988037901</v>
      </c>
      <c r="Q329" s="49">
        <v>0.15</v>
      </c>
      <c r="R329" s="49">
        <f t="shared" si="105"/>
        <v>0.12573788305731032</v>
      </c>
      <c r="S329" s="49">
        <v>249800</v>
      </c>
      <c r="T329" s="49">
        <v>248000</v>
      </c>
      <c r="U329" s="49">
        <v>15956260</v>
      </c>
      <c r="V329" s="49">
        <f t="shared" si="106"/>
        <v>9.4869745730419108</v>
      </c>
      <c r="W329" s="49">
        <f t="shared" si="115"/>
        <v>9.4869745730419108</v>
      </c>
      <c r="X329" s="48">
        <v>0.1</v>
      </c>
      <c r="Y329" s="76">
        <f t="shared" si="107"/>
        <v>9.4618187923413755E-2</v>
      </c>
      <c r="Z329" s="18">
        <v>11055</v>
      </c>
      <c r="AA329" s="18">
        <v>11065</v>
      </c>
      <c r="AB329" s="18">
        <v>67900000</v>
      </c>
      <c r="AC329" s="135">
        <f t="shared" si="108"/>
        <v>37.600862878202101</v>
      </c>
      <c r="AD329" s="48">
        <f t="shared" si="116"/>
        <v>37.600862878202101</v>
      </c>
      <c r="AE329" s="49">
        <v>0.3</v>
      </c>
      <c r="AF329" s="49">
        <f t="shared" si="109"/>
        <v>0.35979735781026118</v>
      </c>
      <c r="AG329" s="19">
        <v>26650</v>
      </c>
      <c r="AH329" s="19">
        <v>27450</v>
      </c>
      <c r="AI329" s="19">
        <v>7239332</v>
      </c>
      <c r="AJ329" s="137">
        <f t="shared" si="110"/>
        <v>540.58190502179798</v>
      </c>
      <c r="AK329" s="49">
        <f t="shared" si="117"/>
        <v>540.58190502179798</v>
      </c>
      <c r="AL329" s="82">
        <f t="shared" si="118"/>
        <v>0</v>
      </c>
      <c r="AM329" s="82">
        <f t="shared" si="119"/>
        <v>248880044561379.91</v>
      </c>
      <c r="AN329" s="81">
        <f t="shared" si="111"/>
        <v>298568768986659.87</v>
      </c>
      <c r="AO329" s="80">
        <f t="shared" si="100"/>
        <v>1199.6492909379301</v>
      </c>
      <c r="AP329" s="52">
        <f t="shared" si="112"/>
        <v>4.2365259326055654E-3</v>
      </c>
      <c r="AQ329" s="48">
        <f>(F329-E329)/E329</f>
        <v>-1.3071895424836602E-2</v>
      </c>
      <c r="AR329" s="48">
        <f>(M329-L329)/L329</f>
        <v>-1.2077294685990338E-2</v>
      </c>
      <c r="AS329" s="48">
        <f>(T329-S329)/S329</f>
        <v>-7.2057646116893519E-3</v>
      </c>
      <c r="AT329" s="48" t="e">
        <f>(#REF!-#REF!)/#REF!</f>
        <v>#REF!</v>
      </c>
    </row>
    <row r="330" spans="1:46" x14ac:dyDescent="0.3">
      <c r="A330" s="48">
        <v>20190507</v>
      </c>
      <c r="B330" s="48" t="s">
        <v>88</v>
      </c>
      <c r="C330" s="79">
        <v>0.3</v>
      </c>
      <c r="D330" s="79">
        <f t="shared" si="101"/>
        <v>0.30257706602962353</v>
      </c>
      <c r="E330" s="49">
        <v>45300</v>
      </c>
      <c r="F330" s="49">
        <v>44850</v>
      </c>
      <c r="G330" s="49">
        <v>5969782550</v>
      </c>
      <c r="H330" s="49">
        <f t="shared" si="102"/>
        <v>0.33285346015324302</v>
      </c>
      <c r="I330" s="49">
        <f t="shared" si="113"/>
        <v>0.33285346015324302</v>
      </c>
      <c r="J330" s="48">
        <v>0.15</v>
      </c>
      <c r="K330" s="48">
        <f t="shared" si="103"/>
        <v>0.12056918916105863</v>
      </c>
      <c r="L330" s="48">
        <v>204500</v>
      </c>
      <c r="M330" s="48">
        <v>205500</v>
      </c>
      <c r="N330" s="51">
        <v>127953489</v>
      </c>
      <c r="O330" s="48">
        <f t="shared" si="104"/>
        <v>1.3505491988037901</v>
      </c>
      <c r="P330" s="48">
        <f t="shared" si="114"/>
        <v>1.3505491988037901</v>
      </c>
      <c r="Q330" s="49">
        <v>0.15</v>
      </c>
      <c r="R330" s="49">
        <f t="shared" si="105"/>
        <v>0.12309100865770808</v>
      </c>
      <c r="S330" s="49">
        <v>248000</v>
      </c>
      <c r="T330" s="49">
        <v>239500</v>
      </c>
      <c r="U330" s="49">
        <v>15956260</v>
      </c>
      <c r="V330" s="49">
        <f t="shared" si="106"/>
        <v>9.4869745730419108</v>
      </c>
      <c r="W330" s="49">
        <f t="shared" si="115"/>
        <v>9.4869745730419108</v>
      </c>
      <c r="X330" s="48">
        <v>0.1</v>
      </c>
      <c r="Y330" s="76">
        <f t="shared" si="107"/>
        <v>9.4353494810387725E-2</v>
      </c>
      <c r="Z330" s="18">
        <v>11065</v>
      </c>
      <c r="AA330" s="18">
        <v>10885</v>
      </c>
      <c r="AB330" s="18">
        <v>67900000</v>
      </c>
      <c r="AC330" s="135">
        <f t="shared" si="108"/>
        <v>37.600862878202101</v>
      </c>
      <c r="AD330" s="48">
        <f t="shared" si="116"/>
        <v>37.600862878202101</v>
      </c>
      <c r="AE330" s="49">
        <v>0.3</v>
      </c>
      <c r="AF330" s="49">
        <f t="shared" si="109"/>
        <v>0.35940924134122199</v>
      </c>
      <c r="AG330" s="19">
        <v>27450</v>
      </c>
      <c r="AH330" s="19">
        <v>27050</v>
      </c>
      <c r="AI330" s="19">
        <v>7239332</v>
      </c>
      <c r="AJ330" s="137">
        <f t="shared" si="110"/>
        <v>540.58190502179798</v>
      </c>
      <c r="AK330" s="49">
        <f t="shared" si="117"/>
        <v>540.58190502179798</v>
      </c>
      <c r="AL330" s="82">
        <f t="shared" si="118"/>
        <v>0</v>
      </c>
      <c r="AM330" s="82">
        <f t="shared" si="119"/>
        <v>248880044561379.91</v>
      </c>
      <c r="AN330" s="81">
        <f t="shared" si="111"/>
        <v>294535758339341.87</v>
      </c>
      <c r="AO330" s="80">
        <f t="shared" si="100"/>
        <v>1183.4446544656662</v>
      </c>
      <c r="AP330" s="52">
        <f t="shared" si="112"/>
        <v>-1.3507811486800901E-2</v>
      </c>
      <c r="AQ330" s="48">
        <f>(F330-E330)/E330</f>
        <v>-9.9337748344370865E-3</v>
      </c>
      <c r="AR330" s="48">
        <f>(M330-L330)/L330</f>
        <v>4.8899755501222494E-3</v>
      </c>
      <c r="AS330" s="48">
        <f>(T330-S330)/S330</f>
        <v>-3.4274193548387094E-2</v>
      </c>
      <c r="AT330" s="48" t="e">
        <f>(#REF!-#REF!)/#REF!</f>
        <v>#REF!</v>
      </c>
    </row>
    <row r="331" spans="1:46" x14ac:dyDescent="0.3">
      <c r="A331" s="48">
        <v>20190508</v>
      </c>
      <c r="B331" s="48" t="s">
        <v>88</v>
      </c>
      <c r="C331" s="79">
        <v>0.3</v>
      </c>
      <c r="D331" s="79">
        <f t="shared" si="101"/>
        <v>0.30210737249875275</v>
      </c>
      <c r="E331" s="49">
        <v>44850</v>
      </c>
      <c r="F331" s="49">
        <v>44250</v>
      </c>
      <c r="G331" s="49">
        <v>5969782550</v>
      </c>
      <c r="H331" s="49">
        <f t="shared" si="102"/>
        <v>0.33285346015324302</v>
      </c>
      <c r="I331" s="49">
        <f t="shared" si="113"/>
        <v>0.33285346015324302</v>
      </c>
      <c r="J331" s="48">
        <v>0.15</v>
      </c>
      <c r="K331" s="48">
        <f t="shared" si="103"/>
        <v>0.12201432704255508</v>
      </c>
      <c r="L331" s="48">
        <v>205500</v>
      </c>
      <c r="M331" s="48">
        <v>205500</v>
      </c>
      <c r="N331" s="51">
        <v>127953489</v>
      </c>
      <c r="O331" s="48">
        <f t="shared" si="104"/>
        <v>1.3505491988037901</v>
      </c>
      <c r="P331" s="48">
        <f t="shared" si="114"/>
        <v>1.3505491988037901</v>
      </c>
      <c r="Q331" s="49">
        <v>0.15</v>
      </c>
      <c r="R331" s="49">
        <f t="shared" si="105"/>
        <v>0.12030147001743091</v>
      </c>
      <c r="S331" s="49">
        <v>239500</v>
      </c>
      <c r="T331" s="49">
        <v>231300</v>
      </c>
      <c r="U331" s="49">
        <v>15956260</v>
      </c>
      <c r="V331" s="49">
        <f t="shared" si="106"/>
        <v>9.4869745730419108</v>
      </c>
      <c r="W331" s="49">
        <f t="shared" si="115"/>
        <v>9.4869745730419108</v>
      </c>
      <c r="X331" s="48">
        <v>0.1</v>
      </c>
      <c r="Y331" s="76">
        <f t="shared" si="107"/>
        <v>9.5221249054210727E-2</v>
      </c>
      <c r="Z331" s="18">
        <v>10885</v>
      </c>
      <c r="AA331" s="18">
        <v>10855</v>
      </c>
      <c r="AB331" s="18">
        <v>67900000</v>
      </c>
      <c r="AC331" s="135">
        <f t="shared" si="108"/>
        <v>37.600862878202101</v>
      </c>
      <c r="AD331" s="48">
        <f t="shared" si="116"/>
        <v>37.600862878202101</v>
      </c>
      <c r="AE331" s="49">
        <v>0.3</v>
      </c>
      <c r="AF331" s="49">
        <f t="shared" si="109"/>
        <v>0.36035558138705048</v>
      </c>
      <c r="AG331" s="19">
        <v>27050</v>
      </c>
      <c r="AH331" s="19">
        <v>26800</v>
      </c>
      <c r="AI331" s="19">
        <v>7239332</v>
      </c>
      <c r="AJ331" s="137">
        <f t="shared" si="110"/>
        <v>540.58190502179798</v>
      </c>
      <c r="AK331" s="49">
        <f t="shared" si="117"/>
        <v>540.58190502179798</v>
      </c>
      <c r="AL331" s="82">
        <f t="shared" si="118"/>
        <v>0</v>
      </c>
      <c r="AM331" s="82">
        <f t="shared" si="119"/>
        <v>248880044561379.91</v>
      </c>
      <c r="AN331" s="81">
        <f t="shared" si="111"/>
        <v>291047276354082.75</v>
      </c>
      <c r="AO331" s="80">
        <f t="shared" si="100"/>
        <v>1169.4279341158804</v>
      </c>
      <c r="AP331" s="52">
        <f t="shared" si="112"/>
        <v>-1.1844001573621943E-2</v>
      </c>
      <c r="AQ331" s="48">
        <f>(F331-E331)/E331</f>
        <v>-1.3377926421404682E-2</v>
      </c>
      <c r="AR331" s="48">
        <f>(M331-L331)/L331</f>
        <v>0</v>
      </c>
      <c r="AS331" s="48">
        <f>(T331-S331)/S331</f>
        <v>-3.4237995824634652E-2</v>
      </c>
      <c r="AT331" s="48" t="e">
        <f>(#REF!-#REF!)/#REF!</f>
        <v>#REF!</v>
      </c>
    </row>
    <row r="332" spans="1:46" x14ac:dyDescent="0.3">
      <c r="A332" s="48">
        <v>20190509</v>
      </c>
      <c r="B332" s="48" t="s">
        <v>88</v>
      </c>
      <c r="C332" s="79">
        <v>0.3</v>
      </c>
      <c r="D332" s="79">
        <f t="shared" si="101"/>
        <v>0.29938770011707277</v>
      </c>
      <c r="E332" s="49">
        <v>44250</v>
      </c>
      <c r="F332" s="49">
        <v>42450</v>
      </c>
      <c r="G332" s="49">
        <v>5969782550</v>
      </c>
      <c r="H332" s="49">
        <f t="shared" si="102"/>
        <v>0.33285346015324302</v>
      </c>
      <c r="I332" s="49">
        <f t="shared" si="113"/>
        <v>0.33285346015324302</v>
      </c>
      <c r="J332" s="48">
        <v>0.15</v>
      </c>
      <c r="K332" s="48">
        <f t="shared" si="103"/>
        <v>0.12880315712346088</v>
      </c>
      <c r="L332" s="48">
        <v>205500</v>
      </c>
      <c r="M332" s="48">
        <v>210000</v>
      </c>
      <c r="N332" s="51">
        <v>127953489</v>
      </c>
      <c r="O332" s="48">
        <f t="shared" si="104"/>
        <v>1.3505491988037901</v>
      </c>
      <c r="P332" s="48">
        <f t="shared" si="114"/>
        <v>1.3505491988037901</v>
      </c>
      <c r="Q332" s="49">
        <v>0.15</v>
      </c>
      <c r="R332" s="49">
        <f t="shared" si="105"/>
        <v>0.1225543687873865</v>
      </c>
      <c r="S332" s="49">
        <v>231300</v>
      </c>
      <c r="T332" s="49">
        <v>228100</v>
      </c>
      <c r="U332" s="49">
        <v>15956260</v>
      </c>
      <c r="V332" s="49">
        <f t="shared" si="106"/>
        <v>9.4869745730419108</v>
      </c>
      <c r="W332" s="49">
        <f t="shared" si="115"/>
        <v>9.4869745730419108</v>
      </c>
      <c r="X332" s="48">
        <v>0.1</v>
      </c>
      <c r="Y332" s="76">
        <f t="shared" si="107"/>
        <v>9.5057797004074379E-2</v>
      </c>
      <c r="Z332" s="18">
        <v>10855</v>
      </c>
      <c r="AA332" s="18">
        <v>10490</v>
      </c>
      <c r="AB332" s="18">
        <v>67900000</v>
      </c>
      <c r="AC332" s="135">
        <f t="shared" si="108"/>
        <v>37.600862878202101</v>
      </c>
      <c r="AD332" s="48">
        <f t="shared" si="116"/>
        <v>37.600862878202101</v>
      </c>
      <c r="AE332" s="49">
        <v>0.3</v>
      </c>
      <c r="AF332" s="49">
        <f t="shared" si="109"/>
        <v>0.35419697696800545</v>
      </c>
      <c r="AG332" s="19">
        <v>26800</v>
      </c>
      <c r="AH332" s="19">
        <v>25500</v>
      </c>
      <c r="AI332" s="19">
        <v>7239332</v>
      </c>
      <c r="AJ332" s="137">
        <f t="shared" si="110"/>
        <v>540.58190502179798</v>
      </c>
      <c r="AK332" s="49">
        <f t="shared" si="117"/>
        <v>540.58190502179798</v>
      </c>
      <c r="AL332" s="82">
        <f t="shared" si="118"/>
        <v>0</v>
      </c>
      <c r="AM332" s="82">
        <f t="shared" si="119"/>
        <v>248880044561379.91</v>
      </c>
      <c r="AN332" s="81">
        <f t="shared" si="111"/>
        <v>281744423363524.31</v>
      </c>
      <c r="AO332" s="80">
        <f t="shared" si="100"/>
        <v>1132.0490715117951</v>
      </c>
      <c r="AP332" s="52">
        <f t="shared" si="112"/>
        <v>-3.1963374153829084E-2</v>
      </c>
      <c r="AQ332" s="48">
        <f>(F332-E332)/E332</f>
        <v>-4.0677966101694912E-2</v>
      </c>
      <c r="AR332" s="48">
        <f>(M332-L332)/L332</f>
        <v>2.1897810218978103E-2</v>
      </c>
      <c r="AS332" s="48">
        <f>(T332-S332)/S332</f>
        <v>-1.3834846519671422E-2</v>
      </c>
      <c r="AT332" s="48" t="e">
        <f>(#REF!-#REF!)/#REF!</f>
        <v>#REF!</v>
      </c>
    </row>
    <row r="333" spans="1:46" x14ac:dyDescent="0.3">
      <c r="A333" s="48">
        <v>20190510</v>
      </c>
      <c r="B333" s="48" t="s">
        <v>88</v>
      </c>
      <c r="C333" s="79">
        <v>0.3</v>
      </c>
      <c r="D333" s="79">
        <f t="shared" si="101"/>
        <v>0.30455526125172677</v>
      </c>
      <c r="E333" s="49">
        <v>42450</v>
      </c>
      <c r="F333" s="49">
        <v>42900</v>
      </c>
      <c r="G333" s="49">
        <v>5969782550</v>
      </c>
      <c r="H333" s="49">
        <f t="shared" si="102"/>
        <v>0.33285346015324302</v>
      </c>
      <c r="I333" s="49">
        <f t="shared" si="113"/>
        <v>0.33285346015324302</v>
      </c>
      <c r="J333" s="48">
        <v>0.15</v>
      </c>
      <c r="K333" s="48">
        <f t="shared" si="103"/>
        <v>0.12440413582693145</v>
      </c>
      <c r="L333" s="48">
        <v>210000</v>
      </c>
      <c r="M333" s="48">
        <v>201500</v>
      </c>
      <c r="N333" s="51">
        <v>127953489</v>
      </c>
      <c r="O333" s="48">
        <f t="shared" si="104"/>
        <v>1.3505491988037901</v>
      </c>
      <c r="P333" s="48">
        <f t="shared" si="114"/>
        <v>1.3505491988037901</v>
      </c>
      <c r="Q333" s="49">
        <v>0.15</v>
      </c>
      <c r="R333" s="49">
        <f t="shared" si="105"/>
        <v>0.12195584318294929</v>
      </c>
      <c r="S333" s="49">
        <v>228100</v>
      </c>
      <c r="T333" s="49">
        <v>225500</v>
      </c>
      <c r="U333" s="49">
        <v>15956260</v>
      </c>
      <c r="V333" s="49">
        <f t="shared" si="106"/>
        <v>9.4869745730419108</v>
      </c>
      <c r="W333" s="49">
        <f t="shared" si="115"/>
        <v>9.4869745730419108</v>
      </c>
      <c r="X333" s="48">
        <v>0.1</v>
      </c>
      <c r="Y333" s="76">
        <f t="shared" si="107"/>
        <v>9.6049074152459876E-2</v>
      </c>
      <c r="Z333" s="18">
        <v>10490</v>
      </c>
      <c r="AA333" s="18">
        <v>10530</v>
      </c>
      <c r="AB333" s="18">
        <v>67900000</v>
      </c>
      <c r="AC333" s="135">
        <f t="shared" si="108"/>
        <v>37.600862878202101</v>
      </c>
      <c r="AD333" s="48">
        <f t="shared" si="116"/>
        <v>37.600862878202101</v>
      </c>
      <c r="AE333" s="49">
        <v>0.3</v>
      </c>
      <c r="AF333" s="49">
        <f t="shared" si="109"/>
        <v>0.35303568558593262</v>
      </c>
      <c r="AG333" s="19">
        <v>25500</v>
      </c>
      <c r="AH333" s="19">
        <v>25250</v>
      </c>
      <c r="AI333" s="19">
        <v>7239332</v>
      </c>
      <c r="AJ333" s="137">
        <f t="shared" si="110"/>
        <v>540.58190502179798</v>
      </c>
      <c r="AK333" s="49">
        <f t="shared" si="117"/>
        <v>540.58190502179798</v>
      </c>
      <c r="AL333" s="82">
        <f t="shared" si="118"/>
        <v>0</v>
      </c>
      <c r="AM333" s="82">
        <f t="shared" si="119"/>
        <v>248880044561379.91</v>
      </c>
      <c r="AN333" s="81">
        <f t="shared" si="111"/>
        <v>279899919743355.12</v>
      </c>
      <c r="AO333" s="80">
        <f t="shared" si="100"/>
        <v>1124.6378561071213</v>
      </c>
      <c r="AP333" s="52">
        <f t="shared" si="112"/>
        <v>-6.5467262781961659E-3</v>
      </c>
      <c r="AQ333" s="48">
        <f>(F333-E333)/E333</f>
        <v>1.0600706713780919E-2</v>
      </c>
      <c r="AR333" s="48">
        <f>(M333-L333)/L333</f>
        <v>-4.0476190476190478E-2</v>
      </c>
      <c r="AS333" s="48">
        <f>(T333-S333)/S333</f>
        <v>-1.1398509425690487E-2</v>
      </c>
      <c r="AT333" s="48" t="e">
        <f>(#REF!-#REF!)/#REF!</f>
        <v>#REF!</v>
      </c>
    </row>
    <row r="334" spans="1:46" x14ac:dyDescent="0.3">
      <c r="A334" s="48">
        <v>20190513</v>
      </c>
      <c r="B334" s="48" t="s">
        <v>88</v>
      </c>
      <c r="C334" s="79">
        <v>0.3</v>
      </c>
      <c r="D334" s="79">
        <f t="shared" si="101"/>
        <v>0.30631012733212026</v>
      </c>
      <c r="E334" s="49">
        <v>42900</v>
      </c>
      <c r="F334" s="49">
        <v>42650</v>
      </c>
      <c r="G334" s="49">
        <v>5969782550</v>
      </c>
      <c r="H334" s="49">
        <f t="shared" si="102"/>
        <v>0.33285346015324302</v>
      </c>
      <c r="I334" s="49">
        <f t="shared" si="113"/>
        <v>0.33285346015324302</v>
      </c>
      <c r="J334" s="48">
        <v>0.15</v>
      </c>
      <c r="K334" s="48">
        <f t="shared" si="103"/>
        <v>0.12148226483912568</v>
      </c>
      <c r="L334" s="48">
        <v>201500</v>
      </c>
      <c r="M334" s="48">
        <v>194500</v>
      </c>
      <c r="N334" s="51">
        <v>127953489</v>
      </c>
      <c r="O334" s="48">
        <f t="shared" si="104"/>
        <v>1.3505491988037901</v>
      </c>
      <c r="P334" s="48">
        <f t="shared" si="114"/>
        <v>1.3505491988037901</v>
      </c>
      <c r="Q334" s="49">
        <v>0.15</v>
      </c>
      <c r="R334" s="49">
        <f t="shared" si="105"/>
        <v>0.12239271174633194</v>
      </c>
      <c r="S334" s="49">
        <v>225500</v>
      </c>
      <c r="T334" s="49">
        <v>223700</v>
      </c>
      <c r="U334" s="49">
        <v>15956260</v>
      </c>
      <c r="V334" s="49">
        <f t="shared" si="106"/>
        <v>9.4869745730419108</v>
      </c>
      <c r="W334" s="49">
        <f t="shared" si="115"/>
        <v>9.4869745730419108</v>
      </c>
      <c r="X334" s="48">
        <v>0.1</v>
      </c>
      <c r="Y334" s="76">
        <f t="shared" si="107"/>
        <v>9.6199847033768715E-2</v>
      </c>
      <c r="Z334" s="18">
        <v>10530</v>
      </c>
      <c r="AA334" s="18">
        <v>10425</v>
      </c>
      <c r="AB334" s="18">
        <v>67900000</v>
      </c>
      <c r="AC334" s="135">
        <f t="shared" si="108"/>
        <v>37.600862878202101</v>
      </c>
      <c r="AD334" s="48">
        <f t="shared" si="116"/>
        <v>37.600862878202101</v>
      </c>
      <c r="AE334" s="49">
        <v>0.3</v>
      </c>
      <c r="AF334" s="49">
        <f t="shared" si="109"/>
        <v>0.35361504904865343</v>
      </c>
      <c r="AG334" s="19">
        <v>25250</v>
      </c>
      <c r="AH334" s="19">
        <v>25000</v>
      </c>
      <c r="AI334" s="19">
        <v>7239332</v>
      </c>
      <c r="AJ334" s="137">
        <f t="shared" si="110"/>
        <v>540.58190502179798</v>
      </c>
      <c r="AK334" s="49">
        <f t="shared" si="117"/>
        <v>540.58190502179798</v>
      </c>
      <c r="AL334" s="82">
        <f t="shared" si="118"/>
        <v>0</v>
      </c>
      <c r="AM334" s="82">
        <f t="shared" si="119"/>
        <v>248880044561379.91</v>
      </c>
      <c r="AN334" s="81">
        <f t="shared" si="111"/>
        <v>276674585412427.94</v>
      </c>
      <c r="AO334" s="80">
        <f t="shared" si="100"/>
        <v>1111.6784630123016</v>
      </c>
      <c r="AP334" s="52">
        <f t="shared" si="112"/>
        <v>-1.1523169902601351E-2</v>
      </c>
      <c r="AQ334" s="48">
        <f>(F334-E334)/E334</f>
        <v>-5.8275058275058279E-3</v>
      </c>
      <c r="AR334" s="48">
        <f>(M334-L334)/L334</f>
        <v>-3.4739454094292806E-2</v>
      </c>
      <c r="AS334" s="48">
        <f>(T334-S334)/S334</f>
        <v>-7.9822616407982262E-3</v>
      </c>
      <c r="AT334" s="48" t="e">
        <f>(#REF!-#REF!)/#REF!</f>
        <v>#REF!</v>
      </c>
    </row>
    <row r="335" spans="1:46" x14ac:dyDescent="0.3">
      <c r="A335" s="48">
        <v>20190514</v>
      </c>
      <c r="B335" s="48" t="s">
        <v>88</v>
      </c>
      <c r="C335" s="79">
        <v>0.3</v>
      </c>
      <c r="D335" s="79">
        <f t="shared" si="101"/>
        <v>0.30498464525391661</v>
      </c>
      <c r="E335" s="49">
        <v>42650</v>
      </c>
      <c r="F335" s="49">
        <v>42650</v>
      </c>
      <c r="G335" s="49">
        <v>5969782550</v>
      </c>
      <c r="H335" s="49">
        <f t="shared" si="102"/>
        <v>0.33285346015324302</v>
      </c>
      <c r="I335" s="49">
        <f t="shared" si="113"/>
        <v>0.33285346015324302</v>
      </c>
      <c r="J335" s="48">
        <v>0.15</v>
      </c>
      <c r="K335" s="48">
        <f t="shared" si="103"/>
        <v>0.12157846481259016</v>
      </c>
      <c r="L335" s="48">
        <v>194500</v>
      </c>
      <c r="M335" s="48">
        <v>195500</v>
      </c>
      <c r="N335" s="51">
        <v>127953489</v>
      </c>
      <c r="O335" s="48">
        <f t="shared" si="104"/>
        <v>1.3505491988037901</v>
      </c>
      <c r="P335" s="48">
        <f t="shared" si="114"/>
        <v>1.3505491988037901</v>
      </c>
      <c r="Q335" s="49">
        <v>0.15</v>
      </c>
      <c r="R335" s="49">
        <f t="shared" si="105"/>
        <v>0.12284365746804521</v>
      </c>
      <c r="S335" s="49">
        <v>223700</v>
      </c>
      <c r="T335" s="49">
        <v>225500</v>
      </c>
      <c r="U335" s="49">
        <v>15956260</v>
      </c>
      <c r="V335" s="49">
        <f t="shared" si="106"/>
        <v>9.4869745730419108</v>
      </c>
      <c r="W335" s="49">
        <f t="shared" si="115"/>
        <v>9.4869745730419108</v>
      </c>
      <c r="X335" s="48">
        <v>0.1</v>
      </c>
      <c r="Y335" s="76">
        <f t="shared" si="107"/>
        <v>9.5691687029425529E-2</v>
      </c>
      <c r="Z335" s="18">
        <v>10425</v>
      </c>
      <c r="AA335" s="18">
        <v>10415</v>
      </c>
      <c r="AB335" s="18">
        <v>67900000</v>
      </c>
      <c r="AC335" s="135">
        <f t="shared" si="108"/>
        <v>37.600862878202101</v>
      </c>
      <c r="AD335" s="48">
        <f t="shared" si="116"/>
        <v>37.600862878202101</v>
      </c>
      <c r="AE335" s="49">
        <v>0.3</v>
      </c>
      <c r="AF335" s="49">
        <f t="shared" si="109"/>
        <v>0.35490154543602248</v>
      </c>
      <c r="AG335" s="19">
        <v>25000</v>
      </c>
      <c r="AH335" s="19">
        <v>25200</v>
      </c>
      <c r="AI335" s="19">
        <v>7239332</v>
      </c>
      <c r="AJ335" s="137">
        <f t="shared" si="110"/>
        <v>540.58190502179798</v>
      </c>
      <c r="AK335" s="49">
        <f t="shared" si="117"/>
        <v>540.58190502179798</v>
      </c>
      <c r="AL335" s="82">
        <f t="shared" si="118"/>
        <v>0</v>
      </c>
      <c r="AM335" s="82">
        <f t="shared" si="119"/>
        <v>248880044561379.91</v>
      </c>
      <c r="AN335" s="81">
        <f t="shared" si="111"/>
        <v>277877030224537.34</v>
      </c>
      <c r="AO335" s="80">
        <f t="shared" si="100"/>
        <v>1116.5098861753299</v>
      </c>
      <c r="AP335" s="52">
        <f t="shared" si="112"/>
        <v>4.3460616750069323E-3</v>
      </c>
      <c r="AQ335" s="48">
        <f>(F335-E335)/E335</f>
        <v>0</v>
      </c>
      <c r="AR335" s="48">
        <f>(M335-L335)/L335</f>
        <v>5.1413881748071976E-3</v>
      </c>
      <c r="AS335" s="48">
        <f>(T335-S335)/S335</f>
        <v>8.0464908359409917E-3</v>
      </c>
      <c r="AT335" s="48" t="e">
        <f>(#REF!-#REF!)/#REF!</f>
        <v>#REF!</v>
      </c>
    </row>
    <row r="336" spans="1:46" x14ac:dyDescent="0.3">
      <c r="A336" s="48">
        <v>20190515</v>
      </c>
      <c r="B336" s="48" t="s">
        <v>88</v>
      </c>
      <c r="C336" s="79">
        <v>0.3</v>
      </c>
      <c r="D336" s="79">
        <f t="shared" si="101"/>
        <v>0.29828220263275385</v>
      </c>
      <c r="E336" s="49">
        <v>42650</v>
      </c>
      <c r="F336" s="49">
        <v>42550</v>
      </c>
      <c r="G336" s="49">
        <v>5969782550</v>
      </c>
      <c r="H336" s="49">
        <f t="shared" si="102"/>
        <v>0.33285346015324302</v>
      </c>
      <c r="I336" s="49">
        <f t="shared" si="113"/>
        <v>0.33285346015324302</v>
      </c>
      <c r="J336" s="48">
        <v>0.15</v>
      </c>
      <c r="K336" s="48">
        <f t="shared" si="103"/>
        <v>0.11949089179471455</v>
      </c>
      <c r="L336" s="48">
        <v>195500</v>
      </c>
      <c r="M336" s="48">
        <v>196000</v>
      </c>
      <c r="N336" s="51">
        <v>127953489</v>
      </c>
      <c r="O336" s="48">
        <f t="shared" si="104"/>
        <v>1.3505491988037901</v>
      </c>
      <c r="P336" s="48">
        <f t="shared" si="114"/>
        <v>1.3505491988037901</v>
      </c>
      <c r="Q336" s="49">
        <v>0.15</v>
      </c>
      <c r="R336" s="49">
        <f t="shared" si="105"/>
        <v>0.12784954177613669</v>
      </c>
      <c r="S336" s="49">
        <v>225500</v>
      </c>
      <c r="T336" s="49">
        <v>239400</v>
      </c>
      <c r="U336" s="49">
        <v>15956260</v>
      </c>
      <c r="V336" s="49">
        <f t="shared" si="106"/>
        <v>9.4869745730419108</v>
      </c>
      <c r="W336" s="49">
        <f t="shared" si="115"/>
        <v>9.4869745730419108</v>
      </c>
      <c r="X336" s="48">
        <v>0.1</v>
      </c>
      <c r="Y336" s="76">
        <f t="shared" si="107"/>
        <v>9.4033862017895167E-2</v>
      </c>
      <c r="Z336" s="18">
        <v>10415</v>
      </c>
      <c r="AA336" s="18">
        <v>10440</v>
      </c>
      <c r="AB336" s="18">
        <v>67900000</v>
      </c>
      <c r="AC336" s="135">
        <f t="shared" si="108"/>
        <v>37.600862878202101</v>
      </c>
      <c r="AD336" s="48">
        <f t="shared" si="116"/>
        <v>37.600862878202101</v>
      </c>
      <c r="AE336" s="49">
        <v>0.3</v>
      </c>
      <c r="AF336" s="49">
        <f t="shared" si="109"/>
        <v>0.36034350177849978</v>
      </c>
      <c r="AG336" s="19">
        <v>25200</v>
      </c>
      <c r="AH336" s="19">
        <v>26100</v>
      </c>
      <c r="AI336" s="19">
        <v>7239332</v>
      </c>
      <c r="AJ336" s="137">
        <f t="shared" si="110"/>
        <v>540.58190502179798</v>
      </c>
      <c r="AK336" s="49">
        <f t="shared" si="117"/>
        <v>540.58190502179798</v>
      </c>
      <c r="AL336" s="82">
        <f t="shared" si="118"/>
        <v>0</v>
      </c>
      <c r="AM336" s="82">
        <f t="shared" si="119"/>
        <v>248880044561379.91</v>
      </c>
      <c r="AN336" s="81">
        <f t="shared" si="111"/>
        <v>283454797045089.12</v>
      </c>
      <c r="AO336" s="80">
        <f t="shared" si="100"/>
        <v>1138.9213528334219</v>
      </c>
      <c r="AP336" s="52">
        <f t="shared" si="112"/>
        <v>2.0072788369894116E-2</v>
      </c>
      <c r="AQ336" s="48">
        <f>(F336-E336)/E336</f>
        <v>-2.3446658851113715E-3</v>
      </c>
      <c r="AR336" s="48">
        <f>(M336-L336)/L336</f>
        <v>2.5575447570332483E-3</v>
      </c>
      <c r="AS336" s="48">
        <f>(T336-S336)/S336</f>
        <v>6.1640798226164077E-2</v>
      </c>
      <c r="AT336" s="48" t="e">
        <f>(#REF!-#REF!)/#REF!</f>
        <v>#REF!</v>
      </c>
    </row>
    <row r="337" spans="1:46" x14ac:dyDescent="0.3">
      <c r="A337" s="48">
        <v>20190516</v>
      </c>
      <c r="B337" s="48" t="s">
        <v>88</v>
      </c>
      <c r="C337" s="79">
        <v>0.3</v>
      </c>
      <c r="D337" s="79">
        <f t="shared" si="101"/>
        <v>0.29795314132023959</v>
      </c>
      <c r="E337" s="49">
        <v>42550</v>
      </c>
      <c r="F337" s="49">
        <v>41550</v>
      </c>
      <c r="G337" s="49">
        <v>5969782550</v>
      </c>
      <c r="H337" s="49">
        <f t="shared" si="102"/>
        <v>0.33285346015324302</v>
      </c>
      <c r="I337" s="49">
        <f t="shared" si="113"/>
        <v>0.33285346015324302</v>
      </c>
      <c r="J337" s="48">
        <v>0.15</v>
      </c>
      <c r="K337" s="48">
        <f t="shared" si="103"/>
        <v>0.12254354768597925</v>
      </c>
      <c r="L337" s="48">
        <v>196000</v>
      </c>
      <c r="M337" s="48">
        <v>196500</v>
      </c>
      <c r="N337" s="51">
        <v>127953489</v>
      </c>
      <c r="O337" s="48">
        <f t="shared" si="104"/>
        <v>1.3505491988037901</v>
      </c>
      <c r="P337" s="48">
        <f t="shared" si="114"/>
        <v>1.3505491988037901</v>
      </c>
      <c r="Q337" s="49">
        <v>0.15</v>
      </c>
      <c r="R337" s="49">
        <f t="shared" si="105"/>
        <v>0.12253311291052614</v>
      </c>
      <c r="S337" s="49">
        <v>239400</v>
      </c>
      <c r="T337" s="49">
        <v>224300</v>
      </c>
      <c r="U337" s="49">
        <v>15956260</v>
      </c>
      <c r="V337" s="49">
        <f t="shared" si="106"/>
        <v>9.4869745730419108</v>
      </c>
      <c r="W337" s="49">
        <f t="shared" si="115"/>
        <v>9.4869745730419108</v>
      </c>
      <c r="X337" s="48">
        <v>0.1</v>
      </c>
      <c r="Y337" s="76">
        <f t="shared" si="107"/>
        <v>9.4716589662432613E-2</v>
      </c>
      <c r="Z337" s="18">
        <v>10440</v>
      </c>
      <c r="AA337" s="18">
        <v>10280</v>
      </c>
      <c r="AB337" s="18">
        <v>67900000</v>
      </c>
      <c r="AC337" s="135">
        <f t="shared" si="108"/>
        <v>37.600862878202101</v>
      </c>
      <c r="AD337" s="48">
        <f t="shared" si="116"/>
        <v>37.600862878202101</v>
      </c>
      <c r="AE337" s="49">
        <v>0.3</v>
      </c>
      <c r="AF337" s="49">
        <f t="shared" si="109"/>
        <v>0.36225360842082255</v>
      </c>
      <c r="AG337" s="19">
        <v>26100</v>
      </c>
      <c r="AH337" s="19">
        <v>25650</v>
      </c>
      <c r="AI337" s="19">
        <v>7239332</v>
      </c>
      <c r="AJ337" s="137">
        <f t="shared" si="110"/>
        <v>540.58190502179798</v>
      </c>
      <c r="AK337" s="49">
        <f t="shared" si="117"/>
        <v>540.58190502179798</v>
      </c>
      <c r="AL337" s="82">
        <f t="shared" si="118"/>
        <v>0</v>
      </c>
      <c r="AM337" s="82">
        <f t="shared" si="119"/>
        <v>248880044561379.91</v>
      </c>
      <c r="AN337" s="81">
        <f t="shared" si="111"/>
        <v>277098801729233.75</v>
      </c>
      <c r="AO337" s="80">
        <f t="shared" si="100"/>
        <v>1113.3829641407606</v>
      </c>
      <c r="AP337" s="52">
        <f t="shared" si="112"/>
        <v>-2.2423311872348889E-2</v>
      </c>
      <c r="AQ337" s="48">
        <f>(F337-E337)/E337</f>
        <v>-2.3501762632197415E-2</v>
      </c>
      <c r="AR337" s="48">
        <f>(M337-L337)/L337</f>
        <v>2.5510204081632651E-3</v>
      </c>
      <c r="AS337" s="48">
        <f>(T337-S337)/S337</f>
        <v>-6.3074352548036755E-2</v>
      </c>
      <c r="AT337" s="48" t="e">
        <f>(#REF!-#REF!)/#REF!</f>
        <v>#REF!</v>
      </c>
    </row>
    <row r="338" spans="1:46" s="73" customFormat="1" x14ac:dyDescent="0.3">
      <c r="A338" s="48">
        <v>20190517</v>
      </c>
      <c r="B338" s="48" t="s">
        <v>88</v>
      </c>
      <c r="C338" s="79">
        <v>0.3</v>
      </c>
      <c r="D338" s="79">
        <f t="shared" si="101"/>
        <v>0.29744870169014848</v>
      </c>
      <c r="E338" s="49">
        <v>41550</v>
      </c>
      <c r="F338" s="49">
        <v>41200</v>
      </c>
      <c r="G338" s="49">
        <v>5969782550</v>
      </c>
      <c r="H338" s="49">
        <f t="shared" si="102"/>
        <v>0.33285346015324302</v>
      </c>
      <c r="I338" s="49">
        <f t="shared" si="113"/>
        <v>0.33360423409343998</v>
      </c>
      <c r="J338" s="48">
        <v>0.15</v>
      </c>
      <c r="K338" s="48">
        <f t="shared" si="103"/>
        <v>0.12274747789257234</v>
      </c>
      <c r="L338" s="48">
        <v>196500</v>
      </c>
      <c r="M338" s="48">
        <v>195500</v>
      </c>
      <c r="N338" s="51">
        <v>128329070</v>
      </c>
      <c r="O338" s="48">
        <f t="shared" si="104"/>
        <v>1.3505491988037901</v>
      </c>
      <c r="P338" s="48">
        <f t="shared" si="114"/>
        <v>1.3496338845862199</v>
      </c>
      <c r="Q338" s="49">
        <v>0.15</v>
      </c>
      <c r="R338" s="49">
        <f t="shared" si="105"/>
        <v>0.12237483793662859</v>
      </c>
      <c r="S338" s="49">
        <v>224300</v>
      </c>
      <c r="T338" s="49">
        <v>222500</v>
      </c>
      <c r="U338" s="49">
        <v>15956260</v>
      </c>
      <c r="V338" s="49">
        <f t="shared" si="106"/>
        <v>9.4869745730419108</v>
      </c>
      <c r="W338" s="49">
        <f t="shared" si="115"/>
        <v>9.5083730986197104</v>
      </c>
      <c r="X338" s="48">
        <v>0.1</v>
      </c>
      <c r="Y338" s="76">
        <f t="shared" si="107"/>
        <v>9.4849309980188215E-2</v>
      </c>
      <c r="Z338" s="18">
        <v>10280</v>
      </c>
      <c r="AA338" s="18">
        <v>10225</v>
      </c>
      <c r="AB338" s="18">
        <v>67900000</v>
      </c>
      <c r="AC338" s="135">
        <f t="shared" si="108"/>
        <v>37.600862878202101</v>
      </c>
      <c r="AD338" s="48">
        <f t="shared" si="116"/>
        <v>37.685674218198002</v>
      </c>
      <c r="AE338" s="49">
        <v>0.3</v>
      </c>
      <c r="AF338" s="49">
        <f t="shared" si="109"/>
        <v>0.3625796725004623</v>
      </c>
      <c r="AG338" s="19">
        <v>25650</v>
      </c>
      <c r="AH338" s="19">
        <v>25500</v>
      </c>
      <c r="AI338" s="19">
        <v>7239332</v>
      </c>
      <c r="AJ338" s="137">
        <f t="shared" si="110"/>
        <v>540.58190502179798</v>
      </c>
      <c r="AK338" s="49">
        <f t="shared" si="117"/>
        <v>541.801224798872</v>
      </c>
      <c r="AL338" s="82">
        <f t="shared" si="118"/>
        <v>1</v>
      </c>
      <c r="AM338" s="82">
        <f t="shared" si="119"/>
        <v>249441410670074.5</v>
      </c>
      <c r="AN338" s="81">
        <f t="shared" si="111"/>
        <v>275851407748670.75</v>
      </c>
      <c r="AO338" s="80">
        <f t="shared" si="100"/>
        <v>1105.8765543686234</v>
      </c>
      <c r="AP338" s="52">
        <f t="shared" si="112"/>
        <v>-6.7419836784822565E-3</v>
      </c>
      <c r="AQ338" s="48">
        <f>(F338-E338)/E338</f>
        <v>-8.4235860409145602E-3</v>
      </c>
      <c r="AR338" s="48">
        <f>(M338-L338)/L338</f>
        <v>-5.0890585241730284E-3</v>
      </c>
      <c r="AS338" s="48">
        <f>(T338-S338)/S338</f>
        <v>-8.024966562639322E-3</v>
      </c>
      <c r="AT338" s="48" t="e">
        <f>(#REF!-#REF!)/#REF!</f>
        <v>#REF!</v>
      </c>
    </row>
    <row r="339" spans="1:46" x14ac:dyDescent="0.3">
      <c r="A339" s="48">
        <v>20190520</v>
      </c>
      <c r="B339" s="48" t="s">
        <v>88</v>
      </c>
      <c r="C339" s="79">
        <v>0.3</v>
      </c>
      <c r="D339" s="79">
        <f t="shared" si="101"/>
        <v>0.30420316977868989</v>
      </c>
      <c r="E339" s="49">
        <v>41200</v>
      </c>
      <c r="F339" s="49">
        <v>42000</v>
      </c>
      <c r="G339" s="49">
        <v>5969782550</v>
      </c>
      <c r="H339" s="49">
        <f t="shared" si="102"/>
        <v>0.33360423409343998</v>
      </c>
      <c r="I339" s="49">
        <f t="shared" si="113"/>
        <v>0.33360423409343998</v>
      </c>
      <c r="J339" s="48">
        <v>0.15</v>
      </c>
      <c r="K339" s="48">
        <f t="shared" si="103"/>
        <v>0.11841950679731658</v>
      </c>
      <c r="L339" s="48">
        <v>195500</v>
      </c>
      <c r="M339" s="48">
        <v>188000</v>
      </c>
      <c r="N339" s="51">
        <v>128329070</v>
      </c>
      <c r="O339" s="48">
        <f t="shared" si="104"/>
        <v>1.3496338845862199</v>
      </c>
      <c r="P339" s="48">
        <f t="shared" si="114"/>
        <v>1.3496338845862199</v>
      </c>
      <c r="Q339" s="49">
        <v>0.15</v>
      </c>
      <c r="R339" s="49">
        <f t="shared" si="105"/>
        <v>0.11692103580170859</v>
      </c>
      <c r="S339" s="49">
        <v>222500</v>
      </c>
      <c r="T339" s="49">
        <v>211900</v>
      </c>
      <c r="U339" s="49">
        <v>15956260</v>
      </c>
      <c r="V339" s="49">
        <f t="shared" si="106"/>
        <v>9.5083730986197104</v>
      </c>
      <c r="W339" s="49">
        <f t="shared" si="115"/>
        <v>9.5083730986197104</v>
      </c>
      <c r="X339" s="48">
        <v>0.1</v>
      </c>
      <c r="Y339" s="76">
        <f t="shared" si="107"/>
        <v>9.5993024288196685E-2</v>
      </c>
      <c r="Z339" s="18">
        <v>10225</v>
      </c>
      <c r="AA339" s="18">
        <v>10315</v>
      </c>
      <c r="AB339" s="18">
        <v>67900000</v>
      </c>
      <c r="AC339" s="135">
        <f t="shared" si="108"/>
        <v>37.685674218198002</v>
      </c>
      <c r="AD339" s="48">
        <f t="shared" si="116"/>
        <v>37.685674218198002</v>
      </c>
      <c r="AE339" s="49">
        <v>0.3</v>
      </c>
      <c r="AF339" s="49">
        <f t="shared" si="109"/>
        <v>0.36446326333408835</v>
      </c>
      <c r="AG339" s="19">
        <v>25500</v>
      </c>
      <c r="AH339" s="19">
        <v>25550</v>
      </c>
      <c r="AI339" s="19">
        <v>7239332</v>
      </c>
      <c r="AJ339" s="137">
        <f t="shared" si="110"/>
        <v>541.801224798872</v>
      </c>
      <c r="AK339" s="49">
        <f t="shared" si="117"/>
        <v>541.801224798872</v>
      </c>
      <c r="AL339" s="82">
        <f t="shared" si="118"/>
        <v>0</v>
      </c>
      <c r="AM339" s="82">
        <f t="shared" si="119"/>
        <v>249441410670074.5</v>
      </c>
      <c r="AN339" s="81">
        <f t="shared" si="111"/>
        <v>274963863602512.37</v>
      </c>
      <c r="AO339" s="80">
        <f t="shared" si="100"/>
        <v>1102.3184276575284</v>
      </c>
      <c r="AP339" s="52">
        <f t="shared" si="112"/>
        <v>-3.2174718751735946E-3</v>
      </c>
      <c r="AQ339" s="48">
        <f>(F339-E339)/E339</f>
        <v>1.9417475728155338E-2</v>
      </c>
      <c r="AR339" s="48">
        <f>(M339-L339)/L339</f>
        <v>-3.8363171355498722E-2</v>
      </c>
      <c r="AS339" s="48">
        <f>(T339-S339)/S339</f>
        <v>-4.7640449438202247E-2</v>
      </c>
      <c r="AT339" s="48" t="e">
        <f>(#REF!-#REF!)/#REF!</f>
        <v>#REF!</v>
      </c>
    </row>
    <row r="340" spans="1:46" x14ac:dyDescent="0.3">
      <c r="A340" s="48">
        <v>20190521</v>
      </c>
      <c r="B340" s="48" t="s">
        <v>88</v>
      </c>
      <c r="C340" s="79">
        <v>0.3</v>
      </c>
      <c r="D340" s="79">
        <f t="shared" si="101"/>
        <v>0.3152320798495879</v>
      </c>
      <c r="E340" s="49">
        <v>42000</v>
      </c>
      <c r="F340" s="49">
        <v>43150</v>
      </c>
      <c r="G340" s="49">
        <v>5969782550</v>
      </c>
      <c r="H340" s="49">
        <f t="shared" si="102"/>
        <v>0.33360423409343998</v>
      </c>
      <c r="I340" s="49">
        <f t="shared" si="113"/>
        <v>0.33360423409343998</v>
      </c>
      <c r="J340" s="48">
        <v>0.15</v>
      </c>
      <c r="K340" s="48">
        <f t="shared" si="103"/>
        <v>0.11499504731195956</v>
      </c>
      <c r="L340" s="48">
        <v>188000</v>
      </c>
      <c r="M340" s="48">
        <v>181000</v>
      </c>
      <c r="N340" s="51">
        <v>128329070</v>
      </c>
      <c r="O340" s="48">
        <f t="shared" si="104"/>
        <v>1.3496338845862199</v>
      </c>
      <c r="P340" s="48">
        <f t="shared" si="114"/>
        <v>1.3496338845862199</v>
      </c>
      <c r="Q340" s="49">
        <v>0.15</v>
      </c>
      <c r="R340" s="49">
        <f t="shared" si="105"/>
        <v>0.11921099876809375</v>
      </c>
      <c r="S340" s="49">
        <v>211900</v>
      </c>
      <c r="T340" s="49">
        <v>214200</v>
      </c>
      <c r="U340" s="49">
        <v>15956260</v>
      </c>
      <c r="V340" s="49">
        <f t="shared" si="106"/>
        <v>9.5083730986197104</v>
      </c>
      <c r="W340" s="49">
        <f t="shared" si="115"/>
        <v>9.5083730986197104</v>
      </c>
      <c r="X340" s="48">
        <v>0.1</v>
      </c>
      <c r="Y340" s="76">
        <f t="shared" si="107"/>
        <v>9.7338435407198567E-2</v>
      </c>
      <c r="Z340" s="18">
        <v>10315</v>
      </c>
      <c r="AA340" s="18">
        <v>10370</v>
      </c>
      <c r="AB340" s="18">
        <v>67900000</v>
      </c>
      <c r="AC340" s="135">
        <f t="shared" si="108"/>
        <v>37.685674218198002</v>
      </c>
      <c r="AD340" s="48">
        <f t="shared" si="116"/>
        <v>37.685674218198002</v>
      </c>
      <c r="AE340" s="49">
        <v>0.3</v>
      </c>
      <c r="AF340" s="49">
        <f t="shared" si="109"/>
        <v>0.35322343866316031</v>
      </c>
      <c r="AG340" s="19">
        <v>25550</v>
      </c>
      <c r="AH340" s="19">
        <v>24550</v>
      </c>
      <c r="AI340" s="19">
        <v>7239332</v>
      </c>
      <c r="AJ340" s="137">
        <f t="shared" si="110"/>
        <v>541.801224798872</v>
      </c>
      <c r="AK340" s="49">
        <f t="shared" si="117"/>
        <v>541.801224798872</v>
      </c>
      <c r="AL340" s="82">
        <f t="shared" si="118"/>
        <v>0</v>
      </c>
      <c r="AM340" s="82">
        <f t="shared" si="119"/>
        <v>249441410670074.5</v>
      </c>
      <c r="AN340" s="81">
        <f t="shared" si="111"/>
        <v>272609168994078.94</v>
      </c>
      <c r="AO340" s="80">
        <f t="shared" si="100"/>
        <v>1092.8785571800965</v>
      </c>
      <c r="AP340" s="52">
        <f t="shared" si="112"/>
        <v>-8.5636511561291827E-3</v>
      </c>
      <c r="AQ340" s="48">
        <f>(F340-E340)/E340</f>
        <v>2.7380952380952381E-2</v>
      </c>
      <c r="AR340" s="48">
        <f>(M340-L340)/L340</f>
        <v>-3.7234042553191488E-2</v>
      </c>
      <c r="AS340" s="48">
        <f>(T340-S340)/S340</f>
        <v>1.0854176498348278E-2</v>
      </c>
      <c r="AT340" s="48" t="e">
        <f>(#REF!-#REF!)/#REF!</f>
        <v>#REF!</v>
      </c>
    </row>
    <row r="341" spans="1:46" x14ac:dyDescent="0.3">
      <c r="A341" s="48">
        <v>20190522</v>
      </c>
      <c r="B341" s="48" t="s">
        <v>88</v>
      </c>
      <c r="C341" s="79">
        <v>0.3</v>
      </c>
      <c r="D341" s="79">
        <f t="shared" si="101"/>
        <v>0.31480869054443228</v>
      </c>
      <c r="E341" s="49">
        <v>43150</v>
      </c>
      <c r="F341" s="49">
        <v>43500</v>
      </c>
      <c r="G341" s="49">
        <v>5969782550</v>
      </c>
      <c r="H341" s="49">
        <f t="shared" si="102"/>
        <v>0.33360423409343998</v>
      </c>
      <c r="I341" s="49">
        <f t="shared" si="113"/>
        <v>0.33360423409343998</v>
      </c>
      <c r="J341" s="48">
        <v>0.15</v>
      </c>
      <c r="K341" s="48">
        <f t="shared" si="103"/>
        <v>0.11611939929179074</v>
      </c>
      <c r="L341" s="48">
        <v>181000</v>
      </c>
      <c r="M341" s="48">
        <v>184500</v>
      </c>
      <c r="N341" s="51">
        <v>128329070</v>
      </c>
      <c r="O341" s="48">
        <f t="shared" si="104"/>
        <v>1.3496338845862199</v>
      </c>
      <c r="P341" s="48">
        <f t="shared" si="114"/>
        <v>1.3496338845862199</v>
      </c>
      <c r="Q341" s="49">
        <v>0.15</v>
      </c>
      <c r="R341" s="49">
        <f t="shared" si="105"/>
        <v>0.11825840173377364</v>
      </c>
      <c r="S341" s="49">
        <v>214200</v>
      </c>
      <c r="T341" s="49">
        <v>214500</v>
      </c>
      <c r="U341" s="49">
        <v>15956260</v>
      </c>
      <c r="V341" s="49">
        <f t="shared" si="106"/>
        <v>9.5083730986197104</v>
      </c>
      <c r="W341" s="49">
        <f t="shared" si="115"/>
        <v>9.5083730986197104</v>
      </c>
      <c r="X341" s="48">
        <v>0.1</v>
      </c>
      <c r="Y341" s="76">
        <f t="shared" si="107"/>
        <v>9.5914150740163823E-2</v>
      </c>
      <c r="Z341" s="18">
        <v>10370</v>
      </c>
      <c r="AA341" s="18">
        <v>10315</v>
      </c>
      <c r="AB341" s="18">
        <v>67900000</v>
      </c>
      <c r="AC341" s="135">
        <f t="shared" si="108"/>
        <v>37.685674218198002</v>
      </c>
      <c r="AD341" s="48">
        <f t="shared" si="116"/>
        <v>37.685674218198002</v>
      </c>
      <c r="AE341" s="49">
        <v>0.3</v>
      </c>
      <c r="AF341" s="49">
        <f t="shared" si="109"/>
        <v>0.35489935768983949</v>
      </c>
      <c r="AG341" s="19">
        <v>24550</v>
      </c>
      <c r="AH341" s="19">
        <v>24900</v>
      </c>
      <c r="AI341" s="19">
        <v>7239332</v>
      </c>
      <c r="AJ341" s="137">
        <f t="shared" si="110"/>
        <v>541.801224798872</v>
      </c>
      <c r="AK341" s="49">
        <f t="shared" si="117"/>
        <v>541.801224798872</v>
      </c>
      <c r="AL341" s="82">
        <f t="shared" si="118"/>
        <v>0</v>
      </c>
      <c r="AM341" s="82">
        <f t="shared" si="119"/>
        <v>249441410670074.5</v>
      </c>
      <c r="AN341" s="81">
        <f t="shared" si="111"/>
        <v>275189975967953.69</v>
      </c>
      <c r="AO341" s="80">
        <f t="shared" si="100"/>
        <v>1103.2249025080109</v>
      </c>
      <c r="AP341" s="52">
        <f t="shared" si="112"/>
        <v>9.4670585857321316E-3</v>
      </c>
      <c r="AQ341" s="48">
        <f>(F341-E341)/E341</f>
        <v>8.1112398609501733E-3</v>
      </c>
      <c r="AR341" s="48">
        <f>(M341-L341)/L341</f>
        <v>1.9337016574585635E-2</v>
      </c>
      <c r="AS341" s="48">
        <f>(T341-S341)/S341</f>
        <v>1.4005602240896359E-3</v>
      </c>
      <c r="AT341" s="48" t="e">
        <f>(#REF!-#REF!)/#REF!</f>
        <v>#REF!</v>
      </c>
    </row>
    <row r="342" spans="1:46" x14ac:dyDescent="0.3">
      <c r="A342" s="48">
        <v>20190523</v>
      </c>
      <c r="B342" s="48" t="s">
        <v>88</v>
      </c>
      <c r="C342" s="79">
        <v>0.3</v>
      </c>
      <c r="D342" s="79">
        <f t="shared" si="101"/>
        <v>0.32111482252646112</v>
      </c>
      <c r="E342" s="49">
        <v>43500</v>
      </c>
      <c r="F342" s="49">
        <v>43850</v>
      </c>
      <c r="G342" s="49">
        <v>5969782550</v>
      </c>
      <c r="H342" s="49">
        <f t="shared" si="102"/>
        <v>0.33360423409343998</v>
      </c>
      <c r="I342" s="49">
        <f t="shared" si="113"/>
        <v>0.33360423409343998</v>
      </c>
      <c r="J342" s="48">
        <v>0.15</v>
      </c>
      <c r="K342" s="48">
        <f t="shared" si="103"/>
        <v>0.1149526309320706</v>
      </c>
      <c r="L342" s="48">
        <v>184500</v>
      </c>
      <c r="M342" s="48">
        <v>180500</v>
      </c>
      <c r="N342" s="51">
        <v>128329070</v>
      </c>
      <c r="O342" s="48">
        <f t="shared" si="104"/>
        <v>1.3496338845862199</v>
      </c>
      <c r="P342" s="48">
        <f t="shared" si="114"/>
        <v>1.3496338845862199</v>
      </c>
      <c r="Q342" s="49">
        <v>0.15</v>
      </c>
      <c r="R342" s="49">
        <f t="shared" si="105"/>
        <v>0.11352785215642239</v>
      </c>
      <c r="S342" s="49">
        <v>214500</v>
      </c>
      <c r="T342" s="49">
        <v>203500</v>
      </c>
      <c r="U342" s="49">
        <v>15956260</v>
      </c>
      <c r="V342" s="49">
        <f t="shared" si="106"/>
        <v>9.5083730986197104</v>
      </c>
      <c r="W342" s="49">
        <f t="shared" si="115"/>
        <v>9.5083730986197104</v>
      </c>
      <c r="X342" s="48">
        <v>0.1</v>
      </c>
      <c r="Y342" s="76">
        <f t="shared" si="107"/>
        <v>9.7054568924416024E-2</v>
      </c>
      <c r="Z342" s="18">
        <v>10315</v>
      </c>
      <c r="AA342" s="18">
        <v>10315</v>
      </c>
      <c r="AB342" s="18">
        <v>67900000</v>
      </c>
      <c r="AC342" s="135">
        <f t="shared" si="108"/>
        <v>37.685674218198002</v>
      </c>
      <c r="AD342" s="48">
        <f t="shared" si="116"/>
        <v>37.685674218198002</v>
      </c>
      <c r="AE342" s="49">
        <v>0.3</v>
      </c>
      <c r="AF342" s="49">
        <f t="shared" si="109"/>
        <v>0.35335012546062988</v>
      </c>
      <c r="AG342" s="19">
        <v>24900</v>
      </c>
      <c r="AH342" s="19">
        <v>24500</v>
      </c>
      <c r="AI342" s="19">
        <v>7239332</v>
      </c>
      <c r="AJ342" s="137">
        <f t="shared" si="110"/>
        <v>541.801224798872</v>
      </c>
      <c r="AK342" s="49">
        <f t="shared" si="117"/>
        <v>541.801224798872</v>
      </c>
      <c r="AL342" s="82">
        <f t="shared" si="118"/>
        <v>0</v>
      </c>
      <c r="AM342" s="82">
        <f t="shared" si="119"/>
        <v>249441410670074.5</v>
      </c>
      <c r="AN342" s="81">
        <f t="shared" si="111"/>
        <v>271956417195855.25</v>
      </c>
      <c r="AO342" s="80">
        <f t="shared" si="100"/>
        <v>1090.2617029999096</v>
      </c>
      <c r="AP342" s="52">
        <f t="shared" si="112"/>
        <v>-1.175027818773078E-2</v>
      </c>
      <c r="AQ342" s="48">
        <f>(F342-E342)/E342</f>
        <v>8.0459770114942528E-3</v>
      </c>
      <c r="AR342" s="48">
        <f>(M342-L342)/L342</f>
        <v>-2.1680216802168022E-2</v>
      </c>
      <c r="AS342" s="48">
        <f>(T342-S342)/S342</f>
        <v>-5.128205128205128E-2</v>
      </c>
      <c r="AT342" s="48" t="e">
        <f>(#REF!-#REF!)/#REF!</f>
        <v>#REF!</v>
      </c>
    </row>
    <row r="343" spans="1:46" x14ac:dyDescent="0.3">
      <c r="A343" s="48">
        <v>20190524</v>
      </c>
      <c r="B343" s="48" t="s">
        <v>88</v>
      </c>
      <c r="C343" s="79">
        <v>0.3</v>
      </c>
      <c r="D343" s="79">
        <f t="shared" si="101"/>
        <v>0.3162891577173893</v>
      </c>
      <c r="E343" s="49">
        <v>43850</v>
      </c>
      <c r="F343" s="49">
        <v>42700</v>
      </c>
      <c r="G343" s="49">
        <v>5969782550</v>
      </c>
      <c r="H343" s="49">
        <f t="shared" si="102"/>
        <v>0.33360423409343998</v>
      </c>
      <c r="I343" s="49">
        <f t="shared" si="113"/>
        <v>0.33360423409343998</v>
      </c>
      <c r="J343" s="48">
        <v>0.15</v>
      </c>
      <c r="K343" s="48">
        <f t="shared" si="103"/>
        <v>0.11659661937547078</v>
      </c>
      <c r="L343" s="48">
        <v>180500</v>
      </c>
      <c r="M343" s="48">
        <v>181000</v>
      </c>
      <c r="N343" s="51">
        <v>128329070</v>
      </c>
      <c r="O343" s="48">
        <f t="shared" si="104"/>
        <v>1.3496338845862199</v>
      </c>
      <c r="P343" s="48">
        <f t="shared" si="114"/>
        <v>1.3496338845862199</v>
      </c>
      <c r="Q343" s="49">
        <v>0.15</v>
      </c>
      <c r="R343" s="49">
        <f t="shared" si="105"/>
        <v>0.11934770004862404</v>
      </c>
      <c r="S343" s="49">
        <v>203500</v>
      </c>
      <c r="T343" s="49">
        <v>211500</v>
      </c>
      <c r="U343" s="49">
        <v>15956260</v>
      </c>
      <c r="V343" s="49">
        <f t="shared" si="106"/>
        <v>9.5083730986197104</v>
      </c>
      <c r="W343" s="49">
        <f t="shared" si="115"/>
        <v>9.5083730986197104</v>
      </c>
      <c r="X343" s="48">
        <v>0.1</v>
      </c>
      <c r="Y343" s="76">
        <f t="shared" si="107"/>
        <v>9.7647198513970884E-2</v>
      </c>
      <c r="Z343" s="18">
        <v>10315</v>
      </c>
      <c r="AA343" s="18">
        <v>10260</v>
      </c>
      <c r="AB343" s="18">
        <v>67900000</v>
      </c>
      <c r="AC343" s="135">
        <f t="shared" si="108"/>
        <v>37.685674218198002</v>
      </c>
      <c r="AD343" s="48">
        <f t="shared" si="116"/>
        <v>37.685674218198002</v>
      </c>
      <c r="AE343" s="49">
        <v>0.3</v>
      </c>
      <c r="AF343" s="49">
        <f t="shared" si="109"/>
        <v>0.35011932434454518</v>
      </c>
      <c r="AG343" s="19">
        <v>24500</v>
      </c>
      <c r="AH343" s="19">
        <v>24000</v>
      </c>
      <c r="AI343" s="19">
        <v>7239332</v>
      </c>
      <c r="AJ343" s="137">
        <f t="shared" si="110"/>
        <v>541.801224798872</v>
      </c>
      <c r="AK343" s="49">
        <f t="shared" si="117"/>
        <v>541.801224798872</v>
      </c>
      <c r="AL343" s="82">
        <f t="shared" si="118"/>
        <v>0</v>
      </c>
      <c r="AM343" s="82">
        <f t="shared" si="119"/>
        <v>249441410670074.5</v>
      </c>
      <c r="AN343" s="81">
        <f t="shared" si="111"/>
        <v>268864607345066.19</v>
      </c>
      <c r="AO343" s="80">
        <f t="shared" si="100"/>
        <v>1077.8667688849866</v>
      </c>
      <c r="AP343" s="52">
        <f t="shared" si="112"/>
        <v>-1.1368769609000948E-2</v>
      </c>
      <c r="AQ343" s="48">
        <f>(F343-E343)/E343</f>
        <v>-2.6225769669327253E-2</v>
      </c>
      <c r="AR343" s="48">
        <f>(M343-L343)/L343</f>
        <v>2.7700831024930748E-3</v>
      </c>
      <c r="AS343" s="48">
        <f>(T343-S343)/S343</f>
        <v>3.9312039312039311E-2</v>
      </c>
      <c r="AT343" s="48" t="e">
        <f>(#REF!-#REF!)/#REF!</f>
        <v>#REF!</v>
      </c>
    </row>
    <row r="344" spans="1:46" x14ac:dyDescent="0.3">
      <c r="A344" s="48">
        <v>20190527</v>
      </c>
      <c r="B344" s="48" t="s">
        <v>88</v>
      </c>
      <c r="C344" s="79">
        <v>0.3</v>
      </c>
      <c r="D344" s="79">
        <f t="shared" si="101"/>
        <v>0.31993541429316386</v>
      </c>
      <c r="E344" s="49">
        <v>42700</v>
      </c>
      <c r="F344" s="49">
        <v>42650</v>
      </c>
      <c r="G344" s="49">
        <v>5969782550</v>
      </c>
      <c r="H344" s="49">
        <f t="shared" si="102"/>
        <v>0.33360423409343998</v>
      </c>
      <c r="I344" s="49">
        <f t="shared" si="113"/>
        <v>0.33360423409343998</v>
      </c>
      <c r="J344" s="48">
        <v>0.15</v>
      </c>
      <c r="K344" s="48">
        <f t="shared" si="103"/>
        <v>0.11351244610652779</v>
      </c>
      <c r="L344" s="48">
        <v>181000</v>
      </c>
      <c r="M344" s="48">
        <v>174000</v>
      </c>
      <c r="N344" s="51">
        <v>128329070</v>
      </c>
      <c r="O344" s="48">
        <f t="shared" si="104"/>
        <v>1.3496338845862199</v>
      </c>
      <c r="P344" s="48">
        <f t="shared" si="114"/>
        <v>1.3496338845862199</v>
      </c>
      <c r="Q344" s="49">
        <v>0.15</v>
      </c>
      <c r="R344" s="49">
        <f t="shared" si="105"/>
        <v>0.12086509691410016</v>
      </c>
      <c r="S344" s="49">
        <v>211500</v>
      </c>
      <c r="T344" s="49">
        <v>211500</v>
      </c>
      <c r="U344" s="49">
        <v>15956260</v>
      </c>
      <c r="V344" s="49">
        <f t="shared" si="106"/>
        <v>9.5083730986197104</v>
      </c>
      <c r="W344" s="49">
        <f t="shared" si="115"/>
        <v>9.5083730986197104</v>
      </c>
      <c r="X344" s="48">
        <v>0.1</v>
      </c>
      <c r="Y344" s="76">
        <f t="shared" si="107"/>
        <v>9.8503162378813527E-2</v>
      </c>
      <c r="Z344" s="18">
        <v>10260</v>
      </c>
      <c r="AA344" s="18">
        <v>10220</v>
      </c>
      <c r="AB344" s="18">
        <v>67900000</v>
      </c>
      <c r="AC344" s="135">
        <f t="shared" si="108"/>
        <v>37.685674218198002</v>
      </c>
      <c r="AD344" s="48">
        <f t="shared" si="116"/>
        <v>37.685674218198002</v>
      </c>
      <c r="AE344" s="49">
        <v>0.3</v>
      </c>
      <c r="AF344" s="49">
        <f t="shared" si="109"/>
        <v>0.34718388030739472</v>
      </c>
      <c r="AG344" s="19">
        <v>24000</v>
      </c>
      <c r="AH344" s="19">
        <v>23500</v>
      </c>
      <c r="AI344" s="19">
        <v>7239332</v>
      </c>
      <c r="AJ344" s="137">
        <f t="shared" si="110"/>
        <v>541.801224798872</v>
      </c>
      <c r="AK344" s="49">
        <f t="shared" si="117"/>
        <v>541.801224798872</v>
      </c>
      <c r="AL344" s="82">
        <f t="shared" si="118"/>
        <v>0</v>
      </c>
      <c r="AM344" s="82">
        <f t="shared" si="119"/>
        <v>249441410670074.5</v>
      </c>
      <c r="AN344" s="81">
        <f t="shared" si="111"/>
        <v>265489155516215.84</v>
      </c>
      <c r="AO344" s="80">
        <f t="shared" si="100"/>
        <v>1064.3347261508516</v>
      </c>
      <c r="AP344" s="52">
        <f t="shared" si="112"/>
        <v>-1.2554466957111474E-2</v>
      </c>
      <c r="AQ344" s="48">
        <f>(F344-E344)/E344</f>
        <v>-1.17096018735363E-3</v>
      </c>
      <c r="AR344" s="48">
        <f>(M344-L344)/L344</f>
        <v>-3.8674033149171269E-2</v>
      </c>
      <c r="AS344" s="48">
        <f>(T344-S344)/S344</f>
        <v>0</v>
      </c>
      <c r="AT344" s="48" t="e">
        <f>(#REF!-#REF!)/#REF!</f>
        <v>#REF!</v>
      </c>
    </row>
    <row r="345" spans="1:46" x14ac:dyDescent="0.3">
      <c r="A345" s="48">
        <v>20190528</v>
      </c>
      <c r="B345" s="48" t="s">
        <v>88</v>
      </c>
      <c r="C345" s="79">
        <v>0.3</v>
      </c>
      <c r="D345" s="79">
        <f t="shared" si="101"/>
        <v>0.31747625212648639</v>
      </c>
      <c r="E345" s="49">
        <v>42650</v>
      </c>
      <c r="F345" s="49">
        <v>42550</v>
      </c>
      <c r="G345" s="49">
        <v>5969782550</v>
      </c>
      <c r="H345" s="49">
        <f t="shared" si="102"/>
        <v>0.33360423409343998</v>
      </c>
      <c r="I345" s="49">
        <f t="shared" si="113"/>
        <v>0.33360423409343998</v>
      </c>
      <c r="J345" s="48">
        <v>0.15</v>
      </c>
      <c r="K345" s="48">
        <f t="shared" si="103"/>
        <v>0.1206911925458158</v>
      </c>
      <c r="L345" s="48">
        <v>174000</v>
      </c>
      <c r="M345" s="48">
        <v>186000</v>
      </c>
      <c r="N345" s="51">
        <v>128329070</v>
      </c>
      <c r="O345" s="48">
        <f t="shared" si="104"/>
        <v>1.3496338845862199</v>
      </c>
      <c r="P345" s="48">
        <f t="shared" si="114"/>
        <v>1.3496338845862199</v>
      </c>
      <c r="Q345" s="49">
        <v>0.15</v>
      </c>
      <c r="R345" s="49">
        <f t="shared" si="105"/>
        <v>0.12402626899718674</v>
      </c>
      <c r="S345" s="49">
        <v>211500</v>
      </c>
      <c r="T345" s="49">
        <v>218200</v>
      </c>
      <c r="U345" s="49">
        <v>15956260</v>
      </c>
      <c r="V345" s="49">
        <f t="shared" si="106"/>
        <v>9.5083730986197104</v>
      </c>
      <c r="W345" s="49">
        <f t="shared" si="115"/>
        <v>9.5083730986197104</v>
      </c>
      <c r="X345" s="48">
        <v>0.1</v>
      </c>
      <c r="Y345" s="76">
        <f t="shared" si="107"/>
        <v>9.8359211506381203E-2</v>
      </c>
      <c r="Z345" s="18">
        <v>10220</v>
      </c>
      <c r="AA345" s="18">
        <v>10260</v>
      </c>
      <c r="AB345" s="18">
        <v>67900000</v>
      </c>
      <c r="AC345" s="135">
        <f t="shared" si="108"/>
        <v>37.685674218198002</v>
      </c>
      <c r="AD345" s="48">
        <f t="shared" si="116"/>
        <v>37.685674218198002</v>
      </c>
      <c r="AE345" s="49">
        <v>0.3</v>
      </c>
      <c r="AF345" s="49">
        <f t="shared" si="109"/>
        <v>0.33944707482412989</v>
      </c>
      <c r="AG345" s="19">
        <v>23500</v>
      </c>
      <c r="AH345" s="19">
        <v>23100</v>
      </c>
      <c r="AI345" s="19">
        <v>7239332</v>
      </c>
      <c r="AJ345" s="137">
        <f t="shared" si="110"/>
        <v>541.801224798872</v>
      </c>
      <c r="AK345" s="49">
        <f t="shared" si="117"/>
        <v>541.801224798872</v>
      </c>
      <c r="AL345" s="82">
        <f t="shared" si="118"/>
        <v>0</v>
      </c>
      <c r="AM345" s="82">
        <f t="shared" si="119"/>
        <v>249441410670074.5</v>
      </c>
      <c r="AN345" s="81">
        <f t="shared" si="111"/>
        <v>266918321982494.25</v>
      </c>
      <c r="AO345" s="80">
        <f t="shared" si="100"/>
        <v>1070.0641936937077</v>
      </c>
      <c r="AP345" s="52">
        <f t="shared" si="112"/>
        <v>5.383144420718705E-3</v>
      </c>
      <c r="AQ345" s="48">
        <f>(F345-E345)/E345</f>
        <v>-2.3446658851113715E-3</v>
      </c>
      <c r="AR345" s="48">
        <f>(M345-L345)/L345</f>
        <v>6.8965517241379309E-2</v>
      </c>
      <c r="AS345" s="48">
        <f>(T345-S345)/S345</f>
        <v>3.1678486997635931E-2</v>
      </c>
      <c r="AT345" s="48" t="e">
        <f>(#REF!-#REF!)/#REF!</f>
        <v>#REF!</v>
      </c>
    </row>
    <row r="346" spans="1:46" x14ac:dyDescent="0.3">
      <c r="A346" s="48">
        <v>20190529</v>
      </c>
      <c r="B346" s="48" t="s">
        <v>88</v>
      </c>
      <c r="C346" s="79">
        <v>0.3</v>
      </c>
      <c r="D346" s="79">
        <f t="shared" si="101"/>
        <v>0.32105949875281004</v>
      </c>
      <c r="E346" s="49">
        <v>42550</v>
      </c>
      <c r="F346" s="49">
        <v>41800</v>
      </c>
      <c r="G346" s="49">
        <v>5969782550</v>
      </c>
      <c r="H346" s="49">
        <f t="shared" si="102"/>
        <v>0.33360423409343998</v>
      </c>
      <c r="I346" s="49">
        <f t="shared" si="113"/>
        <v>0.33360423409343998</v>
      </c>
      <c r="J346" s="48">
        <v>0.15</v>
      </c>
      <c r="K346" s="48">
        <f t="shared" si="103"/>
        <v>0.12390935877757228</v>
      </c>
      <c r="L346" s="48">
        <v>186000</v>
      </c>
      <c r="M346" s="48">
        <v>185500</v>
      </c>
      <c r="N346" s="51">
        <v>128329070</v>
      </c>
      <c r="O346" s="48">
        <f t="shared" si="104"/>
        <v>1.3496338845862199</v>
      </c>
      <c r="P346" s="48">
        <f t="shared" si="114"/>
        <v>1.3496338845862199</v>
      </c>
      <c r="Q346" s="49">
        <v>0.15</v>
      </c>
      <c r="R346" s="49">
        <f t="shared" si="105"/>
        <v>0.10994697231218145</v>
      </c>
      <c r="S346" s="49">
        <v>218200</v>
      </c>
      <c r="T346" s="49">
        <v>187900</v>
      </c>
      <c r="U346" s="49">
        <v>15956260</v>
      </c>
      <c r="V346" s="49">
        <f t="shared" si="106"/>
        <v>9.5083730986197104</v>
      </c>
      <c r="W346" s="49">
        <f t="shared" si="115"/>
        <v>9.5083730986197104</v>
      </c>
      <c r="X346" s="48">
        <v>0.1</v>
      </c>
      <c r="Y346" s="76">
        <f t="shared" si="107"/>
        <v>9.9428364065641567E-2</v>
      </c>
      <c r="Z346" s="18">
        <v>10260</v>
      </c>
      <c r="AA346" s="18">
        <v>10075</v>
      </c>
      <c r="AB346" s="18">
        <v>67900000</v>
      </c>
      <c r="AC346" s="135">
        <f t="shared" si="108"/>
        <v>37.685674218198002</v>
      </c>
      <c r="AD346" s="48">
        <f t="shared" si="116"/>
        <v>37.685674218198002</v>
      </c>
      <c r="AE346" s="49">
        <v>0.3</v>
      </c>
      <c r="AF346" s="49">
        <f t="shared" si="109"/>
        <v>0.34565580609179458</v>
      </c>
      <c r="AG346" s="19">
        <v>23100</v>
      </c>
      <c r="AH346" s="19">
        <v>22850</v>
      </c>
      <c r="AI346" s="19">
        <v>7239332</v>
      </c>
      <c r="AJ346" s="137">
        <f t="shared" si="110"/>
        <v>541.801224798872</v>
      </c>
      <c r="AK346" s="49">
        <f t="shared" si="117"/>
        <v>541.801224798872</v>
      </c>
      <c r="AL346" s="82">
        <f t="shared" si="118"/>
        <v>0</v>
      </c>
      <c r="AM346" s="82">
        <f t="shared" si="119"/>
        <v>249441410670074.5</v>
      </c>
      <c r="AN346" s="81">
        <f t="shared" si="111"/>
        <v>259287048845464.34</v>
      </c>
      <c r="AO346" s="80">
        <f t="shared" si="100"/>
        <v>1039.4707444483315</v>
      </c>
      <c r="AP346" s="52">
        <f t="shared" si="112"/>
        <v>-2.8590293391438499E-2</v>
      </c>
      <c r="AQ346" s="48">
        <f>(F346-E346)/E346</f>
        <v>-1.7626321974148061E-2</v>
      </c>
      <c r="AR346" s="48">
        <f>(M346-L346)/L346</f>
        <v>-2.6881720430107529E-3</v>
      </c>
      <c r="AS346" s="48">
        <f>(T346-S346)/S346</f>
        <v>-0.13886342804766269</v>
      </c>
      <c r="AT346" s="48" t="e">
        <f>(#REF!-#REF!)/#REF!</f>
        <v>#REF!</v>
      </c>
    </row>
    <row r="347" spans="1:46" x14ac:dyDescent="0.3">
      <c r="A347" s="48">
        <v>20190530</v>
      </c>
      <c r="B347" s="48" t="s">
        <v>88</v>
      </c>
      <c r="C347" s="79">
        <v>0.3</v>
      </c>
      <c r="D347" s="79">
        <f t="shared" si="101"/>
        <v>0.32700714577237522</v>
      </c>
      <c r="E347" s="49">
        <v>41800</v>
      </c>
      <c r="F347" s="49">
        <v>42550</v>
      </c>
      <c r="G347" s="49">
        <v>5969782550</v>
      </c>
      <c r="H347" s="49">
        <f t="shared" si="102"/>
        <v>0.33360423409343998</v>
      </c>
      <c r="I347" s="49">
        <f t="shared" si="113"/>
        <v>0.35637236041814002</v>
      </c>
      <c r="J347" s="48">
        <v>0.15</v>
      </c>
      <c r="K347" s="48">
        <f t="shared" si="103"/>
        <v>0.12431443967830121</v>
      </c>
      <c r="L347" s="48">
        <v>185500</v>
      </c>
      <c r="M347" s="48">
        <v>186000</v>
      </c>
      <c r="N347" s="51">
        <v>128329070</v>
      </c>
      <c r="O347" s="48">
        <f t="shared" si="104"/>
        <v>1.3496338845862199</v>
      </c>
      <c r="P347" s="48">
        <f t="shared" si="114"/>
        <v>1.4417449300585801</v>
      </c>
      <c r="Q347" s="49">
        <v>0.15</v>
      </c>
      <c r="R347" s="49">
        <f t="shared" si="105"/>
        <v>0.1075509095669533</v>
      </c>
      <c r="S347" s="49">
        <v>187900</v>
      </c>
      <c r="T347" s="49">
        <v>183700</v>
      </c>
      <c r="U347" s="49">
        <v>15956260</v>
      </c>
      <c r="V347" s="49">
        <f t="shared" si="106"/>
        <v>9.5083730986197104</v>
      </c>
      <c r="W347" s="49">
        <f t="shared" si="115"/>
        <v>10.1573092263042</v>
      </c>
      <c r="X347" s="48">
        <v>0.1</v>
      </c>
      <c r="Y347" s="76">
        <f t="shared" si="107"/>
        <v>0.10057144947360319</v>
      </c>
      <c r="Z347" s="18">
        <v>10075</v>
      </c>
      <c r="AA347" s="18">
        <v>10185</v>
      </c>
      <c r="AB347" s="18">
        <v>47400000</v>
      </c>
      <c r="AC347" s="135">
        <f t="shared" si="108"/>
        <v>37.685674218198002</v>
      </c>
      <c r="AD347" s="48">
        <f t="shared" si="116"/>
        <v>57.668702680821397</v>
      </c>
      <c r="AE347" s="49">
        <v>0.3</v>
      </c>
      <c r="AF347" s="49">
        <f t="shared" si="109"/>
        <v>0.34055605550876705</v>
      </c>
      <c r="AG347" s="19">
        <v>22850</v>
      </c>
      <c r="AH347" s="19">
        <v>22500</v>
      </c>
      <c r="AI347" s="19">
        <v>7239332</v>
      </c>
      <c r="AJ347" s="137">
        <f t="shared" si="110"/>
        <v>541.801224798872</v>
      </c>
      <c r="AK347" s="49">
        <f t="shared" si="117"/>
        <v>578.77856941387597</v>
      </c>
      <c r="AL347" s="82">
        <f t="shared" si="118"/>
        <v>1</v>
      </c>
      <c r="AM347" s="82">
        <f t="shared" si="119"/>
        <v>266465515787267.87</v>
      </c>
      <c r="AN347" s="81">
        <f t="shared" si="111"/>
        <v>276824705920389</v>
      </c>
      <c r="AO347" s="80">
        <f t="shared" si="100"/>
        <v>1038.8762879973983</v>
      </c>
      <c r="AP347" s="52">
        <f t="shared" si="112"/>
        <v>-5.7188377268730566E-4</v>
      </c>
      <c r="AQ347" s="48">
        <f>(F347-E347)/E347</f>
        <v>1.7942583732057416E-2</v>
      </c>
      <c r="AR347" s="48">
        <f>(M347-L347)/L347</f>
        <v>2.6954177897574125E-3</v>
      </c>
      <c r="AS347" s="48">
        <f>(T347-S347)/S347</f>
        <v>-2.2352315061202766E-2</v>
      </c>
      <c r="AT347" s="48" t="e">
        <f>(#REF!-#REF!)/#REF!</f>
        <v>#REF!</v>
      </c>
    </row>
    <row r="348" spans="1:46" x14ac:dyDescent="0.3">
      <c r="A348" s="48">
        <v>20190531</v>
      </c>
      <c r="B348" s="48" t="s">
        <v>88</v>
      </c>
      <c r="C348" s="79">
        <v>0.3</v>
      </c>
      <c r="D348" s="79">
        <f t="shared" si="101"/>
        <v>0.31998880386491957</v>
      </c>
      <c r="E348" s="49">
        <v>42550</v>
      </c>
      <c r="F348" s="49">
        <v>42500</v>
      </c>
      <c r="G348" s="49">
        <v>5969782550</v>
      </c>
      <c r="H348" s="49">
        <f t="shared" si="102"/>
        <v>0.35637236041814002</v>
      </c>
      <c r="I348" s="49">
        <f t="shared" si="113"/>
        <v>0.35637236041814002</v>
      </c>
      <c r="J348" s="48">
        <v>0.15</v>
      </c>
      <c r="K348" s="48">
        <f t="shared" si="103"/>
        <v>0.12440860144448146</v>
      </c>
      <c r="L348" s="48">
        <v>186000</v>
      </c>
      <c r="M348" s="48">
        <v>190000</v>
      </c>
      <c r="N348" s="51">
        <v>128329070</v>
      </c>
      <c r="O348" s="48">
        <f t="shared" si="104"/>
        <v>1.4417449300585801</v>
      </c>
      <c r="P348" s="48">
        <f t="shared" si="114"/>
        <v>1.4417449300585801</v>
      </c>
      <c r="Q348" s="49">
        <v>0.15</v>
      </c>
      <c r="R348" s="49">
        <f t="shared" si="105"/>
        <v>0.11173315400762905</v>
      </c>
      <c r="S348" s="49">
        <v>183700</v>
      </c>
      <c r="T348" s="49">
        <v>194800</v>
      </c>
      <c r="U348" s="49">
        <v>15956260</v>
      </c>
      <c r="V348" s="49">
        <f t="shared" si="106"/>
        <v>10.1573092263042</v>
      </c>
      <c r="W348" s="49">
        <f t="shared" si="115"/>
        <v>10.1573092263042</v>
      </c>
      <c r="X348" s="48">
        <v>0.1</v>
      </c>
      <c r="Y348" s="76">
        <f t="shared" si="107"/>
        <v>9.9109164080594683E-2</v>
      </c>
      <c r="Z348" s="18">
        <v>10185</v>
      </c>
      <c r="AA348" s="18">
        <v>10245</v>
      </c>
      <c r="AB348" s="18">
        <v>47400000</v>
      </c>
      <c r="AC348" s="135">
        <f t="shared" si="108"/>
        <v>57.668702680821397</v>
      </c>
      <c r="AD348" s="48">
        <f t="shared" si="116"/>
        <v>57.668702680821397</v>
      </c>
      <c r="AE348" s="49">
        <v>0.3</v>
      </c>
      <c r="AF348" s="49">
        <f t="shared" si="109"/>
        <v>0.34476027660237529</v>
      </c>
      <c r="AG348" s="19">
        <v>22500</v>
      </c>
      <c r="AH348" s="19">
        <v>23250</v>
      </c>
      <c r="AI348" s="19">
        <v>7239332</v>
      </c>
      <c r="AJ348" s="137">
        <f t="shared" si="110"/>
        <v>578.77856941387597</v>
      </c>
      <c r="AK348" s="49">
        <f t="shared" si="117"/>
        <v>578.77856941387597</v>
      </c>
      <c r="AL348" s="82">
        <f t="shared" si="118"/>
        <v>0</v>
      </c>
      <c r="AM348" s="82">
        <f t="shared" si="119"/>
        <v>266465515787267.87</v>
      </c>
      <c r="AN348" s="81">
        <f t="shared" si="111"/>
        <v>282563897846707.44</v>
      </c>
      <c r="AO348" s="80">
        <f t="shared" si="100"/>
        <v>1060.4145043379333</v>
      </c>
      <c r="AP348" s="52">
        <f t="shared" si="112"/>
        <v>2.0732224413412458E-2</v>
      </c>
      <c r="AQ348" s="48">
        <f>(F348-E348)/E348</f>
        <v>-1.1750881316098707E-3</v>
      </c>
      <c r="AR348" s="48">
        <f>(M348-L348)/L348</f>
        <v>2.1505376344086023E-2</v>
      </c>
      <c r="AS348" s="48">
        <f>(T348-S348)/S348</f>
        <v>6.0424605334784977E-2</v>
      </c>
      <c r="AT348" s="48" t="e">
        <f>(#REF!-#REF!)/#REF!</f>
        <v>#REF!</v>
      </c>
    </row>
    <row r="349" spans="1:46" x14ac:dyDescent="0.3">
      <c r="A349" s="48">
        <v>20190603</v>
      </c>
      <c r="B349" s="48" t="s">
        <v>88</v>
      </c>
      <c r="C349" s="79">
        <v>0.3</v>
      </c>
      <c r="D349" s="79">
        <f t="shared" si="101"/>
        <v>0.32676162433051442</v>
      </c>
      <c r="E349" s="49">
        <v>42500</v>
      </c>
      <c r="F349" s="49">
        <v>43800</v>
      </c>
      <c r="G349" s="49">
        <v>5969782550</v>
      </c>
      <c r="H349" s="49">
        <f t="shared" si="102"/>
        <v>0.35637236041814002</v>
      </c>
      <c r="I349" s="49">
        <f t="shared" si="113"/>
        <v>0.35637236041814002</v>
      </c>
      <c r="J349" s="48">
        <v>0.15</v>
      </c>
      <c r="K349" s="48">
        <f t="shared" si="103"/>
        <v>0.12521754903735299</v>
      </c>
      <c r="L349" s="48">
        <v>190000</v>
      </c>
      <c r="M349" s="48">
        <v>193000</v>
      </c>
      <c r="N349" s="51">
        <v>128329070</v>
      </c>
      <c r="O349" s="48">
        <f t="shared" si="104"/>
        <v>1.4417449300585801</v>
      </c>
      <c r="P349" s="48">
        <f t="shared" si="114"/>
        <v>1.4417449300585801</v>
      </c>
      <c r="Q349" s="49">
        <v>0.15</v>
      </c>
      <c r="R349" s="49">
        <f t="shared" si="105"/>
        <v>0.10809726380984618</v>
      </c>
      <c r="S349" s="49">
        <v>194800</v>
      </c>
      <c r="T349" s="49">
        <v>190200</v>
      </c>
      <c r="U349" s="49">
        <v>15956260</v>
      </c>
      <c r="V349" s="49">
        <f t="shared" si="106"/>
        <v>10.1573092263042</v>
      </c>
      <c r="W349" s="49">
        <f t="shared" si="115"/>
        <v>10.1573092263042</v>
      </c>
      <c r="X349" s="48">
        <v>0.1</v>
      </c>
      <c r="Y349" s="76">
        <f t="shared" si="107"/>
        <v>9.9784632633212592E-2</v>
      </c>
      <c r="Z349" s="18">
        <v>10245</v>
      </c>
      <c r="AA349" s="18">
        <v>10410</v>
      </c>
      <c r="AB349" s="18">
        <v>47400000</v>
      </c>
      <c r="AC349" s="135">
        <f t="shared" si="108"/>
        <v>57.668702680821397</v>
      </c>
      <c r="AD349" s="48">
        <f t="shared" si="116"/>
        <v>57.668702680821397</v>
      </c>
      <c r="AE349" s="49">
        <v>0.3</v>
      </c>
      <c r="AF349" s="49">
        <f t="shared" si="109"/>
        <v>0.34013893018907393</v>
      </c>
      <c r="AG349" s="19">
        <v>23250</v>
      </c>
      <c r="AH349" s="19">
        <v>23150</v>
      </c>
      <c r="AI349" s="19">
        <v>7239332</v>
      </c>
      <c r="AJ349" s="137">
        <f t="shared" si="110"/>
        <v>578.77856941387597</v>
      </c>
      <c r="AK349" s="49">
        <f t="shared" si="117"/>
        <v>578.77856941387597</v>
      </c>
      <c r="AL349" s="82">
        <f t="shared" si="118"/>
        <v>0</v>
      </c>
      <c r="AM349" s="82">
        <f t="shared" si="119"/>
        <v>266465515787267.87</v>
      </c>
      <c r="AN349" s="81">
        <f t="shared" si="111"/>
        <v>285171151986955.87</v>
      </c>
      <c r="AO349" s="80">
        <f t="shared" si="100"/>
        <v>1070.1990880299184</v>
      </c>
      <c r="AP349" s="52">
        <f t="shared" si="112"/>
        <v>9.227131137831841E-3</v>
      </c>
      <c r="AQ349" s="48">
        <f>(F349-E349)/E349</f>
        <v>3.0588235294117649E-2</v>
      </c>
      <c r="AR349" s="48">
        <f>(M349-L349)/L349</f>
        <v>1.5789473684210527E-2</v>
      </c>
      <c r="AS349" s="48">
        <f>(T349-S349)/S349</f>
        <v>-2.3613963039014373E-2</v>
      </c>
      <c r="AT349" s="48" t="e">
        <f>(#REF!-#REF!)/#REF!</f>
        <v>#REF!</v>
      </c>
    </row>
    <row r="350" spans="1:46" x14ac:dyDescent="0.3">
      <c r="A350" s="48">
        <v>20190604</v>
      </c>
      <c r="B350" s="48" t="s">
        <v>88</v>
      </c>
      <c r="C350" s="79">
        <v>0.3</v>
      </c>
      <c r="D350" s="79">
        <f t="shared" si="101"/>
        <v>0.32489904386656177</v>
      </c>
      <c r="E350" s="49">
        <v>43800</v>
      </c>
      <c r="F350" s="49">
        <v>43450</v>
      </c>
      <c r="G350" s="49">
        <v>5969782550</v>
      </c>
      <c r="H350" s="49">
        <f t="shared" si="102"/>
        <v>0.35637236041814002</v>
      </c>
      <c r="I350" s="49">
        <f t="shared" si="113"/>
        <v>0.35637236041814002</v>
      </c>
      <c r="J350" s="48">
        <v>0.15</v>
      </c>
      <c r="K350" s="48">
        <f t="shared" si="103"/>
        <v>0.12713243588977793</v>
      </c>
      <c r="L350" s="48">
        <v>193000</v>
      </c>
      <c r="M350" s="48">
        <v>195500</v>
      </c>
      <c r="N350" s="51">
        <v>128329070</v>
      </c>
      <c r="O350" s="48">
        <f t="shared" si="104"/>
        <v>1.4417449300585801</v>
      </c>
      <c r="P350" s="48">
        <f t="shared" si="114"/>
        <v>1.4417449300585801</v>
      </c>
      <c r="Q350" s="49">
        <v>0.15</v>
      </c>
      <c r="R350" s="49">
        <f t="shared" si="105"/>
        <v>0.10658097595469924</v>
      </c>
      <c r="S350" s="49">
        <v>190200</v>
      </c>
      <c r="T350" s="49">
        <v>187100</v>
      </c>
      <c r="U350" s="49">
        <v>15956260</v>
      </c>
      <c r="V350" s="49">
        <f t="shared" si="106"/>
        <v>10.1573092263042</v>
      </c>
      <c r="W350" s="49">
        <f t="shared" si="115"/>
        <v>10.1573092263042</v>
      </c>
      <c r="X350" s="48">
        <v>0.1</v>
      </c>
      <c r="Y350" s="76">
        <f t="shared" si="107"/>
        <v>9.97268274928374E-2</v>
      </c>
      <c r="Z350" s="18">
        <v>10410</v>
      </c>
      <c r="AA350" s="18">
        <v>10380</v>
      </c>
      <c r="AB350" s="18">
        <v>47400000</v>
      </c>
      <c r="AC350" s="135">
        <f t="shared" si="108"/>
        <v>57.668702680821397</v>
      </c>
      <c r="AD350" s="48">
        <f t="shared" si="116"/>
        <v>57.668702680821397</v>
      </c>
      <c r="AE350" s="49">
        <v>0.3</v>
      </c>
      <c r="AF350" s="49">
        <f t="shared" si="109"/>
        <v>0.34166071679612381</v>
      </c>
      <c r="AG350" s="19">
        <v>23150</v>
      </c>
      <c r="AH350" s="19">
        <v>23200</v>
      </c>
      <c r="AI350" s="19">
        <v>7239332</v>
      </c>
      <c r="AJ350" s="137">
        <f t="shared" si="110"/>
        <v>578.77856941387597</v>
      </c>
      <c r="AK350" s="49">
        <f t="shared" si="117"/>
        <v>578.77856941387597</v>
      </c>
      <c r="AL350" s="82">
        <f t="shared" si="118"/>
        <v>0</v>
      </c>
      <c r="AM350" s="82">
        <f t="shared" si="119"/>
        <v>266465515787267.87</v>
      </c>
      <c r="AN350" s="81">
        <f t="shared" si="111"/>
        <v>284514151875874.69</v>
      </c>
      <c r="AO350" s="80">
        <f t="shared" si="100"/>
        <v>1067.7334777645897</v>
      </c>
      <c r="AP350" s="52">
        <f t="shared" si="112"/>
        <v>-2.3038799910281272E-3</v>
      </c>
      <c r="AQ350" s="48">
        <f>(F350-E350)/E350</f>
        <v>-7.9908675799086754E-3</v>
      </c>
      <c r="AR350" s="48">
        <f>(M350-L350)/L350</f>
        <v>1.2953367875647668E-2</v>
      </c>
      <c r="AS350" s="48">
        <f>(T350-S350)/S350</f>
        <v>-1.6298633017875919E-2</v>
      </c>
      <c r="AT350" s="48" t="e">
        <f>(#REF!-#REF!)/#REF!</f>
        <v>#REF!</v>
      </c>
    </row>
    <row r="351" spans="1:46" x14ac:dyDescent="0.3">
      <c r="A351" s="48">
        <v>20190605</v>
      </c>
      <c r="B351" s="48" t="s">
        <v>88</v>
      </c>
      <c r="C351" s="79">
        <v>0.3</v>
      </c>
      <c r="D351" s="79">
        <f t="shared" si="101"/>
        <v>0.32883773996667254</v>
      </c>
      <c r="E351" s="49">
        <v>43450</v>
      </c>
      <c r="F351" s="49">
        <v>43900</v>
      </c>
      <c r="G351" s="49">
        <v>5969782550</v>
      </c>
      <c r="H351" s="49">
        <f t="shared" si="102"/>
        <v>0.35637236041814002</v>
      </c>
      <c r="I351" s="49">
        <f t="shared" si="113"/>
        <v>0.35637236041814002</v>
      </c>
      <c r="J351" s="48">
        <v>0.15</v>
      </c>
      <c r="K351" s="48">
        <f t="shared" si="103"/>
        <v>0.12768037803973314</v>
      </c>
      <c r="L351" s="48">
        <v>195500</v>
      </c>
      <c r="M351" s="48">
        <v>196000</v>
      </c>
      <c r="N351" s="51">
        <v>128329070</v>
      </c>
      <c r="O351" s="48">
        <f t="shared" si="104"/>
        <v>1.4417449300585801</v>
      </c>
      <c r="P351" s="48">
        <f t="shared" si="114"/>
        <v>1.4417449300585801</v>
      </c>
      <c r="Q351" s="49">
        <v>0.15</v>
      </c>
      <c r="R351" s="49">
        <f t="shared" si="105"/>
        <v>0.10722379328681246</v>
      </c>
      <c r="S351" s="49">
        <v>187100</v>
      </c>
      <c r="T351" s="49">
        <v>187900</v>
      </c>
      <c r="U351" s="49">
        <v>15956260</v>
      </c>
      <c r="V351" s="49">
        <f t="shared" si="106"/>
        <v>10.1573092263042</v>
      </c>
      <c r="W351" s="49">
        <f t="shared" si="115"/>
        <v>10.1573092263042</v>
      </c>
      <c r="X351" s="48">
        <v>0.1</v>
      </c>
      <c r="Y351" s="76">
        <f t="shared" si="107"/>
        <v>9.9901149518140275E-2</v>
      </c>
      <c r="Z351" s="18">
        <v>10380</v>
      </c>
      <c r="AA351" s="18">
        <v>10380</v>
      </c>
      <c r="AB351" s="18">
        <v>47400000</v>
      </c>
      <c r="AC351" s="135">
        <f t="shared" si="108"/>
        <v>57.668702680821397</v>
      </c>
      <c r="AD351" s="48">
        <f t="shared" si="116"/>
        <v>57.668702680821397</v>
      </c>
      <c r="AE351" s="49">
        <v>0.3</v>
      </c>
      <c r="AF351" s="49">
        <f t="shared" si="109"/>
        <v>0.33635693918864162</v>
      </c>
      <c r="AG351" s="19">
        <v>23200</v>
      </c>
      <c r="AH351" s="19">
        <v>22800</v>
      </c>
      <c r="AI351" s="19">
        <v>7239332</v>
      </c>
      <c r="AJ351" s="137">
        <f t="shared" si="110"/>
        <v>578.77856941387597</v>
      </c>
      <c r="AK351" s="49">
        <f t="shared" si="117"/>
        <v>578.77856941387597</v>
      </c>
      <c r="AL351" s="82">
        <f t="shared" si="118"/>
        <v>0</v>
      </c>
      <c r="AM351" s="82">
        <f t="shared" si="119"/>
        <v>266465515787267.87</v>
      </c>
      <c r="AN351" s="81">
        <f t="shared" si="111"/>
        <v>284017690289380.87</v>
      </c>
      <c r="AO351" s="80">
        <f t="shared" si="100"/>
        <v>1065.8703414220613</v>
      </c>
      <c r="AP351" s="52">
        <f t="shared" si="112"/>
        <v>-1.7449451397075666E-3</v>
      </c>
      <c r="AQ351" s="48">
        <f>(F351-E351)/E351</f>
        <v>1.0356731875719217E-2</v>
      </c>
      <c r="AR351" s="48">
        <f>(M351-L351)/L351</f>
        <v>2.5575447570332483E-3</v>
      </c>
      <c r="AS351" s="48">
        <f>(T351-S351)/S351</f>
        <v>4.27578834847675E-3</v>
      </c>
      <c r="AT351" s="48" t="e">
        <f>(#REF!-#REF!)/#REF!</f>
        <v>#REF!</v>
      </c>
    </row>
    <row r="352" spans="1:46" x14ac:dyDescent="0.3">
      <c r="A352" s="48">
        <v>20190607</v>
      </c>
      <c r="B352" s="48" t="s">
        <v>88</v>
      </c>
      <c r="C352" s="79">
        <v>0.3</v>
      </c>
      <c r="D352" s="79">
        <f t="shared" si="101"/>
        <v>0.32987307365378721</v>
      </c>
      <c r="E352" s="49">
        <v>43900</v>
      </c>
      <c r="F352" s="49">
        <v>44200</v>
      </c>
      <c r="G352" s="49">
        <v>5969782550</v>
      </c>
      <c r="H352" s="49">
        <f t="shared" si="102"/>
        <v>0.35637236041814002</v>
      </c>
      <c r="I352" s="49">
        <f t="shared" si="113"/>
        <v>0.365186256850484</v>
      </c>
      <c r="J352" s="48">
        <v>0.15</v>
      </c>
      <c r="K352" s="48">
        <f t="shared" si="103"/>
        <v>0.12753756074299194</v>
      </c>
      <c r="L352" s="48">
        <v>196000</v>
      </c>
      <c r="M352" s="48">
        <v>196500</v>
      </c>
      <c r="N352" s="51">
        <v>128329070</v>
      </c>
      <c r="O352" s="48">
        <f t="shared" si="104"/>
        <v>1.4417449300585801</v>
      </c>
      <c r="P352" s="48">
        <f t="shared" si="114"/>
        <v>1.4774025508698101</v>
      </c>
      <c r="Q352" s="49">
        <v>0.15</v>
      </c>
      <c r="R352" s="49">
        <f t="shared" si="105"/>
        <v>0.10842328054929207</v>
      </c>
      <c r="S352" s="49">
        <v>187900</v>
      </c>
      <c r="T352" s="49">
        <v>190700</v>
      </c>
      <c r="U352" s="49">
        <v>15956260</v>
      </c>
      <c r="V352" s="49">
        <f t="shared" si="106"/>
        <v>10.1573092263042</v>
      </c>
      <c r="W352" s="49">
        <f t="shared" si="115"/>
        <v>10.4085225118881</v>
      </c>
      <c r="X352" s="48">
        <v>0.1</v>
      </c>
      <c r="Y352" s="76">
        <f t="shared" si="107"/>
        <v>9.9775216722798474E-2</v>
      </c>
      <c r="Z352" s="18">
        <v>10380</v>
      </c>
      <c r="AA352" s="18">
        <v>10405</v>
      </c>
      <c r="AB352" s="18">
        <v>62900000</v>
      </c>
      <c r="AC352" s="135">
        <f t="shared" si="108"/>
        <v>57.668702680821397</v>
      </c>
      <c r="AD352" s="48">
        <f t="shared" si="116"/>
        <v>44.5326243721954</v>
      </c>
      <c r="AE352" s="49">
        <v>0.3</v>
      </c>
      <c r="AF352" s="49">
        <f t="shared" si="109"/>
        <v>0.33439086833113024</v>
      </c>
      <c r="AG352" s="19">
        <v>22800</v>
      </c>
      <c r="AH352" s="19">
        <v>22750</v>
      </c>
      <c r="AI352" s="19">
        <v>7239332</v>
      </c>
      <c r="AJ352" s="137">
        <f t="shared" si="110"/>
        <v>578.77856941387597</v>
      </c>
      <c r="AK352" s="49">
        <f t="shared" si="117"/>
        <v>593.09307562891695</v>
      </c>
      <c r="AL352" s="82">
        <f t="shared" si="118"/>
        <v>1</v>
      </c>
      <c r="AM352" s="82">
        <f t="shared" si="119"/>
        <v>273055812117164.03</v>
      </c>
      <c r="AN352" s="81">
        <f t="shared" si="111"/>
        <v>292111288023097.87</v>
      </c>
      <c r="AO352" s="80">
        <f t="shared" si="100"/>
        <v>1069.7860109923513</v>
      </c>
      <c r="AP352" s="52">
        <f t="shared" si="112"/>
        <v>3.6736828281250327E-3</v>
      </c>
      <c r="AQ352" s="48">
        <f>(F352-E352)/E352</f>
        <v>6.8337129840546698E-3</v>
      </c>
      <c r="AR352" s="48">
        <f>(M352-L352)/L352</f>
        <v>2.5510204081632651E-3</v>
      </c>
      <c r="AS352" s="48">
        <f>(T352-S352)/S352</f>
        <v>1.4901543374135177E-2</v>
      </c>
      <c r="AT352" s="48" t="e">
        <f>(#REF!-#REF!)/#REF!</f>
        <v>#REF!</v>
      </c>
    </row>
    <row r="353" spans="1:46" s="47" customFormat="1" x14ac:dyDescent="0.3">
      <c r="A353" s="48">
        <v>20190610</v>
      </c>
      <c r="B353" s="48" t="s">
        <v>88</v>
      </c>
      <c r="C353" s="79">
        <v>0.3</v>
      </c>
      <c r="D353" s="79">
        <f t="shared" si="101"/>
        <v>0.33369934131374113</v>
      </c>
      <c r="E353" s="49">
        <v>44200</v>
      </c>
      <c r="F353" s="49">
        <v>44800</v>
      </c>
      <c r="G353" s="49">
        <v>5969782550</v>
      </c>
      <c r="H353" s="49">
        <f t="shared" si="102"/>
        <v>0.365186256850484</v>
      </c>
      <c r="I353" s="49">
        <f t="shared" si="113"/>
        <v>0.36622897400253901</v>
      </c>
      <c r="J353" s="48">
        <v>0.15</v>
      </c>
      <c r="K353" s="48">
        <f t="shared" si="103"/>
        <v>0.1285845533208817</v>
      </c>
      <c r="L353" s="48">
        <v>196500</v>
      </c>
      <c r="M353" s="48">
        <v>198500</v>
      </c>
      <c r="N353" s="51">
        <v>128329070</v>
      </c>
      <c r="O353" s="48">
        <f t="shared" si="104"/>
        <v>1.4774025508698101</v>
      </c>
      <c r="P353" s="48">
        <f t="shared" si="114"/>
        <v>1.4816209817427799</v>
      </c>
      <c r="Q353" s="49">
        <v>0.15</v>
      </c>
      <c r="R353" s="49">
        <f t="shared" si="105"/>
        <v>0.10838219827355101</v>
      </c>
      <c r="S353" s="49">
        <v>190700</v>
      </c>
      <c r="T353" s="49">
        <v>191000</v>
      </c>
      <c r="U353" s="49">
        <v>15956260</v>
      </c>
      <c r="V353" s="49">
        <f t="shared" si="106"/>
        <v>10.4085225118881</v>
      </c>
      <c r="W353" s="49">
        <f t="shared" si="115"/>
        <v>10.438241989954699</v>
      </c>
      <c r="X353" s="48">
        <v>0.1</v>
      </c>
      <c r="Y353" s="76">
        <f t="shared" si="107"/>
        <v>0.10072921221035498</v>
      </c>
      <c r="Z353" s="18">
        <v>10405</v>
      </c>
      <c r="AA353" s="18">
        <v>10525</v>
      </c>
      <c r="AB353" s="18">
        <v>62900000</v>
      </c>
      <c r="AC353" s="135">
        <f t="shared" si="108"/>
        <v>44.5326243721954</v>
      </c>
      <c r="AD353" s="48">
        <f t="shared" si="116"/>
        <v>44.659778476129603</v>
      </c>
      <c r="AE353" s="49">
        <v>0.3</v>
      </c>
      <c r="AF353" s="49">
        <f t="shared" si="109"/>
        <v>0.32860469488147126</v>
      </c>
      <c r="AG353" s="19">
        <v>22750</v>
      </c>
      <c r="AH353" s="19">
        <v>22400</v>
      </c>
      <c r="AI353" s="19">
        <v>7339332</v>
      </c>
      <c r="AJ353" s="137">
        <f t="shared" si="110"/>
        <v>593.09307562891695</v>
      </c>
      <c r="AK353" s="49">
        <f t="shared" si="117"/>
        <v>586.68243930520703</v>
      </c>
      <c r="AL353" s="82">
        <f t="shared" si="118"/>
        <v>1</v>
      </c>
      <c r="AM353" s="82">
        <f t="shared" si="119"/>
        <v>273835469000252.69</v>
      </c>
      <c r="AN353" s="81">
        <f t="shared" si="111"/>
        <v>293517417116999.37</v>
      </c>
      <c r="AO353" s="80">
        <f t="shared" si="100"/>
        <v>1071.8750868490615</v>
      </c>
      <c r="AP353" s="52">
        <f t="shared" si="112"/>
        <v>1.9527978822347493E-3</v>
      </c>
      <c r="AQ353" s="48">
        <f>(F353-E353)/E353</f>
        <v>1.3574660633484163E-2</v>
      </c>
      <c r="AR353" s="48">
        <f>(M353-L353)/L353</f>
        <v>1.0178117048346057E-2</v>
      </c>
      <c r="AS353" s="48">
        <f>(T353-S353)/S353</f>
        <v>1.5731515469323545E-3</v>
      </c>
      <c r="AT353" s="48" t="e">
        <f>(#REF!-#REF!)/#REF!</f>
        <v>#REF!</v>
      </c>
    </row>
    <row r="354" spans="1:46" x14ac:dyDescent="0.3">
      <c r="A354" s="48">
        <v>20190611</v>
      </c>
      <c r="B354" s="48" t="s">
        <v>88</v>
      </c>
      <c r="C354" s="79">
        <v>0.3</v>
      </c>
      <c r="D354" s="79">
        <f t="shared" si="101"/>
        <v>0.32873398952992927</v>
      </c>
      <c r="E354" s="49">
        <v>44800</v>
      </c>
      <c r="F354" s="49">
        <v>44850</v>
      </c>
      <c r="G354" s="49">
        <v>5969782550</v>
      </c>
      <c r="H354" s="49">
        <f t="shared" si="102"/>
        <v>0.36622897400253901</v>
      </c>
      <c r="I354" s="49">
        <f t="shared" si="113"/>
        <v>0.37038246998587299</v>
      </c>
      <c r="J354" s="48">
        <v>0.15</v>
      </c>
      <c r="K354" s="48">
        <f t="shared" si="103"/>
        <v>0.12876104316517101</v>
      </c>
      <c r="L354" s="48">
        <v>198500</v>
      </c>
      <c r="M354" s="48">
        <v>202000</v>
      </c>
      <c r="N354" s="51">
        <v>128329070</v>
      </c>
      <c r="O354" s="48">
        <f t="shared" si="104"/>
        <v>1.4816209817427799</v>
      </c>
      <c r="P354" s="48">
        <f t="shared" si="114"/>
        <v>1.4984244223041201</v>
      </c>
      <c r="Q354" s="49">
        <v>0.15</v>
      </c>
      <c r="R354" s="49">
        <f t="shared" si="105"/>
        <v>0.11022410067395051</v>
      </c>
      <c r="S354" s="49">
        <v>191000</v>
      </c>
      <c r="T354" s="49">
        <v>197400</v>
      </c>
      <c r="U354" s="49">
        <v>15956260</v>
      </c>
      <c r="V354" s="49">
        <f t="shared" si="106"/>
        <v>10.438241989954699</v>
      </c>
      <c r="W354" s="49">
        <f t="shared" si="115"/>
        <v>10.5566247484364</v>
      </c>
      <c r="X354" s="48">
        <v>0.1</v>
      </c>
      <c r="Y354" s="76">
        <f t="shared" si="107"/>
        <v>9.9543555264725858E-2</v>
      </c>
      <c r="Z354" s="18">
        <v>10525</v>
      </c>
      <c r="AA354" s="18">
        <v>10570</v>
      </c>
      <c r="AB354" s="18">
        <v>67900000</v>
      </c>
      <c r="AC354" s="135">
        <f t="shared" si="108"/>
        <v>44.659778476129603</v>
      </c>
      <c r="AD354" s="48">
        <f t="shared" si="116"/>
        <v>41.840335563935099</v>
      </c>
      <c r="AE354" s="49">
        <v>0.3</v>
      </c>
      <c r="AF354" s="49">
        <f t="shared" si="109"/>
        <v>0.33273731136622342</v>
      </c>
      <c r="AG354" s="19">
        <v>22400</v>
      </c>
      <c r="AH354" s="19">
        <v>23050</v>
      </c>
      <c r="AI354" s="19">
        <v>7339332</v>
      </c>
      <c r="AJ354" s="137">
        <f t="shared" si="110"/>
        <v>586.68243930520703</v>
      </c>
      <c r="AK354" s="49">
        <f t="shared" si="117"/>
        <v>593.33615413425196</v>
      </c>
      <c r="AL354" s="82">
        <f t="shared" si="118"/>
        <v>1</v>
      </c>
      <c r="AM354" s="82">
        <f t="shared" si="119"/>
        <v>276941106733271.06</v>
      </c>
      <c r="AN354" s="81">
        <f t="shared" si="111"/>
        <v>301666283421202.37</v>
      </c>
      <c r="AO354" s="80">
        <f t="shared" si="100"/>
        <v>1089.2795474806301</v>
      </c>
      <c r="AP354" s="52">
        <f t="shared" si="112"/>
        <v>1.6237396358125638E-2</v>
      </c>
      <c r="AQ354" s="48">
        <f>(F354-E354)/E354</f>
        <v>1.1160714285714285E-3</v>
      </c>
      <c r="AR354" s="48">
        <f>(M354-L354)/L354</f>
        <v>1.7632241813602016E-2</v>
      </c>
      <c r="AS354" s="48">
        <f>(T354-S354)/S354</f>
        <v>3.3507853403141365E-2</v>
      </c>
      <c r="AT354" s="48" t="e">
        <f>(#REF!-#REF!)/#REF!</f>
        <v>#REF!</v>
      </c>
    </row>
    <row r="355" spans="1:46" x14ac:dyDescent="0.3">
      <c r="A355" s="48">
        <v>20190612</v>
      </c>
      <c r="B355" s="48" t="s">
        <v>88</v>
      </c>
      <c r="C355" s="79">
        <v>0.3</v>
      </c>
      <c r="D355" s="79">
        <f t="shared" si="101"/>
        <v>0.32915185751153814</v>
      </c>
      <c r="E355" s="49">
        <v>44850</v>
      </c>
      <c r="F355" s="49">
        <v>44600</v>
      </c>
      <c r="G355" s="49">
        <v>5969782550</v>
      </c>
      <c r="H355" s="49">
        <f t="shared" si="102"/>
        <v>0.37038246998587299</v>
      </c>
      <c r="I355" s="49">
        <f t="shared" si="113"/>
        <v>0.37038246998587299</v>
      </c>
      <c r="J355" s="48">
        <v>0.15</v>
      </c>
      <c r="K355" s="48">
        <f t="shared" si="103"/>
        <v>0.13093102658749917</v>
      </c>
      <c r="L355" s="48">
        <v>202000</v>
      </c>
      <c r="M355" s="48">
        <v>204000</v>
      </c>
      <c r="N355" s="51">
        <v>128329070</v>
      </c>
      <c r="O355" s="48">
        <f t="shared" si="104"/>
        <v>1.4984244223041201</v>
      </c>
      <c r="P355" s="48">
        <f t="shared" si="114"/>
        <v>1.4984244223041201</v>
      </c>
      <c r="Q355" s="49">
        <v>0.15</v>
      </c>
      <c r="R355" s="49">
        <f t="shared" si="105"/>
        <v>0.10794683989149992</v>
      </c>
      <c r="S355" s="49">
        <v>197400</v>
      </c>
      <c r="T355" s="49">
        <v>192000</v>
      </c>
      <c r="U355" s="49">
        <v>15956260</v>
      </c>
      <c r="V355" s="49">
        <f t="shared" si="106"/>
        <v>10.5566247484364</v>
      </c>
      <c r="W355" s="49">
        <f t="shared" si="115"/>
        <v>10.5566247484364</v>
      </c>
      <c r="X355" s="48">
        <v>0.1</v>
      </c>
      <c r="Y355" s="76">
        <f t="shared" si="107"/>
        <v>9.9849482939977363E-2</v>
      </c>
      <c r="Z355" s="18">
        <v>10570</v>
      </c>
      <c r="AA355" s="18">
        <v>10530</v>
      </c>
      <c r="AB355" s="18">
        <v>67900000</v>
      </c>
      <c r="AC355" s="135">
        <f t="shared" si="108"/>
        <v>41.840335563935099</v>
      </c>
      <c r="AD355" s="48">
        <f t="shared" si="116"/>
        <v>41.840335563935099</v>
      </c>
      <c r="AE355" s="49">
        <v>0.3</v>
      </c>
      <c r="AF355" s="49">
        <f t="shared" si="109"/>
        <v>0.33212079306948533</v>
      </c>
      <c r="AG355" s="19">
        <v>23050</v>
      </c>
      <c r="AH355" s="19">
        <v>22850</v>
      </c>
      <c r="AI355" s="19">
        <v>7339332</v>
      </c>
      <c r="AJ355" s="137">
        <f t="shared" si="110"/>
        <v>593.33615413425196</v>
      </c>
      <c r="AK355" s="49">
        <f t="shared" si="117"/>
        <v>593.33615413425196</v>
      </c>
      <c r="AL355" s="82">
        <f t="shared" si="118"/>
        <v>0</v>
      </c>
      <c r="AM355" s="82">
        <f t="shared" si="119"/>
        <v>276941106733271.06</v>
      </c>
      <c r="AN355" s="81">
        <f t="shared" si="111"/>
        <v>299603915043148.31</v>
      </c>
      <c r="AO355" s="80">
        <f t="shared" si="100"/>
        <v>1081.8325909692574</v>
      </c>
      <c r="AP355" s="52">
        <f t="shared" si="112"/>
        <v>-6.8365889441297373E-3</v>
      </c>
      <c r="AQ355" s="48">
        <f>(F355-E355)/E355</f>
        <v>-5.5741360089186179E-3</v>
      </c>
      <c r="AR355" s="48">
        <f>(M355-L355)/L355</f>
        <v>9.9009900990099011E-3</v>
      </c>
      <c r="AS355" s="48">
        <f>(T355-S355)/S355</f>
        <v>-2.7355623100303952E-2</v>
      </c>
      <c r="AT355" s="48" t="e">
        <f>(#REF!-#REF!)/#REF!</f>
        <v>#REF!</v>
      </c>
    </row>
    <row r="356" spans="1:46" x14ac:dyDescent="0.3">
      <c r="A356" s="48">
        <v>20190613</v>
      </c>
      <c r="B356" s="48" t="s">
        <v>88</v>
      </c>
      <c r="C356" s="79">
        <v>0.3</v>
      </c>
      <c r="D356" s="79">
        <f t="shared" si="101"/>
        <v>0.31742703397395183</v>
      </c>
      <c r="E356" s="49">
        <v>44600</v>
      </c>
      <c r="F356" s="49">
        <v>43750</v>
      </c>
      <c r="G356" s="49">
        <v>5969782550</v>
      </c>
      <c r="H356" s="49">
        <f t="shared" si="102"/>
        <v>0.37038246998587299</v>
      </c>
      <c r="I356" s="49">
        <f t="shared" si="113"/>
        <v>0.37038246998587299</v>
      </c>
      <c r="J356" s="48">
        <v>0.15</v>
      </c>
      <c r="K356" s="48">
        <f t="shared" si="103"/>
        <v>0.13061322511521983</v>
      </c>
      <c r="L356" s="48">
        <v>204000</v>
      </c>
      <c r="M356" s="48">
        <v>207000</v>
      </c>
      <c r="N356" s="51">
        <v>128329070</v>
      </c>
      <c r="O356" s="48">
        <f t="shared" si="104"/>
        <v>1.4984244223041201</v>
      </c>
      <c r="P356" s="48">
        <f t="shared" si="114"/>
        <v>1.4984244223041201</v>
      </c>
      <c r="Q356" s="49">
        <v>0.15</v>
      </c>
      <c r="R356" s="49">
        <f t="shared" si="105"/>
        <v>0.10546090086759521</v>
      </c>
      <c r="S356" s="49">
        <v>192000</v>
      </c>
      <c r="T356" s="49">
        <v>190800</v>
      </c>
      <c r="U356" s="49">
        <v>15956260</v>
      </c>
      <c r="V356" s="49">
        <f t="shared" si="106"/>
        <v>10.5566247484364</v>
      </c>
      <c r="W356" s="49">
        <f t="shared" si="115"/>
        <v>10.5566247484364</v>
      </c>
      <c r="X356" s="48">
        <v>0.1</v>
      </c>
      <c r="Y356" s="76">
        <f t="shared" si="107"/>
        <v>9.783726285277286E-2</v>
      </c>
      <c r="Z356" s="18">
        <v>10530</v>
      </c>
      <c r="AA356" s="18">
        <v>10495</v>
      </c>
      <c r="AB356" s="18">
        <v>67900000</v>
      </c>
      <c r="AC356" s="135">
        <f t="shared" si="108"/>
        <v>41.840335563935099</v>
      </c>
      <c r="AD356" s="48">
        <f t="shared" si="116"/>
        <v>41.840335563935099</v>
      </c>
      <c r="AE356" s="49">
        <v>0.3</v>
      </c>
      <c r="AF356" s="49">
        <f t="shared" si="109"/>
        <v>0.34866157719046037</v>
      </c>
      <c r="AG356" s="19">
        <v>22850</v>
      </c>
      <c r="AH356" s="19">
        <v>24400</v>
      </c>
      <c r="AI356" s="19">
        <v>7339332</v>
      </c>
      <c r="AJ356" s="137">
        <f t="shared" si="110"/>
        <v>593.33615413425196</v>
      </c>
      <c r="AK356" s="49">
        <f t="shared" si="117"/>
        <v>593.33615413425196</v>
      </c>
      <c r="AL356" s="82">
        <f t="shared" si="118"/>
        <v>0</v>
      </c>
      <c r="AM356" s="82">
        <f t="shared" si="119"/>
        <v>276941106733271.06</v>
      </c>
      <c r="AN356" s="81">
        <f t="shared" si="111"/>
        <v>304749556324475.06</v>
      </c>
      <c r="AO356" s="80">
        <f t="shared" si="100"/>
        <v>1100.4128636561961</v>
      </c>
      <c r="AP356" s="52">
        <f t="shared" si="112"/>
        <v>1.7174813221602019E-2</v>
      </c>
      <c r="AQ356" s="48">
        <f>(F356-E356)/E356</f>
        <v>-1.905829596412556E-2</v>
      </c>
      <c r="AR356" s="48">
        <f>(M356-L356)/L356</f>
        <v>1.4705882352941176E-2</v>
      </c>
      <c r="AS356" s="48">
        <f>(T356-S356)/S356</f>
        <v>-6.2500000000000003E-3</v>
      </c>
      <c r="AT356" s="48" t="e">
        <f>(#REF!-#REF!)/#REF!</f>
        <v>#REF!</v>
      </c>
    </row>
    <row r="357" spans="1:46" x14ac:dyDescent="0.3">
      <c r="A357" s="48">
        <v>20190614</v>
      </c>
      <c r="B357" s="48" t="s">
        <v>88</v>
      </c>
      <c r="C357" s="79">
        <v>0.3</v>
      </c>
      <c r="D357" s="79">
        <f t="shared" si="101"/>
        <v>0.31915433195788495</v>
      </c>
      <c r="E357" s="49">
        <v>43750</v>
      </c>
      <c r="F357" s="49">
        <v>44000</v>
      </c>
      <c r="G357" s="49">
        <v>5969782550</v>
      </c>
      <c r="H357" s="49">
        <f t="shared" si="102"/>
        <v>0.37038246998587299</v>
      </c>
      <c r="I357" s="49">
        <f t="shared" si="113"/>
        <v>0.37038246998587299</v>
      </c>
      <c r="J357" s="48">
        <v>0.15</v>
      </c>
      <c r="K357" s="48">
        <f t="shared" si="103"/>
        <v>0.12679294187950993</v>
      </c>
      <c r="L357" s="48">
        <v>207000</v>
      </c>
      <c r="M357" s="48">
        <v>201000</v>
      </c>
      <c r="N357" s="51">
        <v>128329070</v>
      </c>
      <c r="O357" s="48">
        <f t="shared" si="104"/>
        <v>1.4984244223041201</v>
      </c>
      <c r="P357" s="48">
        <f t="shared" si="114"/>
        <v>1.4984244223041201</v>
      </c>
      <c r="Q357" s="49">
        <v>0.15</v>
      </c>
      <c r="R357" s="49">
        <f t="shared" si="105"/>
        <v>0.10537704427966489</v>
      </c>
      <c r="S357" s="49">
        <v>190800</v>
      </c>
      <c r="T357" s="49">
        <v>190700</v>
      </c>
      <c r="U357" s="49">
        <v>15956260</v>
      </c>
      <c r="V357" s="49">
        <f t="shared" si="106"/>
        <v>10.5566247484364</v>
      </c>
      <c r="W357" s="49">
        <f t="shared" si="115"/>
        <v>10.5566247484364</v>
      </c>
      <c r="X357" s="48">
        <v>0.1</v>
      </c>
      <c r="Y357" s="76">
        <f t="shared" si="107"/>
        <v>9.7251546895030905E-2</v>
      </c>
      <c r="Z357" s="18">
        <v>10495</v>
      </c>
      <c r="AA357" s="18">
        <v>10435</v>
      </c>
      <c r="AB357" s="18">
        <v>67900000</v>
      </c>
      <c r="AC357" s="135">
        <f t="shared" si="108"/>
        <v>41.840335563935099</v>
      </c>
      <c r="AD357" s="48">
        <f t="shared" si="116"/>
        <v>41.840335563935099</v>
      </c>
      <c r="AE357" s="49">
        <v>0.3</v>
      </c>
      <c r="AF357" s="49">
        <f t="shared" si="109"/>
        <v>0.35142413498790925</v>
      </c>
      <c r="AG357" s="19">
        <v>24400</v>
      </c>
      <c r="AH357" s="19">
        <v>24600</v>
      </c>
      <c r="AI357" s="19">
        <v>7339332</v>
      </c>
      <c r="AJ357" s="137">
        <f t="shared" si="110"/>
        <v>593.33615413425196</v>
      </c>
      <c r="AK357" s="49">
        <f t="shared" si="117"/>
        <v>593.33615413425196</v>
      </c>
      <c r="AL357" s="82">
        <f t="shared" si="118"/>
        <v>0</v>
      </c>
      <c r="AM357" s="82">
        <f t="shared" si="119"/>
        <v>276941106733271.06</v>
      </c>
      <c r="AN357" s="81">
        <f t="shared" si="111"/>
        <v>304832219803085.12</v>
      </c>
      <c r="AO357" s="80">
        <f t="shared" si="100"/>
        <v>1100.7113512284643</v>
      </c>
      <c r="AP357" s="52">
        <f t="shared" si="112"/>
        <v>2.7125052980246086E-4</v>
      </c>
      <c r="AQ357" s="48">
        <f>(F357-E357)/E357</f>
        <v>5.7142857142857143E-3</v>
      </c>
      <c r="AR357" s="48">
        <f>(M357-L357)/L357</f>
        <v>-2.8985507246376812E-2</v>
      </c>
      <c r="AS357" s="48">
        <f>(T357-S357)/S357</f>
        <v>-5.2410901467505244E-4</v>
      </c>
      <c r="AT357" s="48" t="e">
        <f>(#REF!-#REF!)/#REF!</f>
        <v>#REF!</v>
      </c>
    </row>
    <row r="358" spans="1:46" x14ac:dyDescent="0.3">
      <c r="A358" s="48">
        <v>20190617</v>
      </c>
      <c r="B358" s="48" t="s">
        <v>88</v>
      </c>
      <c r="C358" s="79">
        <v>0.3</v>
      </c>
      <c r="D358" s="79">
        <f t="shared" si="101"/>
        <v>0.32119427404019418</v>
      </c>
      <c r="E358" s="49">
        <v>44000</v>
      </c>
      <c r="F358" s="49">
        <v>43900</v>
      </c>
      <c r="G358" s="49">
        <v>5969782550</v>
      </c>
      <c r="H358" s="49">
        <f t="shared" si="102"/>
        <v>0.37038246998587299</v>
      </c>
      <c r="I358" s="49">
        <f t="shared" si="113"/>
        <v>0.37038246998587299</v>
      </c>
      <c r="J358" s="48">
        <v>0.15</v>
      </c>
      <c r="K358" s="48">
        <f t="shared" si="103"/>
        <v>0.13043918881512559</v>
      </c>
      <c r="L358" s="48">
        <v>201000</v>
      </c>
      <c r="M358" s="48">
        <v>205000</v>
      </c>
      <c r="N358" s="51">
        <v>128329070</v>
      </c>
      <c r="O358" s="48">
        <f t="shared" si="104"/>
        <v>1.4984244223041201</v>
      </c>
      <c r="P358" s="48">
        <f t="shared" si="114"/>
        <v>1.4984244223041201</v>
      </c>
      <c r="Q358" s="49">
        <v>0.15</v>
      </c>
      <c r="R358" s="49">
        <f t="shared" si="105"/>
        <v>0.10606920535841824</v>
      </c>
      <c r="S358" s="49">
        <v>190700</v>
      </c>
      <c r="T358" s="49">
        <v>190300</v>
      </c>
      <c r="U358" s="49">
        <v>15956260</v>
      </c>
      <c r="V358" s="49">
        <f t="shared" si="106"/>
        <v>10.5566247484364</v>
      </c>
      <c r="W358" s="49">
        <f t="shared" si="115"/>
        <v>10.5566247484364</v>
      </c>
      <c r="X358" s="48">
        <v>0.1</v>
      </c>
      <c r="Y358" s="76">
        <f t="shared" si="107"/>
        <v>9.7908082697136856E-2</v>
      </c>
      <c r="Z358" s="18">
        <v>10435</v>
      </c>
      <c r="AA358" s="18">
        <v>10415</v>
      </c>
      <c r="AB358" s="18">
        <v>67900000</v>
      </c>
      <c r="AC358" s="135">
        <f t="shared" si="108"/>
        <v>41.840335563935099</v>
      </c>
      <c r="AD358" s="48">
        <f t="shared" si="116"/>
        <v>41.840335563935099</v>
      </c>
      <c r="AE358" s="49">
        <v>0.3</v>
      </c>
      <c r="AF358" s="49">
        <f t="shared" si="109"/>
        <v>0.34438924908912516</v>
      </c>
      <c r="AG358" s="19">
        <v>24600</v>
      </c>
      <c r="AH358" s="19">
        <v>23900</v>
      </c>
      <c r="AI358" s="19">
        <v>7339332</v>
      </c>
      <c r="AJ358" s="137">
        <f t="shared" si="110"/>
        <v>593.33615413425196</v>
      </c>
      <c r="AK358" s="49">
        <f t="shared" si="117"/>
        <v>593.33615413425196</v>
      </c>
      <c r="AL358" s="82">
        <f t="shared" si="118"/>
        <v>0</v>
      </c>
      <c r="AM358" s="82">
        <f t="shared" si="119"/>
        <v>276941106733271.06</v>
      </c>
      <c r="AN358" s="81">
        <f t="shared" si="111"/>
        <v>302207794581453.31</v>
      </c>
      <c r="AO358" s="80">
        <f t="shared" si="100"/>
        <v>1091.2348771412878</v>
      </c>
      <c r="AP358" s="52">
        <f t="shared" si="112"/>
        <v>-8.609408885081573E-3</v>
      </c>
      <c r="AQ358" s="48">
        <f>(F358-E358)/E358</f>
        <v>-2.2727272727272726E-3</v>
      </c>
      <c r="AR358" s="48">
        <f>(M358-L358)/L358</f>
        <v>1.9900497512437811E-2</v>
      </c>
      <c r="AS358" s="48">
        <f>(T358-S358)/S358</f>
        <v>-2.097535395909806E-3</v>
      </c>
      <c r="AT358" s="48" t="e">
        <f>(#REF!-#REF!)/#REF!</f>
        <v>#REF!</v>
      </c>
    </row>
    <row r="359" spans="1:46" x14ac:dyDescent="0.3">
      <c r="A359" s="48">
        <v>20190618</v>
      </c>
      <c r="B359" s="48" t="s">
        <v>88</v>
      </c>
      <c r="C359" s="79">
        <v>0.3</v>
      </c>
      <c r="D359" s="79">
        <f t="shared" si="101"/>
        <v>0.32902080490933638</v>
      </c>
      <c r="E359" s="49">
        <v>43900</v>
      </c>
      <c r="F359" s="49">
        <v>44350</v>
      </c>
      <c r="G359" s="49">
        <v>5969782550</v>
      </c>
      <c r="H359" s="49">
        <f t="shared" si="102"/>
        <v>0.37038246998587299</v>
      </c>
      <c r="I359" s="49">
        <f t="shared" si="113"/>
        <v>0.37038246998587299</v>
      </c>
      <c r="J359" s="48">
        <v>0.15</v>
      </c>
      <c r="K359" s="48">
        <f t="shared" si="103"/>
        <v>0.134197376395536</v>
      </c>
      <c r="L359" s="48">
        <v>205000</v>
      </c>
      <c r="M359" s="48">
        <v>208000</v>
      </c>
      <c r="N359" s="51">
        <v>128329070</v>
      </c>
      <c r="O359" s="48">
        <f t="shared" si="104"/>
        <v>1.4984244223041201</v>
      </c>
      <c r="P359" s="48">
        <f t="shared" si="114"/>
        <v>1.4984244223041201</v>
      </c>
      <c r="Q359" s="49">
        <v>0.15</v>
      </c>
      <c r="R359" s="49">
        <f t="shared" si="105"/>
        <v>0.10472549176172861</v>
      </c>
      <c r="S359" s="49">
        <v>190300</v>
      </c>
      <c r="T359" s="49">
        <v>185300</v>
      </c>
      <c r="U359" s="49">
        <v>15956260</v>
      </c>
      <c r="V359" s="49">
        <f t="shared" si="106"/>
        <v>10.5566247484364</v>
      </c>
      <c r="W359" s="49">
        <f t="shared" si="115"/>
        <v>10.5566247484364</v>
      </c>
      <c r="X359" s="48">
        <v>0.1</v>
      </c>
      <c r="Y359" s="76">
        <f t="shared" si="107"/>
        <v>9.9657450126707958E-2</v>
      </c>
      <c r="Z359" s="18">
        <v>10415</v>
      </c>
      <c r="AA359" s="18">
        <v>10455</v>
      </c>
      <c r="AB359" s="18">
        <v>67900000</v>
      </c>
      <c r="AC359" s="135">
        <f t="shared" si="108"/>
        <v>41.840335563935099</v>
      </c>
      <c r="AD359" s="48">
        <f t="shared" si="116"/>
        <v>41.840335563935099</v>
      </c>
      <c r="AE359" s="49">
        <v>0.3</v>
      </c>
      <c r="AF359" s="49">
        <f t="shared" si="109"/>
        <v>0.33239887680669111</v>
      </c>
      <c r="AG359" s="19">
        <v>23900</v>
      </c>
      <c r="AH359" s="19">
        <v>22750</v>
      </c>
      <c r="AI359" s="19">
        <v>7339332</v>
      </c>
      <c r="AJ359" s="137">
        <f t="shared" si="110"/>
        <v>593.33615413425196</v>
      </c>
      <c r="AK359" s="49">
        <f t="shared" si="117"/>
        <v>593.33615413425196</v>
      </c>
      <c r="AL359" s="82">
        <f t="shared" si="118"/>
        <v>0</v>
      </c>
      <c r="AM359" s="82">
        <f t="shared" si="119"/>
        <v>276941106733271.06</v>
      </c>
      <c r="AN359" s="81">
        <f t="shared" si="111"/>
        <v>298043187511094.06</v>
      </c>
      <c r="AO359" s="80">
        <f t="shared" si="100"/>
        <v>1076.1969973570842</v>
      </c>
      <c r="AP359" s="52">
        <f t="shared" si="112"/>
        <v>-1.3780607730939087E-2</v>
      </c>
      <c r="AQ359" s="48">
        <f>(F359-E359)/E359</f>
        <v>1.0250569476082005E-2</v>
      </c>
      <c r="AR359" s="48">
        <f>(M359-L359)/L359</f>
        <v>1.4634146341463415E-2</v>
      </c>
      <c r="AS359" s="48">
        <f>(T359-S359)/S359</f>
        <v>-2.6274303730951128E-2</v>
      </c>
      <c r="AT359" s="48" t="e">
        <f>(#REF!-#REF!)/#REF!</f>
        <v>#REF!</v>
      </c>
    </row>
    <row r="360" spans="1:46" x14ac:dyDescent="0.3">
      <c r="A360" s="48">
        <v>20190619</v>
      </c>
      <c r="B360" s="48" t="s">
        <v>88</v>
      </c>
      <c r="C360" s="79">
        <v>0.3</v>
      </c>
      <c r="D360" s="79">
        <f t="shared" si="101"/>
        <v>0.3303588147728585</v>
      </c>
      <c r="E360" s="49">
        <v>44350</v>
      </c>
      <c r="F360" s="49">
        <v>45350</v>
      </c>
      <c r="G360" s="49">
        <v>5969782550</v>
      </c>
      <c r="H360" s="49">
        <f t="shared" si="102"/>
        <v>0.37038246998587299</v>
      </c>
      <c r="I360" s="49">
        <f t="shared" si="113"/>
        <v>0.37038246998587299</v>
      </c>
      <c r="J360" s="48">
        <v>0.15</v>
      </c>
      <c r="K360" s="48">
        <f t="shared" si="103"/>
        <v>0.13398924305868665</v>
      </c>
      <c r="L360" s="48">
        <v>208000</v>
      </c>
      <c r="M360" s="48">
        <v>211500</v>
      </c>
      <c r="N360" s="51">
        <v>128329070</v>
      </c>
      <c r="O360" s="48">
        <f t="shared" si="104"/>
        <v>1.4984244223041201</v>
      </c>
      <c r="P360" s="48">
        <f t="shared" si="114"/>
        <v>1.4984244223041201</v>
      </c>
      <c r="Q360" s="49">
        <v>0.15</v>
      </c>
      <c r="R360" s="49">
        <f t="shared" si="105"/>
        <v>0.10627341561357401</v>
      </c>
      <c r="S360" s="49">
        <v>185300</v>
      </c>
      <c r="T360" s="49">
        <v>191500</v>
      </c>
      <c r="U360" s="49">
        <v>15956260</v>
      </c>
      <c r="V360" s="49">
        <f t="shared" si="106"/>
        <v>10.5566247484364</v>
      </c>
      <c r="W360" s="49">
        <f t="shared" si="115"/>
        <v>10.5566247484364</v>
      </c>
      <c r="X360" s="48">
        <v>0.1</v>
      </c>
      <c r="Y360" s="76">
        <f t="shared" si="107"/>
        <v>9.9400626614275178E-2</v>
      </c>
      <c r="Z360" s="18">
        <v>10455</v>
      </c>
      <c r="AA360" s="18">
        <v>10620</v>
      </c>
      <c r="AB360" s="18">
        <v>67900000</v>
      </c>
      <c r="AC360" s="135">
        <f t="shared" si="108"/>
        <v>41.840335563935099</v>
      </c>
      <c r="AD360" s="48">
        <f t="shared" si="116"/>
        <v>41.840335563935099</v>
      </c>
      <c r="AE360" s="49">
        <v>0.3</v>
      </c>
      <c r="AF360" s="49">
        <f t="shared" si="109"/>
        <v>0.32997789994060561</v>
      </c>
      <c r="AG360" s="19">
        <v>22750</v>
      </c>
      <c r="AH360" s="19">
        <v>23000</v>
      </c>
      <c r="AI360" s="19">
        <v>7339332</v>
      </c>
      <c r="AJ360" s="137">
        <f t="shared" si="110"/>
        <v>593.33615413425196</v>
      </c>
      <c r="AK360" s="49">
        <f t="shared" si="117"/>
        <v>593.33615413425196</v>
      </c>
      <c r="AL360" s="82">
        <f t="shared" si="118"/>
        <v>0</v>
      </c>
      <c r="AM360" s="82">
        <f t="shared" si="119"/>
        <v>276941106733271.06</v>
      </c>
      <c r="AN360" s="81">
        <f t="shared" si="111"/>
        <v>303529095561551.94</v>
      </c>
      <c r="AO360" s="80">
        <f t="shared" si="100"/>
        <v>1096.0059311595387</v>
      </c>
      <c r="AP360" s="52">
        <f t="shared" si="112"/>
        <v>1.8406419875823008E-2</v>
      </c>
      <c r="AQ360" s="48">
        <f>(F360-E360)/E360</f>
        <v>2.2547914317925591E-2</v>
      </c>
      <c r="AR360" s="48">
        <f>(M360-L360)/L360</f>
        <v>1.6826923076923076E-2</v>
      </c>
      <c r="AS360" s="48">
        <f>(T360-S360)/S360</f>
        <v>3.3459255261737722E-2</v>
      </c>
      <c r="AT360" s="48" t="e">
        <f>(#REF!-#REF!)/#REF!</f>
        <v>#REF!</v>
      </c>
    </row>
    <row r="361" spans="1:46" x14ac:dyDescent="0.3">
      <c r="A361" s="48">
        <v>20190620</v>
      </c>
      <c r="B361" s="48" t="s">
        <v>88</v>
      </c>
      <c r="C361" s="79">
        <v>0.3</v>
      </c>
      <c r="D361" s="79">
        <f t="shared" si="101"/>
        <v>0.3258574056230194</v>
      </c>
      <c r="E361" s="49">
        <v>45350</v>
      </c>
      <c r="F361" s="49">
        <v>45500</v>
      </c>
      <c r="G361" s="49">
        <v>5969782550</v>
      </c>
      <c r="H361" s="49">
        <f t="shared" si="102"/>
        <v>0.37038246998587299</v>
      </c>
      <c r="I361" s="49">
        <f t="shared" si="113"/>
        <v>0.37038246998587299</v>
      </c>
      <c r="J361" s="48">
        <v>0.15</v>
      </c>
      <c r="K361" s="48">
        <f t="shared" si="103"/>
        <v>0.13328489254914075</v>
      </c>
      <c r="L361" s="48">
        <v>211500</v>
      </c>
      <c r="M361" s="48">
        <v>214000</v>
      </c>
      <c r="N361" s="51">
        <v>128329070</v>
      </c>
      <c r="O361" s="48">
        <f t="shared" si="104"/>
        <v>1.4984244223041201</v>
      </c>
      <c r="P361" s="48">
        <f t="shared" si="114"/>
        <v>1.4984244223041201</v>
      </c>
      <c r="Q361" s="49">
        <v>0.15</v>
      </c>
      <c r="R361" s="49">
        <f t="shared" si="105"/>
        <v>0.1065530032021027</v>
      </c>
      <c r="S361" s="49">
        <v>191500</v>
      </c>
      <c r="T361" s="49">
        <v>195300</v>
      </c>
      <c r="U361" s="49">
        <v>15956260</v>
      </c>
      <c r="V361" s="49">
        <f t="shared" si="106"/>
        <v>10.5566247484364</v>
      </c>
      <c r="W361" s="49">
        <f t="shared" si="115"/>
        <v>10.5566247484364</v>
      </c>
      <c r="X361" s="48">
        <v>0.1</v>
      </c>
      <c r="Y361" s="76">
        <f t="shared" si="107"/>
        <v>9.7907018226419978E-2</v>
      </c>
      <c r="Z361" s="18">
        <v>10620</v>
      </c>
      <c r="AA361" s="18">
        <v>10640</v>
      </c>
      <c r="AB361" s="18">
        <v>67900000</v>
      </c>
      <c r="AC361" s="135">
        <f t="shared" si="108"/>
        <v>41.840335563935099</v>
      </c>
      <c r="AD361" s="48">
        <f t="shared" si="116"/>
        <v>41.840335563935099</v>
      </c>
      <c r="AE361" s="49">
        <v>0.3</v>
      </c>
      <c r="AF361" s="49">
        <f t="shared" si="109"/>
        <v>0.33639768039931717</v>
      </c>
      <c r="AG361" s="19">
        <v>23000</v>
      </c>
      <c r="AH361" s="19">
        <v>23850</v>
      </c>
      <c r="AI361" s="19">
        <v>7339332</v>
      </c>
      <c r="AJ361" s="137">
        <f t="shared" si="110"/>
        <v>593.33615413425196</v>
      </c>
      <c r="AK361" s="49">
        <f t="shared" si="117"/>
        <v>593.33615413425196</v>
      </c>
      <c r="AL361" s="82">
        <f t="shared" si="118"/>
        <v>0</v>
      </c>
      <c r="AM361" s="82">
        <f t="shared" si="119"/>
        <v>276941106733271.06</v>
      </c>
      <c r="AN361" s="81">
        <f t="shared" si="111"/>
        <v>308739884205986.31</v>
      </c>
      <c r="AO361" s="80">
        <f t="shared" si="100"/>
        <v>1114.8214428973936</v>
      </c>
      <c r="AP361" s="52">
        <f t="shared" si="112"/>
        <v>1.7167344813498114E-2</v>
      </c>
      <c r="AQ361" s="48">
        <f>(F361-E361)/E361</f>
        <v>3.3076074972436605E-3</v>
      </c>
      <c r="AR361" s="48">
        <f>(M361-L361)/L361</f>
        <v>1.1820330969267139E-2</v>
      </c>
      <c r="AS361" s="48">
        <f>(T361-S361)/S361</f>
        <v>1.9843342036553524E-2</v>
      </c>
      <c r="AT361" s="48" t="e">
        <f>(#REF!-#REF!)/#REF!</f>
        <v>#REF!</v>
      </c>
    </row>
    <row r="362" spans="1:46" x14ac:dyDescent="0.3">
      <c r="A362" s="48">
        <v>20190621</v>
      </c>
      <c r="B362" s="48" t="s">
        <v>88</v>
      </c>
      <c r="C362" s="79">
        <v>0.3</v>
      </c>
      <c r="D362" s="79">
        <f t="shared" si="101"/>
        <v>0.32911662326229935</v>
      </c>
      <c r="E362" s="49">
        <v>45500</v>
      </c>
      <c r="F362" s="49">
        <v>45700</v>
      </c>
      <c r="G362" s="49">
        <v>5969782550</v>
      </c>
      <c r="H362" s="49">
        <f t="shared" si="102"/>
        <v>0.37038246998587299</v>
      </c>
      <c r="I362" s="49">
        <f t="shared" si="113"/>
        <v>0.37038246998587299</v>
      </c>
      <c r="J362" s="48">
        <v>0.15</v>
      </c>
      <c r="K362" s="48">
        <f t="shared" si="103"/>
        <v>0.1330894121679414</v>
      </c>
      <c r="L362" s="48">
        <v>214000</v>
      </c>
      <c r="M362" s="48">
        <v>212500</v>
      </c>
      <c r="N362" s="51">
        <v>128329070</v>
      </c>
      <c r="O362" s="48">
        <f t="shared" si="104"/>
        <v>1.4984244223041201</v>
      </c>
      <c r="P362" s="48">
        <f t="shared" si="114"/>
        <v>1.4984244223041201</v>
      </c>
      <c r="Q362" s="49">
        <v>0.15</v>
      </c>
      <c r="R362" s="49">
        <f t="shared" si="105"/>
        <v>0.10522755366323254</v>
      </c>
      <c r="S362" s="49">
        <v>195300</v>
      </c>
      <c r="T362" s="49">
        <v>191800</v>
      </c>
      <c r="U362" s="49">
        <v>15956260</v>
      </c>
      <c r="V362" s="49">
        <f t="shared" si="106"/>
        <v>10.5566247484364</v>
      </c>
      <c r="W362" s="49">
        <f t="shared" si="115"/>
        <v>10.5566247484364</v>
      </c>
      <c r="X362" s="48">
        <v>0.1</v>
      </c>
      <c r="Y362" s="76">
        <f t="shared" si="107"/>
        <v>9.8546050561192908E-2</v>
      </c>
      <c r="Z362" s="18">
        <v>10640</v>
      </c>
      <c r="AA362" s="18">
        <v>10650</v>
      </c>
      <c r="AB362" s="18">
        <v>67900000</v>
      </c>
      <c r="AC362" s="135">
        <f t="shared" si="108"/>
        <v>41.840335563935099</v>
      </c>
      <c r="AD362" s="48">
        <f t="shared" si="116"/>
        <v>41.840335563935099</v>
      </c>
      <c r="AE362" s="49">
        <v>0.3</v>
      </c>
      <c r="AF362" s="49">
        <f t="shared" si="109"/>
        <v>0.33402036034533372</v>
      </c>
      <c r="AG362" s="19">
        <v>23850</v>
      </c>
      <c r="AH362" s="19">
        <v>23550</v>
      </c>
      <c r="AI362" s="19">
        <v>7339332</v>
      </c>
      <c r="AJ362" s="137">
        <f t="shared" si="110"/>
        <v>593.33615413425196</v>
      </c>
      <c r="AK362" s="49">
        <f t="shared" si="117"/>
        <v>593.33615413425196</v>
      </c>
      <c r="AL362" s="82">
        <f t="shared" si="118"/>
        <v>0</v>
      </c>
      <c r="AM362" s="82">
        <f t="shared" si="119"/>
        <v>276941106733271.06</v>
      </c>
      <c r="AN362" s="81">
        <f t="shared" si="111"/>
        <v>307026115057126.37</v>
      </c>
      <c r="AO362" s="80">
        <f t="shared" si="100"/>
        <v>1108.6332349817283</v>
      </c>
      <c r="AP362" s="52">
        <f t="shared" si="112"/>
        <v>-5.550851174500479E-3</v>
      </c>
      <c r="AQ362" s="48">
        <f>(F362-E362)/E362</f>
        <v>4.3956043956043956E-3</v>
      </c>
      <c r="AR362" s="48">
        <f>(M362-L362)/L362</f>
        <v>-7.0093457943925233E-3</v>
      </c>
      <c r="AS362" s="48">
        <f>(T362-S362)/S362</f>
        <v>-1.7921146953405017E-2</v>
      </c>
      <c r="AT362" s="48" t="e">
        <f>(#REF!-#REF!)/#REF!</f>
        <v>#REF!</v>
      </c>
    </row>
    <row r="363" spans="1:46" x14ac:dyDescent="0.3">
      <c r="A363" s="48">
        <v>20190624</v>
      </c>
      <c r="B363" s="48" t="s">
        <v>88</v>
      </c>
      <c r="C363" s="79">
        <v>0.3</v>
      </c>
      <c r="D363" s="79">
        <f t="shared" si="101"/>
        <v>0.33166041401167839</v>
      </c>
      <c r="E363" s="49">
        <v>45700</v>
      </c>
      <c r="F363" s="49">
        <v>45500</v>
      </c>
      <c r="G363" s="49">
        <v>5969782550</v>
      </c>
      <c r="H363" s="49">
        <f t="shared" si="102"/>
        <v>0.37038246998587299</v>
      </c>
      <c r="I363" s="49">
        <f t="shared" si="113"/>
        <v>0.37038246998587299</v>
      </c>
      <c r="J363" s="48">
        <v>0.15</v>
      </c>
      <c r="K363" s="48">
        <f t="shared" si="103"/>
        <v>0.1321719371596265</v>
      </c>
      <c r="L363" s="48">
        <v>212500</v>
      </c>
      <c r="M363" s="48">
        <v>208500</v>
      </c>
      <c r="N363" s="51">
        <v>128329070</v>
      </c>
      <c r="O363" s="48">
        <f t="shared" si="104"/>
        <v>1.4984244223041201</v>
      </c>
      <c r="P363" s="48">
        <f t="shared" si="114"/>
        <v>1.4984244223041201</v>
      </c>
      <c r="Q363" s="49">
        <v>0.15</v>
      </c>
      <c r="R363" s="49">
        <f t="shared" si="105"/>
        <v>0.1076731215070804</v>
      </c>
      <c r="S363" s="49">
        <v>191800</v>
      </c>
      <c r="T363" s="49">
        <v>193900</v>
      </c>
      <c r="U363" s="49">
        <v>15956260</v>
      </c>
      <c r="V363" s="49">
        <f t="shared" si="106"/>
        <v>10.5566247484364</v>
      </c>
      <c r="W363" s="49">
        <f t="shared" si="115"/>
        <v>10.5566247484364</v>
      </c>
      <c r="X363" s="48">
        <v>0.1</v>
      </c>
      <c r="Y363" s="76">
        <f t="shared" si="107"/>
        <v>9.974424495204777E-2</v>
      </c>
      <c r="Z363" s="18">
        <v>10650</v>
      </c>
      <c r="AA363" s="18">
        <v>10650</v>
      </c>
      <c r="AB363" s="18">
        <v>67900000</v>
      </c>
      <c r="AC363" s="135">
        <f t="shared" si="108"/>
        <v>41.840335563935099</v>
      </c>
      <c r="AD363" s="48">
        <f t="shared" si="116"/>
        <v>41.840335563935099</v>
      </c>
      <c r="AE363" s="49">
        <v>0.3</v>
      </c>
      <c r="AF363" s="49">
        <f t="shared" si="109"/>
        <v>0.32875028236956683</v>
      </c>
      <c r="AG363" s="19">
        <v>23550</v>
      </c>
      <c r="AH363" s="19">
        <v>22900</v>
      </c>
      <c r="AI363" s="19">
        <v>7339332</v>
      </c>
      <c r="AJ363" s="137">
        <f t="shared" si="110"/>
        <v>593.33615413425196</v>
      </c>
      <c r="AK363" s="49">
        <f t="shared" si="117"/>
        <v>593.33615413425196</v>
      </c>
      <c r="AL363" s="82">
        <f t="shared" si="118"/>
        <v>0</v>
      </c>
      <c r="AM363" s="82">
        <f t="shared" si="119"/>
        <v>276941106733271.06</v>
      </c>
      <c r="AN363" s="81">
        <f t="shared" si="111"/>
        <v>303337912604100</v>
      </c>
      <c r="AO363" s="80">
        <f t="shared" si="100"/>
        <v>1095.3155932039094</v>
      </c>
      <c r="AP363" s="52">
        <f t="shared" si="112"/>
        <v>-1.2012666910566079E-2</v>
      </c>
      <c r="AQ363" s="48">
        <f>(F363-E363)/E363</f>
        <v>-4.3763676148796497E-3</v>
      </c>
      <c r="AR363" s="48">
        <f>(M363-L363)/L363</f>
        <v>-1.8823529411764704E-2</v>
      </c>
      <c r="AS363" s="48">
        <f>(T363-S363)/S363</f>
        <v>1.0948905109489052E-2</v>
      </c>
      <c r="AT363" s="48" t="e">
        <f>(#REF!-#REF!)/#REF!</f>
        <v>#REF!</v>
      </c>
    </row>
    <row r="364" spans="1:46" x14ac:dyDescent="0.3">
      <c r="A364" s="48">
        <v>20190625</v>
      </c>
      <c r="B364" s="48" t="s">
        <v>88</v>
      </c>
      <c r="C364" s="79">
        <v>0.3</v>
      </c>
      <c r="D364" s="79">
        <f t="shared" si="101"/>
        <v>0.3311000413997629</v>
      </c>
      <c r="E364" s="49">
        <v>45500</v>
      </c>
      <c r="F364" s="49">
        <v>45600</v>
      </c>
      <c r="G364" s="49">
        <v>5969782550</v>
      </c>
      <c r="H364" s="49">
        <f t="shared" si="102"/>
        <v>0.37038246998587299</v>
      </c>
      <c r="I364" s="49">
        <f t="shared" si="113"/>
        <v>0.37038246998587299</v>
      </c>
      <c r="J364" s="48">
        <v>0.15</v>
      </c>
      <c r="K364" s="48">
        <f t="shared" si="103"/>
        <v>0.13134352913717412</v>
      </c>
      <c r="L364" s="48">
        <v>208500</v>
      </c>
      <c r="M364" s="48">
        <v>208000</v>
      </c>
      <c r="N364" s="51">
        <v>128329070</v>
      </c>
      <c r="O364" s="48">
        <f t="shared" si="104"/>
        <v>1.4984244223041201</v>
      </c>
      <c r="P364" s="48">
        <f t="shared" si="114"/>
        <v>1.4984244223041201</v>
      </c>
      <c r="Q364" s="49">
        <v>0.15</v>
      </c>
      <c r="R364" s="49">
        <f t="shared" si="105"/>
        <v>0.10786393417699756</v>
      </c>
      <c r="S364" s="49">
        <v>193900</v>
      </c>
      <c r="T364" s="49">
        <v>195000</v>
      </c>
      <c r="U364" s="49">
        <v>15956260</v>
      </c>
      <c r="V364" s="49">
        <f t="shared" si="106"/>
        <v>10.5566247484364</v>
      </c>
      <c r="W364" s="49">
        <f t="shared" si="115"/>
        <v>10.5566247484364</v>
      </c>
      <c r="X364" s="48">
        <v>0.1</v>
      </c>
      <c r="Y364" s="76">
        <f t="shared" si="107"/>
        <v>9.9357349522319602E-2</v>
      </c>
      <c r="Z364" s="18">
        <v>10650</v>
      </c>
      <c r="AA364" s="18">
        <v>10650</v>
      </c>
      <c r="AB364" s="18">
        <v>67900000</v>
      </c>
      <c r="AC364" s="135">
        <f t="shared" si="108"/>
        <v>41.840335563935099</v>
      </c>
      <c r="AD364" s="48">
        <f t="shared" si="116"/>
        <v>41.840335563935099</v>
      </c>
      <c r="AE364" s="49">
        <v>0.3</v>
      </c>
      <c r="AF364" s="49">
        <f t="shared" si="109"/>
        <v>0.33033514576374573</v>
      </c>
      <c r="AG364" s="19">
        <v>22900</v>
      </c>
      <c r="AH364" s="19">
        <v>23100</v>
      </c>
      <c r="AI364" s="19">
        <v>7339332</v>
      </c>
      <c r="AJ364" s="137">
        <f t="shared" si="110"/>
        <v>593.33615413425196</v>
      </c>
      <c r="AK364" s="49">
        <f t="shared" si="117"/>
        <v>593.33615413425196</v>
      </c>
      <c r="AL364" s="82">
        <f t="shared" si="118"/>
        <v>0</v>
      </c>
      <c r="AM364" s="82">
        <f t="shared" si="119"/>
        <v>276941106733271.06</v>
      </c>
      <c r="AN364" s="81">
        <f t="shared" si="111"/>
        <v>304519104057113.19</v>
      </c>
      <c r="AO364" s="80">
        <f t="shared" si="100"/>
        <v>1099.5807290912692</v>
      </c>
      <c r="AP364" s="52">
        <f t="shared" si="112"/>
        <v>3.8939789717443822E-3</v>
      </c>
      <c r="AQ364" s="48">
        <f>(F364-E364)/E364</f>
        <v>2.1978021978021978E-3</v>
      </c>
      <c r="AR364" s="48">
        <f>(M364-L364)/L364</f>
        <v>-2.3980815347721821E-3</v>
      </c>
      <c r="AS364" s="48">
        <f>(T364-S364)/S364</f>
        <v>5.6730273336771534E-3</v>
      </c>
      <c r="AT364" s="48" t="e">
        <f>(#REF!-#REF!)/#REF!</f>
        <v>#REF!</v>
      </c>
    </row>
    <row r="365" spans="1:46" x14ac:dyDescent="0.3">
      <c r="A365" s="48">
        <v>20190626</v>
      </c>
      <c r="B365" s="48" t="s">
        <v>88</v>
      </c>
      <c r="C365" s="79">
        <v>0.3</v>
      </c>
      <c r="D365" s="79">
        <f t="shared" si="101"/>
        <v>0.32858696632302936</v>
      </c>
      <c r="E365" s="49">
        <v>45600</v>
      </c>
      <c r="F365" s="49">
        <v>45700</v>
      </c>
      <c r="G365" s="49">
        <v>5969782550</v>
      </c>
      <c r="H365" s="49">
        <f t="shared" si="102"/>
        <v>0.37038246998587299</v>
      </c>
      <c r="I365" s="49">
        <f t="shared" si="113"/>
        <v>0.37038246998587299</v>
      </c>
      <c r="J365" s="48">
        <v>0.15</v>
      </c>
      <c r="K365" s="48">
        <f t="shared" si="103"/>
        <v>0.1316246371354764</v>
      </c>
      <c r="L365" s="48">
        <v>208000</v>
      </c>
      <c r="M365" s="48">
        <v>210500</v>
      </c>
      <c r="N365" s="51">
        <v>128329070</v>
      </c>
      <c r="O365" s="48">
        <f t="shared" si="104"/>
        <v>1.4984244223041201</v>
      </c>
      <c r="P365" s="48">
        <f t="shared" si="114"/>
        <v>1.4984244223041201</v>
      </c>
      <c r="Q365" s="49">
        <v>0.15</v>
      </c>
      <c r="R365" s="49">
        <f t="shared" si="105"/>
        <v>0.11141209326353978</v>
      </c>
      <c r="S365" s="49">
        <v>195000</v>
      </c>
      <c r="T365" s="49">
        <v>203400</v>
      </c>
      <c r="U365" s="49">
        <v>15956260</v>
      </c>
      <c r="V365" s="49">
        <f t="shared" si="106"/>
        <v>10.5566247484364</v>
      </c>
      <c r="W365" s="49">
        <f t="shared" si="115"/>
        <v>10.5566247484364</v>
      </c>
      <c r="X365" s="48">
        <v>0.1</v>
      </c>
      <c r="Y365" s="76">
        <f t="shared" si="107"/>
        <v>9.8433648834895096E-2</v>
      </c>
      <c r="Z365" s="18">
        <v>10650</v>
      </c>
      <c r="AA365" s="18">
        <v>10655</v>
      </c>
      <c r="AB365" s="18">
        <v>67900000</v>
      </c>
      <c r="AC365" s="135">
        <f t="shared" si="108"/>
        <v>41.840335563935099</v>
      </c>
      <c r="AD365" s="48">
        <f t="shared" si="116"/>
        <v>41.840335563935099</v>
      </c>
      <c r="AE365" s="49">
        <v>0.3</v>
      </c>
      <c r="AF365" s="49">
        <f t="shared" si="109"/>
        <v>0.32994265444305931</v>
      </c>
      <c r="AG365" s="19">
        <v>23100</v>
      </c>
      <c r="AH365" s="19">
        <v>23300</v>
      </c>
      <c r="AI365" s="19">
        <v>7339332</v>
      </c>
      <c r="AJ365" s="137">
        <f t="shared" si="110"/>
        <v>593.33615413425196</v>
      </c>
      <c r="AK365" s="49">
        <f t="shared" si="117"/>
        <v>593.33615413425196</v>
      </c>
      <c r="AL365" s="82">
        <f t="shared" si="118"/>
        <v>0</v>
      </c>
      <c r="AM365" s="82">
        <f t="shared" si="119"/>
        <v>276941106733271.06</v>
      </c>
      <c r="AN365" s="81">
        <f t="shared" si="111"/>
        <v>307521017561011</v>
      </c>
      <c r="AO365" s="80">
        <f t="shared" si="100"/>
        <v>1110.4202665629996</v>
      </c>
      <c r="AP365" s="52">
        <f t="shared" si="112"/>
        <v>9.857882359113888E-3</v>
      </c>
      <c r="AQ365" s="48">
        <f>(F365-E365)/E365</f>
        <v>2.1929824561403508E-3</v>
      </c>
      <c r="AR365" s="48">
        <f>(M365-L365)/L365</f>
        <v>1.201923076923077E-2</v>
      </c>
      <c r="AS365" s="48">
        <f>(T365-S365)/S365</f>
        <v>4.3076923076923075E-2</v>
      </c>
      <c r="AT365" s="48" t="e">
        <f>(#REF!-#REF!)/#REF!</f>
        <v>#REF!</v>
      </c>
    </row>
    <row r="366" spans="1:46" x14ac:dyDescent="0.3">
      <c r="A366" s="48">
        <v>20190627</v>
      </c>
      <c r="B366" s="48" t="s">
        <v>88</v>
      </c>
      <c r="C366" s="79">
        <v>0.3</v>
      </c>
      <c r="D366" s="79">
        <f t="shared" si="101"/>
        <v>0.33767223547457964</v>
      </c>
      <c r="E366" s="49">
        <v>45700</v>
      </c>
      <c r="F366" s="49">
        <v>46500</v>
      </c>
      <c r="G366" s="49">
        <v>5969782550</v>
      </c>
      <c r="H366" s="49">
        <f t="shared" si="102"/>
        <v>0.37038246998587299</v>
      </c>
      <c r="I366" s="49">
        <f t="shared" si="113"/>
        <v>0.37038246998587299</v>
      </c>
      <c r="J366" s="48">
        <v>0.15</v>
      </c>
      <c r="K366" s="48">
        <f t="shared" si="103"/>
        <v>0.12883193256613348</v>
      </c>
      <c r="L366" s="48">
        <v>210500</v>
      </c>
      <c r="M366" s="48">
        <v>204000</v>
      </c>
      <c r="N366" s="51">
        <v>128329070</v>
      </c>
      <c r="O366" s="48">
        <f t="shared" si="104"/>
        <v>1.4984244223041201</v>
      </c>
      <c r="P366" s="48">
        <f t="shared" si="114"/>
        <v>1.4984244223041201</v>
      </c>
      <c r="Q366" s="49">
        <v>0.15</v>
      </c>
      <c r="R366" s="49">
        <f t="shared" si="105"/>
        <v>0.10688008115679277</v>
      </c>
      <c r="S366" s="49">
        <v>203400</v>
      </c>
      <c r="T366" s="49">
        <v>193200</v>
      </c>
      <c r="U366" s="49">
        <v>15956260</v>
      </c>
      <c r="V366" s="49">
        <f t="shared" si="106"/>
        <v>10.5566247484364</v>
      </c>
      <c r="W366" s="49">
        <f t="shared" si="115"/>
        <v>10.5566247484364</v>
      </c>
      <c r="X366" s="48">
        <v>0.1</v>
      </c>
      <c r="Y366" s="76">
        <f t="shared" si="107"/>
        <v>0.10053462826195843</v>
      </c>
      <c r="Z366" s="18">
        <v>10655</v>
      </c>
      <c r="AA366" s="18">
        <v>10775</v>
      </c>
      <c r="AB366" s="18">
        <v>67900000</v>
      </c>
      <c r="AC366" s="135">
        <f t="shared" si="108"/>
        <v>41.840335563935099</v>
      </c>
      <c r="AD366" s="48">
        <f t="shared" si="116"/>
        <v>41.840335563935099</v>
      </c>
      <c r="AE366" s="49">
        <v>0.3</v>
      </c>
      <c r="AF366" s="49">
        <f t="shared" si="109"/>
        <v>0.32608112254053551</v>
      </c>
      <c r="AG366" s="19">
        <v>23300</v>
      </c>
      <c r="AH366" s="19">
        <v>22800</v>
      </c>
      <c r="AI366" s="19">
        <v>7339332</v>
      </c>
      <c r="AJ366" s="137">
        <f t="shared" si="110"/>
        <v>593.33615413425196</v>
      </c>
      <c r="AK366" s="49">
        <f t="shared" si="117"/>
        <v>593.33615413425196</v>
      </c>
      <c r="AL366" s="82">
        <f t="shared" si="118"/>
        <v>0</v>
      </c>
      <c r="AM366" s="82">
        <f t="shared" si="119"/>
        <v>276941106733271.06</v>
      </c>
      <c r="AN366" s="81">
        <f t="shared" si="111"/>
        <v>304485443825013</v>
      </c>
      <c r="AO366" s="80">
        <f t="shared" si="100"/>
        <v>1099.4591861665035</v>
      </c>
      <c r="AP366" s="52">
        <f t="shared" si="112"/>
        <v>-9.8711098190085098E-3</v>
      </c>
      <c r="AQ366" s="48">
        <f>(F366-E366)/E366</f>
        <v>1.7505470459518599E-2</v>
      </c>
      <c r="AR366" s="48">
        <f>(M366-L366)/L366</f>
        <v>-3.0878859857482184E-2</v>
      </c>
      <c r="AS366" s="48">
        <f>(T366-S366)/S366</f>
        <v>-5.0147492625368731E-2</v>
      </c>
      <c r="AT366" s="48" t="e">
        <f>(#REF!-#REF!)/#REF!</f>
        <v>#REF!</v>
      </c>
    </row>
    <row r="367" spans="1:46" s="73" customFormat="1" x14ac:dyDescent="0.3">
      <c r="A367" s="48">
        <v>20190628</v>
      </c>
      <c r="B367" s="48" t="s">
        <v>88</v>
      </c>
      <c r="C367" s="79">
        <v>0.3</v>
      </c>
      <c r="D367" s="79">
        <f t="shared" si="101"/>
        <v>0.34394980840577755</v>
      </c>
      <c r="E367" s="49">
        <v>46500</v>
      </c>
      <c r="F367" s="49">
        <v>47000</v>
      </c>
      <c r="G367" s="49">
        <v>5969782550</v>
      </c>
      <c r="H367" s="49">
        <f t="shared" si="102"/>
        <v>0.37038246998587299</v>
      </c>
      <c r="I367" s="49">
        <f t="shared" si="113"/>
        <v>0.37429063729510498</v>
      </c>
      <c r="J367" s="48">
        <v>0.15</v>
      </c>
      <c r="K367" s="48">
        <f t="shared" si="103"/>
        <v>0.13078561959263163</v>
      </c>
      <c r="L367" s="48">
        <v>204000</v>
      </c>
      <c r="M367" s="48">
        <v>205500</v>
      </c>
      <c r="N367" s="51">
        <v>128329070</v>
      </c>
      <c r="O367" s="48">
        <f t="shared" si="104"/>
        <v>1.4984244223041201</v>
      </c>
      <c r="P367" s="48">
        <f t="shared" si="114"/>
        <v>1.5142353578023</v>
      </c>
      <c r="Q367" s="49">
        <v>0.15</v>
      </c>
      <c r="R367" s="49">
        <f t="shared" si="105"/>
        <v>9.5779116365470762E-2</v>
      </c>
      <c r="S367" s="49">
        <v>189600</v>
      </c>
      <c r="T367" s="49">
        <v>168600</v>
      </c>
      <c r="U367" s="49">
        <v>15956260</v>
      </c>
      <c r="V367" s="49">
        <f t="shared" si="106"/>
        <v>10.5566247484364</v>
      </c>
      <c r="W367" s="49">
        <f t="shared" si="115"/>
        <v>10.870572409790899</v>
      </c>
      <c r="X367" s="48">
        <v>0.1</v>
      </c>
      <c r="Y367" s="76">
        <f t="shared" si="107"/>
        <v>0.10159632124636592</v>
      </c>
      <c r="Z367" s="18">
        <v>10775</v>
      </c>
      <c r="AA367" s="18">
        <v>10805</v>
      </c>
      <c r="AB367" s="18">
        <v>67900000</v>
      </c>
      <c r="AC367" s="135">
        <f t="shared" si="108"/>
        <v>41.840335563935099</v>
      </c>
      <c r="AD367" s="48">
        <f t="shared" si="116"/>
        <v>42.281822526491702</v>
      </c>
      <c r="AE367" s="49">
        <v>0.3</v>
      </c>
      <c r="AF367" s="49">
        <f t="shared" si="109"/>
        <v>0.32788913438975426</v>
      </c>
      <c r="AG367" s="19">
        <v>22800</v>
      </c>
      <c r="AH367" s="19">
        <v>22750</v>
      </c>
      <c r="AI367" s="19">
        <v>7339332</v>
      </c>
      <c r="AJ367" s="137">
        <f t="shared" si="110"/>
        <v>593.33615413425196</v>
      </c>
      <c r="AK367" s="49">
        <f t="shared" si="117"/>
        <v>599.59686339800703</v>
      </c>
      <c r="AL367" s="82">
        <f t="shared" si="118"/>
        <v>1</v>
      </c>
      <c r="AM367" s="82">
        <f t="shared" si="119"/>
        <v>279863308153761.59</v>
      </c>
      <c r="AN367" s="81">
        <f t="shared" si="111"/>
        <v>305330551277064.44</v>
      </c>
      <c r="AO367" s="80">
        <f t="shared" si="100"/>
        <v>1090.9988640215413</v>
      </c>
      <c r="AP367" s="52">
        <f t="shared" si="112"/>
        <v>-7.6949851812698191E-3</v>
      </c>
      <c r="AQ367" s="48">
        <f>(F367-E367)/E367</f>
        <v>1.0752688172043012E-2</v>
      </c>
      <c r="AR367" s="48">
        <f>(M367-L367)/L367</f>
        <v>7.3529411764705881E-3</v>
      </c>
      <c r="AS367" s="48">
        <f>(T367-S367)/S367</f>
        <v>-0.11075949367088607</v>
      </c>
      <c r="AT367" s="48" t="e">
        <f>(#REF!-#REF!)/#REF!</f>
        <v>#REF!</v>
      </c>
    </row>
    <row r="368" spans="1:46" s="147" customFormat="1" x14ac:dyDescent="0.3">
      <c r="A368" s="139">
        <v>20190701</v>
      </c>
      <c r="B368" s="139" t="s">
        <v>89</v>
      </c>
      <c r="C368" s="140">
        <v>0.2</v>
      </c>
      <c r="D368" s="140">
        <f t="shared" si="101"/>
        <v>0.19596125964690028</v>
      </c>
      <c r="E368" s="139">
        <v>47000</v>
      </c>
      <c r="F368" s="139">
        <v>46600</v>
      </c>
      <c r="G368" s="139">
        <v>5969782550</v>
      </c>
      <c r="H368" s="139">
        <f t="shared" si="102"/>
        <v>0.37429063729510498</v>
      </c>
      <c r="I368" s="141">
        <f t="shared" si="113"/>
        <v>0.22135754660583001</v>
      </c>
      <c r="J368" s="141">
        <v>0.2</v>
      </c>
      <c r="K368" s="141">
        <f t="shared" si="103"/>
        <v>0.20004775062478222</v>
      </c>
      <c r="L368" s="139">
        <v>205500</v>
      </c>
      <c r="M368" s="139">
        <v>208000</v>
      </c>
      <c r="N368" s="142">
        <v>128329070</v>
      </c>
      <c r="O368" s="139">
        <f t="shared" si="104"/>
        <v>1.5142353578023</v>
      </c>
      <c r="P368" s="141">
        <f t="shared" si="114"/>
        <v>2.3551242792495199</v>
      </c>
      <c r="Q368" s="141">
        <v>0.2</v>
      </c>
      <c r="R368" s="141">
        <f t="shared" si="105"/>
        <v>0.21217937620802768</v>
      </c>
      <c r="S368" s="139">
        <v>168600</v>
      </c>
      <c r="T368" s="139">
        <v>181000</v>
      </c>
      <c r="U368" s="139">
        <v>15956260</v>
      </c>
      <c r="V368" s="139">
        <f t="shared" si="106"/>
        <v>10.870572409790899</v>
      </c>
      <c r="W368" s="141">
        <f t="shared" si="115"/>
        <v>23.0867089663485</v>
      </c>
      <c r="X368" s="141">
        <v>0.2</v>
      </c>
      <c r="Y368" s="148">
        <f t="shared" si="107"/>
        <v>0.19764333054515723</v>
      </c>
      <c r="Z368" s="149">
        <v>10805</v>
      </c>
      <c r="AA368" s="149">
        <v>10805</v>
      </c>
      <c r="AB368" s="149">
        <v>67900000</v>
      </c>
      <c r="AC368" s="150">
        <f t="shared" si="108"/>
        <v>42.281822526491702</v>
      </c>
      <c r="AD368" s="141">
        <f t="shared" si="116"/>
        <v>84.655690677759907</v>
      </c>
      <c r="AE368" s="141">
        <v>0.2</v>
      </c>
      <c r="AF368" s="141">
        <f t="shared" si="109"/>
        <v>0.19416828297513264</v>
      </c>
      <c r="AG368" s="149">
        <v>22750</v>
      </c>
      <c r="AH368" s="149">
        <v>22350</v>
      </c>
      <c r="AI368" s="149">
        <v>7339332</v>
      </c>
      <c r="AJ368" s="150">
        <f t="shared" si="110"/>
        <v>599.59686339800703</v>
      </c>
      <c r="AK368" s="141">
        <f t="shared" si="117"/>
        <v>371.97415687673799</v>
      </c>
      <c r="AL368" s="143">
        <f t="shared" si="118"/>
        <v>0</v>
      </c>
      <c r="AM368" s="143">
        <f t="shared" si="119"/>
        <v>284640313308216.69</v>
      </c>
      <c r="AN368" s="144">
        <f t="shared" si="111"/>
        <v>314245117826576.75</v>
      </c>
      <c r="AO368" s="145">
        <f t="shared" si="100"/>
        <v>1104.0077709804343</v>
      </c>
      <c r="AP368" s="146">
        <f t="shared" si="112"/>
        <v>1.1923850141273994E-2</v>
      </c>
      <c r="AQ368" s="139">
        <f>(F368-E368)/E368</f>
        <v>-8.5106382978723406E-3</v>
      </c>
      <c r="AR368" s="139">
        <f>(M368-L368)/L368</f>
        <v>1.2165450121654502E-2</v>
      </c>
      <c r="AS368" s="139">
        <f>(T368-S368)/S368</f>
        <v>7.354685646500593E-2</v>
      </c>
      <c r="AT368" s="139" t="e">
        <f>(#REF!-#REF!)/#REF!</f>
        <v>#REF!</v>
      </c>
    </row>
    <row r="369" spans="1:46" x14ac:dyDescent="0.3">
      <c r="A369" s="48">
        <v>20190702</v>
      </c>
      <c r="B369" s="48" t="s">
        <v>88</v>
      </c>
      <c r="C369" s="79">
        <v>0.2</v>
      </c>
      <c r="D369" s="79">
        <f t="shared" si="101"/>
        <v>0.19645683219723592</v>
      </c>
      <c r="E369" s="49">
        <v>46600</v>
      </c>
      <c r="F369" s="49">
        <v>46250</v>
      </c>
      <c r="G369" s="49">
        <v>5969782550</v>
      </c>
      <c r="H369" s="49">
        <f t="shared" si="102"/>
        <v>0.22135754660583001</v>
      </c>
      <c r="I369" s="49">
        <f t="shared" si="113"/>
        <v>0.22135754660583001</v>
      </c>
      <c r="J369" s="48">
        <v>0.2</v>
      </c>
      <c r="K369" s="48">
        <f t="shared" si="103"/>
        <v>0.19915687020139383</v>
      </c>
      <c r="L369" s="48">
        <v>208000</v>
      </c>
      <c r="M369" s="48">
        <v>205000</v>
      </c>
      <c r="N369" s="51">
        <v>128329070</v>
      </c>
      <c r="O369" s="48">
        <f t="shared" si="104"/>
        <v>2.3551242792495199</v>
      </c>
      <c r="P369" s="48">
        <f t="shared" si="114"/>
        <v>2.3551242792495199</v>
      </c>
      <c r="Q369" s="49">
        <v>0.2</v>
      </c>
      <c r="R369" s="49">
        <f t="shared" si="105"/>
        <v>0.21112858189811923</v>
      </c>
      <c r="S369" s="49">
        <v>181000</v>
      </c>
      <c r="T369" s="49">
        <v>178300</v>
      </c>
      <c r="U369" s="49">
        <v>15956260</v>
      </c>
      <c r="V369" s="49">
        <f t="shared" si="106"/>
        <v>23.0867089663485</v>
      </c>
      <c r="W369" s="49">
        <f t="shared" si="115"/>
        <v>23.0867089663485</v>
      </c>
      <c r="X369" s="48">
        <v>0.2</v>
      </c>
      <c r="Y369" s="76">
        <f t="shared" si="107"/>
        <v>0.19844162188480488</v>
      </c>
      <c r="Z369" s="18">
        <v>10805</v>
      </c>
      <c r="AA369" s="18">
        <v>10740</v>
      </c>
      <c r="AB369" s="18">
        <v>67900000</v>
      </c>
      <c r="AC369" s="135">
        <f t="shared" si="108"/>
        <v>84.655690677759907</v>
      </c>
      <c r="AD369" s="48">
        <f t="shared" si="116"/>
        <v>84.655690677759907</v>
      </c>
      <c r="AE369" s="49">
        <v>0.2</v>
      </c>
      <c r="AF369" s="49">
        <f t="shared" si="109"/>
        <v>0.19481609381844622</v>
      </c>
      <c r="AG369" s="19">
        <v>22350</v>
      </c>
      <c r="AH369" s="19">
        <v>22200</v>
      </c>
      <c r="AI369" s="19">
        <v>7339332</v>
      </c>
      <c r="AJ369" s="137">
        <f t="shared" si="110"/>
        <v>371.97415687673799</v>
      </c>
      <c r="AK369" s="49">
        <f t="shared" si="117"/>
        <v>371.97415687673799</v>
      </c>
      <c r="AL369" s="82">
        <f t="shared" si="118"/>
        <v>0</v>
      </c>
      <c r="AM369" s="82">
        <f t="shared" si="119"/>
        <v>284640313308216.69</v>
      </c>
      <c r="AN369" s="81">
        <f t="shared" si="111"/>
        <v>311098161855534</v>
      </c>
      <c r="AO369" s="80">
        <f t="shared" si="100"/>
        <v>1092.9518670065122</v>
      </c>
      <c r="AP369" s="52">
        <f t="shared" si="112"/>
        <v>-1.001433528325957E-2</v>
      </c>
      <c r="AQ369" s="48">
        <f>(F369-E369)/E369</f>
        <v>-7.5107296137339056E-3</v>
      </c>
      <c r="AR369" s="48">
        <f>(M369-L369)/L369</f>
        <v>-1.4423076923076924E-2</v>
      </c>
      <c r="AS369" s="48">
        <f>(T369-S369)/S369</f>
        <v>-1.4917127071823204E-2</v>
      </c>
      <c r="AT369" s="48" t="e">
        <f>(#REF!-#REF!)/#REF!</f>
        <v>#REF!</v>
      </c>
    </row>
    <row r="370" spans="1:46" x14ac:dyDescent="0.3">
      <c r="A370" s="48">
        <v>20190703</v>
      </c>
      <c r="B370" s="48" t="s">
        <v>88</v>
      </c>
      <c r="C370" s="79">
        <v>0.2</v>
      </c>
      <c r="D370" s="79">
        <f t="shared" si="101"/>
        <v>0.19310435042286486</v>
      </c>
      <c r="E370" s="49">
        <v>46250</v>
      </c>
      <c r="F370" s="49">
        <v>45400</v>
      </c>
      <c r="G370" s="49">
        <v>5969782550</v>
      </c>
      <c r="H370" s="49">
        <f t="shared" si="102"/>
        <v>0.22135754660583001</v>
      </c>
      <c r="I370" s="49">
        <f t="shared" si="113"/>
        <v>0.22135754660583001</v>
      </c>
      <c r="J370" s="48">
        <v>0.2</v>
      </c>
      <c r="K370" s="48">
        <f t="shared" si="103"/>
        <v>0.2003961886013679</v>
      </c>
      <c r="L370" s="48">
        <v>205000</v>
      </c>
      <c r="M370" s="48">
        <v>206000</v>
      </c>
      <c r="N370" s="51">
        <v>128329070</v>
      </c>
      <c r="O370" s="48">
        <f t="shared" si="104"/>
        <v>2.3551242792495199</v>
      </c>
      <c r="P370" s="48">
        <f t="shared" si="114"/>
        <v>2.3551242792495199</v>
      </c>
      <c r="Q370" s="49">
        <v>0.2</v>
      </c>
      <c r="R370" s="49">
        <f t="shared" si="105"/>
        <v>0.21923677453606344</v>
      </c>
      <c r="S370" s="49">
        <v>178300</v>
      </c>
      <c r="T370" s="49">
        <v>184900</v>
      </c>
      <c r="U370" s="49">
        <v>15956260</v>
      </c>
      <c r="V370" s="49">
        <f t="shared" si="106"/>
        <v>23.0867089663485</v>
      </c>
      <c r="W370" s="49">
        <f t="shared" si="115"/>
        <v>23.0867089663485</v>
      </c>
      <c r="X370" s="48">
        <v>0.2</v>
      </c>
      <c r="Y370" s="76">
        <f t="shared" si="107"/>
        <v>0.19657950205060534</v>
      </c>
      <c r="Z370" s="18">
        <v>10740</v>
      </c>
      <c r="AA370" s="18">
        <v>10625</v>
      </c>
      <c r="AB370" s="18">
        <v>67900000</v>
      </c>
      <c r="AC370" s="135">
        <f t="shared" si="108"/>
        <v>84.655690677759907</v>
      </c>
      <c r="AD370" s="48">
        <f t="shared" si="116"/>
        <v>84.655690677759907</v>
      </c>
      <c r="AE370" s="49">
        <v>0.2</v>
      </c>
      <c r="AF370" s="49">
        <f t="shared" si="109"/>
        <v>0.19068318438909843</v>
      </c>
      <c r="AG370" s="19">
        <v>22200</v>
      </c>
      <c r="AH370" s="19">
        <v>21700</v>
      </c>
      <c r="AI370" s="19">
        <v>7339332</v>
      </c>
      <c r="AJ370" s="137">
        <f t="shared" si="110"/>
        <v>371.97415687673799</v>
      </c>
      <c r="AK370" s="49">
        <f t="shared" si="117"/>
        <v>371.97415687673799</v>
      </c>
      <c r="AL370" s="82">
        <f t="shared" si="118"/>
        <v>0</v>
      </c>
      <c r="AM370" s="82">
        <f t="shared" si="119"/>
        <v>284640313308216.69</v>
      </c>
      <c r="AN370" s="81">
        <f t="shared" si="111"/>
        <v>310682391634170.62</v>
      </c>
      <c r="AO370" s="80">
        <f t="shared" si="100"/>
        <v>1091.491180652808</v>
      </c>
      <c r="AP370" s="52">
        <f t="shared" si="112"/>
        <v>-1.3364599098996746E-3</v>
      </c>
      <c r="AQ370" s="48">
        <f>(F370-E370)/E370</f>
        <v>-1.8378378378378378E-2</v>
      </c>
      <c r="AR370" s="48">
        <f>(M370-L370)/L370</f>
        <v>4.8780487804878049E-3</v>
      </c>
      <c r="AS370" s="48">
        <f>(T370-S370)/S370</f>
        <v>3.7016264722378012E-2</v>
      </c>
      <c r="AT370" s="48" t="e">
        <f>(#REF!-#REF!)/#REF!</f>
        <v>#REF!</v>
      </c>
    </row>
    <row r="371" spans="1:46" x14ac:dyDescent="0.3">
      <c r="A371" s="48">
        <v>20190704</v>
      </c>
      <c r="B371" s="48" t="s">
        <v>88</v>
      </c>
      <c r="C371" s="79">
        <v>0.2</v>
      </c>
      <c r="D371" s="79">
        <f t="shared" si="101"/>
        <v>0.19694863583977859</v>
      </c>
      <c r="E371" s="49">
        <v>45400</v>
      </c>
      <c r="F371" s="49">
        <v>46000</v>
      </c>
      <c r="G371" s="49">
        <v>5969782550</v>
      </c>
      <c r="H371" s="49">
        <f t="shared" si="102"/>
        <v>0.22135754660583001</v>
      </c>
      <c r="I371" s="49">
        <f t="shared" si="113"/>
        <v>0.22135754660583001</v>
      </c>
      <c r="J371" s="48">
        <v>0.2</v>
      </c>
      <c r="K371" s="48">
        <f t="shared" si="103"/>
        <v>0.19927168385587296</v>
      </c>
      <c r="L371" s="48">
        <v>206000</v>
      </c>
      <c r="M371" s="48">
        <v>203500</v>
      </c>
      <c r="N371" s="51">
        <v>128329070</v>
      </c>
      <c r="O371" s="48">
        <f t="shared" si="104"/>
        <v>2.3551242792495199</v>
      </c>
      <c r="P371" s="48">
        <f t="shared" si="114"/>
        <v>2.3551242792495199</v>
      </c>
      <c r="Q371" s="49">
        <v>0.2</v>
      </c>
      <c r="R371" s="49">
        <f t="shared" si="105"/>
        <v>0.21793962846254972</v>
      </c>
      <c r="S371" s="49">
        <v>184900</v>
      </c>
      <c r="T371" s="49">
        <v>182600</v>
      </c>
      <c r="U371" s="49">
        <v>15956260</v>
      </c>
      <c r="V371" s="49">
        <f t="shared" si="106"/>
        <v>23.0867089663485</v>
      </c>
      <c r="W371" s="49">
        <f t="shared" si="115"/>
        <v>23.0867089663485</v>
      </c>
      <c r="X371" s="48">
        <v>0.2</v>
      </c>
      <c r="Y371" s="76">
        <f t="shared" si="107"/>
        <v>0.19787784444095849</v>
      </c>
      <c r="Z371" s="18">
        <v>10625</v>
      </c>
      <c r="AA371" s="18">
        <v>10625</v>
      </c>
      <c r="AB371" s="18">
        <v>67900000</v>
      </c>
      <c r="AC371" s="135">
        <f t="shared" si="108"/>
        <v>84.655690677759907</v>
      </c>
      <c r="AD371" s="48">
        <f t="shared" si="116"/>
        <v>84.655690677759907</v>
      </c>
      <c r="AE371" s="49">
        <v>0.2</v>
      </c>
      <c r="AF371" s="49">
        <f t="shared" si="109"/>
        <v>0.18796220740084024</v>
      </c>
      <c r="AG371" s="19">
        <v>21700</v>
      </c>
      <c r="AH371" s="19">
        <v>21250</v>
      </c>
      <c r="AI371" s="19">
        <v>7339332</v>
      </c>
      <c r="AJ371" s="137">
        <f t="shared" si="110"/>
        <v>371.97415687673799</v>
      </c>
      <c r="AK371" s="49">
        <f t="shared" si="117"/>
        <v>371.97415687673799</v>
      </c>
      <c r="AL371" s="82">
        <f t="shared" si="118"/>
        <v>0</v>
      </c>
      <c r="AM371" s="82">
        <f t="shared" si="119"/>
        <v>284640313308216.69</v>
      </c>
      <c r="AN371" s="81">
        <f t="shared" si="111"/>
        <v>308643901068768.81</v>
      </c>
      <c r="AO371" s="80">
        <f t="shared" si="100"/>
        <v>1084.3295437725308</v>
      </c>
      <c r="AP371" s="52">
        <f t="shared" si="112"/>
        <v>-6.5613327961055422E-3</v>
      </c>
      <c r="AQ371" s="48">
        <f>(F371-E371)/E371</f>
        <v>1.3215859030837005E-2</v>
      </c>
      <c r="AR371" s="48">
        <f>(M371-L371)/L371</f>
        <v>-1.2135922330097087E-2</v>
      </c>
      <c r="AS371" s="48">
        <f>(T371-S371)/S371</f>
        <v>-1.2439156300703082E-2</v>
      </c>
      <c r="AT371" s="48" t="e">
        <f>(#REF!-#REF!)/#REF!</f>
        <v>#REF!</v>
      </c>
    </row>
    <row r="372" spans="1:46" x14ac:dyDescent="0.3">
      <c r="A372" s="48">
        <v>20190705</v>
      </c>
      <c r="B372" s="48" t="s">
        <v>88</v>
      </c>
      <c r="C372" s="79">
        <v>0.2</v>
      </c>
      <c r="D372" s="79">
        <f t="shared" si="101"/>
        <v>0.19291788110158828</v>
      </c>
      <c r="E372" s="49">
        <v>46000</v>
      </c>
      <c r="F372" s="49">
        <v>45650</v>
      </c>
      <c r="G372" s="49">
        <v>5969782550</v>
      </c>
      <c r="H372" s="49">
        <f t="shared" si="102"/>
        <v>0.22135754660583001</v>
      </c>
      <c r="I372" s="49">
        <f t="shared" si="113"/>
        <v>0.22135754660583001</v>
      </c>
      <c r="J372" s="48">
        <v>0.2</v>
      </c>
      <c r="K372" s="48">
        <f t="shared" si="103"/>
        <v>0.20103934843811946</v>
      </c>
      <c r="L372" s="48">
        <v>203500</v>
      </c>
      <c r="M372" s="48">
        <v>208000</v>
      </c>
      <c r="N372" s="51">
        <v>128329070</v>
      </c>
      <c r="O372" s="48">
        <f t="shared" si="104"/>
        <v>2.3551242792495199</v>
      </c>
      <c r="P372" s="48">
        <f t="shared" si="114"/>
        <v>2.3551242792495199</v>
      </c>
      <c r="Q372" s="49">
        <v>0.2</v>
      </c>
      <c r="R372" s="49">
        <f t="shared" si="105"/>
        <v>0.21971050644453904</v>
      </c>
      <c r="S372" s="49">
        <v>182600</v>
      </c>
      <c r="T372" s="49">
        <v>186500</v>
      </c>
      <c r="U372" s="49">
        <v>15956260</v>
      </c>
      <c r="V372" s="49">
        <f t="shared" si="106"/>
        <v>23.0867089663485</v>
      </c>
      <c r="W372" s="49">
        <f t="shared" si="115"/>
        <v>23.0867089663485</v>
      </c>
      <c r="X372" s="48">
        <v>0.2</v>
      </c>
      <c r="Y372" s="76">
        <f t="shared" si="107"/>
        <v>0.19513033339902988</v>
      </c>
      <c r="Z372" s="18">
        <v>10625</v>
      </c>
      <c r="AA372" s="18">
        <v>10615</v>
      </c>
      <c r="AB372" s="18">
        <v>67900000</v>
      </c>
      <c r="AC372" s="135">
        <f t="shared" si="108"/>
        <v>84.655690677759907</v>
      </c>
      <c r="AD372" s="48">
        <f t="shared" si="116"/>
        <v>84.655690677759907</v>
      </c>
      <c r="AE372" s="49">
        <v>0.2</v>
      </c>
      <c r="AF372" s="49">
        <f t="shared" si="109"/>
        <v>0.19120193061672328</v>
      </c>
      <c r="AG372" s="19">
        <v>21250</v>
      </c>
      <c r="AH372" s="19">
        <v>21900</v>
      </c>
      <c r="AI372" s="19">
        <v>7339332</v>
      </c>
      <c r="AJ372" s="137">
        <f t="shared" si="110"/>
        <v>371.97415687673799</v>
      </c>
      <c r="AK372" s="49">
        <f t="shared" si="117"/>
        <v>371.97415687673799</v>
      </c>
      <c r="AL372" s="82">
        <f t="shared" si="118"/>
        <v>0</v>
      </c>
      <c r="AM372" s="82">
        <f t="shared" si="119"/>
        <v>284640313308216.69</v>
      </c>
      <c r="AN372" s="81">
        <f t="shared" si="111"/>
        <v>312695148757786.94</v>
      </c>
      <c r="AO372" s="80">
        <f t="shared" si="100"/>
        <v>1098.562410656117</v>
      </c>
      <c r="AP372" s="52">
        <f t="shared" si="112"/>
        <v>1.3125960613475606E-2</v>
      </c>
      <c r="AQ372" s="48">
        <f>(F372-E372)/E372</f>
        <v>-7.6086956521739134E-3</v>
      </c>
      <c r="AR372" s="48">
        <f>(M372-L372)/L372</f>
        <v>2.2113022113022112E-2</v>
      </c>
      <c r="AS372" s="48">
        <f>(T372-S372)/S372</f>
        <v>2.135815991237678E-2</v>
      </c>
      <c r="AT372" s="48" t="e">
        <f>(#REF!-#REF!)/#REF!</f>
        <v>#REF!</v>
      </c>
    </row>
    <row r="373" spans="1:46" x14ac:dyDescent="0.3">
      <c r="A373" s="48">
        <v>20190708</v>
      </c>
      <c r="B373" s="48" t="s">
        <v>88</v>
      </c>
      <c r="C373" s="79">
        <v>0.2</v>
      </c>
      <c r="D373" s="79">
        <f t="shared" si="101"/>
        <v>0.19275271310057623</v>
      </c>
      <c r="E373" s="49">
        <v>45650</v>
      </c>
      <c r="F373" s="49">
        <v>44400</v>
      </c>
      <c r="G373" s="49">
        <v>5969782550</v>
      </c>
      <c r="H373" s="49">
        <f t="shared" si="102"/>
        <v>0.22135754660583001</v>
      </c>
      <c r="I373" s="49">
        <f t="shared" si="113"/>
        <v>0.22135754660583001</v>
      </c>
      <c r="J373" s="48">
        <v>0.2</v>
      </c>
      <c r="K373" s="48">
        <f t="shared" si="103"/>
        <v>0.20453648190962315</v>
      </c>
      <c r="L373" s="48">
        <v>208000</v>
      </c>
      <c r="M373" s="48">
        <v>206000</v>
      </c>
      <c r="N373" s="51">
        <v>128329070</v>
      </c>
      <c r="O373" s="48">
        <f t="shared" si="104"/>
        <v>2.3551242792495199</v>
      </c>
      <c r="P373" s="48">
        <f t="shared" si="114"/>
        <v>2.3551242792495199</v>
      </c>
      <c r="Q373" s="49">
        <v>0.2</v>
      </c>
      <c r="R373" s="49">
        <f t="shared" si="105"/>
        <v>0.21577899221118024</v>
      </c>
      <c r="S373" s="49">
        <v>186500</v>
      </c>
      <c r="T373" s="49">
        <v>178300</v>
      </c>
      <c r="U373" s="49">
        <v>15956260</v>
      </c>
      <c r="V373" s="49">
        <f t="shared" si="106"/>
        <v>23.0867089663485</v>
      </c>
      <c r="W373" s="49">
        <f t="shared" si="115"/>
        <v>23.0867089663485</v>
      </c>
      <c r="X373" s="48">
        <v>0.2</v>
      </c>
      <c r="Y373" s="76">
        <f t="shared" si="107"/>
        <v>0.19724184697560257</v>
      </c>
      <c r="Z373" s="18">
        <v>10615</v>
      </c>
      <c r="AA373" s="18">
        <v>10445</v>
      </c>
      <c r="AB373" s="18">
        <v>67900000</v>
      </c>
      <c r="AC373" s="135">
        <f t="shared" si="108"/>
        <v>84.655690677759907</v>
      </c>
      <c r="AD373" s="48">
        <f t="shared" si="116"/>
        <v>84.655690677759907</v>
      </c>
      <c r="AE373" s="49">
        <v>0.2</v>
      </c>
      <c r="AF373" s="49">
        <f t="shared" si="109"/>
        <v>0.18968996580301778</v>
      </c>
      <c r="AG373" s="19">
        <v>21900</v>
      </c>
      <c r="AH373" s="19">
        <v>21150</v>
      </c>
      <c r="AI373" s="19">
        <v>7339332</v>
      </c>
      <c r="AJ373" s="137">
        <f t="shared" si="110"/>
        <v>371.97415687673799</v>
      </c>
      <c r="AK373" s="49">
        <f t="shared" si="117"/>
        <v>371.97415687673799</v>
      </c>
      <c r="AL373" s="82">
        <f t="shared" si="118"/>
        <v>0</v>
      </c>
      <c r="AM373" s="82">
        <f t="shared" si="119"/>
        <v>284640313308216.69</v>
      </c>
      <c r="AN373" s="81">
        <f t="shared" si="111"/>
        <v>304393458652307.44</v>
      </c>
      <c r="AO373" s="80">
        <f t="shared" si="100"/>
        <v>1069.3968648169011</v>
      </c>
      <c r="AP373" s="52">
        <f t="shared" si="112"/>
        <v>-2.6548829230190665E-2</v>
      </c>
      <c r="AQ373" s="48">
        <f>(F373-E373)/E373</f>
        <v>-2.7382256297918947E-2</v>
      </c>
      <c r="AR373" s="48">
        <f>(M373-L373)/L373</f>
        <v>-9.6153846153846159E-3</v>
      </c>
      <c r="AS373" s="48">
        <f>(T373-S373)/S373</f>
        <v>-4.3967828418230562E-2</v>
      </c>
      <c r="AT373" s="48" t="e">
        <f>(#REF!-#REF!)/#REF!</f>
        <v>#REF!</v>
      </c>
    </row>
    <row r="374" spans="1:46" x14ac:dyDescent="0.3">
      <c r="A374" s="48">
        <v>20190709</v>
      </c>
      <c r="B374" s="48" t="s">
        <v>88</v>
      </c>
      <c r="C374" s="79">
        <v>0.2</v>
      </c>
      <c r="D374" s="79">
        <f t="shared" si="101"/>
        <v>0.19956538942107832</v>
      </c>
      <c r="E374" s="49">
        <v>44400</v>
      </c>
      <c r="F374" s="49">
        <v>45100</v>
      </c>
      <c r="G374" s="49">
        <v>5969782550</v>
      </c>
      <c r="H374" s="49">
        <f t="shared" si="102"/>
        <v>0.22135754660583001</v>
      </c>
      <c r="I374" s="49">
        <f t="shared" si="113"/>
        <v>0.22135754660583001</v>
      </c>
      <c r="J374" s="48">
        <v>0.2</v>
      </c>
      <c r="K374" s="48">
        <f t="shared" si="103"/>
        <v>0.19481637030305302</v>
      </c>
      <c r="L374" s="48">
        <v>206000</v>
      </c>
      <c r="M374" s="48">
        <v>192500</v>
      </c>
      <c r="N374" s="51">
        <v>128329070</v>
      </c>
      <c r="O374" s="48">
        <f t="shared" si="104"/>
        <v>2.3551242792495199</v>
      </c>
      <c r="P374" s="48">
        <f t="shared" si="114"/>
        <v>2.3551242792495199</v>
      </c>
      <c r="Q374" s="49">
        <v>0.2</v>
      </c>
      <c r="R374" s="49">
        <f t="shared" si="105"/>
        <v>0.21216679529607327</v>
      </c>
      <c r="S374" s="49">
        <v>178300</v>
      </c>
      <c r="T374" s="49">
        <v>172000</v>
      </c>
      <c r="U374" s="49">
        <v>15956260</v>
      </c>
      <c r="V374" s="49">
        <f t="shared" si="106"/>
        <v>23.0867089663485</v>
      </c>
      <c r="W374" s="49">
        <f t="shared" si="115"/>
        <v>23.0867089663485</v>
      </c>
      <c r="X374" s="48">
        <v>0.2</v>
      </c>
      <c r="Y374" s="76">
        <f t="shared" si="107"/>
        <v>0.20056238604957063</v>
      </c>
      <c r="Z374" s="18">
        <v>10445</v>
      </c>
      <c r="AA374" s="18">
        <v>10420</v>
      </c>
      <c r="AB374" s="18">
        <v>67900000</v>
      </c>
      <c r="AC374" s="135">
        <f t="shared" si="108"/>
        <v>84.655690677759907</v>
      </c>
      <c r="AD374" s="48">
        <f t="shared" si="116"/>
        <v>84.655690677759907</v>
      </c>
      <c r="AE374" s="49">
        <v>0.2</v>
      </c>
      <c r="AF374" s="49">
        <f t="shared" si="109"/>
        <v>0.1928890589302247</v>
      </c>
      <c r="AG374" s="19">
        <v>21150</v>
      </c>
      <c r="AH374" s="19">
        <v>21100</v>
      </c>
      <c r="AI374" s="19">
        <v>7339332</v>
      </c>
      <c r="AJ374" s="137">
        <f t="shared" si="110"/>
        <v>371.97415687673799</v>
      </c>
      <c r="AK374" s="49">
        <f t="shared" si="117"/>
        <v>371.97415687673799</v>
      </c>
      <c r="AL374" s="82">
        <f t="shared" si="118"/>
        <v>0</v>
      </c>
      <c r="AM374" s="82">
        <f t="shared" si="119"/>
        <v>284640313308216.69</v>
      </c>
      <c r="AN374" s="81">
        <f t="shared" si="111"/>
        <v>298637377310338.19</v>
      </c>
      <c r="AO374" s="80">
        <f t="shared" si="100"/>
        <v>1049.1745664535056</v>
      </c>
      <c r="AP374" s="52">
        <f t="shared" si="112"/>
        <v>-1.8910003412865781E-2</v>
      </c>
      <c r="AQ374" s="48">
        <f>(F374-E374)/E374</f>
        <v>1.5765765765765764E-2</v>
      </c>
      <c r="AR374" s="48">
        <f>(M374-L374)/L374</f>
        <v>-6.553398058252427E-2</v>
      </c>
      <c r="AS374" s="48">
        <f>(T374-S374)/S374</f>
        <v>-3.5333707234997194E-2</v>
      </c>
      <c r="AT374" s="48" t="e">
        <f>(#REF!-#REF!)/#REF!</f>
        <v>#REF!</v>
      </c>
    </row>
    <row r="375" spans="1:46" x14ac:dyDescent="0.3">
      <c r="A375" s="48">
        <v>20190710</v>
      </c>
      <c r="B375" s="48" t="s">
        <v>88</v>
      </c>
      <c r="C375" s="79">
        <v>0.2</v>
      </c>
      <c r="D375" s="79">
        <f t="shared" si="101"/>
        <v>0.20055929947468493</v>
      </c>
      <c r="E375" s="49">
        <v>45100</v>
      </c>
      <c r="F375" s="49">
        <v>45550</v>
      </c>
      <c r="G375" s="49">
        <v>5969782550</v>
      </c>
      <c r="H375" s="49">
        <f t="shared" si="102"/>
        <v>0.22135754660583001</v>
      </c>
      <c r="I375" s="49">
        <f t="shared" si="113"/>
        <v>0.22135754660583001</v>
      </c>
      <c r="J375" s="48">
        <v>0.2</v>
      </c>
      <c r="K375" s="48">
        <f t="shared" si="103"/>
        <v>0.1903278135824252</v>
      </c>
      <c r="L375" s="48">
        <v>192500</v>
      </c>
      <c r="M375" s="48">
        <v>189000</v>
      </c>
      <c r="N375" s="51">
        <v>128329070</v>
      </c>
      <c r="O375" s="48">
        <f t="shared" si="104"/>
        <v>2.3551242792495199</v>
      </c>
      <c r="P375" s="48">
        <f t="shared" si="114"/>
        <v>2.3551242792495199</v>
      </c>
      <c r="Q375" s="49">
        <v>0.2</v>
      </c>
      <c r="R375" s="49">
        <f t="shared" si="105"/>
        <v>0.21320359765009747</v>
      </c>
      <c r="S375" s="49">
        <v>172000</v>
      </c>
      <c r="T375" s="49">
        <v>173700</v>
      </c>
      <c r="U375" s="49">
        <v>15956260</v>
      </c>
      <c r="V375" s="49">
        <f t="shared" si="106"/>
        <v>23.0867089663485</v>
      </c>
      <c r="W375" s="49">
        <f t="shared" si="115"/>
        <v>23.0867089663485</v>
      </c>
      <c r="X375" s="48">
        <v>0.2</v>
      </c>
      <c r="Y375" s="76">
        <f t="shared" si="107"/>
        <v>0.20033609030202562</v>
      </c>
      <c r="Z375" s="18">
        <v>10420</v>
      </c>
      <c r="AA375" s="18">
        <v>10460</v>
      </c>
      <c r="AB375" s="18">
        <v>67900000</v>
      </c>
      <c r="AC375" s="135">
        <f t="shared" si="108"/>
        <v>84.655690677759907</v>
      </c>
      <c r="AD375" s="48">
        <f t="shared" si="116"/>
        <v>84.655690677759907</v>
      </c>
      <c r="AE375" s="49">
        <v>0.2</v>
      </c>
      <c r="AF375" s="49">
        <f t="shared" si="109"/>
        <v>0.19557319899076689</v>
      </c>
      <c r="AG375" s="19">
        <v>21100</v>
      </c>
      <c r="AH375" s="19">
        <v>21500</v>
      </c>
      <c r="AI375" s="19">
        <v>7339332</v>
      </c>
      <c r="AJ375" s="137">
        <f t="shared" si="110"/>
        <v>371.97415687673799</v>
      </c>
      <c r="AK375" s="49">
        <f t="shared" si="117"/>
        <v>371.97415687673799</v>
      </c>
      <c r="AL375" s="82">
        <f t="shared" si="118"/>
        <v>0</v>
      </c>
      <c r="AM375" s="82">
        <f t="shared" si="119"/>
        <v>284640313308216.69</v>
      </c>
      <c r="AN375" s="81">
        <f t="shared" si="111"/>
        <v>300122407910544.12</v>
      </c>
      <c r="AO375" s="80">
        <f t="shared" si="100"/>
        <v>1054.391784573266</v>
      </c>
      <c r="AP375" s="52">
        <f t="shared" si="112"/>
        <v>4.9726883271637599E-3</v>
      </c>
      <c r="AQ375" s="48">
        <f>(F375-E375)/E375</f>
        <v>9.9778270509977823E-3</v>
      </c>
      <c r="AR375" s="48">
        <f>(M375-L375)/L375</f>
        <v>-1.8181818181818181E-2</v>
      </c>
      <c r="AS375" s="48">
        <f>(T375-S375)/S375</f>
        <v>9.883720930232558E-3</v>
      </c>
      <c r="AT375" s="48" t="e">
        <f>(#REF!-#REF!)/#REF!</f>
        <v>#REF!</v>
      </c>
    </row>
    <row r="376" spans="1:46" x14ac:dyDescent="0.3">
      <c r="A376" s="48">
        <v>20190711</v>
      </c>
      <c r="B376" s="48" t="s">
        <v>88</v>
      </c>
      <c r="C376" s="79">
        <v>0.2</v>
      </c>
      <c r="D376" s="79">
        <f t="shared" si="101"/>
        <v>0.20217525105857792</v>
      </c>
      <c r="E376" s="49">
        <v>45550</v>
      </c>
      <c r="F376" s="49">
        <v>46200</v>
      </c>
      <c r="G376" s="49">
        <v>5969782550</v>
      </c>
      <c r="H376" s="49">
        <f t="shared" si="102"/>
        <v>0.22135754660583001</v>
      </c>
      <c r="I376" s="49">
        <f t="shared" si="113"/>
        <v>0.22135754660583001</v>
      </c>
      <c r="J376" s="48">
        <v>0.2</v>
      </c>
      <c r="K376" s="48">
        <f t="shared" si="103"/>
        <v>0.19166412268174285</v>
      </c>
      <c r="L376" s="48">
        <v>189000</v>
      </c>
      <c r="M376" s="48">
        <v>191500</v>
      </c>
      <c r="N376" s="51">
        <v>128329070</v>
      </c>
      <c r="O376" s="48">
        <f t="shared" si="104"/>
        <v>2.3551242792495199</v>
      </c>
      <c r="P376" s="48">
        <f t="shared" si="114"/>
        <v>2.3551242792495199</v>
      </c>
      <c r="Q376" s="49">
        <v>0.2</v>
      </c>
      <c r="R376" s="49">
        <f t="shared" si="105"/>
        <v>0.21067773506767903</v>
      </c>
      <c r="S376" s="49">
        <v>173700</v>
      </c>
      <c r="T376" s="49">
        <v>172700</v>
      </c>
      <c r="U376" s="49">
        <v>15956260</v>
      </c>
      <c r="V376" s="49">
        <f t="shared" si="106"/>
        <v>23.0867089663485</v>
      </c>
      <c r="W376" s="49">
        <f t="shared" si="115"/>
        <v>23.0867089663485</v>
      </c>
      <c r="X376" s="48">
        <v>0.2</v>
      </c>
      <c r="Y376" s="76">
        <f t="shared" si="107"/>
        <v>0.20110765576581369</v>
      </c>
      <c r="Z376" s="18">
        <v>10460</v>
      </c>
      <c r="AA376" s="18">
        <v>10565</v>
      </c>
      <c r="AB376" s="18">
        <v>67900000</v>
      </c>
      <c r="AC376" s="135">
        <f t="shared" si="108"/>
        <v>84.655690677759907</v>
      </c>
      <c r="AD376" s="48">
        <f t="shared" si="116"/>
        <v>84.655690677759907</v>
      </c>
      <c r="AE376" s="49">
        <v>0.2</v>
      </c>
      <c r="AF376" s="49">
        <f t="shared" si="109"/>
        <v>0.19437523542618659</v>
      </c>
      <c r="AG376" s="19">
        <v>21500</v>
      </c>
      <c r="AH376" s="19">
        <v>21500</v>
      </c>
      <c r="AI376" s="19">
        <v>7339332</v>
      </c>
      <c r="AJ376" s="137">
        <f t="shared" si="110"/>
        <v>371.97415687673799</v>
      </c>
      <c r="AK376" s="49">
        <f t="shared" si="117"/>
        <v>371.97415687673799</v>
      </c>
      <c r="AL376" s="82">
        <f t="shared" si="118"/>
        <v>0</v>
      </c>
      <c r="AM376" s="82">
        <f t="shared" si="119"/>
        <v>284640313308216.69</v>
      </c>
      <c r="AN376" s="81">
        <f t="shared" si="111"/>
        <v>301972107070021</v>
      </c>
      <c r="AO376" s="80">
        <f t="shared" si="100"/>
        <v>1060.890158391011</v>
      </c>
      <c r="AP376" s="52">
        <f t="shared" si="112"/>
        <v>6.1631491375618314E-3</v>
      </c>
      <c r="AQ376" s="48">
        <f>(F376-E376)/E376</f>
        <v>1.4270032930845226E-2</v>
      </c>
      <c r="AR376" s="48">
        <f>(M376-L376)/L376</f>
        <v>1.3227513227513227E-2</v>
      </c>
      <c r="AS376" s="48">
        <f>(T376-S376)/S376</f>
        <v>-5.7570523891767415E-3</v>
      </c>
      <c r="AT376" s="48" t="e">
        <f>(#REF!-#REF!)/#REF!</f>
        <v>#REF!</v>
      </c>
    </row>
    <row r="377" spans="1:46" x14ac:dyDescent="0.3">
      <c r="A377" s="48">
        <v>20190712</v>
      </c>
      <c r="B377" s="48" t="s">
        <v>88</v>
      </c>
      <c r="C377" s="79">
        <v>0.2</v>
      </c>
      <c r="D377" s="79">
        <f t="shared" si="101"/>
        <v>0.20370576666736637</v>
      </c>
      <c r="E377" s="49">
        <v>46200</v>
      </c>
      <c r="F377" s="49">
        <v>46300</v>
      </c>
      <c r="G377" s="49">
        <v>5969782550</v>
      </c>
      <c r="H377" s="49">
        <f t="shared" si="102"/>
        <v>0.22135754660583001</v>
      </c>
      <c r="I377" s="49">
        <f t="shared" si="113"/>
        <v>0.22135754660583001</v>
      </c>
      <c r="J377" s="48">
        <v>0.2</v>
      </c>
      <c r="K377" s="48">
        <f t="shared" si="103"/>
        <v>0.18967920415249501</v>
      </c>
      <c r="L377" s="48">
        <v>191500</v>
      </c>
      <c r="M377" s="48">
        <v>188500</v>
      </c>
      <c r="N377" s="51">
        <v>128329070</v>
      </c>
      <c r="O377" s="48">
        <f t="shared" si="104"/>
        <v>2.3551242792495199</v>
      </c>
      <c r="P377" s="48">
        <f t="shared" si="114"/>
        <v>2.3551242792495199</v>
      </c>
      <c r="Q377" s="49">
        <v>0.2</v>
      </c>
      <c r="R377" s="49">
        <f t="shared" si="105"/>
        <v>0.20825733476112343</v>
      </c>
      <c r="S377" s="49">
        <v>172700</v>
      </c>
      <c r="T377" s="49">
        <v>169800</v>
      </c>
      <c r="U377" s="49">
        <v>15956260</v>
      </c>
      <c r="V377" s="49">
        <f t="shared" si="106"/>
        <v>23.0867089663485</v>
      </c>
      <c r="W377" s="49">
        <f t="shared" si="115"/>
        <v>23.0867089663485</v>
      </c>
      <c r="X377" s="48">
        <v>0.2</v>
      </c>
      <c r="Y377" s="76">
        <f t="shared" si="107"/>
        <v>0.20247951269063846</v>
      </c>
      <c r="Z377" s="18">
        <v>10565</v>
      </c>
      <c r="AA377" s="18">
        <v>10580</v>
      </c>
      <c r="AB377" s="18">
        <v>67900000</v>
      </c>
      <c r="AC377" s="135">
        <f t="shared" si="108"/>
        <v>84.655690677759907</v>
      </c>
      <c r="AD377" s="48">
        <f t="shared" si="116"/>
        <v>84.655690677759907</v>
      </c>
      <c r="AE377" s="49">
        <v>0.2</v>
      </c>
      <c r="AF377" s="49">
        <f t="shared" si="109"/>
        <v>0.19587818172837679</v>
      </c>
      <c r="AG377" s="19">
        <v>21500</v>
      </c>
      <c r="AH377" s="19">
        <v>21550</v>
      </c>
      <c r="AI377" s="19">
        <v>7339332</v>
      </c>
      <c r="AJ377" s="137">
        <f t="shared" si="110"/>
        <v>371.97415687673799</v>
      </c>
      <c r="AK377" s="49">
        <f t="shared" si="117"/>
        <v>371.97415687673799</v>
      </c>
      <c r="AL377" s="82">
        <f t="shared" si="118"/>
        <v>0</v>
      </c>
      <c r="AM377" s="82">
        <f t="shared" si="119"/>
        <v>284640313308216.69</v>
      </c>
      <c r="AN377" s="81">
        <f t="shared" si="111"/>
        <v>300351989059692.5</v>
      </c>
      <c r="AO377" s="80">
        <f t="shared" si="100"/>
        <v>1055.1983503983245</v>
      </c>
      <c r="AP377" s="52">
        <f t="shared" si="112"/>
        <v>-5.3651246999208563E-3</v>
      </c>
      <c r="AQ377" s="48">
        <f>(F377-E377)/E377</f>
        <v>2.1645021645021645E-3</v>
      </c>
      <c r="AR377" s="48">
        <f>(M377-L377)/L377</f>
        <v>-1.5665796344647518E-2</v>
      </c>
      <c r="AS377" s="48">
        <f>(T377-S377)/S377</f>
        <v>-1.679212507237985E-2</v>
      </c>
      <c r="AT377" s="48" t="e">
        <f>(#REF!-#REF!)/#REF!</f>
        <v>#REF!</v>
      </c>
    </row>
    <row r="378" spans="1:46" x14ac:dyDescent="0.3">
      <c r="A378" s="48">
        <v>20190715</v>
      </c>
      <c r="B378" s="48" t="s">
        <v>88</v>
      </c>
      <c r="C378" s="79">
        <v>0.2</v>
      </c>
      <c r="D378" s="79">
        <f t="shared" si="101"/>
        <v>0.20551827944345755</v>
      </c>
      <c r="E378" s="49">
        <v>46300</v>
      </c>
      <c r="F378" s="49">
        <v>46450</v>
      </c>
      <c r="G378" s="49">
        <v>5969782550</v>
      </c>
      <c r="H378" s="49">
        <f t="shared" si="102"/>
        <v>0.22135754660583001</v>
      </c>
      <c r="I378" s="49">
        <f t="shared" si="113"/>
        <v>0.22135754660583001</v>
      </c>
      <c r="J378" s="48">
        <v>0.2</v>
      </c>
      <c r="K378" s="48">
        <f t="shared" si="103"/>
        <v>0.1856892822054538</v>
      </c>
      <c r="L378" s="48">
        <v>188500</v>
      </c>
      <c r="M378" s="48">
        <v>183500</v>
      </c>
      <c r="N378" s="51">
        <v>128329070</v>
      </c>
      <c r="O378" s="48">
        <f t="shared" si="104"/>
        <v>2.3551242792495199</v>
      </c>
      <c r="P378" s="48">
        <f t="shared" si="114"/>
        <v>2.3551242792495199</v>
      </c>
      <c r="Q378" s="49">
        <v>0.2</v>
      </c>
      <c r="R378" s="49">
        <f t="shared" si="105"/>
        <v>0.21165196666365019</v>
      </c>
      <c r="S378" s="49">
        <v>169800</v>
      </c>
      <c r="T378" s="49">
        <v>171600</v>
      </c>
      <c r="U378" s="49">
        <v>15956260</v>
      </c>
      <c r="V378" s="49">
        <f t="shared" si="106"/>
        <v>23.0867089663485</v>
      </c>
      <c r="W378" s="49">
        <f t="shared" si="115"/>
        <v>23.0867089663485</v>
      </c>
      <c r="X378" s="48">
        <v>0.2</v>
      </c>
      <c r="Y378" s="76">
        <f t="shared" si="107"/>
        <v>0.20381389277756787</v>
      </c>
      <c r="Z378" s="18">
        <v>10580</v>
      </c>
      <c r="AA378" s="18">
        <v>10590</v>
      </c>
      <c r="AB378" s="18">
        <v>67900000</v>
      </c>
      <c r="AC378" s="135">
        <f t="shared" si="108"/>
        <v>84.655690677759907</v>
      </c>
      <c r="AD378" s="48">
        <f t="shared" si="116"/>
        <v>84.655690677759907</v>
      </c>
      <c r="AE378" s="49">
        <v>0.2</v>
      </c>
      <c r="AF378" s="49">
        <f t="shared" si="109"/>
        <v>0.19332657890987068</v>
      </c>
      <c r="AG378" s="19">
        <v>21550</v>
      </c>
      <c r="AH378" s="19">
        <v>21150</v>
      </c>
      <c r="AI378" s="19">
        <v>7339332</v>
      </c>
      <c r="AJ378" s="137">
        <f t="shared" si="110"/>
        <v>371.97415687673799</v>
      </c>
      <c r="AK378" s="49">
        <f t="shared" si="117"/>
        <v>371.97415687673799</v>
      </c>
      <c r="AL378" s="82">
        <f t="shared" si="118"/>
        <v>0</v>
      </c>
      <c r="AM378" s="82">
        <f t="shared" si="119"/>
        <v>284640313308216.69</v>
      </c>
      <c r="AN378" s="81">
        <f t="shared" si="111"/>
        <v>298667597016431</v>
      </c>
      <c r="AO378" s="80">
        <f t="shared" si="100"/>
        <v>1049.2807345002643</v>
      </c>
      <c r="AP378" s="52">
        <f t="shared" si="112"/>
        <v>-5.6080602247210879E-3</v>
      </c>
      <c r="AQ378" s="48">
        <f>(F378-E378)/E378</f>
        <v>3.2397408207343412E-3</v>
      </c>
      <c r="AR378" s="48">
        <f>(M378-L378)/L378</f>
        <v>-2.6525198938992044E-2</v>
      </c>
      <c r="AS378" s="48">
        <f>(T378-S378)/S378</f>
        <v>1.0600706713780919E-2</v>
      </c>
      <c r="AT378" s="48" t="e">
        <f>(#REF!-#REF!)/#REF!</f>
        <v>#REF!</v>
      </c>
    </row>
    <row r="379" spans="1:46" x14ac:dyDescent="0.3">
      <c r="A379" s="48">
        <v>20190716</v>
      </c>
      <c r="B379" s="48" t="s">
        <v>88</v>
      </c>
      <c r="C379" s="79">
        <v>0.2</v>
      </c>
      <c r="D379" s="79">
        <f t="shared" si="101"/>
        <v>0.20488045288709164</v>
      </c>
      <c r="E379" s="49">
        <v>46450</v>
      </c>
      <c r="F379" s="49">
        <v>46850</v>
      </c>
      <c r="G379" s="49">
        <v>5969782550</v>
      </c>
      <c r="H379" s="49">
        <f t="shared" si="102"/>
        <v>0.22135754660583001</v>
      </c>
      <c r="I379" s="49">
        <f t="shared" si="113"/>
        <v>0.22135754660583001</v>
      </c>
      <c r="J379" s="48">
        <v>0.2</v>
      </c>
      <c r="K379" s="48">
        <f t="shared" si="103"/>
        <v>0.18853340732349114</v>
      </c>
      <c r="L379" s="48">
        <v>183500</v>
      </c>
      <c r="M379" s="48">
        <v>188500</v>
      </c>
      <c r="N379" s="51">
        <v>128329070</v>
      </c>
      <c r="O379" s="48">
        <f t="shared" si="104"/>
        <v>2.3551242792495199</v>
      </c>
      <c r="P379" s="48">
        <f t="shared" si="114"/>
        <v>2.3551242792495199</v>
      </c>
      <c r="Q379" s="49">
        <v>0.2</v>
      </c>
      <c r="R379" s="49">
        <f t="shared" si="105"/>
        <v>0.21455759165277549</v>
      </c>
      <c r="S379" s="49">
        <v>171600</v>
      </c>
      <c r="T379" s="49">
        <v>176000</v>
      </c>
      <c r="U379" s="49">
        <v>15956260</v>
      </c>
      <c r="V379" s="49">
        <f t="shared" si="106"/>
        <v>23.0867089663485</v>
      </c>
      <c r="W379" s="49">
        <f t="shared" si="115"/>
        <v>23.0867089663485</v>
      </c>
      <c r="X379" s="48">
        <v>0.2</v>
      </c>
      <c r="Y379" s="76">
        <f t="shared" si="107"/>
        <v>0.20230262181151254</v>
      </c>
      <c r="Z379" s="18">
        <v>10590</v>
      </c>
      <c r="AA379" s="18">
        <v>10635</v>
      </c>
      <c r="AB379" s="18">
        <v>67900000</v>
      </c>
      <c r="AC379" s="135">
        <f t="shared" si="108"/>
        <v>84.655690677759907</v>
      </c>
      <c r="AD379" s="48">
        <f t="shared" si="116"/>
        <v>84.655690677759907</v>
      </c>
      <c r="AE379" s="49">
        <v>0.2</v>
      </c>
      <c r="AF379" s="49">
        <f t="shared" si="109"/>
        <v>0.18972592632512919</v>
      </c>
      <c r="AG379" s="19">
        <v>21150</v>
      </c>
      <c r="AH379" s="19">
        <v>21000</v>
      </c>
      <c r="AI379" s="19">
        <v>7339332</v>
      </c>
      <c r="AJ379" s="137">
        <f t="shared" si="110"/>
        <v>371.97415687673799</v>
      </c>
      <c r="AK379" s="49">
        <f t="shared" si="117"/>
        <v>371.97415687673799</v>
      </c>
      <c r="AL379" s="82">
        <f t="shared" si="118"/>
        <v>0</v>
      </c>
      <c r="AM379" s="82">
        <f t="shared" si="119"/>
        <v>284640313308216.69</v>
      </c>
      <c r="AN379" s="81">
        <f t="shared" si="111"/>
        <v>302177354450024.12</v>
      </c>
      <c r="AO379" s="80">
        <f t="shared" si="100"/>
        <v>1061.6112346771408</v>
      </c>
      <c r="AP379" s="52">
        <f t="shared" si="112"/>
        <v>1.1751383372867413E-2</v>
      </c>
      <c r="AQ379" s="48">
        <f>(F379-E379)/E379</f>
        <v>8.6114101184068884E-3</v>
      </c>
      <c r="AR379" s="48">
        <f>(M379-L379)/L379</f>
        <v>2.7247956403269755E-2</v>
      </c>
      <c r="AS379" s="48">
        <f>(T379-S379)/S379</f>
        <v>2.564102564102564E-2</v>
      </c>
      <c r="AT379" s="48" t="e">
        <f>(#REF!-#REF!)/#REF!</f>
        <v>#REF!</v>
      </c>
    </row>
    <row r="380" spans="1:46" x14ac:dyDescent="0.3">
      <c r="A380" s="48">
        <v>20190717</v>
      </c>
      <c r="B380" s="48" t="s">
        <v>88</v>
      </c>
      <c r="C380" s="79">
        <v>0.2</v>
      </c>
      <c r="D380" s="79">
        <f t="shared" si="101"/>
        <v>0.20355671349022231</v>
      </c>
      <c r="E380" s="49">
        <v>46850</v>
      </c>
      <c r="F380" s="49">
        <v>46050</v>
      </c>
      <c r="G380" s="49">
        <v>5969782550</v>
      </c>
      <c r="H380" s="49">
        <f t="shared" si="102"/>
        <v>0.22135754660583001</v>
      </c>
      <c r="I380" s="49">
        <f t="shared" si="113"/>
        <v>0.22135754660583001</v>
      </c>
      <c r="J380" s="48">
        <v>0.2</v>
      </c>
      <c r="K380" s="48">
        <f t="shared" si="103"/>
        <v>0.18652549366159887</v>
      </c>
      <c r="L380" s="48">
        <v>188500</v>
      </c>
      <c r="M380" s="48">
        <v>184500</v>
      </c>
      <c r="N380" s="51">
        <v>128329070</v>
      </c>
      <c r="O380" s="48">
        <f t="shared" si="104"/>
        <v>2.3551242792495199</v>
      </c>
      <c r="P380" s="48">
        <f t="shared" si="114"/>
        <v>2.3551242792495199</v>
      </c>
      <c r="Q380" s="49">
        <v>0.2</v>
      </c>
      <c r="R380" s="49">
        <f t="shared" si="105"/>
        <v>0.21983201137461073</v>
      </c>
      <c r="S380" s="49">
        <v>176000</v>
      </c>
      <c r="T380" s="49">
        <v>178400</v>
      </c>
      <c r="U380" s="49">
        <v>15956260</v>
      </c>
      <c r="V380" s="49">
        <f t="shared" si="106"/>
        <v>23.0867089663485</v>
      </c>
      <c r="W380" s="49">
        <f t="shared" si="115"/>
        <v>23.0867089663485</v>
      </c>
      <c r="X380" s="48">
        <v>0.2</v>
      </c>
      <c r="Y380" s="76">
        <f t="shared" si="107"/>
        <v>0.20333365092160935</v>
      </c>
      <c r="Z380" s="18">
        <v>10635</v>
      </c>
      <c r="AA380" s="18">
        <v>10575</v>
      </c>
      <c r="AB380" s="18">
        <v>67900000</v>
      </c>
      <c r="AC380" s="135">
        <f t="shared" si="108"/>
        <v>84.655690677759907</v>
      </c>
      <c r="AD380" s="48">
        <f t="shared" si="116"/>
        <v>84.655690677759907</v>
      </c>
      <c r="AE380" s="49">
        <v>0.2</v>
      </c>
      <c r="AF380" s="49">
        <f t="shared" si="109"/>
        <v>0.18675213055195869</v>
      </c>
      <c r="AG380" s="19">
        <v>21000</v>
      </c>
      <c r="AH380" s="19">
        <v>20450</v>
      </c>
      <c r="AI380" s="19">
        <v>7339332</v>
      </c>
      <c r="AJ380" s="137">
        <f t="shared" si="110"/>
        <v>371.97415687673799</v>
      </c>
      <c r="AK380" s="49">
        <f t="shared" si="117"/>
        <v>371.97415687673799</v>
      </c>
      <c r="AL380" s="82">
        <f t="shared" si="118"/>
        <v>0</v>
      </c>
      <c r="AM380" s="82">
        <f t="shared" si="119"/>
        <v>284640313308216.69</v>
      </c>
      <c r="AN380" s="81">
        <f t="shared" si="111"/>
        <v>298948961462951.44</v>
      </c>
      <c r="AO380" s="80">
        <f t="shared" si="100"/>
        <v>1050.2692257060612</v>
      </c>
      <c r="AP380" s="52">
        <f t="shared" si="112"/>
        <v>-1.0683768785217288E-2</v>
      </c>
      <c r="AQ380" s="48">
        <f>(F380-E380)/E380</f>
        <v>-1.7075773745997867E-2</v>
      </c>
      <c r="AR380" s="48">
        <f>(M380-L380)/L380</f>
        <v>-2.1220159151193633E-2</v>
      </c>
      <c r="AS380" s="48">
        <f>(T380-S380)/S380</f>
        <v>1.3636363636363636E-2</v>
      </c>
      <c r="AT380" s="48" t="e">
        <f>(#REF!-#REF!)/#REF!</f>
        <v>#REF!</v>
      </c>
    </row>
    <row r="381" spans="1:46" ht="16.5" x14ac:dyDescent="0.3">
      <c r="AG381" s="8"/>
      <c r="AH381" s="8"/>
      <c r="AI381" s="8"/>
    </row>
    <row r="382" spans="1:46" ht="16.5" x14ac:dyDescent="0.3">
      <c r="AG382" s="8"/>
      <c r="AH382" s="8"/>
      <c r="AI382" s="8"/>
    </row>
  </sheetData>
  <mergeCells count="7">
    <mergeCell ref="C1:I1"/>
    <mergeCell ref="J1:P1"/>
    <mergeCell ref="Q1:W1"/>
    <mergeCell ref="AL1:AP1"/>
    <mergeCell ref="AQ1:AT1"/>
    <mergeCell ref="X1:AD1"/>
    <mergeCell ref="AE1:AK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3"/>
  <sheetViews>
    <sheetView workbookViewId="0">
      <pane ySplit="3" topLeftCell="A235" activePane="bottomLeft" state="frozen"/>
      <selection pane="bottomLeft" activeCell="G387" sqref="G387"/>
    </sheetView>
  </sheetViews>
  <sheetFormatPr defaultRowHeight="13.5" x14ac:dyDescent="0.3"/>
  <cols>
    <col min="1" max="1" width="9.125" style="16" bestFit="1" customWidth="1"/>
    <col min="2" max="2" width="9.375" style="16" bestFit="1" customWidth="1"/>
    <col min="3" max="4" width="9.375" style="16" customWidth="1"/>
    <col min="5" max="5" width="10.625" style="16" bestFit="1" customWidth="1"/>
    <col min="6" max="6" width="9" style="16"/>
    <col min="7" max="7" width="11" style="16" bestFit="1" customWidth="1"/>
    <col min="8" max="9" width="9" style="16"/>
    <col min="10" max="10" width="11" style="16" bestFit="1" customWidth="1"/>
    <col min="11" max="12" width="9" style="16"/>
    <col min="13" max="13" width="11" style="16" bestFit="1" customWidth="1"/>
    <col min="14" max="15" width="9" style="16"/>
    <col min="16" max="16" width="11" style="16" bestFit="1" customWidth="1"/>
    <col min="17" max="16384" width="9" style="16"/>
  </cols>
  <sheetData>
    <row r="1" spans="1:19" x14ac:dyDescent="0.3">
      <c r="A1" s="157" t="s">
        <v>173</v>
      </c>
      <c r="B1" s="157">
        <v>100000000</v>
      </c>
    </row>
    <row r="2" spans="1:19" x14ac:dyDescent="0.3">
      <c r="E2" s="151" t="s">
        <v>165</v>
      </c>
      <c r="F2" s="151"/>
      <c r="G2" s="151"/>
      <c r="H2" s="151" t="s">
        <v>168</v>
      </c>
      <c r="I2" s="151"/>
      <c r="J2" s="151"/>
      <c r="K2" s="151" t="s">
        <v>60</v>
      </c>
      <c r="L2" s="151"/>
      <c r="M2" s="151"/>
      <c r="N2" s="151" t="s">
        <v>150</v>
      </c>
      <c r="O2" s="151"/>
      <c r="P2" s="151"/>
      <c r="Q2" s="151" t="s">
        <v>171</v>
      </c>
      <c r="R2" s="151"/>
      <c r="S2" s="151"/>
    </row>
    <row r="3" spans="1:19" x14ac:dyDescent="0.3">
      <c r="A3" s="16" t="s">
        <v>166</v>
      </c>
      <c r="B3" s="16" t="s">
        <v>178</v>
      </c>
      <c r="C3" s="157" t="s">
        <v>173</v>
      </c>
      <c r="D3" s="157" t="s">
        <v>179</v>
      </c>
      <c r="E3" s="16" t="s">
        <v>180</v>
      </c>
      <c r="F3" s="16" t="s">
        <v>167</v>
      </c>
      <c r="G3" s="16" t="s">
        <v>174</v>
      </c>
      <c r="H3" s="16" t="s">
        <v>180</v>
      </c>
      <c r="I3" s="16" t="s">
        <v>167</v>
      </c>
      <c r="J3" s="16" t="s">
        <v>175</v>
      </c>
      <c r="K3" s="16" t="s">
        <v>180</v>
      </c>
      <c r="L3" s="16" t="s">
        <v>169</v>
      </c>
      <c r="M3" s="16" t="s">
        <v>176</v>
      </c>
      <c r="N3" s="16" t="s">
        <v>180</v>
      </c>
      <c r="O3" s="16" t="s">
        <v>170</v>
      </c>
      <c r="P3" s="16" t="s">
        <v>177</v>
      </c>
      <c r="Q3" s="16" t="s">
        <v>180</v>
      </c>
      <c r="R3" s="16" t="s">
        <v>172</v>
      </c>
      <c r="S3" s="16" t="s">
        <v>176</v>
      </c>
    </row>
    <row r="4" spans="1:19" x14ac:dyDescent="0.3">
      <c r="A4" s="65">
        <v>20180102</v>
      </c>
      <c r="B4" s="65" t="s">
        <v>89</v>
      </c>
      <c r="C4" s="158">
        <f>E4*G4+H4*J4+K4*M4+N4*P4+Q4*S4</f>
        <v>100000000</v>
      </c>
      <c r="D4" s="158"/>
      <c r="E4" s="66">
        <v>51020</v>
      </c>
      <c r="F4" s="16">
        <v>0.4</v>
      </c>
      <c r="G4" s="16">
        <f>$B$1*F4/E4</f>
        <v>784.00627205017645</v>
      </c>
      <c r="H4" s="66">
        <v>221936</v>
      </c>
      <c r="I4" s="16">
        <v>0.6</v>
      </c>
      <c r="J4" s="16">
        <f>$B$1*I4/H4</f>
        <v>270.34820849253839</v>
      </c>
      <c r="K4" s="66">
        <v>163201</v>
      </c>
      <c r="L4" s="16">
        <v>0</v>
      </c>
      <c r="M4" s="16">
        <f>$B$1*L4/K4</f>
        <v>0</v>
      </c>
      <c r="N4" s="16">
        <v>0</v>
      </c>
      <c r="O4" s="16">
        <v>0</v>
      </c>
      <c r="P4" s="16">
        <f>IFERROR($B$1*O4/N4,0)</f>
        <v>0</v>
      </c>
      <c r="Q4" s="16">
        <v>0</v>
      </c>
      <c r="R4" s="16">
        <v>0</v>
      </c>
      <c r="S4" s="16">
        <f>IFERROR($B$1*R4/Q4,0)</f>
        <v>0</v>
      </c>
    </row>
    <row r="5" spans="1:19" x14ac:dyDescent="0.3">
      <c r="A5" s="65">
        <v>20180103</v>
      </c>
      <c r="B5" s="65" t="s">
        <v>88</v>
      </c>
      <c r="C5" s="158">
        <f t="shared" ref="C5:C68" si="0">E5*G5+H5*J5+K5*M5+N5*P5+Q5*S5</f>
        <v>105994969.40377513</v>
      </c>
      <c r="D5" s="158">
        <f>(C5-C4)/C4</f>
        <v>5.9949694037751258E-2</v>
      </c>
      <c r="E5" s="66">
        <v>51620</v>
      </c>
      <c r="F5" s="16">
        <f>$F$4</f>
        <v>0.4</v>
      </c>
      <c r="G5" s="16">
        <f>$G$4</f>
        <v>784.00627205017645</v>
      </c>
      <c r="H5" s="66">
        <v>242371</v>
      </c>
      <c r="I5" s="16">
        <f>$I$4</f>
        <v>0.6</v>
      </c>
      <c r="J5" s="16">
        <f>$J$4</f>
        <v>270.34820849253839</v>
      </c>
      <c r="K5" s="66">
        <v>161140</v>
      </c>
      <c r="L5" s="16">
        <f>$L$4</f>
        <v>0</v>
      </c>
      <c r="M5" s="16">
        <f>$M$4</f>
        <v>0</v>
      </c>
      <c r="N5" s="16">
        <v>0</v>
      </c>
      <c r="O5" s="16">
        <f>$O$4</f>
        <v>0</v>
      </c>
      <c r="P5" s="16">
        <f>$P$4</f>
        <v>0</v>
      </c>
      <c r="Q5" s="16">
        <v>0</v>
      </c>
      <c r="R5" s="16">
        <f>$R$4</f>
        <v>0</v>
      </c>
      <c r="S5" s="16">
        <f>$S$4</f>
        <v>0</v>
      </c>
    </row>
    <row r="6" spans="1:19" x14ac:dyDescent="0.3">
      <c r="A6" s="65">
        <v>20180104</v>
      </c>
      <c r="B6" s="65" t="s">
        <v>88</v>
      </c>
      <c r="C6" s="158">
        <f t="shared" si="0"/>
        <v>106448345.25700934</v>
      </c>
      <c r="D6" s="158">
        <f t="shared" ref="D6:D69" si="1">(C6-C5)/C5</f>
        <v>4.277333686536911E-3</v>
      </c>
      <c r="E6" s="66">
        <v>51080</v>
      </c>
      <c r="F6" s="16">
        <f t="shared" ref="F6:F69" si="2">$F$4</f>
        <v>0.4</v>
      </c>
      <c r="G6" s="16">
        <f t="shared" ref="G6:G69" si="3">$G$4</f>
        <v>784.00627205017645</v>
      </c>
      <c r="H6" s="66">
        <v>245614</v>
      </c>
      <c r="I6" s="16">
        <f t="shared" ref="I6:I69" si="4">$I$4</f>
        <v>0.6</v>
      </c>
      <c r="J6" s="16">
        <f t="shared" ref="J6:J69" si="5">$J$4</f>
        <v>270.34820849253839</v>
      </c>
      <c r="K6" s="66">
        <v>161336</v>
      </c>
      <c r="L6" s="16">
        <f t="shared" ref="L6:L69" si="6">$L$4</f>
        <v>0</v>
      </c>
      <c r="M6" s="16">
        <f t="shared" ref="M6:M69" si="7">$M$4</f>
        <v>0</v>
      </c>
      <c r="N6" s="16">
        <v>0</v>
      </c>
      <c r="O6" s="16">
        <f t="shared" ref="O6:O69" si="8">$O$4</f>
        <v>0</v>
      </c>
      <c r="P6" s="16">
        <f t="shared" ref="P6:P69" si="9">$P$4</f>
        <v>0</v>
      </c>
      <c r="Q6" s="16">
        <v>0</v>
      </c>
      <c r="R6" s="16">
        <f t="shared" ref="R6:R69" si="10">$R$4</f>
        <v>0</v>
      </c>
      <c r="S6" s="16">
        <f t="shared" ref="S6:S69" si="11">$S$4</f>
        <v>0</v>
      </c>
    </row>
    <row r="7" spans="1:19" x14ac:dyDescent="0.3">
      <c r="A7" s="65">
        <v>20180105</v>
      </c>
      <c r="B7" s="65" t="s">
        <v>88</v>
      </c>
      <c r="C7" s="158">
        <f t="shared" si="0"/>
        <v>111752303.08554313</v>
      </c>
      <c r="D7" s="158">
        <f t="shared" si="1"/>
        <v>4.982658786971169E-2</v>
      </c>
      <c r="E7" s="66">
        <v>52120</v>
      </c>
      <c r="F7" s="16">
        <f t="shared" si="2"/>
        <v>0.4</v>
      </c>
      <c r="G7" s="16">
        <f t="shared" si="3"/>
        <v>784.00627205017645</v>
      </c>
      <c r="H7" s="66">
        <v>262217</v>
      </c>
      <c r="I7" s="16">
        <f t="shared" si="4"/>
        <v>0.6</v>
      </c>
      <c r="J7" s="16">
        <f t="shared" si="5"/>
        <v>270.34820849253839</v>
      </c>
      <c r="K7" s="66">
        <v>167322</v>
      </c>
      <c r="L7" s="16">
        <f t="shared" si="6"/>
        <v>0</v>
      </c>
      <c r="M7" s="16">
        <f t="shared" si="7"/>
        <v>0</v>
      </c>
      <c r="N7" s="16">
        <v>0</v>
      </c>
      <c r="O7" s="16">
        <f t="shared" si="8"/>
        <v>0</v>
      </c>
      <c r="P7" s="16">
        <f t="shared" si="9"/>
        <v>0</v>
      </c>
      <c r="Q7" s="16">
        <v>0</v>
      </c>
      <c r="R7" s="16">
        <f t="shared" si="10"/>
        <v>0</v>
      </c>
      <c r="S7" s="16">
        <f t="shared" si="11"/>
        <v>0</v>
      </c>
    </row>
    <row r="8" spans="1:19" x14ac:dyDescent="0.3">
      <c r="A8" s="65">
        <v>20180108</v>
      </c>
      <c r="B8" s="65" t="s">
        <v>88</v>
      </c>
      <c r="C8" s="158">
        <f t="shared" si="0"/>
        <v>121129331.05036464</v>
      </c>
      <c r="D8" s="158">
        <f t="shared" si="1"/>
        <v>8.3909035482192043E-2</v>
      </c>
      <c r="E8" s="66">
        <v>52020</v>
      </c>
      <c r="F8" s="16">
        <f t="shared" si="2"/>
        <v>0.4</v>
      </c>
      <c r="G8" s="16">
        <f t="shared" si="3"/>
        <v>784.00627205017645</v>
      </c>
      <c r="H8" s="66">
        <v>297192</v>
      </c>
      <c r="I8" s="16">
        <f t="shared" si="4"/>
        <v>0.6</v>
      </c>
      <c r="J8" s="16">
        <f t="shared" si="5"/>
        <v>270.34820849253839</v>
      </c>
      <c r="K8" s="66">
        <v>167028</v>
      </c>
      <c r="L8" s="16">
        <f t="shared" si="6"/>
        <v>0</v>
      </c>
      <c r="M8" s="16">
        <f t="shared" si="7"/>
        <v>0</v>
      </c>
      <c r="N8" s="16">
        <v>0</v>
      </c>
      <c r="O8" s="16">
        <f t="shared" si="8"/>
        <v>0</v>
      </c>
      <c r="P8" s="16">
        <f t="shared" si="9"/>
        <v>0</v>
      </c>
      <c r="Q8" s="16">
        <v>0</v>
      </c>
      <c r="R8" s="16">
        <f t="shared" si="10"/>
        <v>0</v>
      </c>
      <c r="S8" s="16">
        <f t="shared" si="11"/>
        <v>0</v>
      </c>
    </row>
    <row r="9" spans="1:19" x14ac:dyDescent="0.3">
      <c r="A9" s="65">
        <v>20180109</v>
      </c>
      <c r="B9" s="65" t="s">
        <v>88</v>
      </c>
      <c r="C9" s="158">
        <f t="shared" si="0"/>
        <v>117203340.08941266</v>
      </c>
      <c r="D9" s="158">
        <f t="shared" si="1"/>
        <v>-3.2411563135931028E-2</v>
      </c>
      <c r="E9" s="66">
        <v>50400</v>
      </c>
      <c r="F9" s="16">
        <f t="shared" si="2"/>
        <v>0.4</v>
      </c>
      <c r="G9" s="16">
        <f t="shared" si="3"/>
        <v>784.00627205017645</v>
      </c>
      <c r="H9" s="66">
        <v>287368</v>
      </c>
      <c r="I9" s="16">
        <f t="shared" si="4"/>
        <v>0.6</v>
      </c>
      <c r="J9" s="16">
        <f t="shared" si="5"/>
        <v>270.34820849253839</v>
      </c>
      <c r="K9" s="66">
        <v>160944</v>
      </c>
      <c r="L9" s="16">
        <f t="shared" si="6"/>
        <v>0</v>
      </c>
      <c r="M9" s="16">
        <f t="shared" si="7"/>
        <v>0</v>
      </c>
      <c r="N9" s="16">
        <v>0</v>
      </c>
      <c r="O9" s="16">
        <f t="shared" si="8"/>
        <v>0</v>
      </c>
      <c r="P9" s="16">
        <f t="shared" si="9"/>
        <v>0</v>
      </c>
      <c r="Q9" s="16">
        <v>0</v>
      </c>
      <c r="R9" s="16">
        <f t="shared" si="10"/>
        <v>0</v>
      </c>
      <c r="S9" s="16">
        <f t="shared" si="11"/>
        <v>0</v>
      </c>
    </row>
    <row r="10" spans="1:19" x14ac:dyDescent="0.3">
      <c r="A10" s="65">
        <v>20180110</v>
      </c>
      <c r="B10" s="65" t="s">
        <v>88</v>
      </c>
      <c r="C10" s="158">
        <f t="shared" si="0"/>
        <v>116910017.79402024</v>
      </c>
      <c r="D10" s="158">
        <f t="shared" si="1"/>
        <v>-2.5026786367065368E-3</v>
      </c>
      <c r="E10" s="66">
        <v>48840</v>
      </c>
      <c r="F10" s="16">
        <f t="shared" si="2"/>
        <v>0.4</v>
      </c>
      <c r="G10" s="16">
        <f t="shared" si="3"/>
        <v>784.00627205017645</v>
      </c>
      <c r="H10" s="66">
        <v>290807</v>
      </c>
      <c r="I10" s="16">
        <f t="shared" si="4"/>
        <v>0.6</v>
      </c>
      <c r="J10" s="16">
        <f t="shared" si="5"/>
        <v>270.34820849253839</v>
      </c>
      <c r="K10" s="66">
        <v>160944</v>
      </c>
      <c r="L10" s="16">
        <f t="shared" si="6"/>
        <v>0</v>
      </c>
      <c r="M10" s="16">
        <f t="shared" si="7"/>
        <v>0</v>
      </c>
      <c r="N10" s="16">
        <v>0</v>
      </c>
      <c r="O10" s="16">
        <f t="shared" si="8"/>
        <v>0</v>
      </c>
      <c r="P10" s="16">
        <f t="shared" si="9"/>
        <v>0</v>
      </c>
      <c r="Q10" s="16">
        <v>0</v>
      </c>
      <c r="R10" s="16">
        <f t="shared" si="10"/>
        <v>0</v>
      </c>
      <c r="S10" s="16">
        <f t="shared" si="11"/>
        <v>0</v>
      </c>
    </row>
    <row r="11" spans="1:19" x14ac:dyDescent="0.3">
      <c r="A11" s="65">
        <v>20180111</v>
      </c>
      <c r="B11" s="65" t="s">
        <v>88</v>
      </c>
      <c r="C11" s="158">
        <f t="shared" si="0"/>
        <v>119361267.11996898</v>
      </c>
      <c r="D11" s="158">
        <f t="shared" si="1"/>
        <v>2.0966974192643761E-2</v>
      </c>
      <c r="E11" s="66">
        <v>48240</v>
      </c>
      <c r="F11" s="16">
        <f t="shared" si="2"/>
        <v>0.4</v>
      </c>
      <c r="G11" s="16">
        <f t="shared" si="3"/>
        <v>784.00627205017645</v>
      </c>
      <c r="H11" s="66">
        <v>301614</v>
      </c>
      <c r="I11" s="16">
        <f t="shared" si="4"/>
        <v>0.6</v>
      </c>
      <c r="J11" s="16">
        <f t="shared" si="5"/>
        <v>270.34820849253839</v>
      </c>
      <c r="K11" s="66">
        <v>165850</v>
      </c>
      <c r="L11" s="16">
        <f t="shared" si="6"/>
        <v>0</v>
      </c>
      <c r="M11" s="16">
        <f t="shared" si="7"/>
        <v>0</v>
      </c>
      <c r="N11" s="16">
        <v>0</v>
      </c>
      <c r="O11" s="16">
        <f t="shared" si="8"/>
        <v>0</v>
      </c>
      <c r="P11" s="16">
        <f t="shared" si="9"/>
        <v>0</v>
      </c>
      <c r="Q11" s="16">
        <v>0</v>
      </c>
      <c r="R11" s="16">
        <f t="shared" si="10"/>
        <v>0</v>
      </c>
      <c r="S11" s="16">
        <f t="shared" si="11"/>
        <v>0</v>
      </c>
    </row>
    <row r="12" spans="1:19" x14ac:dyDescent="0.3">
      <c r="A12" s="65">
        <v>20180112</v>
      </c>
      <c r="B12" s="65" t="s">
        <v>88</v>
      </c>
      <c r="C12" s="158">
        <f t="shared" si="0"/>
        <v>128493089.04773307</v>
      </c>
      <c r="D12" s="158">
        <f t="shared" si="1"/>
        <v>7.6505738822173971E-2</v>
      </c>
      <c r="E12" s="66">
        <v>48200</v>
      </c>
      <c r="F12" s="16">
        <f t="shared" si="2"/>
        <v>0.4</v>
      </c>
      <c r="G12" s="16">
        <f t="shared" si="3"/>
        <v>784.00627205017645</v>
      </c>
      <c r="H12" s="66">
        <v>335508</v>
      </c>
      <c r="I12" s="16">
        <f t="shared" si="4"/>
        <v>0.6</v>
      </c>
      <c r="J12" s="16">
        <f t="shared" si="5"/>
        <v>270.34820849253839</v>
      </c>
      <c r="K12" s="66">
        <v>174192</v>
      </c>
      <c r="L12" s="16">
        <f t="shared" si="6"/>
        <v>0</v>
      </c>
      <c r="M12" s="16">
        <f t="shared" si="7"/>
        <v>0</v>
      </c>
      <c r="N12" s="16">
        <v>0</v>
      </c>
      <c r="O12" s="16">
        <f t="shared" si="8"/>
        <v>0</v>
      </c>
      <c r="P12" s="16">
        <f t="shared" si="9"/>
        <v>0</v>
      </c>
      <c r="Q12" s="16">
        <v>0</v>
      </c>
      <c r="R12" s="16">
        <f t="shared" si="10"/>
        <v>0</v>
      </c>
      <c r="S12" s="16">
        <f t="shared" si="11"/>
        <v>0</v>
      </c>
    </row>
    <row r="13" spans="1:19" x14ac:dyDescent="0.3">
      <c r="A13" s="65">
        <v>20180115</v>
      </c>
      <c r="B13" s="65" t="s">
        <v>88</v>
      </c>
      <c r="C13" s="158">
        <f t="shared" si="0"/>
        <v>131017329.06935132</v>
      </c>
      <c r="D13" s="158">
        <f t="shared" si="1"/>
        <v>1.9644947758089414E-2</v>
      </c>
      <c r="E13" s="66">
        <v>48540</v>
      </c>
      <c r="F13" s="16">
        <f t="shared" si="2"/>
        <v>0.4</v>
      </c>
      <c r="G13" s="16">
        <f t="shared" si="3"/>
        <v>784.00627205017645</v>
      </c>
      <c r="H13" s="66">
        <v>343859</v>
      </c>
      <c r="I13" s="16">
        <f t="shared" si="4"/>
        <v>0.6</v>
      </c>
      <c r="J13" s="16">
        <f t="shared" si="5"/>
        <v>270.34820849253839</v>
      </c>
      <c r="K13" s="66">
        <v>226401</v>
      </c>
      <c r="L13" s="16">
        <f t="shared" si="6"/>
        <v>0</v>
      </c>
      <c r="M13" s="16">
        <f t="shared" si="7"/>
        <v>0</v>
      </c>
      <c r="N13" s="16">
        <v>0</v>
      </c>
      <c r="O13" s="16">
        <f t="shared" si="8"/>
        <v>0</v>
      </c>
      <c r="P13" s="16">
        <f t="shared" si="9"/>
        <v>0</v>
      </c>
      <c r="Q13" s="16">
        <v>0</v>
      </c>
      <c r="R13" s="16">
        <f t="shared" si="10"/>
        <v>0</v>
      </c>
      <c r="S13" s="16">
        <f t="shared" si="11"/>
        <v>0</v>
      </c>
    </row>
    <row r="14" spans="1:19" x14ac:dyDescent="0.3">
      <c r="A14" s="65">
        <v>20180116</v>
      </c>
      <c r="B14" s="65" t="s">
        <v>88</v>
      </c>
      <c r="C14" s="158">
        <f t="shared" si="0"/>
        <v>131471508.90205464</v>
      </c>
      <c r="D14" s="158">
        <f t="shared" si="1"/>
        <v>3.4665630564252418E-3</v>
      </c>
      <c r="E14" s="66">
        <v>50000</v>
      </c>
      <c r="F14" s="16">
        <f t="shared" si="2"/>
        <v>0.4</v>
      </c>
      <c r="G14" s="16">
        <f t="shared" si="3"/>
        <v>784.00627205017645</v>
      </c>
      <c r="H14" s="66">
        <v>341305</v>
      </c>
      <c r="I14" s="16">
        <f t="shared" si="4"/>
        <v>0.6</v>
      </c>
      <c r="J14" s="16">
        <f t="shared" si="5"/>
        <v>270.34820849253839</v>
      </c>
      <c r="K14" s="66">
        <v>225419</v>
      </c>
      <c r="L14" s="16">
        <f t="shared" si="6"/>
        <v>0</v>
      </c>
      <c r="M14" s="16">
        <f t="shared" si="7"/>
        <v>0</v>
      </c>
      <c r="N14" s="16">
        <v>0</v>
      </c>
      <c r="O14" s="16">
        <f t="shared" si="8"/>
        <v>0</v>
      </c>
      <c r="P14" s="16">
        <f t="shared" si="9"/>
        <v>0</v>
      </c>
      <c r="Q14" s="16">
        <v>0</v>
      </c>
      <c r="R14" s="16">
        <f t="shared" si="10"/>
        <v>0</v>
      </c>
      <c r="S14" s="16">
        <f t="shared" si="11"/>
        <v>0</v>
      </c>
    </row>
    <row r="15" spans="1:19" x14ac:dyDescent="0.3">
      <c r="A15" s="65">
        <v>20180117</v>
      </c>
      <c r="B15" s="65" t="s">
        <v>88</v>
      </c>
      <c r="C15" s="158">
        <f t="shared" si="0"/>
        <v>122169639.43483157</v>
      </c>
      <c r="D15" s="158">
        <f t="shared" si="1"/>
        <v>-7.0751979230366108E-2</v>
      </c>
      <c r="E15" s="66">
        <v>49620</v>
      </c>
      <c r="F15" s="16">
        <f t="shared" si="2"/>
        <v>0.4</v>
      </c>
      <c r="G15" s="16">
        <f t="shared" si="3"/>
        <v>784.00627205017645</v>
      </c>
      <c r="H15" s="66">
        <v>308000</v>
      </c>
      <c r="I15" s="16">
        <f t="shared" si="4"/>
        <v>0.6</v>
      </c>
      <c r="J15" s="16">
        <f t="shared" si="5"/>
        <v>270.34820849253839</v>
      </c>
      <c r="K15" s="66">
        <v>244556</v>
      </c>
      <c r="L15" s="16">
        <f t="shared" si="6"/>
        <v>0</v>
      </c>
      <c r="M15" s="16">
        <f t="shared" si="7"/>
        <v>0</v>
      </c>
      <c r="N15" s="16">
        <v>0</v>
      </c>
      <c r="O15" s="16">
        <f t="shared" si="8"/>
        <v>0</v>
      </c>
      <c r="P15" s="16">
        <f t="shared" si="9"/>
        <v>0</v>
      </c>
      <c r="Q15" s="16">
        <v>0</v>
      </c>
      <c r="R15" s="16">
        <f t="shared" si="10"/>
        <v>0</v>
      </c>
      <c r="S15" s="16">
        <f t="shared" si="11"/>
        <v>0</v>
      </c>
    </row>
    <row r="16" spans="1:19" x14ac:dyDescent="0.3">
      <c r="A16" s="65">
        <v>20180118</v>
      </c>
      <c r="B16" s="65" t="s">
        <v>88</v>
      </c>
      <c r="C16" s="158">
        <f t="shared" si="0"/>
        <v>123929605.28299612</v>
      </c>
      <c r="D16" s="158">
        <f t="shared" si="1"/>
        <v>1.4405918330497772E-2</v>
      </c>
      <c r="E16" s="66">
        <v>49900</v>
      </c>
      <c r="F16" s="16">
        <f t="shared" si="2"/>
        <v>0.4</v>
      </c>
      <c r="G16" s="16">
        <f t="shared" si="3"/>
        <v>784.00627205017645</v>
      </c>
      <c r="H16" s="66">
        <v>313698</v>
      </c>
      <c r="I16" s="16">
        <f t="shared" si="4"/>
        <v>0.6</v>
      </c>
      <c r="J16" s="16">
        <f t="shared" si="5"/>
        <v>270.34820849253839</v>
      </c>
      <c r="K16" s="66">
        <v>247304</v>
      </c>
      <c r="L16" s="16">
        <f t="shared" si="6"/>
        <v>0</v>
      </c>
      <c r="M16" s="16">
        <f t="shared" si="7"/>
        <v>0</v>
      </c>
      <c r="N16" s="16">
        <v>0</v>
      </c>
      <c r="O16" s="16">
        <f t="shared" si="8"/>
        <v>0</v>
      </c>
      <c r="P16" s="16">
        <f t="shared" si="9"/>
        <v>0</v>
      </c>
      <c r="Q16" s="16">
        <v>0</v>
      </c>
      <c r="R16" s="16">
        <f t="shared" si="10"/>
        <v>0</v>
      </c>
      <c r="S16" s="16">
        <f t="shared" si="11"/>
        <v>0</v>
      </c>
    </row>
    <row r="17" spans="1:19" x14ac:dyDescent="0.3">
      <c r="A17" s="65">
        <v>20180119</v>
      </c>
      <c r="B17" s="65" t="s">
        <v>88</v>
      </c>
      <c r="C17" s="158">
        <f t="shared" si="0"/>
        <v>115108145.28877994</v>
      </c>
      <c r="D17" s="158">
        <f t="shared" si="1"/>
        <v>-7.1181215933611389E-2</v>
      </c>
      <c r="E17" s="66">
        <v>49320</v>
      </c>
      <c r="F17" s="16">
        <f t="shared" si="2"/>
        <v>0.4</v>
      </c>
      <c r="G17" s="16">
        <f t="shared" si="3"/>
        <v>784.00627205017645</v>
      </c>
      <c r="H17" s="66">
        <v>282750</v>
      </c>
      <c r="I17" s="16">
        <f t="shared" si="4"/>
        <v>0.6</v>
      </c>
      <c r="J17" s="16">
        <f t="shared" si="5"/>
        <v>270.34820849253839</v>
      </c>
      <c r="K17" s="66">
        <v>231602</v>
      </c>
      <c r="L17" s="16">
        <f t="shared" si="6"/>
        <v>0</v>
      </c>
      <c r="M17" s="16">
        <f t="shared" si="7"/>
        <v>0</v>
      </c>
      <c r="N17" s="16">
        <v>0</v>
      </c>
      <c r="O17" s="16">
        <f t="shared" si="8"/>
        <v>0</v>
      </c>
      <c r="P17" s="16">
        <f t="shared" si="9"/>
        <v>0</v>
      </c>
      <c r="Q17" s="16">
        <v>0</v>
      </c>
      <c r="R17" s="16">
        <f t="shared" si="10"/>
        <v>0</v>
      </c>
      <c r="S17" s="16">
        <f t="shared" si="11"/>
        <v>0</v>
      </c>
    </row>
    <row r="18" spans="1:19" x14ac:dyDescent="0.3">
      <c r="A18" s="65">
        <v>20180122</v>
      </c>
      <c r="B18" s="65" t="s">
        <v>88</v>
      </c>
      <c r="C18" s="158">
        <f t="shared" si="0"/>
        <v>112349245.63629802</v>
      </c>
      <c r="D18" s="158">
        <f t="shared" si="1"/>
        <v>-2.3967892502832721E-2</v>
      </c>
      <c r="E18" s="66">
        <v>48240</v>
      </c>
      <c r="F18" s="16">
        <f t="shared" si="2"/>
        <v>0.4</v>
      </c>
      <c r="G18" s="16">
        <f t="shared" si="3"/>
        <v>784.00627205017645</v>
      </c>
      <c r="H18" s="66">
        <v>275677</v>
      </c>
      <c r="I18" s="16">
        <f t="shared" si="4"/>
        <v>0.6</v>
      </c>
      <c r="J18" s="16">
        <f t="shared" si="5"/>
        <v>270.34820849253839</v>
      </c>
      <c r="K18" s="66">
        <v>230522</v>
      </c>
      <c r="L18" s="16">
        <f t="shared" si="6"/>
        <v>0</v>
      </c>
      <c r="M18" s="16">
        <f t="shared" si="7"/>
        <v>0</v>
      </c>
      <c r="N18" s="16">
        <v>0</v>
      </c>
      <c r="O18" s="16">
        <f t="shared" si="8"/>
        <v>0</v>
      </c>
      <c r="P18" s="16">
        <f t="shared" si="9"/>
        <v>0</v>
      </c>
      <c r="Q18" s="16">
        <v>0</v>
      </c>
      <c r="R18" s="16">
        <f t="shared" si="10"/>
        <v>0</v>
      </c>
      <c r="S18" s="16">
        <f t="shared" si="11"/>
        <v>0</v>
      </c>
    </row>
    <row r="19" spans="1:19" x14ac:dyDescent="0.3">
      <c r="A19" s="65">
        <v>20180123</v>
      </c>
      <c r="B19" s="65" t="s">
        <v>88</v>
      </c>
      <c r="C19" s="158">
        <f t="shared" si="0"/>
        <v>117957615.97150379</v>
      </c>
      <c r="D19" s="158">
        <f t="shared" si="1"/>
        <v>4.9919074253168064E-2</v>
      </c>
      <c r="E19" s="66">
        <v>49160</v>
      </c>
      <c r="F19" s="16">
        <f t="shared" si="2"/>
        <v>0.4</v>
      </c>
      <c r="G19" s="16">
        <f t="shared" si="3"/>
        <v>784.00627205017645</v>
      </c>
      <c r="H19" s="66">
        <v>293754</v>
      </c>
      <c r="I19" s="16">
        <f t="shared" si="4"/>
        <v>0.6</v>
      </c>
      <c r="J19" s="16">
        <f t="shared" si="5"/>
        <v>270.34820849253839</v>
      </c>
      <c r="K19" s="66">
        <v>238275</v>
      </c>
      <c r="L19" s="16">
        <f t="shared" si="6"/>
        <v>0</v>
      </c>
      <c r="M19" s="16">
        <f t="shared" si="7"/>
        <v>0</v>
      </c>
      <c r="N19" s="16">
        <v>0</v>
      </c>
      <c r="O19" s="16">
        <f t="shared" si="8"/>
        <v>0</v>
      </c>
      <c r="P19" s="16">
        <f t="shared" si="9"/>
        <v>0</v>
      </c>
      <c r="Q19" s="16">
        <v>0</v>
      </c>
      <c r="R19" s="16">
        <f t="shared" si="10"/>
        <v>0</v>
      </c>
      <c r="S19" s="16">
        <f t="shared" si="11"/>
        <v>0</v>
      </c>
    </row>
    <row r="20" spans="1:19" x14ac:dyDescent="0.3">
      <c r="A20" s="65">
        <v>20180124</v>
      </c>
      <c r="B20" s="65" t="s">
        <v>88</v>
      </c>
      <c r="C20" s="158">
        <f t="shared" si="0"/>
        <v>116637775.38177916</v>
      </c>
      <c r="D20" s="158">
        <f t="shared" si="1"/>
        <v>-1.1189108722267473E-2</v>
      </c>
      <c r="E20" s="66">
        <v>49340</v>
      </c>
      <c r="F20" s="16">
        <f t="shared" si="2"/>
        <v>0.4</v>
      </c>
      <c r="G20" s="16">
        <f t="shared" si="3"/>
        <v>784.00627205017645</v>
      </c>
      <c r="H20" s="66">
        <v>288350</v>
      </c>
      <c r="I20" s="16">
        <f t="shared" si="4"/>
        <v>0.6</v>
      </c>
      <c r="J20" s="16">
        <f t="shared" si="5"/>
        <v>270.34820849253839</v>
      </c>
      <c r="K20" s="66">
        <v>275175</v>
      </c>
      <c r="L20" s="16">
        <f t="shared" si="6"/>
        <v>0</v>
      </c>
      <c r="M20" s="16">
        <f t="shared" si="7"/>
        <v>0</v>
      </c>
      <c r="N20" s="16">
        <v>0</v>
      </c>
      <c r="O20" s="16">
        <f t="shared" si="8"/>
        <v>0</v>
      </c>
      <c r="P20" s="16">
        <f t="shared" si="9"/>
        <v>0</v>
      </c>
      <c r="Q20" s="16">
        <v>0</v>
      </c>
      <c r="R20" s="16">
        <f t="shared" si="10"/>
        <v>0</v>
      </c>
      <c r="S20" s="16">
        <f t="shared" si="11"/>
        <v>0</v>
      </c>
    </row>
    <row r="21" spans="1:19" x14ac:dyDescent="0.3">
      <c r="A21" s="65">
        <v>20180125</v>
      </c>
      <c r="B21" s="65" t="s">
        <v>88</v>
      </c>
      <c r="C21" s="158">
        <f t="shared" si="0"/>
        <v>116349851.28976268</v>
      </c>
      <c r="D21" s="158">
        <f t="shared" si="1"/>
        <v>-2.468532094975699E-3</v>
      </c>
      <c r="E21" s="66">
        <v>50260</v>
      </c>
      <c r="F21" s="16">
        <f t="shared" si="2"/>
        <v>0.4</v>
      </c>
      <c r="G21" s="16">
        <f t="shared" si="3"/>
        <v>784.00627205017645</v>
      </c>
      <c r="H21" s="66">
        <v>284617</v>
      </c>
      <c r="I21" s="16">
        <f t="shared" si="4"/>
        <v>0.6</v>
      </c>
      <c r="J21" s="16">
        <f t="shared" si="5"/>
        <v>270.34820849253839</v>
      </c>
      <c r="K21" s="66">
        <v>270759</v>
      </c>
      <c r="L21" s="16">
        <f t="shared" si="6"/>
        <v>0</v>
      </c>
      <c r="M21" s="16">
        <f t="shared" si="7"/>
        <v>0</v>
      </c>
      <c r="N21" s="16">
        <v>0</v>
      </c>
      <c r="O21" s="16">
        <f t="shared" si="8"/>
        <v>0</v>
      </c>
      <c r="P21" s="16">
        <f t="shared" si="9"/>
        <v>0</v>
      </c>
      <c r="Q21" s="16">
        <v>0</v>
      </c>
      <c r="R21" s="16">
        <f t="shared" si="10"/>
        <v>0</v>
      </c>
      <c r="S21" s="16">
        <f t="shared" si="11"/>
        <v>0</v>
      </c>
    </row>
    <row r="22" spans="1:19" x14ac:dyDescent="0.3">
      <c r="A22" s="65">
        <v>20180126</v>
      </c>
      <c r="B22" s="65" t="s">
        <v>88</v>
      </c>
      <c r="C22" s="158">
        <f t="shared" si="0"/>
        <v>119493188.07296476</v>
      </c>
      <c r="D22" s="158">
        <f t="shared" si="1"/>
        <v>2.7016250973744528E-2</v>
      </c>
      <c r="E22" s="66">
        <v>50780</v>
      </c>
      <c r="F22" s="16">
        <f t="shared" si="2"/>
        <v>0.4</v>
      </c>
      <c r="G22" s="16">
        <f t="shared" si="3"/>
        <v>784.00627205017645</v>
      </c>
      <c r="H22" s="66">
        <v>294736</v>
      </c>
      <c r="I22" s="16">
        <f t="shared" si="4"/>
        <v>0.6</v>
      </c>
      <c r="J22" s="16">
        <f t="shared" si="5"/>
        <v>270.34820849253839</v>
      </c>
      <c r="K22" s="66">
        <v>269286</v>
      </c>
      <c r="L22" s="16">
        <f t="shared" si="6"/>
        <v>0</v>
      </c>
      <c r="M22" s="16">
        <f t="shared" si="7"/>
        <v>0</v>
      </c>
      <c r="N22" s="16">
        <v>0</v>
      </c>
      <c r="O22" s="16">
        <f t="shared" si="8"/>
        <v>0</v>
      </c>
      <c r="P22" s="16">
        <f t="shared" si="9"/>
        <v>0</v>
      </c>
      <c r="Q22" s="16">
        <v>0</v>
      </c>
      <c r="R22" s="16">
        <f t="shared" si="10"/>
        <v>0</v>
      </c>
      <c r="S22" s="16">
        <f t="shared" si="11"/>
        <v>0</v>
      </c>
    </row>
    <row r="23" spans="1:19" x14ac:dyDescent="0.3">
      <c r="A23" s="65">
        <v>20180129</v>
      </c>
      <c r="B23" s="65" t="s">
        <v>88</v>
      </c>
      <c r="C23" s="158">
        <f t="shared" si="0"/>
        <v>127354912.42159337</v>
      </c>
      <c r="D23" s="158">
        <f t="shared" si="1"/>
        <v>6.579223866575637E-2</v>
      </c>
      <c r="E23" s="66">
        <v>51220</v>
      </c>
      <c r="F23" s="16">
        <f t="shared" si="2"/>
        <v>0.4</v>
      </c>
      <c r="G23" s="16">
        <f t="shared" si="3"/>
        <v>784.00627205017645</v>
      </c>
      <c r="H23" s="66">
        <v>322540</v>
      </c>
      <c r="I23" s="16">
        <f t="shared" si="4"/>
        <v>0.6</v>
      </c>
      <c r="J23" s="16">
        <f t="shared" si="5"/>
        <v>270.34820849253839</v>
      </c>
      <c r="K23" s="66">
        <v>284596</v>
      </c>
      <c r="L23" s="16">
        <f t="shared" si="6"/>
        <v>0</v>
      </c>
      <c r="M23" s="16">
        <f t="shared" si="7"/>
        <v>0</v>
      </c>
      <c r="N23" s="16">
        <v>0</v>
      </c>
      <c r="O23" s="16">
        <f t="shared" si="8"/>
        <v>0</v>
      </c>
      <c r="P23" s="16">
        <f t="shared" si="9"/>
        <v>0</v>
      </c>
      <c r="Q23" s="16">
        <v>0</v>
      </c>
      <c r="R23" s="16">
        <f t="shared" si="10"/>
        <v>0</v>
      </c>
      <c r="S23" s="16">
        <f t="shared" si="11"/>
        <v>0</v>
      </c>
    </row>
    <row r="24" spans="1:19" x14ac:dyDescent="0.3">
      <c r="A24" s="65">
        <v>20180130</v>
      </c>
      <c r="B24" s="65" t="s">
        <v>88</v>
      </c>
      <c r="C24" s="158">
        <f t="shared" si="0"/>
        <v>125790142.00709958</v>
      </c>
      <c r="D24" s="158">
        <f t="shared" si="1"/>
        <v>-1.2286690672078647E-2</v>
      </c>
      <c r="E24" s="66">
        <v>49800</v>
      </c>
      <c r="F24" s="16">
        <f t="shared" si="2"/>
        <v>0.4</v>
      </c>
      <c r="G24" s="16">
        <f t="shared" si="3"/>
        <v>784.00627205017645</v>
      </c>
      <c r="H24" s="66">
        <v>320870</v>
      </c>
      <c r="I24" s="16">
        <f t="shared" si="4"/>
        <v>0.6</v>
      </c>
      <c r="J24" s="16">
        <f t="shared" si="5"/>
        <v>270.34820849253839</v>
      </c>
      <c r="K24" s="66">
        <v>284890</v>
      </c>
      <c r="L24" s="16">
        <f t="shared" si="6"/>
        <v>0</v>
      </c>
      <c r="M24" s="16">
        <f t="shared" si="7"/>
        <v>0</v>
      </c>
      <c r="N24" s="16">
        <v>0</v>
      </c>
      <c r="O24" s="16">
        <f t="shared" si="8"/>
        <v>0</v>
      </c>
      <c r="P24" s="16">
        <f t="shared" si="9"/>
        <v>0</v>
      </c>
      <c r="Q24" s="16">
        <v>0</v>
      </c>
      <c r="R24" s="16">
        <f t="shared" si="10"/>
        <v>0</v>
      </c>
      <c r="S24" s="16">
        <f t="shared" si="11"/>
        <v>0</v>
      </c>
    </row>
    <row r="25" spans="1:19" x14ac:dyDescent="0.3">
      <c r="A25" s="65">
        <v>20180131</v>
      </c>
      <c r="B25" s="65" t="s">
        <v>88</v>
      </c>
      <c r="C25" s="158">
        <f t="shared" si="0"/>
        <v>122973383.66955802</v>
      </c>
      <c r="D25" s="158">
        <f t="shared" si="1"/>
        <v>-2.2392520531398938E-2</v>
      </c>
      <c r="E25" s="66">
        <v>49900</v>
      </c>
      <c r="F25" s="16">
        <f t="shared" si="2"/>
        <v>0.4</v>
      </c>
      <c r="G25" s="16">
        <f t="shared" si="3"/>
        <v>784.00627205017645</v>
      </c>
      <c r="H25" s="66">
        <v>310161</v>
      </c>
      <c r="I25" s="16">
        <f t="shared" si="4"/>
        <v>0.6</v>
      </c>
      <c r="J25" s="16">
        <f t="shared" si="5"/>
        <v>270.34820849253839</v>
      </c>
      <c r="K25" s="66">
        <v>262024</v>
      </c>
      <c r="L25" s="16">
        <f t="shared" si="6"/>
        <v>0</v>
      </c>
      <c r="M25" s="16">
        <f t="shared" si="7"/>
        <v>0</v>
      </c>
      <c r="N25" s="16">
        <v>0</v>
      </c>
      <c r="O25" s="16">
        <f t="shared" si="8"/>
        <v>0</v>
      </c>
      <c r="P25" s="16">
        <f t="shared" si="9"/>
        <v>0</v>
      </c>
      <c r="Q25" s="16">
        <v>0</v>
      </c>
      <c r="R25" s="16">
        <f t="shared" si="10"/>
        <v>0</v>
      </c>
      <c r="S25" s="16">
        <f t="shared" si="11"/>
        <v>0</v>
      </c>
    </row>
    <row r="26" spans="1:19" x14ac:dyDescent="0.3">
      <c r="A26" s="65">
        <v>20180201</v>
      </c>
      <c r="B26" s="65" t="s">
        <v>88</v>
      </c>
      <c r="C26" s="158">
        <f t="shared" si="0"/>
        <v>118687553.80293205</v>
      </c>
      <c r="D26" s="158">
        <f t="shared" si="1"/>
        <v>-3.4851686915783539E-2</v>
      </c>
      <c r="E26" s="66">
        <v>49820</v>
      </c>
      <c r="F26" s="16">
        <f t="shared" si="2"/>
        <v>0.4</v>
      </c>
      <c r="G26" s="16">
        <f t="shared" si="3"/>
        <v>784.00627205017645</v>
      </c>
      <c r="H26" s="66">
        <v>294540</v>
      </c>
      <c r="I26" s="16">
        <f t="shared" si="4"/>
        <v>0.6</v>
      </c>
      <c r="J26" s="16">
        <f t="shared" si="5"/>
        <v>270.34820849253839</v>
      </c>
      <c r="K26" s="66">
        <v>240827</v>
      </c>
      <c r="L26" s="16">
        <f t="shared" si="6"/>
        <v>0</v>
      </c>
      <c r="M26" s="16">
        <f t="shared" si="7"/>
        <v>0</v>
      </c>
      <c r="N26" s="16">
        <v>0</v>
      </c>
      <c r="O26" s="16">
        <f t="shared" si="8"/>
        <v>0</v>
      </c>
      <c r="P26" s="16">
        <f t="shared" si="9"/>
        <v>0</v>
      </c>
      <c r="Q26" s="16">
        <v>0</v>
      </c>
      <c r="R26" s="16">
        <f t="shared" si="10"/>
        <v>0</v>
      </c>
      <c r="S26" s="16">
        <f t="shared" si="11"/>
        <v>0</v>
      </c>
    </row>
    <row r="27" spans="1:19" x14ac:dyDescent="0.3">
      <c r="A27" s="65">
        <v>20180202</v>
      </c>
      <c r="B27" s="65" t="s">
        <v>88</v>
      </c>
      <c r="C27" s="158">
        <f t="shared" si="0"/>
        <v>117450447.88993594</v>
      </c>
      <c r="D27" s="158">
        <f t="shared" si="1"/>
        <v>-1.0423215184383992E-2</v>
      </c>
      <c r="E27" s="66">
        <v>47700</v>
      </c>
      <c r="F27" s="16">
        <f t="shared" si="2"/>
        <v>0.4</v>
      </c>
      <c r="G27" s="16">
        <f t="shared" si="3"/>
        <v>784.00627205017645</v>
      </c>
      <c r="H27" s="66">
        <v>296112</v>
      </c>
      <c r="I27" s="16">
        <f t="shared" si="4"/>
        <v>0.6</v>
      </c>
      <c r="J27" s="16">
        <f t="shared" si="5"/>
        <v>270.34820849253839</v>
      </c>
      <c r="K27" s="66">
        <v>248580</v>
      </c>
      <c r="L27" s="16">
        <f t="shared" si="6"/>
        <v>0</v>
      </c>
      <c r="M27" s="16">
        <f t="shared" si="7"/>
        <v>0</v>
      </c>
      <c r="N27" s="16">
        <v>0</v>
      </c>
      <c r="O27" s="16">
        <f t="shared" si="8"/>
        <v>0</v>
      </c>
      <c r="P27" s="16">
        <f t="shared" si="9"/>
        <v>0</v>
      </c>
      <c r="Q27" s="16">
        <v>0</v>
      </c>
      <c r="R27" s="16">
        <f t="shared" si="10"/>
        <v>0</v>
      </c>
      <c r="S27" s="16">
        <f t="shared" si="11"/>
        <v>0</v>
      </c>
    </row>
    <row r="28" spans="1:19" x14ac:dyDescent="0.3">
      <c r="A28" s="65">
        <v>20180205</v>
      </c>
      <c r="B28" s="65" t="s">
        <v>88</v>
      </c>
      <c r="C28" s="158">
        <f t="shared" si="0"/>
        <v>113532560.87529488</v>
      </c>
      <c r="D28" s="158">
        <f t="shared" si="1"/>
        <v>-3.3357786922298967E-2</v>
      </c>
      <c r="E28" s="66">
        <v>47920</v>
      </c>
      <c r="F28" s="16">
        <f t="shared" si="2"/>
        <v>0.4</v>
      </c>
      <c r="G28" s="16">
        <f t="shared" si="3"/>
        <v>784.00627205017645</v>
      </c>
      <c r="H28" s="66">
        <v>280982</v>
      </c>
      <c r="I28" s="16">
        <f t="shared" si="4"/>
        <v>0.6</v>
      </c>
      <c r="J28" s="16">
        <f t="shared" si="5"/>
        <v>270.34820849253839</v>
      </c>
      <c r="K28" s="66">
        <v>211975</v>
      </c>
      <c r="L28" s="16">
        <f t="shared" si="6"/>
        <v>0</v>
      </c>
      <c r="M28" s="16">
        <f t="shared" si="7"/>
        <v>0</v>
      </c>
      <c r="N28" s="16">
        <v>0</v>
      </c>
      <c r="O28" s="16">
        <f t="shared" si="8"/>
        <v>0</v>
      </c>
      <c r="P28" s="16">
        <f t="shared" si="9"/>
        <v>0</v>
      </c>
      <c r="Q28" s="16">
        <v>0</v>
      </c>
      <c r="R28" s="16">
        <f t="shared" si="10"/>
        <v>0</v>
      </c>
      <c r="S28" s="16">
        <f t="shared" si="11"/>
        <v>0</v>
      </c>
    </row>
    <row r="29" spans="1:19" x14ac:dyDescent="0.3">
      <c r="A29" s="65">
        <v>20180206</v>
      </c>
      <c r="B29" s="65" t="s">
        <v>88</v>
      </c>
      <c r="C29" s="158">
        <f t="shared" si="0"/>
        <v>112662582.10665499</v>
      </c>
      <c r="D29" s="158">
        <f t="shared" si="1"/>
        <v>-7.6628128700054988E-3</v>
      </c>
      <c r="E29" s="66">
        <v>47420</v>
      </c>
      <c r="F29" s="16">
        <f t="shared" si="2"/>
        <v>0.4</v>
      </c>
      <c r="G29" s="16">
        <f t="shared" si="3"/>
        <v>784.00627205017645</v>
      </c>
      <c r="H29" s="66">
        <v>279214</v>
      </c>
      <c r="I29" s="16">
        <f t="shared" si="4"/>
        <v>0.6</v>
      </c>
      <c r="J29" s="16">
        <f t="shared" si="5"/>
        <v>270.34820849253839</v>
      </c>
      <c r="K29" s="66">
        <v>226891</v>
      </c>
      <c r="L29" s="16">
        <f t="shared" si="6"/>
        <v>0</v>
      </c>
      <c r="M29" s="16">
        <f t="shared" si="7"/>
        <v>0</v>
      </c>
      <c r="N29" s="16">
        <v>0</v>
      </c>
      <c r="O29" s="16">
        <f t="shared" si="8"/>
        <v>0</v>
      </c>
      <c r="P29" s="16">
        <f t="shared" si="9"/>
        <v>0</v>
      </c>
      <c r="Q29" s="16">
        <v>0</v>
      </c>
      <c r="R29" s="16">
        <f t="shared" si="10"/>
        <v>0</v>
      </c>
      <c r="S29" s="16">
        <f t="shared" si="11"/>
        <v>0</v>
      </c>
    </row>
    <row r="30" spans="1:19" x14ac:dyDescent="0.3">
      <c r="A30" s="65">
        <v>20180207</v>
      </c>
      <c r="B30" s="65" t="s">
        <v>88</v>
      </c>
      <c r="C30" s="158">
        <f t="shared" si="0"/>
        <v>103902224.48143943</v>
      </c>
      <c r="D30" s="158">
        <f t="shared" si="1"/>
        <v>-7.7757472458090282E-2</v>
      </c>
      <c r="E30" s="66">
        <v>45800</v>
      </c>
      <c r="F30" s="16">
        <f t="shared" si="2"/>
        <v>0.4</v>
      </c>
      <c r="G30" s="16">
        <f t="shared" si="3"/>
        <v>784.00627205017645</v>
      </c>
      <c r="H30" s="66">
        <v>251508</v>
      </c>
      <c r="I30" s="16">
        <f t="shared" si="4"/>
        <v>0.6</v>
      </c>
      <c r="J30" s="16">
        <f t="shared" si="5"/>
        <v>270.34820849253839</v>
      </c>
      <c r="K30" s="66">
        <v>206086</v>
      </c>
      <c r="L30" s="16">
        <f t="shared" si="6"/>
        <v>0</v>
      </c>
      <c r="M30" s="16">
        <f t="shared" si="7"/>
        <v>0</v>
      </c>
      <c r="N30" s="16">
        <v>0</v>
      </c>
      <c r="O30" s="16">
        <f t="shared" si="8"/>
        <v>0</v>
      </c>
      <c r="P30" s="16">
        <f t="shared" si="9"/>
        <v>0</v>
      </c>
      <c r="Q30" s="16">
        <v>0</v>
      </c>
      <c r="R30" s="16">
        <f t="shared" si="10"/>
        <v>0</v>
      </c>
      <c r="S30" s="16">
        <f t="shared" si="11"/>
        <v>0</v>
      </c>
    </row>
    <row r="31" spans="1:19" x14ac:dyDescent="0.3">
      <c r="A31" s="65">
        <v>20180208</v>
      </c>
      <c r="B31" s="65" t="s">
        <v>88</v>
      </c>
      <c r="C31" s="158">
        <f t="shared" si="0"/>
        <v>108149394.13034156</v>
      </c>
      <c r="D31" s="158">
        <f t="shared" si="1"/>
        <v>4.0876599804278747E-2</v>
      </c>
      <c r="E31" s="152">
        <v>46000</v>
      </c>
      <c r="F31" s="16">
        <f t="shared" si="2"/>
        <v>0.4</v>
      </c>
      <c r="G31" s="16">
        <f t="shared" si="3"/>
        <v>784.00627205017645</v>
      </c>
      <c r="H31" s="66">
        <v>266638</v>
      </c>
      <c r="I31" s="16">
        <f t="shared" si="4"/>
        <v>0.6</v>
      </c>
      <c r="J31" s="16">
        <f t="shared" si="5"/>
        <v>270.34820849253839</v>
      </c>
      <c r="K31" s="66">
        <v>216685</v>
      </c>
      <c r="L31" s="16">
        <f t="shared" si="6"/>
        <v>0</v>
      </c>
      <c r="M31" s="16">
        <f t="shared" si="7"/>
        <v>0</v>
      </c>
      <c r="N31" s="16">
        <v>0</v>
      </c>
      <c r="O31" s="16">
        <f t="shared" si="8"/>
        <v>0</v>
      </c>
      <c r="P31" s="16">
        <f t="shared" si="9"/>
        <v>0</v>
      </c>
      <c r="Q31" s="16">
        <v>0</v>
      </c>
      <c r="R31" s="16">
        <f t="shared" si="10"/>
        <v>0</v>
      </c>
      <c r="S31" s="16">
        <f t="shared" si="11"/>
        <v>0</v>
      </c>
    </row>
    <row r="32" spans="1:19" x14ac:dyDescent="0.3">
      <c r="A32" s="65">
        <v>20180209</v>
      </c>
      <c r="B32" s="65" t="s">
        <v>88</v>
      </c>
      <c r="C32" s="158">
        <f t="shared" si="0"/>
        <v>111539294.90898114</v>
      </c>
      <c r="D32" s="158">
        <f t="shared" si="1"/>
        <v>3.1344611829762808E-2</v>
      </c>
      <c r="E32" s="66">
        <v>44700</v>
      </c>
      <c r="F32" s="16">
        <f t="shared" si="2"/>
        <v>0.4</v>
      </c>
      <c r="G32" s="16">
        <f t="shared" si="3"/>
        <v>784.00627205017645</v>
      </c>
      <c r="H32" s="70">
        <v>282947</v>
      </c>
      <c r="I32" s="16">
        <f t="shared" si="4"/>
        <v>0.6</v>
      </c>
      <c r="J32" s="16">
        <f t="shared" si="5"/>
        <v>270.34820849253839</v>
      </c>
      <c r="K32" s="66">
        <v>200100</v>
      </c>
      <c r="L32" s="16">
        <f t="shared" si="6"/>
        <v>0</v>
      </c>
      <c r="M32" s="16">
        <f t="shared" si="7"/>
        <v>0</v>
      </c>
      <c r="N32" s="16">
        <v>0</v>
      </c>
      <c r="O32" s="16">
        <f t="shared" si="8"/>
        <v>0</v>
      </c>
      <c r="P32" s="16">
        <f t="shared" si="9"/>
        <v>0</v>
      </c>
      <c r="Q32" s="16">
        <v>0</v>
      </c>
      <c r="R32" s="16">
        <f t="shared" si="10"/>
        <v>0</v>
      </c>
      <c r="S32" s="16">
        <f t="shared" si="11"/>
        <v>0</v>
      </c>
    </row>
    <row r="33" spans="1:19" x14ac:dyDescent="0.3">
      <c r="A33" s="65">
        <v>20180212</v>
      </c>
      <c r="B33" s="65" t="s">
        <v>88</v>
      </c>
      <c r="C33" s="158">
        <f t="shared" si="0"/>
        <v>116190091.53644854</v>
      </c>
      <c r="D33" s="158">
        <f t="shared" si="1"/>
        <v>4.1696485810337608E-2</v>
      </c>
      <c r="E33" s="66">
        <v>45720</v>
      </c>
      <c r="F33" s="16">
        <f t="shared" si="2"/>
        <v>0.4</v>
      </c>
      <c r="G33" s="16">
        <f t="shared" si="3"/>
        <v>784.00627205017645</v>
      </c>
      <c r="H33" s="66">
        <v>297192</v>
      </c>
      <c r="I33" s="16">
        <f t="shared" si="4"/>
        <v>0.6</v>
      </c>
      <c r="J33" s="16">
        <f t="shared" si="5"/>
        <v>270.34820849253839</v>
      </c>
      <c r="K33" s="66">
        <v>212465</v>
      </c>
      <c r="L33" s="16">
        <f t="shared" si="6"/>
        <v>0</v>
      </c>
      <c r="M33" s="16">
        <f t="shared" si="7"/>
        <v>0</v>
      </c>
      <c r="N33" s="16">
        <v>0</v>
      </c>
      <c r="O33" s="16">
        <f t="shared" si="8"/>
        <v>0</v>
      </c>
      <c r="P33" s="16">
        <f t="shared" si="9"/>
        <v>0</v>
      </c>
      <c r="Q33" s="16">
        <v>0</v>
      </c>
      <c r="R33" s="16">
        <f t="shared" si="10"/>
        <v>0</v>
      </c>
      <c r="S33" s="16">
        <f t="shared" si="11"/>
        <v>0</v>
      </c>
    </row>
    <row r="34" spans="1:19" x14ac:dyDescent="0.3">
      <c r="A34" s="65">
        <v>20180213</v>
      </c>
      <c r="B34" s="65" t="s">
        <v>88</v>
      </c>
      <c r="C34" s="158">
        <f t="shared" si="0"/>
        <v>115359575.41066715</v>
      </c>
      <c r="D34" s="158">
        <f t="shared" si="1"/>
        <v>-7.1479083525883644E-3</v>
      </c>
      <c r="E34" s="66">
        <v>47540</v>
      </c>
      <c r="F34" s="16">
        <f t="shared" si="2"/>
        <v>0.4</v>
      </c>
      <c r="G34" s="16">
        <f t="shared" si="3"/>
        <v>784.00627205017645</v>
      </c>
      <c r="H34" s="66">
        <v>288842</v>
      </c>
      <c r="I34" s="16">
        <f t="shared" si="4"/>
        <v>0.6</v>
      </c>
      <c r="J34" s="16">
        <f t="shared" si="5"/>
        <v>270.34820849253839</v>
      </c>
      <c r="K34" s="66">
        <v>196469</v>
      </c>
      <c r="L34" s="16">
        <f t="shared" si="6"/>
        <v>0</v>
      </c>
      <c r="M34" s="16">
        <f t="shared" si="7"/>
        <v>0</v>
      </c>
      <c r="N34" s="16">
        <v>0</v>
      </c>
      <c r="O34" s="16">
        <f t="shared" si="8"/>
        <v>0</v>
      </c>
      <c r="P34" s="16">
        <f t="shared" si="9"/>
        <v>0</v>
      </c>
      <c r="Q34" s="16">
        <v>0</v>
      </c>
      <c r="R34" s="16">
        <f t="shared" si="10"/>
        <v>0</v>
      </c>
      <c r="S34" s="16">
        <f t="shared" si="11"/>
        <v>0</v>
      </c>
    </row>
    <row r="35" spans="1:19" x14ac:dyDescent="0.3">
      <c r="A35" s="65">
        <v>20180214</v>
      </c>
      <c r="B35" s="65" t="s">
        <v>88</v>
      </c>
      <c r="C35" s="158">
        <f t="shared" si="0"/>
        <v>121417803.25721231</v>
      </c>
      <c r="D35" s="158">
        <f t="shared" si="1"/>
        <v>5.2516038005328537E-2</v>
      </c>
      <c r="E35" s="66">
        <v>49000</v>
      </c>
      <c r="F35" s="16">
        <f t="shared" si="2"/>
        <v>0.4</v>
      </c>
      <c r="G35" s="16">
        <f t="shared" si="3"/>
        <v>784.00627205017645</v>
      </c>
      <c r="H35" s="66">
        <v>307017</v>
      </c>
      <c r="I35" s="16">
        <f t="shared" si="4"/>
        <v>0.6</v>
      </c>
      <c r="J35" s="16">
        <f t="shared" si="5"/>
        <v>270.34820849253839</v>
      </c>
      <c r="K35" s="66">
        <v>201768</v>
      </c>
      <c r="L35" s="16">
        <f t="shared" si="6"/>
        <v>0</v>
      </c>
      <c r="M35" s="16">
        <f t="shared" si="7"/>
        <v>0</v>
      </c>
      <c r="N35" s="16">
        <v>0</v>
      </c>
      <c r="O35" s="16">
        <f t="shared" si="8"/>
        <v>0</v>
      </c>
      <c r="P35" s="16">
        <f t="shared" si="9"/>
        <v>0</v>
      </c>
      <c r="Q35" s="16">
        <v>0</v>
      </c>
      <c r="R35" s="16">
        <f t="shared" si="10"/>
        <v>0</v>
      </c>
      <c r="S35" s="16">
        <f t="shared" si="11"/>
        <v>0</v>
      </c>
    </row>
    <row r="36" spans="1:19" x14ac:dyDescent="0.3">
      <c r="A36" s="65">
        <v>20180219</v>
      </c>
      <c r="B36" s="65" t="s">
        <v>88</v>
      </c>
      <c r="C36" s="158">
        <f t="shared" si="0"/>
        <v>121994187.82791686</v>
      </c>
      <c r="D36" s="158">
        <f t="shared" si="1"/>
        <v>4.7471174345292055E-3</v>
      </c>
      <c r="E36" s="66">
        <v>48380</v>
      </c>
      <c r="F36" s="16">
        <f t="shared" si="2"/>
        <v>0.4</v>
      </c>
      <c r="G36" s="16">
        <f t="shared" si="3"/>
        <v>784.00627205017645</v>
      </c>
      <c r="H36" s="66">
        <v>310947</v>
      </c>
      <c r="I36" s="16">
        <f t="shared" si="4"/>
        <v>0.6</v>
      </c>
      <c r="J36" s="16">
        <f t="shared" si="5"/>
        <v>270.34820849253839</v>
      </c>
      <c r="K36" s="66">
        <v>215409</v>
      </c>
      <c r="L36" s="16">
        <f t="shared" si="6"/>
        <v>0</v>
      </c>
      <c r="M36" s="16">
        <f t="shared" si="7"/>
        <v>0</v>
      </c>
      <c r="N36" s="16">
        <v>0</v>
      </c>
      <c r="O36" s="16">
        <f t="shared" si="8"/>
        <v>0</v>
      </c>
      <c r="P36" s="16">
        <f t="shared" si="9"/>
        <v>0</v>
      </c>
      <c r="Q36" s="16">
        <v>0</v>
      </c>
      <c r="R36" s="16">
        <f t="shared" si="10"/>
        <v>0</v>
      </c>
      <c r="S36" s="16">
        <f t="shared" si="11"/>
        <v>0</v>
      </c>
    </row>
    <row r="37" spans="1:19" x14ac:dyDescent="0.3">
      <c r="A37" s="65">
        <v>20180220</v>
      </c>
      <c r="B37" s="65" t="s">
        <v>88</v>
      </c>
      <c r="C37" s="158">
        <f t="shared" si="0"/>
        <v>117905715.33281082</v>
      </c>
      <c r="D37" s="158">
        <f t="shared" si="1"/>
        <v>-3.3513666248372244E-2</v>
      </c>
      <c r="E37" s="66">
        <v>47400</v>
      </c>
      <c r="F37" s="16">
        <f t="shared" si="2"/>
        <v>0.4</v>
      </c>
      <c r="G37" s="16">
        <f t="shared" si="3"/>
        <v>784.00627205017645</v>
      </c>
      <c r="H37" s="66">
        <v>298666</v>
      </c>
      <c r="I37" s="16">
        <f t="shared" si="4"/>
        <v>0.6</v>
      </c>
      <c r="J37" s="16">
        <f t="shared" si="5"/>
        <v>270.34820849253839</v>
      </c>
      <c r="K37" s="66">
        <v>210993</v>
      </c>
      <c r="L37" s="16">
        <f t="shared" si="6"/>
        <v>0</v>
      </c>
      <c r="M37" s="16">
        <f t="shared" si="7"/>
        <v>0</v>
      </c>
      <c r="N37" s="16">
        <v>0</v>
      </c>
      <c r="O37" s="16">
        <f t="shared" si="8"/>
        <v>0</v>
      </c>
      <c r="P37" s="16">
        <f t="shared" si="9"/>
        <v>0</v>
      </c>
      <c r="Q37" s="16">
        <v>0</v>
      </c>
      <c r="R37" s="16">
        <f t="shared" si="10"/>
        <v>0</v>
      </c>
      <c r="S37" s="16">
        <f t="shared" si="11"/>
        <v>0</v>
      </c>
    </row>
    <row r="38" spans="1:19" x14ac:dyDescent="0.3">
      <c r="A38" s="65">
        <v>20180221</v>
      </c>
      <c r="B38" s="65" t="s">
        <v>88</v>
      </c>
      <c r="C38" s="158">
        <f t="shared" si="0"/>
        <v>118741362.06917065</v>
      </c>
      <c r="D38" s="158">
        <f t="shared" si="1"/>
        <v>7.0874150078396644E-3</v>
      </c>
      <c r="E38" s="66">
        <v>47280</v>
      </c>
      <c r="F38" s="16">
        <f t="shared" si="2"/>
        <v>0.4</v>
      </c>
      <c r="G38" s="16">
        <f t="shared" si="3"/>
        <v>784.00627205017645</v>
      </c>
      <c r="H38" s="66">
        <v>302105</v>
      </c>
      <c r="I38" s="16">
        <f t="shared" si="4"/>
        <v>0.6</v>
      </c>
      <c r="J38" s="16">
        <f t="shared" si="5"/>
        <v>270.34820849253839</v>
      </c>
      <c r="K38" s="66">
        <v>217078</v>
      </c>
      <c r="L38" s="16">
        <f t="shared" si="6"/>
        <v>0</v>
      </c>
      <c r="M38" s="16">
        <f t="shared" si="7"/>
        <v>0</v>
      </c>
      <c r="N38" s="16">
        <v>0</v>
      </c>
      <c r="O38" s="16">
        <f t="shared" si="8"/>
        <v>0</v>
      </c>
      <c r="P38" s="16">
        <f t="shared" si="9"/>
        <v>0</v>
      </c>
      <c r="Q38" s="16">
        <v>0</v>
      </c>
      <c r="R38" s="16">
        <f t="shared" si="10"/>
        <v>0</v>
      </c>
      <c r="S38" s="16">
        <f t="shared" si="11"/>
        <v>0</v>
      </c>
    </row>
    <row r="39" spans="1:19" x14ac:dyDescent="0.3">
      <c r="A39" s="65">
        <v>20180222</v>
      </c>
      <c r="B39" s="65" t="s">
        <v>88</v>
      </c>
      <c r="C39" s="158">
        <f t="shared" si="0"/>
        <v>118333678.80770457</v>
      </c>
      <c r="D39" s="158">
        <f t="shared" si="1"/>
        <v>-3.4333719469092608E-3</v>
      </c>
      <c r="E39" s="66">
        <v>46760</v>
      </c>
      <c r="F39" s="16">
        <f t="shared" si="2"/>
        <v>0.4</v>
      </c>
      <c r="G39" s="16">
        <f t="shared" si="3"/>
        <v>784.00627205017645</v>
      </c>
      <c r="H39" s="66">
        <v>302105</v>
      </c>
      <c r="I39" s="16">
        <f t="shared" si="4"/>
        <v>0.6</v>
      </c>
      <c r="J39" s="16">
        <f t="shared" si="5"/>
        <v>270.34820849253839</v>
      </c>
      <c r="K39" s="66">
        <v>215213</v>
      </c>
      <c r="L39" s="16">
        <f t="shared" si="6"/>
        <v>0</v>
      </c>
      <c r="M39" s="16">
        <f t="shared" si="7"/>
        <v>0</v>
      </c>
      <c r="N39" s="16">
        <v>0</v>
      </c>
      <c r="O39" s="16">
        <f t="shared" si="8"/>
        <v>0</v>
      </c>
      <c r="P39" s="16">
        <f t="shared" si="9"/>
        <v>0</v>
      </c>
      <c r="Q39" s="16">
        <v>0</v>
      </c>
      <c r="R39" s="16">
        <f t="shared" si="10"/>
        <v>0</v>
      </c>
      <c r="S39" s="16">
        <f t="shared" si="11"/>
        <v>0</v>
      </c>
    </row>
    <row r="40" spans="1:19" x14ac:dyDescent="0.3">
      <c r="A40" s="65">
        <v>20180223</v>
      </c>
      <c r="B40" s="65" t="s">
        <v>88</v>
      </c>
      <c r="C40" s="158">
        <f t="shared" si="0"/>
        <v>121483233.81165668</v>
      </c>
      <c r="D40" s="158">
        <f t="shared" si="1"/>
        <v>2.6615880074769144E-2</v>
      </c>
      <c r="E40" s="66">
        <v>47220</v>
      </c>
      <c r="F40" s="16">
        <f t="shared" si="2"/>
        <v>0.4</v>
      </c>
      <c r="G40" s="16">
        <f t="shared" si="3"/>
        <v>784.00627205017645</v>
      </c>
      <c r="H40" s="66">
        <v>312421</v>
      </c>
      <c r="I40" s="16">
        <f t="shared" si="4"/>
        <v>0.6</v>
      </c>
      <c r="J40" s="16">
        <f t="shared" si="5"/>
        <v>270.34820849253839</v>
      </c>
      <c r="K40" s="66">
        <v>218550</v>
      </c>
      <c r="L40" s="16">
        <f t="shared" si="6"/>
        <v>0</v>
      </c>
      <c r="M40" s="16">
        <f t="shared" si="7"/>
        <v>0</v>
      </c>
      <c r="N40" s="16">
        <v>0</v>
      </c>
      <c r="O40" s="16">
        <f t="shared" si="8"/>
        <v>0</v>
      </c>
      <c r="P40" s="16">
        <f t="shared" si="9"/>
        <v>0</v>
      </c>
      <c r="Q40" s="16">
        <v>0</v>
      </c>
      <c r="R40" s="16">
        <f t="shared" si="10"/>
        <v>0</v>
      </c>
      <c r="S40" s="16">
        <f t="shared" si="11"/>
        <v>0</v>
      </c>
    </row>
    <row r="41" spans="1:19" x14ac:dyDescent="0.3">
      <c r="A41" s="65">
        <v>20180226</v>
      </c>
      <c r="B41" s="65" t="s">
        <v>88</v>
      </c>
      <c r="C41" s="158">
        <f t="shared" si="0"/>
        <v>123866082.3560974</v>
      </c>
      <c r="D41" s="158">
        <f t="shared" si="1"/>
        <v>1.9614628864218421E-2</v>
      </c>
      <c r="E41" s="66">
        <v>47380</v>
      </c>
      <c r="F41" s="16">
        <f t="shared" si="2"/>
        <v>0.4</v>
      </c>
      <c r="G41" s="16">
        <f t="shared" si="3"/>
        <v>784.00627205017645</v>
      </c>
      <c r="H41" s="66">
        <v>320771</v>
      </c>
      <c r="I41" s="16">
        <f t="shared" si="4"/>
        <v>0.6</v>
      </c>
      <c r="J41" s="16">
        <f t="shared" si="5"/>
        <v>270.34820849253839</v>
      </c>
      <c r="K41" s="66">
        <v>220120</v>
      </c>
      <c r="L41" s="16">
        <f t="shared" si="6"/>
        <v>0</v>
      </c>
      <c r="M41" s="16">
        <f t="shared" si="7"/>
        <v>0</v>
      </c>
      <c r="N41" s="16">
        <v>0</v>
      </c>
      <c r="O41" s="16">
        <f t="shared" si="8"/>
        <v>0</v>
      </c>
      <c r="P41" s="16">
        <f t="shared" si="9"/>
        <v>0</v>
      </c>
      <c r="Q41" s="16">
        <v>0</v>
      </c>
      <c r="R41" s="16">
        <f t="shared" si="10"/>
        <v>0</v>
      </c>
      <c r="S41" s="16">
        <f t="shared" si="11"/>
        <v>0</v>
      </c>
    </row>
    <row r="42" spans="1:19" x14ac:dyDescent="0.3">
      <c r="A42" s="65">
        <v>20180227</v>
      </c>
      <c r="B42" s="65" t="s">
        <v>88</v>
      </c>
      <c r="C42" s="158">
        <f t="shared" si="0"/>
        <v>130373634.08272129</v>
      </c>
      <c r="D42" s="158">
        <f t="shared" si="1"/>
        <v>5.2536994816027242E-2</v>
      </c>
      <c r="E42" s="66">
        <v>47380</v>
      </c>
      <c r="F42" s="16">
        <f t="shared" si="2"/>
        <v>0.4</v>
      </c>
      <c r="G42" s="16">
        <f t="shared" si="3"/>
        <v>784.00627205017645</v>
      </c>
      <c r="H42" s="66">
        <v>344842</v>
      </c>
      <c r="I42" s="16">
        <f t="shared" si="4"/>
        <v>0.6</v>
      </c>
      <c r="J42" s="16">
        <f t="shared" si="5"/>
        <v>270.34820849253839</v>
      </c>
      <c r="K42" s="66">
        <v>221003</v>
      </c>
      <c r="L42" s="16">
        <f t="shared" si="6"/>
        <v>0</v>
      </c>
      <c r="M42" s="16">
        <f t="shared" si="7"/>
        <v>0</v>
      </c>
      <c r="N42" s="16">
        <v>0</v>
      </c>
      <c r="O42" s="16">
        <f t="shared" si="8"/>
        <v>0</v>
      </c>
      <c r="P42" s="16">
        <f t="shared" si="9"/>
        <v>0</v>
      </c>
      <c r="Q42" s="16">
        <v>0</v>
      </c>
      <c r="R42" s="16">
        <f t="shared" si="10"/>
        <v>0</v>
      </c>
      <c r="S42" s="16">
        <f t="shared" si="11"/>
        <v>0</v>
      </c>
    </row>
    <row r="43" spans="1:19" x14ac:dyDescent="0.3">
      <c r="A43" s="65">
        <v>20180228</v>
      </c>
      <c r="B43" s="65" t="s">
        <v>88</v>
      </c>
      <c r="C43" s="158">
        <f t="shared" si="0"/>
        <v>130653986.30535308</v>
      </c>
      <c r="D43" s="158">
        <f t="shared" si="1"/>
        <v>2.1503751475846758E-3</v>
      </c>
      <c r="E43" s="66">
        <v>47060</v>
      </c>
      <c r="F43" s="16">
        <f t="shared" si="2"/>
        <v>0.4</v>
      </c>
      <c r="G43" s="16">
        <f t="shared" si="3"/>
        <v>784.00627205017645</v>
      </c>
      <c r="H43" s="66">
        <v>346807</v>
      </c>
      <c r="I43" s="16">
        <f t="shared" si="4"/>
        <v>0.6</v>
      </c>
      <c r="J43" s="16">
        <f t="shared" si="5"/>
        <v>270.34820849253839</v>
      </c>
      <c r="K43" s="66">
        <v>229639</v>
      </c>
      <c r="L43" s="16">
        <f t="shared" si="6"/>
        <v>0</v>
      </c>
      <c r="M43" s="16">
        <f t="shared" si="7"/>
        <v>0</v>
      </c>
      <c r="N43" s="16">
        <v>0</v>
      </c>
      <c r="O43" s="16">
        <f t="shared" si="8"/>
        <v>0</v>
      </c>
      <c r="P43" s="16">
        <f t="shared" si="9"/>
        <v>0</v>
      </c>
      <c r="Q43" s="16">
        <v>0</v>
      </c>
      <c r="R43" s="16">
        <f t="shared" si="10"/>
        <v>0</v>
      </c>
      <c r="S43" s="16">
        <f t="shared" si="11"/>
        <v>0</v>
      </c>
    </row>
    <row r="44" spans="1:19" x14ac:dyDescent="0.3">
      <c r="A44" s="65">
        <v>20180302</v>
      </c>
      <c r="B44" s="65" t="s">
        <v>88</v>
      </c>
      <c r="C44" s="158">
        <f t="shared" si="0"/>
        <v>134884939.44214261</v>
      </c>
      <c r="D44" s="158">
        <f t="shared" si="1"/>
        <v>3.2382885945028243E-2</v>
      </c>
      <c r="E44" s="66">
        <v>46020</v>
      </c>
      <c r="F44" s="16">
        <f t="shared" si="2"/>
        <v>0.4</v>
      </c>
      <c r="G44" s="16">
        <f t="shared" si="3"/>
        <v>784.00627205017645</v>
      </c>
      <c r="H44" s="66">
        <v>365473</v>
      </c>
      <c r="I44" s="16">
        <f t="shared" si="4"/>
        <v>0.6</v>
      </c>
      <c r="J44" s="16">
        <f t="shared" si="5"/>
        <v>270.34820849253839</v>
      </c>
      <c r="K44" s="66">
        <v>234546</v>
      </c>
      <c r="L44" s="16">
        <f t="shared" si="6"/>
        <v>0</v>
      </c>
      <c r="M44" s="16">
        <f t="shared" si="7"/>
        <v>0</v>
      </c>
      <c r="N44" s="16">
        <v>0</v>
      </c>
      <c r="O44" s="16">
        <f t="shared" si="8"/>
        <v>0</v>
      </c>
      <c r="P44" s="16">
        <f t="shared" si="9"/>
        <v>0</v>
      </c>
      <c r="Q44" s="16">
        <v>0</v>
      </c>
      <c r="R44" s="16">
        <f t="shared" si="10"/>
        <v>0</v>
      </c>
      <c r="S44" s="16">
        <f t="shared" si="11"/>
        <v>0</v>
      </c>
    </row>
    <row r="45" spans="1:19" x14ac:dyDescent="0.3">
      <c r="A45" s="65">
        <v>20180305</v>
      </c>
      <c r="B45" s="65" t="s">
        <v>88</v>
      </c>
      <c r="C45" s="158">
        <f t="shared" si="0"/>
        <v>134640547.55837947</v>
      </c>
      <c r="D45" s="158">
        <f t="shared" si="1"/>
        <v>-1.8118544944594327E-3</v>
      </c>
      <c r="E45" s="66">
        <v>45200</v>
      </c>
      <c r="F45" s="16">
        <f t="shared" si="2"/>
        <v>0.4</v>
      </c>
      <c r="G45" s="16">
        <f t="shared" si="3"/>
        <v>784.00627205017645</v>
      </c>
      <c r="H45" s="66">
        <v>366947</v>
      </c>
      <c r="I45" s="16">
        <f t="shared" si="4"/>
        <v>0.6</v>
      </c>
      <c r="J45" s="16">
        <f t="shared" si="5"/>
        <v>270.34820849253839</v>
      </c>
      <c r="K45" s="66">
        <v>224634</v>
      </c>
      <c r="L45" s="16">
        <f t="shared" si="6"/>
        <v>0</v>
      </c>
      <c r="M45" s="16">
        <f t="shared" si="7"/>
        <v>0</v>
      </c>
      <c r="N45" s="16">
        <v>0</v>
      </c>
      <c r="O45" s="16">
        <f t="shared" si="8"/>
        <v>0</v>
      </c>
      <c r="P45" s="16">
        <f t="shared" si="9"/>
        <v>0</v>
      </c>
      <c r="Q45" s="16">
        <v>0</v>
      </c>
      <c r="R45" s="16">
        <f t="shared" si="10"/>
        <v>0</v>
      </c>
      <c r="S45" s="16">
        <f t="shared" si="11"/>
        <v>0</v>
      </c>
    </row>
    <row r="46" spans="1:19" x14ac:dyDescent="0.3">
      <c r="A46" s="65">
        <v>20180306</v>
      </c>
      <c r="B46" s="65" t="s">
        <v>88</v>
      </c>
      <c r="C46" s="158">
        <f t="shared" si="0"/>
        <v>135137711.48450494</v>
      </c>
      <c r="D46" s="158">
        <f t="shared" si="1"/>
        <v>3.6925275122629683E-3</v>
      </c>
      <c r="E46" s="66">
        <v>47020</v>
      </c>
      <c r="F46" s="16">
        <f t="shared" si="2"/>
        <v>0.4</v>
      </c>
      <c r="G46" s="16">
        <f t="shared" si="3"/>
        <v>784.00627205017645</v>
      </c>
      <c r="H46" s="66">
        <v>363508</v>
      </c>
      <c r="I46" s="16">
        <f t="shared" si="4"/>
        <v>0.6</v>
      </c>
      <c r="J46" s="16">
        <f t="shared" si="5"/>
        <v>270.34820849253839</v>
      </c>
      <c r="K46" s="66">
        <v>232289</v>
      </c>
      <c r="L46" s="16">
        <f t="shared" si="6"/>
        <v>0</v>
      </c>
      <c r="M46" s="16">
        <f t="shared" si="7"/>
        <v>0</v>
      </c>
      <c r="N46" s="16">
        <v>0</v>
      </c>
      <c r="O46" s="16">
        <f t="shared" si="8"/>
        <v>0</v>
      </c>
      <c r="P46" s="16">
        <f t="shared" si="9"/>
        <v>0</v>
      </c>
      <c r="Q46" s="16">
        <v>0</v>
      </c>
      <c r="R46" s="16">
        <f t="shared" si="10"/>
        <v>0</v>
      </c>
      <c r="S46" s="16">
        <f t="shared" si="11"/>
        <v>0</v>
      </c>
    </row>
    <row r="47" spans="1:19" x14ac:dyDescent="0.3">
      <c r="A47" s="65">
        <v>20180307</v>
      </c>
      <c r="B47" s="65" t="s">
        <v>88</v>
      </c>
      <c r="C47" s="158">
        <f t="shared" si="0"/>
        <v>124440027.22233009</v>
      </c>
      <c r="D47" s="158">
        <f t="shared" si="1"/>
        <v>-7.9161354330034323E-2</v>
      </c>
      <c r="E47" s="66">
        <v>48620</v>
      </c>
      <c r="F47" s="16">
        <f t="shared" si="2"/>
        <v>0.4</v>
      </c>
      <c r="G47" s="16">
        <f t="shared" si="3"/>
        <v>784.00627205017645</v>
      </c>
      <c r="H47" s="66">
        <v>319298</v>
      </c>
      <c r="I47" s="16">
        <f t="shared" si="4"/>
        <v>0.6</v>
      </c>
      <c r="J47" s="16">
        <f t="shared" si="5"/>
        <v>270.34820849253839</v>
      </c>
      <c r="K47" s="66">
        <v>219531</v>
      </c>
      <c r="L47" s="16">
        <f t="shared" si="6"/>
        <v>0</v>
      </c>
      <c r="M47" s="16">
        <f t="shared" si="7"/>
        <v>0</v>
      </c>
      <c r="N47" s="16">
        <v>0</v>
      </c>
      <c r="O47" s="16">
        <f t="shared" si="8"/>
        <v>0</v>
      </c>
      <c r="P47" s="16">
        <f t="shared" si="9"/>
        <v>0</v>
      </c>
      <c r="Q47" s="16">
        <v>0</v>
      </c>
      <c r="R47" s="16">
        <f t="shared" si="10"/>
        <v>0</v>
      </c>
      <c r="S47" s="16">
        <f t="shared" si="11"/>
        <v>0</v>
      </c>
    </row>
    <row r="48" spans="1:19" x14ac:dyDescent="0.3">
      <c r="A48" s="65">
        <v>20180308</v>
      </c>
      <c r="B48" s="65" t="s">
        <v>88</v>
      </c>
      <c r="C48" s="158">
        <f t="shared" si="0"/>
        <v>132597241.66828012</v>
      </c>
      <c r="D48" s="158">
        <f t="shared" si="1"/>
        <v>6.5551371435944708E-2</v>
      </c>
      <c r="E48" s="66">
        <v>49200</v>
      </c>
      <c r="F48" s="16">
        <f t="shared" si="2"/>
        <v>0.4</v>
      </c>
      <c r="G48" s="16">
        <f t="shared" si="3"/>
        <v>784.00627205017645</v>
      </c>
      <c r="H48" s="66">
        <v>347789</v>
      </c>
      <c r="I48" s="16">
        <f t="shared" si="4"/>
        <v>0.6</v>
      </c>
      <c r="J48" s="16">
        <f t="shared" si="5"/>
        <v>270.34820849253839</v>
      </c>
      <c r="K48" s="66">
        <v>229934</v>
      </c>
      <c r="L48" s="16">
        <f t="shared" si="6"/>
        <v>0</v>
      </c>
      <c r="M48" s="16">
        <f t="shared" si="7"/>
        <v>0</v>
      </c>
      <c r="N48" s="16">
        <v>0</v>
      </c>
      <c r="O48" s="16">
        <f t="shared" si="8"/>
        <v>0</v>
      </c>
      <c r="P48" s="16">
        <f t="shared" si="9"/>
        <v>0</v>
      </c>
      <c r="Q48" s="16">
        <v>0</v>
      </c>
      <c r="R48" s="16">
        <f t="shared" si="10"/>
        <v>0</v>
      </c>
      <c r="S48" s="16">
        <f t="shared" si="11"/>
        <v>0</v>
      </c>
    </row>
    <row r="49" spans="1:19" x14ac:dyDescent="0.3">
      <c r="A49" s="65">
        <v>20180309</v>
      </c>
      <c r="B49" s="65" t="s">
        <v>88</v>
      </c>
      <c r="C49" s="158">
        <f t="shared" si="0"/>
        <v>125583596.18776599</v>
      </c>
      <c r="D49" s="158">
        <f t="shared" si="1"/>
        <v>-5.2894354303841762E-2</v>
      </c>
      <c r="E49" s="66">
        <v>49740</v>
      </c>
      <c r="F49" s="16">
        <f t="shared" si="2"/>
        <v>0.4</v>
      </c>
      <c r="G49" s="16">
        <f t="shared" si="3"/>
        <v>784.00627205017645</v>
      </c>
      <c r="H49" s="66">
        <v>320280</v>
      </c>
      <c r="I49" s="16">
        <f t="shared" si="4"/>
        <v>0.6</v>
      </c>
      <c r="J49" s="16">
        <f t="shared" si="5"/>
        <v>270.34820849253839</v>
      </c>
      <c r="K49" s="66">
        <v>238668</v>
      </c>
      <c r="L49" s="16">
        <f t="shared" si="6"/>
        <v>0</v>
      </c>
      <c r="M49" s="16">
        <f t="shared" si="7"/>
        <v>0</v>
      </c>
      <c r="N49" s="16">
        <v>0</v>
      </c>
      <c r="O49" s="16">
        <f t="shared" si="8"/>
        <v>0</v>
      </c>
      <c r="P49" s="16">
        <f t="shared" si="9"/>
        <v>0</v>
      </c>
      <c r="Q49" s="16">
        <v>0</v>
      </c>
      <c r="R49" s="16">
        <f t="shared" si="10"/>
        <v>0</v>
      </c>
      <c r="S49" s="16">
        <f t="shared" si="11"/>
        <v>0</v>
      </c>
    </row>
    <row r="50" spans="1:19" x14ac:dyDescent="0.3">
      <c r="A50" s="65">
        <v>20180312</v>
      </c>
      <c r="B50" s="65" t="s">
        <v>88</v>
      </c>
      <c r="C50" s="158">
        <f t="shared" si="0"/>
        <v>124521127.72839031</v>
      </c>
      <c r="D50" s="158">
        <f t="shared" si="1"/>
        <v>-8.4602487237834187E-3</v>
      </c>
      <c r="E50" s="66">
        <v>49740</v>
      </c>
      <c r="F50" s="16">
        <f t="shared" si="2"/>
        <v>0.4</v>
      </c>
      <c r="G50" s="16">
        <f t="shared" si="3"/>
        <v>784.00627205017645</v>
      </c>
      <c r="H50" s="66">
        <v>316350</v>
      </c>
      <c r="I50" s="16">
        <f t="shared" si="4"/>
        <v>0.6</v>
      </c>
      <c r="J50" s="16">
        <f t="shared" si="5"/>
        <v>270.34820849253839</v>
      </c>
      <c r="K50" s="66">
        <v>250542</v>
      </c>
      <c r="L50" s="16">
        <f t="shared" si="6"/>
        <v>0</v>
      </c>
      <c r="M50" s="16">
        <f t="shared" si="7"/>
        <v>0</v>
      </c>
      <c r="N50" s="16">
        <v>0</v>
      </c>
      <c r="O50" s="16">
        <f t="shared" si="8"/>
        <v>0</v>
      </c>
      <c r="P50" s="16">
        <f t="shared" si="9"/>
        <v>0</v>
      </c>
      <c r="Q50" s="16">
        <v>0</v>
      </c>
      <c r="R50" s="16">
        <f t="shared" si="10"/>
        <v>0</v>
      </c>
      <c r="S50" s="16">
        <f t="shared" si="11"/>
        <v>0</v>
      </c>
    </row>
    <row r="51" spans="1:19" x14ac:dyDescent="0.3">
      <c r="A51" s="65">
        <v>20180313</v>
      </c>
      <c r="B51" s="65" t="s">
        <v>88</v>
      </c>
      <c r="C51" s="158">
        <f t="shared" si="0"/>
        <v>123104766.68154778</v>
      </c>
      <c r="D51" s="158">
        <f t="shared" si="1"/>
        <v>-1.1374463696891221E-2</v>
      </c>
      <c r="E51" s="66">
        <v>51660</v>
      </c>
      <c r="F51" s="16">
        <f t="shared" si="2"/>
        <v>0.4</v>
      </c>
      <c r="G51" s="16">
        <f t="shared" si="3"/>
        <v>784.00627205017645</v>
      </c>
      <c r="H51" s="66">
        <v>305543</v>
      </c>
      <c r="I51" s="16">
        <f t="shared" si="4"/>
        <v>0.6</v>
      </c>
      <c r="J51" s="16">
        <f t="shared" si="5"/>
        <v>270.34820849253839</v>
      </c>
      <c r="K51" s="66">
        <v>251229</v>
      </c>
      <c r="L51" s="16">
        <f t="shared" si="6"/>
        <v>0</v>
      </c>
      <c r="M51" s="16">
        <f t="shared" si="7"/>
        <v>0</v>
      </c>
      <c r="N51" s="16">
        <v>0</v>
      </c>
      <c r="O51" s="16">
        <f t="shared" si="8"/>
        <v>0</v>
      </c>
      <c r="P51" s="16">
        <f t="shared" si="9"/>
        <v>0</v>
      </c>
      <c r="Q51" s="16">
        <v>0</v>
      </c>
      <c r="R51" s="16">
        <f t="shared" si="10"/>
        <v>0</v>
      </c>
      <c r="S51" s="16">
        <f t="shared" si="11"/>
        <v>0</v>
      </c>
    </row>
    <row r="52" spans="1:19" x14ac:dyDescent="0.3">
      <c r="A52" s="65">
        <v>20180314</v>
      </c>
      <c r="B52" s="65" t="s">
        <v>88</v>
      </c>
      <c r="C52" s="158">
        <f t="shared" si="0"/>
        <v>121987957.87900728</v>
      </c>
      <c r="D52" s="158">
        <f t="shared" si="1"/>
        <v>-9.0720191642091382E-3</v>
      </c>
      <c r="E52" s="66">
        <v>51760</v>
      </c>
      <c r="F52" s="16">
        <f t="shared" si="2"/>
        <v>0.4</v>
      </c>
      <c r="G52" s="16">
        <f t="shared" si="3"/>
        <v>784.00627205017645</v>
      </c>
      <c r="H52" s="66">
        <v>301122</v>
      </c>
      <c r="I52" s="16">
        <f t="shared" si="4"/>
        <v>0.6</v>
      </c>
      <c r="J52" s="16">
        <f t="shared" si="5"/>
        <v>270.34820849253839</v>
      </c>
      <c r="K52" s="66">
        <v>238962</v>
      </c>
      <c r="L52" s="16">
        <f t="shared" si="6"/>
        <v>0</v>
      </c>
      <c r="M52" s="16">
        <f t="shared" si="7"/>
        <v>0</v>
      </c>
      <c r="N52" s="16">
        <v>0</v>
      </c>
      <c r="O52" s="16">
        <f t="shared" si="8"/>
        <v>0</v>
      </c>
      <c r="P52" s="16">
        <f t="shared" si="9"/>
        <v>0</v>
      </c>
      <c r="Q52" s="16">
        <v>0</v>
      </c>
      <c r="R52" s="16">
        <f t="shared" si="10"/>
        <v>0</v>
      </c>
      <c r="S52" s="16">
        <f t="shared" si="11"/>
        <v>0</v>
      </c>
    </row>
    <row r="53" spans="1:19" x14ac:dyDescent="0.3">
      <c r="A53" s="65">
        <v>20180315</v>
      </c>
      <c r="B53" s="65" t="s">
        <v>88</v>
      </c>
      <c r="C53" s="158">
        <f t="shared" si="0"/>
        <v>126065350.33665895</v>
      </c>
      <c r="D53" s="158">
        <f t="shared" si="1"/>
        <v>3.342454885338602E-2</v>
      </c>
      <c r="E53" s="66">
        <v>51540</v>
      </c>
      <c r="F53" s="16">
        <f t="shared" si="2"/>
        <v>0.4</v>
      </c>
      <c r="G53" s="16">
        <f t="shared" si="3"/>
        <v>784.00627205017645</v>
      </c>
      <c r="H53" s="66">
        <v>316842</v>
      </c>
      <c r="I53" s="16">
        <f t="shared" si="4"/>
        <v>0.6</v>
      </c>
      <c r="J53" s="16">
        <f t="shared" si="5"/>
        <v>270.34820849253839</v>
      </c>
      <c r="K53" s="66">
        <v>235527</v>
      </c>
      <c r="L53" s="16">
        <f t="shared" si="6"/>
        <v>0</v>
      </c>
      <c r="M53" s="16">
        <f t="shared" si="7"/>
        <v>0</v>
      </c>
      <c r="N53" s="16">
        <v>0</v>
      </c>
      <c r="O53" s="16">
        <f t="shared" si="8"/>
        <v>0</v>
      </c>
      <c r="P53" s="16">
        <f t="shared" si="9"/>
        <v>0</v>
      </c>
      <c r="Q53" s="16">
        <v>0</v>
      </c>
      <c r="R53" s="16">
        <f t="shared" si="10"/>
        <v>0</v>
      </c>
      <c r="S53" s="16">
        <f t="shared" si="11"/>
        <v>0</v>
      </c>
    </row>
    <row r="54" spans="1:19" x14ac:dyDescent="0.3">
      <c r="A54" s="65">
        <v>20180316</v>
      </c>
      <c r="B54" s="65" t="s">
        <v>88</v>
      </c>
      <c r="C54" s="158">
        <f t="shared" si="0"/>
        <v>126149970.73894837</v>
      </c>
      <c r="D54" s="158">
        <f t="shared" si="1"/>
        <v>6.7124235218829454E-4</v>
      </c>
      <c r="E54" s="66">
        <v>51140</v>
      </c>
      <c r="F54" s="16">
        <f t="shared" si="2"/>
        <v>0.4</v>
      </c>
      <c r="G54" s="16">
        <f t="shared" si="3"/>
        <v>784.00627205017645</v>
      </c>
      <c r="H54" s="66">
        <v>318315</v>
      </c>
      <c r="I54" s="16">
        <f t="shared" si="4"/>
        <v>0.6</v>
      </c>
      <c r="J54" s="16">
        <f t="shared" si="5"/>
        <v>270.34820849253839</v>
      </c>
      <c r="K54" s="66">
        <v>236509</v>
      </c>
      <c r="L54" s="16">
        <f t="shared" si="6"/>
        <v>0</v>
      </c>
      <c r="M54" s="16">
        <f t="shared" si="7"/>
        <v>0</v>
      </c>
      <c r="N54" s="16">
        <v>0</v>
      </c>
      <c r="O54" s="16">
        <f t="shared" si="8"/>
        <v>0</v>
      </c>
      <c r="P54" s="16">
        <f t="shared" si="9"/>
        <v>0</v>
      </c>
      <c r="Q54" s="16">
        <v>0</v>
      </c>
      <c r="R54" s="16">
        <f t="shared" si="10"/>
        <v>0</v>
      </c>
      <c r="S54" s="16">
        <f t="shared" si="11"/>
        <v>0</v>
      </c>
    </row>
    <row r="55" spans="1:19" x14ac:dyDescent="0.3">
      <c r="A55" s="65">
        <v>20180319</v>
      </c>
      <c r="B55" s="65" t="s">
        <v>88</v>
      </c>
      <c r="C55" s="158">
        <f t="shared" si="0"/>
        <v>124508417.83001295</v>
      </c>
      <c r="D55" s="158">
        <f t="shared" si="1"/>
        <v>-1.301270939120879E-2</v>
      </c>
      <c r="E55" s="66">
        <v>50740</v>
      </c>
      <c r="F55" s="16">
        <f t="shared" si="2"/>
        <v>0.4</v>
      </c>
      <c r="G55" s="16">
        <f t="shared" si="3"/>
        <v>784.00627205017645</v>
      </c>
      <c r="H55" s="66">
        <v>313403</v>
      </c>
      <c r="I55" s="16">
        <f t="shared" si="4"/>
        <v>0.6</v>
      </c>
      <c r="J55" s="16">
        <f t="shared" si="5"/>
        <v>270.34820849253839</v>
      </c>
      <c r="K55" s="66">
        <v>228658</v>
      </c>
      <c r="L55" s="16">
        <f t="shared" si="6"/>
        <v>0</v>
      </c>
      <c r="M55" s="16">
        <f t="shared" si="7"/>
        <v>0</v>
      </c>
      <c r="N55" s="16">
        <v>0</v>
      </c>
      <c r="O55" s="16">
        <f t="shared" si="8"/>
        <v>0</v>
      </c>
      <c r="P55" s="16">
        <f t="shared" si="9"/>
        <v>0</v>
      </c>
      <c r="Q55" s="16">
        <v>0</v>
      </c>
      <c r="R55" s="16">
        <f t="shared" si="10"/>
        <v>0</v>
      </c>
      <c r="S55" s="16">
        <f t="shared" si="11"/>
        <v>0</v>
      </c>
    </row>
    <row r="56" spans="1:19" x14ac:dyDescent="0.3">
      <c r="A56" s="65">
        <v>20180320</v>
      </c>
      <c r="B56" s="65" t="s">
        <v>88</v>
      </c>
      <c r="C56" s="158">
        <f t="shared" si="0"/>
        <v>125798788.20416188</v>
      </c>
      <c r="D56" s="158">
        <f t="shared" si="1"/>
        <v>1.0363719952739527E-2</v>
      </c>
      <c r="E56" s="66">
        <v>51200</v>
      </c>
      <c r="F56" s="16">
        <f t="shared" si="2"/>
        <v>0.4</v>
      </c>
      <c r="G56" s="16">
        <f t="shared" si="3"/>
        <v>784.00627205017645</v>
      </c>
      <c r="H56" s="66">
        <v>316842</v>
      </c>
      <c r="I56" s="16">
        <f t="shared" si="4"/>
        <v>0.6</v>
      </c>
      <c r="J56" s="16">
        <f t="shared" si="5"/>
        <v>270.34820849253839</v>
      </c>
      <c r="K56" s="66">
        <v>236116</v>
      </c>
      <c r="L56" s="16">
        <f t="shared" si="6"/>
        <v>0</v>
      </c>
      <c r="M56" s="16">
        <f t="shared" si="7"/>
        <v>0</v>
      </c>
      <c r="N56" s="16">
        <v>0</v>
      </c>
      <c r="O56" s="16">
        <f t="shared" si="8"/>
        <v>0</v>
      </c>
      <c r="P56" s="16">
        <f t="shared" si="9"/>
        <v>0</v>
      </c>
      <c r="Q56" s="16">
        <v>0</v>
      </c>
      <c r="R56" s="16">
        <f t="shared" si="10"/>
        <v>0</v>
      </c>
      <c r="S56" s="16">
        <f t="shared" si="11"/>
        <v>0</v>
      </c>
    </row>
    <row r="57" spans="1:19" x14ac:dyDescent="0.3">
      <c r="A57" s="65">
        <v>20180321</v>
      </c>
      <c r="B57" s="65" t="s">
        <v>88</v>
      </c>
      <c r="C57" s="158">
        <f t="shared" si="0"/>
        <v>122767374.23689601</v>
      </c>
      <c r="D57" s="158">
        <f t="shared" si="1"/>
        <v>-2.4097322482519619E-2</v>
      </c>
      <c r="E57" s="66">
        <v>51060</v>
      </c>
      <c r="F57" s="16">
        <f t="shared" si="2"/>
        <v>0.4</v>
      </c>
      <c r="G57" s="16">
        <f t="shared" si="3"/>
        <v>784.00627205017645</v>
      </c>
      <c r="H57" s="66">
        <v>306035</v>
      </c>
      <c r="I57" s="16">
        <f t="shared" si="4"/>
        <v>0.6</v>
      </c>
      <c r="J57" s="16">
        <f t="shared" si="5"/>
        <v>270.34820849253839</v>
      </c>
      <c r="K57" s="66">
        <v>236509</v>
      </c>
      <c r="L57" s="16">
        <f t="shared" si="6"/>
        <v>0</v>
      </c>
      <c r="M57" s="16">
        <f t="shared" si="7"/>
        <v>0</v>
      </c>
      <c r="N57" s="16">
        <v>0</v>
      </c>
      <c r="O57" s="16">
        <f t="shared" si="8"/>
        <v>0</v>
      </c>
      <c r="P57" s="16">
        <f t="shared" si="9"/>
        <v>0</v>
      </c>
      <c r="Q57" s="16">
        <v>0</v>
      </c>
      <c r="R57" s="16">
        <f t="shared" si="10"/>
        <v>0</v>
      </c>
      <c r="S57" s="16">
        <f t="shared" si="11"/>
        <v>0</v>
      </c>
    </row>
    <row r="58" spans="1:19" x14ac:dyDescent="0.3">
      <c r="A58" s="65">
        <v>20180322</v>
      </c>
      <c r="B58" s="65" t="s">
        <v>88</v>
      </c>
      <c r="C58" s="158">
        <f t="shared" si="0"/>
        <v>123066106.46382394</v>
      </c>
      <c r="D58" s="158">
        <f t="shared" si="1"/>
        <v>2.4333193471377211E-3</v>
      </c>
      <c r="E58" s="66">
        <v>51780</v>
      </c>
      <c r="F58" s="16">
        <f t="shared" si="2"/>
        <v>0.4</v>
      </c>
      <c r="G58" s="16">
        <f t="shared" si="3"/>
        <v>784.00627205017645</v>
      </c>
      <c r="H58" s="66">
        <v>305052</v>
      </c>
      <c r="I58" s="16">
        <f t="shared" si="4"/>
        <v>0.6</v>
      </c>
      <c r="J58" s="16">
        <f t="shared" si="5"/>
        <v>270.34820849253839</v>
      </c>
      <c r="K58" s="66">
        <v>223653</v>
      </c>
      <c r="L58" s="16">
        <f t="shared" si="6"/>
        <v>0</v>
      </c>
      <c r="M58" s="16">
        <f t="shared" si="7"/>
        <v>0</v>
      </c>
      <c r="N58" s="16">
        <v>0</v>
      </c>
      <c r="O58" s="16">
        <f t="shared" si="8"/>
        <v>0</v>
      </c>
      <c r="P58" s="16">
        <f t="shared" si="9"/>
        <v>0</v>
      </c>
      <c r="Q58" s="16">
        <v>0</v>
      </c>
      <c r="R58" s="16">
        <f t="shared" si="10"/>
        <v>0</v>
      </c>
      <c r="S58" s="16">
        <f t="shared" si="11"/>
        <v>0</v>
      </c>
    </row>
    <row r="59" spans="1:19" x14ac:dyDescent="0.3">
      <c r="A59" s="65">
        <v>20180323</v>
      </c>
      <c r="B59" s="65" t="s">
        <v>88</v>
      </c>
      <c r="C59" s="158">
        <f t="shared" si="0"/>
        <v>118662141.42459157</v>
      </c>
      <c r="D59" s="158">
        <f t="shared" si="1"/>
        <v>-3.5785360939544687E-2</v>
      </c>
      <c r="E59" s="66">
        <v>49720</v>
      </c>
      <c r="F59" s="16">
        <f t="shared" si="2"/>
        <v>0.4</v>
      </c>
      <c r="G59" s="16">
        <f t="shared" si="3"/>
        <v>784.00627205017645</v>
      </c>
      <c r="H59" s="66">
        <v>294736</v>
      </c>
      <c r="I59" s="16">
        <f t="shared" si="4"/>
        <v>0.6</v>
      </c>
      <c r="J59" s="16">
        <f t="shared" si="5"/>
        <v>270.34820849253839</v>
      </c>
      <c r="K59" s="66">
        <v>197745</v>
      </c>
      <c r="L59" s="16">
        <f t="shared" si="6"/>
        <v>0</v>
      </c>
      <c r="M59" s="16">
        <f t="shared" si="7"/>
        <v>0</v>
      </c>
      <c r="N59" s="16">
        <v>0</v>
      </c>
      <c r="O59" s="16">
        <f t="shared" si="8"/>
        <v>0</v>
      </c>
      <c r="P59" s="16">
        <f t="shared" si="9"/>
        <v>0</v>
      </c>
      <c r="Q59" s="16">
        <v>0</v>
      </c>
      <c r="R59" s="16">
        <f t="shared" si="10"/>
        <v>0</v>
      </c>
      <c r="S59" s="16">
        <f t="shared" si="11"/>
        <v>0</v>
      </c>
    </row>
    <row r="60" spans="1:19" x14ac:dyDescent="0.3">
      <c r="A60" s="65">
        <v>20180326</v>
      </c>
      <c r="B60" s="65" t="s">
        <v>88</v>
      </c>
      <c r="C60" s="158">
        <f t="shared" si="0"/>
        <v>119101184.93693967</v>
      </c>
      <c r="D60" s="158">
        <f t="shared" si="1"/>
        <v>3.699945973308662E-3</v>
      </c>
      <c r="E60" s="66">
        <v>50280</v>
      </c>
      <c r="F60" s="16">
        <f t="shared" si="2"/>
        <v>0.4</v>
      </c>
      <c r="G60" s="16">
        <f t="shared" si="3"/>
        <v>784.00627205017645</v>
      </c>
      <c r="H60" s="66">
        <v>294736</v>
      </c>
      <c r="I60" s="16">
        <f t="shared" si="4"/>
        <v>0.6</v>
      </c>
      <c r="J60" s="16">
        <f t="shared" si="5"/>
        <v>270.34820849253839</v>
      </c>
      <c r="K60" s="66">
        <v>204713</v>
      </c>
      <c r="L60" s="16">
        <f t="shared" si="6"/>
        <v>0</v>
      </c>
      <c r="M60" s="16">
        <f t="shared" si="7"/>
        <v>0</v>
      </c>
      <c r="N60" s="16">
        <v>0</v>
      </c>
      <c r="O60" s="16">
        <f t="shared" si="8"/>
        <v>0</v>
      </c>
      <c r="P60" s="16">
        <f t="shared" si="9"/>
        <v>0</v>
      </c>
      <c r="Q60" s="16">
        <v>0</v>
      </c>
      <c r="R60" s="16">
        <f t="shared" si="10"/>
        <v>0</v>
      </c>
      <c r="S60" s="16">
        <f t="shared" si="11"/>
        <v>0</v>
      </c>
    </row>
    <row r="61" spans="1:19" x14ac:dyDescent="0.3">
      <c r="A61" s="65">
        <v>20180327</v>
      </c>
      <c r="B61" s="65" t="s">
        <v>88</v>
      </c>
      <c r="C61" s="158">
        <f t="shared" si="0"/>
        <v>118069266.88489711</v>
      </c>
      <c r="D61" s="158">
        <f t="shared" si="1"/>
        <v>-8.6642131443858163E-3</v>
      </c>
      <c r="E61" s="66">
        <v>49980</v>
      </c>
      <c r="F61" s="16">
        <f t="shared" si="2"/>
        <v>0.4</v>
      </c>
      <c r="G61" s="16">
        <f t="shared" si="3"/>
        <v>784.00627205017645</v>
      </c>
      <c r="H61" s="66">
        <v>291789</v>
      </c>
      <c r="I61" s="16">
        <f t="shared" si="4"/>
        <v>0.6</v>
      </c>
      <c r="J61" s="16">
        <f t="shared" si="5"/>
        <v>270.34820849253839</v>
      </c>
      <c r="K61" s="66">
        <v>209129</v>
      </c>
      <c r="L61" s="16">
        <f t="shared" si="6"/>
        <v>0</v>
      </c>
      <c r="M61" s="16">
        <f t="shared" si="7"/>
        <v>0</v>
      </c>
      <c r="N61" s="16">
        <v>0</v>
      </c>
      <c r="O61" s="16">
        <f t="shared" si="8"/>
        <v>0</v>
      </c>
      <c r="P61" s="16">
        <f t="shared" si="9"/>
        <v>0</v>
      </c>
      <c r="Q61" s="16">
        <v>0</v>
      </c>
      <c r="R61" s="16">
        <f t="shared" si="10"/>
        <v>0</v>
      </c>
      <c r="S61" s="16">
        <f t="shared" si="11"/>
        <v>0</v>
      </c>
    </row>
    <row r="62" spans="1:19" x14ac:dyDescent="0.3">
      <c r="A62" s="65">
        <v>20180328</v>
      </c>
      <c r="B62" s="65" t="s">
        <v>88</v>
      </c>
      <c r="C62" s="158">
        <f t="shared" si="0"/>
        <v>115073813.25649986</v>
      </c>
      <c r="D62" s="158">
        <f t="shared" si="1"/>
        <v>-2.5370307679791489E-2</v>
      </c>
      <c r="E62" s="66">
        <v>48700</v>
      </c>
      <c r="F62" s="16">
        <f t="shared" si="2"/>
        <v>0.4</v>
      </c>
      <c r="G62" s="16">
        <f t="shared" si="3"/>
        <v>784.00627205017645</v>
      </c>
      <c r="H62" s="66">
        <v>284421</v>
      </c>
      <c r="I62" s="16">
        <f t="shared" si="4"/>
        <v>0.6</v>
      </c>
      <c r="J62" s="16">
        <f t="shared" si="5"/>
        <v>270.34820849253839</v>
      </c>
      <c r="K62" s="66">
        <v>208049</v>
      </c>
      <c r="L62" s="16">
        <f t="shared" si="6"/>
        <v>0</v>
      </c>
      <c r="M62" s="16">
        <f t="shared" si="7"/>
        <v>0</v>
      </c>
      <c r="N62" s="16">
        <v>0</v>
      </c>
      <c r="O62" s="16">
        <f t="shared" si="8"/>
        <v>0</v>
      </c>
      <c r="P62" s="16">
        <f t="shared" si="9"/>
        <v>0</v>
      </c>
      <c r="Q62" s="16">
        <v>0</v>
      </c>
      <c r="R62" s="16">
        <f t="shared" si="10"/>
        <v>0</v>
      </c>
      <c r="S62" s="16">
        <f t="shared" si="11"/>
        <v>0</v>
      </c>
    </row>
    <row r="63" spans="1:19" x14ac:dyDescent="0.3">
      <c r="A63" s="65">
        <v>20180329</v>
      </c>
      <c r="B63" s="65" t="s">
        <v>88</v>
      </c>
      <c r="C63" s="158">
        <f t="shared" si="0"/>
        <v>122644372.93783982</v>
      </c>
      <c r="D63" s="158">
        <f t="shared" si="1"/>
        <v>6.5788726966622413E-2</v>
      </c>
      <c r="E63" s="66">
        <v>49040</v>
      </c>
      <c r="F63" s="16">
        <f t="shared" si="2"/>
        <v>0.4</v>
      </c>
      <c r="G63" s="16">
        <f t="shared" si="3"/>
        <v>784.00627205017645</v>
      </c>
      <c r="H63" s="66">
        <v>311438</v>
      </c>
      <c r="I63" s="16">
        <f t="shared" si="4"/>
        <v>0.6</v>
      </c>
      <c r="J63" s="16">
        <f t="shared" si="5"/>
        <v>270.34820849253839</v>
      </c>
      <c r="K63" s="66">
        <v>216881</v>
      </c>
      <c r="L63" s="16">
        <f t="shared" si="6"/>
        <v>0</v>
      </c>
      <c r="M63" s="16">
        <f t="shared" si="7"/>
        <v>0</v>
      </c>
      <c r="N63" s="16">
        <v>0</v>
      </c>
      <c r="O63" s="16">
        <f t="shared" si="8"/>
        <v>0</v>
      </c>
      <c r="P63" s="16">
        <f t="shared" si="9"/>
        <v>0</v>
      </c>
      <c r="Q63" s="16">
        <v>0</v>
      </c>
      <c r="R63" s="16">
        <f t="shared" si="10"/>
        <v>0</v>
      </c>
      <c r="S63" s="16">
        <f t="shared" si="11"/>
        <v>0</v>
      </c>
    </row>
    <row r="64" spans="1:19" x14ac:dyDescent="0.3">
      <c r="A64" s="65">
        <v>20180330</v>
      </c>
      <c r="B64" s="65" t="s">
        <v>88</v>
      </c>
      <c r="C64" s="158">
        <f t="shared" si="0"/>
        <v>120793568.46663584</v>
      </c>
      <c r="D64" s="158">
        <f t="shared" si="1"/>
        <v>-1.5090822569919544E-2</v>
      </c>
      <c r="E64" s="66">
        <v>49220</v>
      </c>
      <c r="F64" s="16">
        <f t="shared" si="2"/>
        <v>0.4</v>
      </c>
      <c r="G64" s="16">
        <f t="shared" si="3"/>
        <v>784.00627205017645</v>
      </c>
      <c r="H64" s="66">
        <v>304070</v>
      </c>
      <c r="I64" s="16">
        <f t="shared" si="4"/>
        <v>0.6</v>
      </c>
      <c r="J64" s="16">
        <f t="shared" si="5"/>
        <v>270.34820849253839</v>
      </c>
      <c r="K64" s="66">
        <v>220709</v>
      </c>
      <c r="L64" s="16">
        <f t="shared" si="6"/>
        <v>0</v>
      </c>
      <c r="M64" s="16">
        <f t="shared" si="7"/>
        <v>0</v>
      </c>
      <c r="N64" s="16">
        <v>0</v>
      </c>
      <c r="O64" s="16">
        <f t="shared" si="8"/>
        <v>0</v>
      </c>
      <c r="P64" s="16">
        <f t="shared" si="9"/>
        <v>0</v>
      </c>
      <c r="Q64" s="16">
        <v>0</v>
      </c>
      <c r="R64" s="16">
        <f t="shared" si="10"/>
        <v>0</v>
      </c>
      <c r="S64" s="16">
        <f t="shared" si="11"/>
        <v>0</v>
      </c>
    </row>
    <row r="65" spans="1:19" x14ac:dyDescent="0.3">
      <c r="A65" s="65">
        <v>20180402</v>
      </c>
      <c r="B65" s="65" t="s">
        <v>88</v>
      </c>
      <c r="C65" s="158">
        <f t="shared" si="0"/>
        <v>118799482.48294804</v>
      </c>
      <c r="D65" s="158">
        <f t="shared" si="1"/>
        <v>-1.6508213218641567E-2</v>
      </c>
      <c r="E65" s="66">
        <v>48540</v>
      </c>
      <c r="F65" s="16">
        <f t="shared" si="2"/>
        <v>0.4</v>
      </c>
      <c r="G65" s="16">
        <f t="shared" si="3"/>
        <v>784.00627205017645</v>
      </c>
      <c r="H65" s="66">
        <v>298666</v>
      </c>
      <c r="I65" s="16">
        <f t="shared" si="4"/>
        <v>0.6</v>
      </c>
      <c r="J65" s="16">
        <f t="shared" si="5"/>
        <v>270.34820849253839</v>
      </c>
      <c r="K65" s="66">
        <v>219826</v>
      </c>
      <c r="L65" s="16">
        <f t="shared" si="6"/>
        <v>0</v>
      </c>
      <c r="M65" s="16">
        <f t="shared" si="7"/>
        <v>0</v>
      </c>
      <c r="N65" s="16">
        <v>0</v>
      </c>
      <c r="O65" s="16">
        <f t="shared" si="8"/>
        <v>0</v>
      </c>
      <c r="P65" s="16">
        <f t="shared" si="9"/>
        <v>0</v>
      </c>
      <c r="Q65" s="16">
        <v>0</v>
      </c>
      <c r="R65" s="16">
        <f t="shared" si="10"/>
        <v>0</v>
      </c>
      <c r="S65" s="16">
        <f t="shared" si="11"/>
        <v>0</v>
      </c>
    </row>
    <row r="66" spans="1:19" x14ac:dyDescent="0.3">
      <c r="A66" s="65">
        <v>20180403</v>
      </c>
      <c r="B66" s="65" t="s">
        <v>88</v>
      </c>
      <c r="C66" s="158">
        <f t="shared" si="0"/>
        <v>117142249.44857162</v>
      </c>
      <c r="D66" s="158">
        <f t="shared" si="1"/>
        <v>-1.3949833784960172E-2</v>
      </c>
      <c r="E66" s="66">
        <v>48120</v>
      </c>
      <c r="F66" s="16">
        <f t="shared" si="2"/>
        <v>0.4</v>
      </c>
      <c r="G66" s="16">
        <f t="shared" si="3"/>
        <v>784.00627205017645</v>
      </c>
      <c r="H66" s="66">
        <v>293754</v>
      </c>
      <c r="I66" s="16">
        <f t="shared" si="4"/>
        <v>0.6</v>
      </c>
      <c r="J66" s="16">
        <f t="shared" si="5"/>
        <v>270.34820849253839</v>
      </c>
      <c r="K66" s="66">
        <v>232878</v>
      </c>
      <c r="L66" s="16">
        <f t="shared" si="6"/>
        <v>0</v>
      </c>
      <c r="M66" s="16">
        <f t="shared" si="7"/>
        <v>0</v>
      </c>
      <c r="N66" s="16">
        <v>0</v>
      </c>
      <c r="O66" s="16">
        <f t="shared" si="8"/>
        <v>0</v>
      </c>
      <c r="P66" s="16">
        <f t="shared" si="9"/>
        <v>0</v>
      </c>
      <c r="Q66" s="16">
        <v>0</v>
      </c>
      <c r="R66" s="16">
        <f t="shared" si="10"/>
        <v>0</v>
      </c>
      <c r="S66" s="16">
        <f t="shared" si="11"/>
        <v>0</v>
      </c>
    </row>
    <row r="67" spans="1:19" x14ac:dyDescent="0.3">
      <c r="A67" s="65">
        <v>20180404</v>
      </c>
      <c r="B67" s="65" t="s">
        <v>88</v>
      </c>
      <c r="C67" s="158">
        <f t="shared" si="0"/>
        <v>114873491.52199605</v>
      </c>
      <c r="D67" s="158">
        <f t="shared" si="1"/>
        <v>-1.9367546186413405E-2</v>
      </c>
      <c r="E67" s="66">
        <v>46920</v>
      </c>
      <c r="F67" s="16">
        <f t="shared" si="2"/>
        <v>0.4</v>
      </c>
      <c r="G67" s="16">
        <f t="shared" si="3"/>
        <v>784.00627205017645</v>
      </c>
      <c r="H67" s="66">
        <v>288842</v>
      </c>
      <c r="I67" s="16">
        <f t="shared" si="4"/>
        <v>0.6</v>
      </c>
      <c r="J67" s="16">
        <f t="shared" si="5"/>
        <v>270.34820849253839</v>
      </c>
      <c r="K67" s="66">
        <v>237098</v>
      </c>
      <c r="L67" s="16">
        <f t="shared" si="6"/>
        <v>0</v>
      </c>
      <c r="M67" s="16">
        <f t="shared" si="7"/>
        <v>0</v>
      </c>
      <c r="N67" s="16">
        <v>0</v>
      </c>
      <c r="O67" s="16">
        <f t="shared" si="8"/>
        <v>0</v>
      </c>
      <c r="P67" s="16">
        <f t="shared" si="9"/>
        <v>0</v>
      </c>
      <c r="Q67" s="16">
        <v>0</v>
      </c>
      <c r="R67" s="16">
        <f t="shared" si="10"/>
        <v>0</v>
      </c>
      <c r="S67" s="16">
        <f t="shared" si="11"/>
        <v>0</v>
      </c>
    </row>
    <row r="68" spans="1:19" x14ac:dyDescent="0.3">
      <c r="A68" s="65">
        <v>20180405</v>
      </c>
      <c r="B68" s="65" t="s">
        <v>88</v>
      </c>
      <c r="C68" s="158">
        <f t="shared" si="0"/>
        <v>116565864.87786704</v>
      </c>
      <c r="D68" s="158">
        <f t="shared" si="1"/>
        <v>1.4732496883730005E-2</v>
      </c>
      <c r="E68" s="66">
        <v>48740</v>
      </c>
      <c r="F68" s="16">
        <f t="shared" si="2"/>
        <v>0.4</v>
      </c>
      <c r="G68" s="16">
        <f t="shared" si="3"/>
        <v>784.00627205017645</v>
      </c>
      <c r="H68" s="66">
        <v>289824</v>
      </c>
      <c r="I68" s="16">
        <f t="shared" si="4"/>
        <v>0.6</v>
      </c>
      <c r="J68" s="16">
        <f t="shared" si="5"/>
        <v>270.34820849253839</v>
      </c>
      <c r="K68" s="66">
        <v>235920</v>
      </c>
      <c r="L68" s="16">
        <f t="shared" si="6"/>
        <v>0</v>
      </c>
      <c r="M68" s="16">
        <f t="shared" si="7"/>
        <v>0</v>
      </c>
      <c r="N68" s="16">
        <v>0</v>
      </c>
      <c r="O68" s="16">
        <f t="shared" si="8"/>
        <v>0</v>
      </c>
      <c r="P68" s="16">
        <f t="shared" si="9"/>
        <v>0</v>
      </c>
      <c r="Q68" s="16">
        <v>0</v>
      </c>
      <c r="R68" s="16">
        <f t="shared" si="10"/>
        <v>0</v>
      </c>
      <c r="S68" s="16">
        <f t="shared" si="11"/>
        <v>0</v>
      </c>
    </row>
    <row r="69" spans="1:19" x14ac:dyDescent="0.3">
      <c r="A69" s="65">
        <v>20180406</v>
      </c>
      <c r="B69" s="65" t="s">
        <v>88</v>
      </c>
      <c r="C69" s="158">
        <f t="shared" ref="C69:C132" si="12">E69*G69+H69*J69+K69*M69+N69*P69+Q69*S69</f>
        <v>115502586.57494247</v>
      </c>
      <c r="D69" s="158">
        <f t="shared" si="1"/>
        <v>-9.121695309674346E-3</v>
      </c>
      <c r="E69" s="66">
        <v>48400</v>
      </c>
      <c r="F69" s="16">
        <f t="shared" si="2"/>
        <v>0.4</v>
      </c>
      <c r="G69" s="16">
        <f t="shared" si="3"/>
        <v>784.00627205017645</v>
      </c>
      <c r="H69" s="66">
        <v>286877</v>
      </c>
      <c r="I69" s="16">
        <f t="shared" si="4"/>
        <v>0.6</v>
      </c>
      <c r="J69" s="16">
        <f t="shared" si="5"/>
        <v>270.34820849253839</v>
      </c>
      <c r="K69" s="66">
        <v>237098</v>
      </c>
      <c r="L69" s="16">
        <f t="shared" si="6"/>
        <v>0</v>
      </c>
      <c r="M69" s="16">
        <f t="shared" si="7"/>
        <v>0</v>
      </c>
      <c r="N69" s="16">
        <v>0</v>
      </c>
      <c r="O69" s="16">
        <f t="shared" si="8"/>
        <v>0</v>
      </c>
      <c r="P69" s="16">
        <f t="shared" si="9"/>
        <v>0</v>
      </c>
      <c r="Q69" s="16">
        <v>0</v>
      </c>
      <c r="R69" s="16">
        <f t="shared" si="10"/>
        <v>0</v>
      </c>
      <c r="S69" s="16">
        <f t="shared" si="11"/>
        <v>0</v>
      </c>
    </row>
    <row r="70" spans="1:19" x14ac:dyDescent="0.3">
      <c r="A70" s="65">
        <v>20180409</v>
      </c>
      <c r="B70" s="65" t="s">
        <v>88</v>
      </c>
      <c r="C70" s="158">
        <f t="shared" si="12"/>
        <v>119848160.85218899</v>
      </c>
      <c r="D70" s="158">
        <f t="shared" ref="D70:D133" si="13">(C70-C69)/C69</f>
        <v>3.7623177160859042E-2</v>
      </c>
      <c r="E70" s="66">
        <v>49200</v>
      </c>
      <c r="F70" s="16">
        <f t="shared" ref="F70:F124" si="14">$F$4</f>
        <v>0.4</v>
      </c>
      <c r="G70" s="16">
        <f t="shared" ref="G70:G124" si="15">$G$4</f>
        <v>784.00627205017645</v>
      </c>
      <c r="H70" s="66">
        <v>300631</v>
      </c>
      <c r="I70" s="16">
        <f t="shared" ref="I70:I124" si="16">$I$4</f>
        <v>0.6</v>
      </c>
      <c r="J70" s="16">
        <f t="shared" ref="J70:J124" si="17">$J$4</f>
        <v>270.34820849253839</v>
      </c>
      <c r="K70" s="66">
        <v>250346</v>
      </c>
      <c r="L70" s="16">
        <f t="shared" ref="L70:L124" si="18">$L$4</f>
        <v>0</v>
      </c>
      <c r="M70" s="16">
        <f t="shared" ref="M70:M124" si="19">$M$4</f>
        <v>0</v>
      </c>
      <c r="N70" s="16">
        <v>0</v>
      </c>
      <c r="O70" s="16">
        <f t="shared" ref="O70:O124" si="20">$O$4</f>
        <v>0</v>
      </c>
      <c r="P70" s="16">
        <f t="shared" ref="P70:P124" si="21">$P$4</f>
        <v>0</v>
      </c>
      <c r="Q70" s="16">
        <v>0</v>
      </c>
      <c r="R70" s="16">
        <f t="shared" ref="R70:R124" si="22">$R$4</f>
        <v>0</v>
      </c>
      <c r="S70" s="16">
        <f t="shared" ref="S70:S124" si="23">$S$4</f>
        <v>0</v>
      </c>
    </row>
    <row r="71" spans="1:19" x14ac:dyDescent="0.3">
      <c r="A71" s="65">
        <v>20180410</v>
      </c>
      <c r="B71" s="65" t="s">
        <v>88</v>
      </c>
      <c r="C71" s="158">
        <f t="shared" si="12"/>
        <v>118800562.67470543</v>
      </c>
      <c r="D71" s="158">
        <f t="shared" si="13"/>
        <v>-8.7410450860032924E-3</v>
      </c>
      <c r="E71" s="66">
        <v>48880</v>
      </c>
      <c r="F71" s="16">
        <f t="shared" si="14"/>
        <v>0.4</v>
      </c>
      <c r="G71" s="16">
        <f t="shared" si="15"/>
        <v>784.00627205017645</v>
      </c>
      <c r="H71" s="66">
        <v>297684</v>
      </c>
      <c r="I71" s="16">
        <f t="shared" si="16"/>
        <v>0.6</v>
      </c>
      <c r="J71" s="16">
        <f t="shared" si="17"/>
        <v>270.34820849253839</v>
      </c>
      <c r="K71" s="66">
        <v>255351</v>
      </c>
      <c r="L71" s="16">
        <f t="shared" si="18"/>
        <v>0</v>
      </c>
      <c r="M71" s="16">
        <f t="shared" si="19"/>
        <v>0</v>
      </c>
      <c r="N71" s="16">
        <v>0</v>
      </c>
      <c r="O71" s="16">
        <f t="shared" si="20"/>
        <v>0</v>
      </c>
      <c r="P71" s="16">
        <f t="shared" si="21"/>
        <v>0</v>
      </c>
      <c r="Q71" s="16">
        <v>0</v>
      </c>
      <c r="R71" s="16">
        <f t="shared" si="22"/>
        <v>0</v>
      </c>
      <c r="S71" s="16">
        <f t="shared" si="23"/>
        <v>0</v>
      </c>
    </row>
    <row r="72" spans="1:19" x14ac:dyDescent="0.3">
      <c r="A72" s="65">
        <v>20180411</v>
      </c>
      <c r="B72" s="65" t="s">
        <v>88</v>
      </c>
      <c r="C72" s="158">
        <f t="shared" si="12"/>
        <v>117456661.80094057</v>
      </c>
      <c r="D72" s="158">
        <f t="shared" si="13"/>
        <v>-1.1312243338818764E-2</v>
      </c>
      <c r="E72" s="66">
        <v>48860</v>
      </c>
      <c r="F72" s="16">
        <f t="shared" si="14"/>
        <v>0.4</v>
      </c>
      <c r="G72" s="16">
        <f t="shared" si="15"/>
        <v>784.00627205017645</v>
      </c>
      <c r="H72" s="66">
        <v>292771</v>
      </c>
      <c r="I72" s="16">
        <f t="shared" si="16"/>
        <v>0.6</v>
      </c>
      <c r="J72" s="16">
        <f t="shared" si="17"/>
        <v>270.34820849253839</v>
      </c>
      <c r="K72" s="66">
        <v>251720</v>
      </c>
      <c r="L72" s="16">
        <f t="shared" si="18"/>
        <v>0</v>
      </c>
      <c r="M72" s="16">
        <f t="shared" si="19"/>
        <v>0</v>
      </c>
      <c r="N72" s="16">
        <v>0</v>
      </c>
      <c r="O72" s="16">
        <f t="shared" si="20"/>
        <v>0</v>
      </c>
      <c r="P72" s="16">
        <f t="shared" si="21"/>
        <v>0</v>
      </c>
      <c r="Q72" s="16">
        <v>0</v>
      </c>
      <c r="R72" s="16">
        <f t="shared" si="22"/>
        <v>0</v>
      </c>
      <c r="S72" s="16">
        <f t="shared" si="23"/>
        <v>0</v>
      </c>
    </row>
    <row r="73" spans="1:19" x14ac:dyDescent="0.3">
      <c r="A73" s="65">
        <v>20180412</v>
      </c>
      <c r="B73" s="65" t="s">
        <v>88</v>
      </c>
      <c r="C73" s="158">
        <f t="shared" si="12"/>
        <v>117699433.99760592</v>
      </c>
      <c r="D73" s="158">
        <f t="shared" si="13"/>
        <v>2.0669087043933216E-3</v>
      </c>
      <c r="E73" s="66">
        <v>49000</v>
      </c>
      <c r="F73" s="16">
        <f t="shared" si="14"/>
        <v>0.4</v>
      </c>
      <c r="G73" s="16">
        <f t="shared" si="15"/>
        <v>784.00627205017645</v>
      </c>
      <c r="H73" s="66">
        <v>293263</v>
      </c>
      <c r="I73" s="16">
        <f t="shared" si="16"/>
        <v>0.6</v>
      </c>
      <c r="J73" s="16">
        <f t="shared" si="17"/>
        <v>270.34820849253839</v>
      </c>
      <c r="K73" s="66">
        <v>227775</v>
      </c>
      <c r="L73" s="16">
        <f t="shared" si="18"/>
        <v>0</v>
      </c>
      <c r="M73" s="16">
        <f t="shared" si="19"/>
        <v>0</v>
      </c>
      <c r="N73" s="16">
        <v>0</v>
      </c>
      <c r="O73" s="16">
        <f t="shared" si="20"/>
        <v>0</v>
      </c>
      <c r="P73" s="16">
        <f t="shared" si="21"/>
        <v>0</v>
      </c>
      <c r="Q73" s="16">
        <v>0</v>
      </c>
      <c r="R73" s="16">
        <f t="shared" si="22"/>
        <v>0</v>
      </c>
      <c r="S73" s="16">
        <f t="shared" si="23"/>
        <v>0</v>
      </c>
    </row>
    <row r="74" spans="1:19" x14ac:dyDescent="0.3">
      <c r="A74" s="65">
        <v>20180413</v>
      </c>
      <c r="B74" s="65" t="s">
        <v>88</v>
      </c>
      <c r="C74" s="158">
        <f t="shared" si="12"/>
        <v>116068961.12612489</v>
      </c>
      <c r="D74" s="158">
        <f t="shared" si="13"/>
        <v>-1.385285227042125E-2</v>
      </c>
      <c r="E74" s="66">
        <v>49800</v>
      </c>
      <c r="F74" s="16">
        <f t="shared" si="14"/>
        <v>0.4</v>
      </c>
      <c r="G74" s="16">
        <f t="shared" si="15"/>
        <v>784.00627205017645</v>
      </c>
      <c r="H74" s="66">
        <v>284912</v>
      </c>
      <c r="I74" s="16">
        <f t="shared" si="16"/>
        <v>0.6</v>
      </c>
      <c r="J74" s="16">
        <f t="shared" si="17"/>
        <v>270.34820849253839</v>
      </c>
      <c r="K74" s="66">
        <v>231602</v>
      </c>
      <c r="L74" s="16">
        <f t="shared" si="18"/>
        <v>0</v>
      </c>
      <c r="M74" s="16">
        <f t="shared" si="19"/>
        <v>0</v>
      </c>
      <c r="N74" s="16">
        <v>0</v>
      </c>
      <c r="O74" s="16">
        <f t="shared" si="20"/>
        <v>0</v>
      </c>
      <c r="P74" s="16">
        <f t="shared" si="21"/>
        <v>0</v>
      </c>
      <c r="Q74" s="16">
        <v>0</v>
      </c>
      <c r="R74" s="16">
        <f t="shared" si="22"/>
        <v>0</v>
      </c>
      <c r="S74" s="16">
        <f t="shared" si="23"/>
        <v>0</v>
      </c>
    </row>
    <row r="75" spans="1:19" x14ac:dyDescent="0.3">
      <c r="A75" s="65">
        <v>20180416</v>
      </c>
      <c r="B75" s="65" t="s">
        <v>88</v>
      </c>
      <c r="C75" s="158">
        <f t="shared" si="12"/>
        <v>117953015.88351716</v>
      </c>
      <c r="D75" s="158">
        <f t="shared" si="13"/>
        <v>1.6232201435360378E-2</v>
      </c>
      <c r="E75" s="66">
        <v>50340</v>
      </c>
      <c r="F75" s="16">
        <f t="shared" si="14"/>
        <v>0.4</v>
      </c>
      <c r="G75" s="16">
        <f t="shared" si="15"/>
        <v>784.00627205017645</v>
      </c>
      <c r="H75" s="66">
        <v>290315</v>
      </c>
      <c r="I75" s="16">
        <f t="shared" si="16"/>
        <v>0.6</v>
      </c>
      <c r="J75" s="16">
        <f t="shared" si="17"/>
        <v>270.34820849253839</v>
      </c>
      <c r="K75" s="66">
        <v>223064</v>
      </c>
      <c r="L75" s="16">
        <f t="shared" si="18"/>
        <v>0</v>
      </c>
      <c r="M75" s="16">
        <f t="shared" si="19"/>
        <v>0</v>
      </c>
      <c r="N75" s="16">
        <v>0</v>
      </c>
      <c r="O75" s="16">
        <f t="shared" si="20"/>
        <v>0</v>
      </c>
      <c r="P75" s="16">
        <f t="shared" si="21"/>
        <v>0</v>
      </c>
      <c r="Q75" s="16">
        <v>0</v>
      </c>
      <c r="R75" s="16">
        <f t="shared" si="22"/>
        <v>0</v>
      </c>
      <c r="S75" s="16">
        <f t="shared" si="23"/>
        <v>0</v>
      </c>
    </row>
    <row r="76" spans="1:19" x14ac:dyDescent="0.3">
      <c r="A76" s="65">
        <v>20180417</v>
      </c>
      <c r="B76" s="65" t="s">
        <v>88</v>
      </c>
      <c r="C76" s="158">
        <f t="shared" si="12"/>
        <v>116210082.25509393</v>
      </c>
      <c r="D76" s="158">
        <f t="shared" si="13"/>
        <v>-1.4776507538768135E-2</v>
      </c>
      <c r="E76" s="66">
        <v>49980</v>
      </c>
      <c r="F76" s="16">
        <f t="shared" si="14"/>
        <v>0.4</v>
      </c>
      <c r="G76" s="16">
        <f t="shared" si="15"/>
        <v>784.00627205017645</v>
      </c>
      <c r="H76" s="153">
        <v>284912</v>
      </c>
      <c r="I76" s="16">
        <f t="shared" si="16"/>
        <v>0.6</v>
      </c>
      <c r="J76" s="16">
        <f t="shared" si="17"/>
        <v>270.34820849253839</v>
      </c>
      <c r="K76" s="66">
        <v>229737</v>
      </c>
      <c r="L76" s="16">
        <f t="shared" si="18"/>
        <v>0</v>
      </c>
      <c r="M76" s="16">
        <f t="shared" si="19"/>
        <v>0</v>
      </c>
      <c r="N76" s="16">
        <v>0</v>
      </c>
      <c r="O76" s="16">
        <f t="shared" si="20"/>
        <v>0</v>
      </c>
      <c r="P76" s="16">
        <f t="shared" si="21"/>
        <v>0</v>
      </c>
      <c r="Q76" s="16">
        <v>0</v>
      </c>
      <c r="R76" s="16">
        <f t="shared" si="22"/>
        <v>0</v>
      </c>
      <c r="S76" s="16">
        <f t="shared" si="23"/>
        <v>0</v>
      </c>
    </row>
    <row r="77" spans="1:19" x14ac:dyDescent="0.3">
      <c r="A77" s="65">
        <v>20180418</v>
      </c>
      <c r="B77" s="65" t="s">
        <v>88</v>
      </c>
      <c r="C77" s="158">
        <f t="shared" si="12"/>
        <v>115831049.19182947</v>
      </c>
      <c r="D77" s="158">
        <f t="shared" si="13"/>
        <v>-3.2616194387715867E-3</v>
      </c>
      <c r="E77" s="66">
        <v>51360</v>
      </c>
      <c r="F77" s="16">
        <f t="shared" si="14"/>
        <v>0.4</v>
      </c>
      <c r="G77" s="16">
        <f t="shared" si="15"/>
        <v>784.00627205017645</v>
      </c>
      <c r="H77" s="66">
        <v>279508</v>
      </c>
      <c r="I77" s="16">
        <f t="shared" si="16"/>
        <v>0.6</v>
      </c>
      <c r="J77" s="16">
        <f t="shared" si="17"/>
        <v>270.34820849253839</v>
      </c>
      <c r="K77" s="66">
        <v>229149</v>
      </c>
      <c r="L77" s="16">
        <f t="shared" si="18"/>
        <v>0</v>
      </c>
      <c r="M77" s="16">
        <f t="shared" si="19"/>
        <v>0</v>
      </c>
      <c r="N77" s="16">
        <v>0</v>
      </c>
      <c r="O77" s="16">
        <f t="shared" si="20"/>
        <v>0</v>
      </c>
      <c r="P77" s="16">
        <f t="shared" si="21"/>
        <v>0</v>
      </c>
      <c r="Q77" s="16">
        <v>0</v>
      </c>
      <c r="R77" s="16">
        <f t="shared" si="22"/>
        <v>0</v>
      </c>
      <c r="S77" s="16">
        <f t="shared" si="23"/>
        <v>0</v>
      </c>
    </row>
    <row r="78" spans="1:19" x14ac:dyDescent="0.3">
      <c r="A78" s="65">
        <v>20180419</v>
      </c>
      <c r="B78" s="65" t="s">
        <v>88</v>
      </c>
      <c r="C78" s="158">
        <f t="shared" si="12"/>
        <v>112163500.37915869</v>
      </c>
      <c r="D78" s="158">
        <f t="shared" si="13"/>
        <v>-3.1662916275556667E-2</v>
      </c>
      <c r="E78" s="66">
        <v>52780</v>
      </c>
      <c r="F78" s="16">
        <f t="shared" si="14"/>
        <v>0.4</v>
      </c>
      <c r="G78" s="16">
        <f t="shared" si="15"/>
        <v>784.00627205017645</v>
      </c>
      <c r="H78" s="66">
        <v>261824</v>
      </c>
      <c r="I78" s="16">
        <f t="shared" si="16"/>
        <v>0.6</v>
      </c>
      <c r="J78" s="16">
        <f t="shared" si="17"/>
        <v>270.34820849253839</v>
      </c>
      <c r="K78" s="66">
        <v>219040</v>
      </c>
      <c r="L78" s="16">
        <f t="shared" si="18"/>
        <v>0</v>
      </c>
      <c r="M78" s="16">
        <f t="shared" si="19"/>
        <v>0</v>
      </c>
      <c r="N78" s="16">
        <v>0</v>
      </c>
      <c r="O78" s="16">
        <f t="shared" si="20"/>
        <v>0</v>
      </c>
      <c r="P78" s="16">
        <f t="shared" si="21"/>
        <v>0</v>
      </c>
      <c r="Q78" s="16">
        <v>0</v>
      </c>
      <c r="R78" s="16">
        <f t="shared" si="22"/>
        <v>0</v>
      </c>
      <c r="S78" s="16">
        <f t="shared" si="23"/>
        <v>0</v>
      </c>
    </row>
    <row r="79" spans="1:19" x14ac:dyDescent="0.3">
      <c r="A79" s="65">
        <v>20180420</v>
      </c>
      <c r="B79" s="65" t="s">
        <v>88</v>
      </c>
      <c r="C79" s="158">
        <f t="shared" si="12"/>
        <v>111918028.30363816</v>
      </c>
      <c r="D79" s="158">
        <f t="shared" si="13"/>
        <v>-2.1885201040510857E-3</v>
      </c>
      <c r="E79" s="66">
        <v>51620</v>
      </c>
      <c r="F79" s="16">
        <f t="shared" si="14"/>
        <v>0.4</v>
      </c>
      <c r="G79" s="16">
        <f t="shared" si="15"/>
        <v>784.00627205017645</v>
      </c>
      <c r="H79" s="66">
        <v>264280</v>
      </c>
      <c r="I79" s="16">
        <f t="shared" si="16"/>
        <v>0.6</v>
      </c>
      <c r="J79" s="16">
        <f t="shared" si="17"/>
        <v>270.34820849253839</v>
      </c>
      <c r="K79" s="66">
        <v>220022</v>
      </c>
      <c r="L79" s="16">
        <f t="shared" si="18"/>
        <v>0</v>
      </c>
      <c r="M79" s="16">
        <f t="shared" si="19"/>
        <v>0</v>
      </c>
      <c r="N79" s="16">
        <v>0</v>
      </c>
      <c r="O79" s="16">
        <f t="shared" si="20"/>
        <v>0</v>
      </c>
      <c r="P79" s="16">
        <f t="shared" si="21"/>
        <v>0</v>
      </c>
      <c r="Q79" s="16">
        <v>0</v>
      </c>
      <c r="R79" s="16">
        <f t="shared" si="22"/>
        <v>0</v>
      </c>
      <c r="S79" s="16">
        <f t="shared" si="23"/>
        <v>0</v>
      </c>
    </row>
    <row r="80" spans="1:19" x14ac:dyDescent="0.3">
      <c r="A80" s="65">
        <v>20180423</v>
      </c>
      <c r="B80" s="65" t="s">
        <v>88</v>
      </c>
      <c r="C80" s="158">
        <f t="shared" si="12"/>
        <v>107223971.37046032</v>
      </c>
      <c r="D80" s="158">
        <f t="shared" si="13"/>
        <v>-4.1941919495245901E-2</v>
      </c>
      <c r="E80" s="66">
        <v>51900</v>
      </c>
      <c r="F80" s="16">
        <f t="shared" si="14"/>
        <v>0.4</v>
      </c>
      <c r="G80" s="16">
        <f t="shared" si="15"/>
        <v>784.00627205017645</v>
      </c>
      <c r="H80" s="66">
        <v>246105</v>
      </c>
      <c r="I80" s="16">
        <f t="shared" si="16"/>
        <v>0.6</v>
      </c>
      <c r="J80" s="16">
        <f t="shared" si="17"/>
        <v>270.34820849253839</v>
      </c>
      <c r="K80" s="66">
        <v>210012</v>
      </c>
      <c r="L80" s="16">
        <f t="shared" si="18"/>
        <v>0</v>
      </c>
      <c r="M80" s="16">
        <f t="shared" si="19"/>
        <v>0</v>
      </c>
      <c r="N80" s="16">
        <v>0</v>
      </c>
      <c r="O80" s="16">
        <f t="shared" si="20"/>
        <v>0</v>
      </c>
      <c r="P80" s="16">
        <f t="shared" si="21"/>
        <v>0</v>
      </c>
      <c r="Q80" s="16">
        <v>0</v>
      </c>
      <c r="R80" s="16">
        <f t="shared" si="22"/>
        <v>0</v>
      </c>
      <c r="S80" s="16">
        <f t="shared" si="23"/>
        <v>0</v>
      </c>
    </row>
    <row r="81" spans="1:19" x14ac:dyDescent="0.3">
      <c r="A81" s="65">
        <v>20180424</v>
      </c>
      <c r="B81" s="65" t="s">
        <v>88</v>
      </c>
      <c r="C81" s="158">
        <f t="shared" si="12"/>
        <v>105563768.10902023</v>
      </c>
      <c r="D81" s="158">
        <f t="shared" si="13"/>
        <v>-1.5483508400412236E-2</v>
      </c>
      <c r="E81" s="66">
        <v>50460</v>
      </c>
      <c r="F81" s="16">
        <f t="shared" si="14"/>
        <v>0.4</v>
      </c>
      <c r="G81" s="16">
        <f t="shared" si="15"/>
        <v>784.00627205017645</v>
      </c>
      <c r="H81" s="66">
        <v>244140</v>
      </c>
      <c r="I81" s="16">
        <f t="shared" si="16"/>
        <v>0.6</v>
      </c>
      <c r="J81" s="16">
        <f t="shared" si="17"/>
        <v>270.34820849253839</v>
      </c>
      <c r="K81" s="66">
        <v>205007</v>
      </c>
      <c r="L81" s="16">
        <f t="shared" si="18"/>
        <v>0</v>
      </c>
      <c r="M81" s="16">
        <f t="shared" si="19"/>
        <v>0</v>
      </c>
      <c r="N81" s="16">
        <v>0</v>
      </c>
      <c r="O81" s="16">
        <f t="shared" si="20"/>
        <v>0</v>
      </c>
      <c r="P81" s="16">
        <f t="shared" si="21"/>
        <v>0</v>
      </c>
      <c r="Q81" s="16">
        <v>0</v>
      </c>
      <c r="R81" s="16">
        <f t="shared" si="22"/>
        <v>0</v>
      </c>
      <c r="S81" s="16">
        <f t="shared" si="23"/>
        <v>0</v>
      </c>
    </row>
    <row r="82" spans="1:19" x14ac:dyDescent="0.3">
      <c r="A82" s="65">
        <v>20180425</v>
      </c>
      <c r="B82" s="65" t="s">
        <v>88</v>
      </c>
      <c r="C82" s="158">
        <f t="shared" si="12"/>
        <v>106180702.93275489</v>
      </c>
      <c r="D82" s="158">
        <f t="shared" si="13"/>
        <v>5.8441910021393029E-3</v>
      </c>
      <c r="E82" s="66">
        <v>50400</v>
      </c>
      <c r="F82" s="16">
        <f t="shared" si="14"/>
        <v>0.4</v>
      </c>
      <c r="G82" s="16">
        <f t="shared" si="15"/>
        <v>784.00627205017645</v>
      </c>
      <c r="H82" s="66">
        <v>246596</v>
      </c>
      <c r="I82" s="16">
        <f t="shared" si="16"/>
        <v>0.6</v>
      </c>
      <c r="J82" s="16">
        <f t="shared" si="17"/>
        <v>270.34820849253839</v>
      </c>
      <c r="K82" s="66">
        <v>210993</v>
      </c>
      <c r="L82" s="16">
        <f t="shared" si="18"/>
        <v>0</v>
      </c>
      <c r="M82" s="16">
        <f t="shared" si="19"/>
        <v>0</v>
      </c>
      <c r="N82" s="16">
        <v>0</v>
      </c>
      <c r="O82" s="16">
        <f t="shared" si="20"/>
        <v>0</v>
      </c>
      <c r="P82" s="16">
        <f t="shared" si="21"/>
        <v>0</v>
      </c>
      <c r="Q82" s="16">
        <v>0</v>
      </c>
      <c r="R82" s="16">
        <f t="shared" si="22"/>
        <v>0</v>
      </c>
      <c r="S82" s="16">
        <f t="shared" si="23"/>
        <v>0</v>
      </c>
    </row>
    <row r="83" spans="1:19" x14ac:dyDescent="0.3">
      <c r="A83" s="65">
        <v>20180426</v>
      </c>
      <c r="B83" s="65" t="s">
        <v>88</v>
      </c>
      <c r="C83" s="158">
        <f t="shared" si="12"/>
        <v>109138576.53518571</v>
      </c>
      <c r="D83" s="158">
        <f t="shared" si="13"/>
        <v>2.7856978911733766E-2</v>
      </c>
      <c r="E83" s="66">
        <v>52140</v>
      </c>
      <c r="F83" s="16">
        <f t="shared" si="14"/>
        <v>0.4</v>
      </c>
      <c r="G83" s="16">
        <f t="shared" si="15"/>
        <v>784.00627205017645</v>
      </c>
      <c r="H83" s="66">
        <v>252491</v>
      </c>
      <c r="I83" s="16">
        <f t="shared" si="16"/>
        <v>0.6</v>
      </c>
      <c r="J83" s="16">
        <f t="shared" si="17"/>
        <v>270.34820849253839</v>
      </c>
      <c r="K83" s="66">
        <v>214624</v>
      </c>
      <c r="L83" s="16">
        <f t="shared" si="18"/>
        <v>0</v>
      </c>
      <c r="M83" s="16">
        <f t="shared" si="19"/>
        <v>0</v>
      </c>
      <c r="N83" s="16">
        <v>0</v>
      </c>
      <c r="O83" s="16">
        <f t="shared" si="20"/>
        <v>0</v>
      </c>
      <c r="P83" s="16">
        <f t="shared" si="21"/>
        <v>0</v>
      </c>
      <c r="Q83" s="16">
        <v>0</v>
      </c>
      <c r="R83" s="16">
        <f t="shared" si="22"/>
        <v>0</v>
      </c>
      <c r="S83" s="16">
        <f t="shared" si="23"/>
        <v>0</v>
      </c>
    </row>
    <row r="84" spans="1:19" x14ac:dyDescent="0.3">
      <c r="A84" s="65">
        <v>20180427</v>
      </c>
      <c r="B84" s="65" t="s">
        <v>88</v>
      </c>
      <c r="C84" s="158">
        <f t="shared" si="12"/>
        <v>114992152.90744892</v>
      </c>
      <c r="D84" s="158">
        <f t="shared" si="13"/>
        <v>5.3634347799799691E-2</v>
      </c>
      <c r="E84" s="66">
        <v>53000</v>
      </c>
      <c r="F84" s="16">
        <f t="shared" si="14"/>
        <v>0.4</v>
      </c>
      <c r="G84" s="16">
        <f t="shared" si="15"/>
        <v>784.00627205017645</v>
      </c>
      <c r="H84" s="66">
        <v>271649</v>
      </c>
      <c r="I84" s="16">
        <f t="shared" si="16"/>
        <v>0.6</v>
      </c>
      <c r="J84" s="16">
        <f t="shared" si="17"/>
        <v>270.34820849253839</v>
      </c>
      <c r="K84" s="66">
        <v>218844</v>
      </c>
      <c r="L84" s="16">
        <f t="shared" si="18"/>
        <v>0</v>
      </c>
      <c r="M84" s="16">
        <f t="shared" si="19"/>
        <v>0</v>
      </c>
      <c r="N84" s="16">
        <v>0</v>
      </c>
      <c r="O84" s="16">
        <f t="shared" si="20"/>
        <v>0</v>
      </c>
      <c r="P84" s="16">
        <f t="shared" si="21"/>
        <v>0</v>
      </c>
      <c r="Q84" s="16">
        <v>0</v>
      </c>
      <c r="R84" s="16">
        <f t="shared" si="22"/>
        <v>0</v>
      </c>
      <c r="S84" s="16">
        <f t="shared" si="23"/>
        <v>0</v>
      </c>
    </row>
    <row r="85" spans="1:19" x14ac:dyDescent="0.3">
      <c r="A85" s="65">
        <v>20180430</v>
      </c>
      <c r="B85" s="65" t="s">
        <v>88</v>
      </c>
      <c r="C85" s="158">
        <f t="shared" si="12"/>
        <v>113531191.18875524</v>
      </c>
      <c r="D85" s="158">
        <f t="shared" si="13"/>
        <v>-1.2704881870239652E-2</v>
      </c>
      <c r="E85" s="66">
        <v>53000</v>
      </c>
      <c r="F85" s="16">
        <f t="shared" si="14"/>
        <v>0.4</v>
      </c>
      <c r="G85" s="16">
        <f t="shared" si="15"/>
        <v>784.00627205017645</v>
      </c>
      <c r="H85" s="66">
        <v>266245</v>
      </c>
      <c r="I85" s="16">
        <f t="shared" si="16"/>
        <v>0.6</v>
      </c>
      <c r="J85" s="16">
        <f t="shared" si="17"/>
        <v>270.34820849253839</v>
      </c>
      <c r="K85" s="66">
        <v>212465</v>
      </c>
      <c r="L85" s="16">
        <f t="shared" si="18"/>
        <v>0</v>
      </c>
      <c r="M85" s="16">
        <f t="shared" si="19"/>
        <v>0</v>
      </c>
      <c r="N85" s="16">
        <v>0</v>
      </c>
      <c r="O85" s="16">
        <f t="shared" si="20"/>
        <v>0</v>
      </c>
      <c r="P85" s="16">
        <f t="shared" si="21"/>
        <v>0</v>
      </c>
      <c r="Q85" s="16">
        <v>0</v>
      </c>
      <c r="R85" s="16">
        <f t="shared" si="22"/>
        <v>0</v>
      </c>
      <c r="S85" s="16">
        <f t="shared" si="23"/>
        <v>0</v>
      </c>
    </row>
    <row r="86" spans="1:19" x14ac:dyDescent="0.3">
      <c r="A86" s="65">
        <v>20180502</v>
      </c>
      <c r="B86" s="65" t="s">
        <v>88</v>
      </c>
      <c r="C86" s="158">
        <f t="shared" si="12"/>
        <v>110344056.15883669</v>
      </c>
      <c r="D86" s="158">
        <f t="shared" si="13"/>
        <v>-2.8072770104381879E-2</v>
      </c>
      <c r="E86" s="66">
        <v>53000</v>
      </c>
      <c r="F86" s="16">
        <f t="shared" si="14"/>
        <v>0.4</v>
      </c>
      <c r="G86" s="16">
        <f t="shared" si="15"/>
        <v>784.00627205017645</v>
      </c>
      <c r="H86" s="66">
        <v>254456</v>
      </c>
      <c r="I86" s="16">
        <f t="shared" si="16"/>
        <v>0.6</v>
      </c>
      <c r="J86" s="16">
        <f t="shared" si="17"/>
        <v>270.34820849253839</v>
      </c>
      <c r="K86" s="66">
        <v>210699</v>
      </c>
      <c r="L86" s="16">
        <f t="shared" si="18"/>
        <v>0</v>
      </c>
      <c r="M86" s="16">
        <f t="shared" si="19"/>
        <v>0</v>
      </c>
      <c r="N86" s="16">
        <v>0</v>
      </c>
      <c r="O86" s="16">
        <f t="shared" si="20"/>
        <v>0</v>
      </c>
      <c r="P86" s="16">
        <f t="shared" si="21"/>
        <v>0</v>
      </c>
      <c r="Q86" s="16">
        <v>0</v>
      </c>
      <c r="R86" s="16">
        <f t="shared" si="22"/>
        <v>0</v>
      </c>
      <c r="S86" s="16">
        <f t="shared" si="23"/>
        <v>0</v>
      </c>
    </row>
    <row r="87" spans="1:19" x14ac:dyDescent="0.3">
      <c r="A87" s="65">
        <v>20180503</v>
      </c>
      <c r="B87" s="65" t="s">
        <v>88</v>
      </c>
      <c r="C87" s="158">
        <f t="shared" si="12"/>
        <v>111140772.32926422</v>
      </c>
      <c r="D87" s="158">
        <f t="shared" si="13"/>
        <v>7.220290771989421E-3</v>
      </c>
      <c r="E87" s="66">
        <v>53000</v>
      </c>
      <c r="F87" s="16">
        <f t="shared" si="14"/>
        <v>0.4</v>
      </c>
      <c r="G87" s="16">
        <f t="shared" si="15"/>
        <v>784.00627205017645</v>
      </c>
      <c r="H87" s="66">
        <v>257403</v>
      </c>
      <c r="I87" s="16">
        <f t="shared" si="16"/>
        <v>0.6</v>
      </c>
      <c r="J87" s="16">
        <f t="shared" si="17"/>
        <v>270.34820849253839</v>
      </c>
      <c r="K87" s="66">
        <v>203829</v>
      </c>
      <c r="L87" s="16">
        <f t="shared" si="18"/>
        <v>0</v>
      </c>
      <c r="M87" s="16">
        <f t="shared" si="19"/>
        <v>0</v>
      </c>
      <c r="N87" s="16">
        <v>0</v>
      </c>
      <c r="O87" s="16">
        <f t="shared" si="20"/>
        <v>0</v>
      </c>
      <c r="P87" s="16">
        <f t="shared" si="21"/>
        <v>0</v>
      </c>
      <c r="Q87" s="16">
        <v>0</v>
      </c>
      <c r="R87" s="16">
        <f t="shared" si="22"/>
        <v>0</v>
      </c>
      <c r="S87" s="16">
        <f t="shared" si="23"/>
        <v>0</v>
      </c>
    </row>
    <row r="88" spans="1:19" x14ac:dyDescent="0.3">
      <c r="A88" s="65">
        <v>20180504</v>
      </c>
      <c r="B88" s="65" t="s">
        <v>88</v>
      </c>
      <c r="C88" s="158">
        <f t="shared" si="12"/>
        <v>107091230.40009049</v>
      </c>
      <c r="D88" s="158">
        <f t="shared" si="13"/>
        <v>-3.6436150697033279E-2</v>
      </c>
      <c r="E88" s="66">
        <v>51900</v>
      </c>
      <c r="F88" s="16">
        <f t="shared" si="14"/>
        <v>0.4</v>
      </c>
      <c r="G88" s="16">
        <f t="shared" si="15"/>
        <v>784.00627205017645</v>
      </c>
      <c r="H88" s="66">
        <v>245614</v>
      </c>
      <c r="I88" s="16">
        <f t="shared" si="16"/>
        <v>0.6</v>
      </c>
      <c r="J88" s="16">
        <f t="shared" si="17"/>
        <v>270.34820849253839</v>
      </c>
      <c r="K88" s="66">
        <v>196469</v>
      </c>
      <c r="L88" s="16">
        <f t="shared" si="18"/>
        <v>0</v>
      </c>
      <c r="M88" s="16">
        <f t="shared" si="19"/>
        <v>0</v>
      </c>
      <c r="N88" s="16">
        <v>0</v>
      </c>
      <c r="O88" s="16">
        <f t="shared" si="20"/>
        <v>0</v>
      </c>
      <c r="P88" s="16">
        <f t="shared" si="21"/>
        <v>0</v>
      </c>
      <c r="Q88" s="16">
        <v>0</v>
      </c>
      <c r="R88" s="16">
        <f t="shared" si="22"/>
        <v>0</v>
      </c>
      <c r="S88" s="16">
        <f t="shared" si="23"/>
        <v>0</v>
      </c>
    </row>
    <row r="89" spans="1:19" x14ac:dyDescent="0.3">
      <c r="A89" s="65">
        <v>20180508</v>
      </c>
      <c r="B89" s="65" t="s">
        <v>88</v>
      </c>
      <c r="C89" s="158">
        <f t="shared" si="12"/>
        <v>103921395.18271074</v>
      </c>
      <c r="D89" s="158">
        <f t="shared" si="13"/>
        <v>-2.9599391150305344E-2</v>
      </c>
      <c r="E89" s="66">
        <v>52600</v>
      </c>
      <c r="F89" s="16">
        <f t="shared" si="14"/>
        <v>0.4</v>
      </c>
      <c r="G89" s="16">
        <f t="shared" si="15"/>
        <v>784.00627205017645</v>
      </c>
      <c r="H89" s="66">
        <v>231859</v>
      </c>
      <c r="I89" s="16">
        <f t="shared" si="16"/>
        <v>0.6</v>
      </c>
      <c r="J89" s="16">
        <f t="shared" si="17"/>
        <v>270.34820849253839</v>
      </c>
      <c r="K89" s="66">
        <v>190875</v>
      </c>
      <c r="L89" s="16">
        <f t="shared" si="18"/>
        <v>0</v>
      </c>
      <c r="M89" s="16">
        <f t="shared" si="19"/>
        <v>0</v>
      </c>
      <c r="N89" s="16">
        <v>0</v>
      </c>
      <c r="O89" s="16">
        <f t="shared" si="20"/>
        <v>0</v>
      </c>
      <c r="P89" s="16">
        <f t="shared" si="21"/>
        <v>0</v>
      </c>
      <c r="Q89" s="16">
        <v>0</v>
      </c>
      <c r="R89" s="16">
        <f t="shared" si="22"/>
        <v>0</v>
      </c>
      <c r="S89" s="16">
        <f t="shared" si="23"/>
        <v>0</v>
      </c>
    </row>
    <row r="90" spans="1:19" x14ac:dyDescent="0.3">
      <c r="A90" s="65">
        <v>20180509</v>
      </c>
      <c r="B90" s="65" t="s">
        <v>88</v>
      </c>
      <c r="C90" s="158">
        <f t="shared" si="12"/>
        <v>108697642.98753133</v>
      </c>
      <c r="D90" s="158">
        <f t="shared" si="13"/>
        <v>4.5960197093420231E-2</v>
      </c>
      <c r="E90" s="66">
        <v>50900</v>
      </c>
      <c r="F90" s="16">
        <f t="shared" si="14"/>
        <v>0.4</v>
      </c>
      <c r="G90" s="16">
        <f t="shared" si="15"/>
        <v>784.00627205017645</v>
      </c>
      <c r="H90" s="66">
        <v>254456</v>
      </c>
      <c r="I90" s="16">
        <f t="shared" si="16"/>
        <v>0.6</v>
      </c>
      <c r="J90" s="16">
        <f t="shared" si="17"/>
        <v>270.34820849253839</v>
      </c>
      <c r="K90" s="66">
        <v>198137</v>
      </c>
      <c r="L90" s="16">
        <f t="shared" si="18"/>
        <v>0</v>
      </c>
      <c r="M90" s="16">
        <f t="shared" si="19"/>
        <v>0</v>
      </c>
      <c r="N90" s="16">
        <v>0</v>
      </c>
      <c r="O90" s="16">
        <f t="shared" si="20"/>
        <v>0</v>
      </c>
      <c r="P90" s="16">
        <f t="shared" si="21"/>
        <v>0</v>
      </c>
      <c r="Q90" s="16">
        <v>0</v>
      </c>
      <c r="R90" s="16">
        <f t="shared" si="22"/>
        <v>0</v>
      </c>
      <c r="S90" s="16">
        <f t="shared" si="23"/>
        <v>0</v>
      </c>
    </row>
    <row r="91" spans="1:19" x14ac:dyDescent="0.3">
      <c r="A91" s="65">
        <v>20180510</v>
      </c>
      <c r="B91" s="65" t="s">
        <v>88</v>
      </c>
      <c r="C91" s="158">
        <f t="shared" si="12"/>
        <v>109246447.37796646</v>
      </c>
      <c r="D91" s="158">
        <f t="shared" si="13"/>
        <v>5.0489079188044822E-3</v>
      </c>
      <c r="E91" s="66">
        <v>51600</v>
      </c>
      <c r="F91" s="16">
        <f t="shared" si="14"/>
        <v>0.4</v>
      </c>
      <c r="G91" s="16">
        <f t="shared" si="15"/>
        <v>784.00627205017645</v>
      </c>
      <c r="H91" s="66">
        <v>254456</v>
      </c>
      <c r="I91" s="16">
        <f t="shared" si="16"/>
        <v>0.6</v>
      </c>
      <c r="J91" s="16">
        <f t="shared" si="17"/>
        <v>270.34820849253839</v>
      </c>
      <c r="K91" s="66">
        <v>194899</v>
      </c>
      <c r="L91" s="16">
        <f t="shared" si="18"/>
        <v>0</v>
      </c>
      <c r="M91" s="16">
        <f t="shared" si="19"/>
        <v>0</v>
      </c>
      <c r="N91" s="16">
        <v>0</v>
      </c>
      <c r="O91" s="16">
        <f t="shared" si="20"/>
        <v>0</v>
      </c>
      <c r="P91" s="16">
        <f t="shared" si="21"/>
        <v>0</v>
      </c>
      <c r="Q91" s="16">
        <v>0</v>
      </c>
      <c r="R91" s="16">
        <f t="shared" si="22"/>
        <v>0</v>
      </c>
      <c r="S91" s="16">
        <f t="shared" si="23"/>
        <v>0</v>
      </c>
    </row>
    <row r="92" spans="1:19" x14ac:dyDescent="0.3">
      <c r="A92" s="65">
        <v>20180511</v>
      </c>
      <c r="B92" s="65" t="s">
        <v>88</v>
      </c>
      <c r="C92" s="158">
        <f t="shared" si="12"/>
        <v>109276727.43709108</v>
      </c>
      <c r="D92" s="158">
        <f t="shared" si="13"/>
        <v>2.7717202573972075E-4</v>
      </c>
      <c r="E92" s="66">
        <v>51300</v>
      </c>
      <c r="F92" s="16">
        <f t="shared" si="14"/>
        <v>0.4</v>
      </c>
      <c r="G92" s="16">
        <f t="shared" si="15"/>
        <v>784.00627205017645</v>
      </c>
      <c r="H92" s="66">
        <v>255438</v>
      </c>
      <c r="I92" s="16">
        <f t="shared" si="16"/>
        <v>0.6</v>
      </c>
      <c r="J92" s="16">
        <f t="shared" si="17"/>
        <v>270.34820849253839</v>
      </c>
      <c r="K92" s="66">
        <v>194997</v>
      </c>
      <c r="L92" s="16">
        <f t="shared" si="18"/>
        <v>0</v>
      </c>
      <c r="M92" s="16">
        <f t="shared" si="19"/>
        <v>0</v>
      </c>
      <c r="N92" s="16">
        <v>0</v>
      </c>
      <c r="O92" s="16">
        <f t="shared" si="20"/>
        <v>0</v>
      </c>
      <c r="P92" s="16">
        <f t="shared" si="21"/>
        <v>0</v>
      </c>
      <c r="Q92" s="16">
        <v>0</v>
      </c>
      <c r="R92" s="16">
        <f t="shared" si="22"/>
        <v>0</v>
      </c>
      <c r="S92" s="16">
        <f t="shared" si="23"/>
        <v>0</v>
      </c>
    </row>
    <row r="93" spans="1:19" x14ac:dyDescent="0.3">
      <c r="A93" s="65">
        <v>20180514</v>
      </c>
      <c r="B93" s="65" t="s">
        <v>88</v>
      </c>
      <c r="C93" s="158">
        <f t="shared" si="12"/>
        <v>107007969.51051551</v>
      </c>
      <c r="D93" s="158">
        <f t="shared" si="13"/>
        <v>-2.0761583731372813E-2</v>
      </c>
      <c r="E93" s="66">
        <v>50100</v>
      </c>
      <c r="F93" s="16">
        <f t="shared" si="14"/>
        <v>0.4</v>
      </c>
      <c r="G93" s="16">
        <f t="shared" si="15"/>
        <v>784.00627205017645</v>
      </c>
      <c r="H93" s="66">
        <v>250526</v>
      </c>
      <c r="I93" s="16">
        <f t="shared" si="16"/>
        <v>0.6</v>
      </c>
      <c r="J93" s="16">
        <f t="shared" si="17"/>
        <v>270.34820849253839</v>
      </c>
      <c r="K93" s="66">
        <v>184202</v>
      </c>
      <c r="L93" s="16">
        <f t="shared" si="18"/>
        <v>0</v>
      </c>
      <c r="M93" s="16">
        <f t="shared" si="19"/>
        <v>0</v>
      </c>
      <c r="N93" s="16">
        <v>0</v>
      </c>
      <c r="O93" s="16">
        <f t="shared" si="20"/>
        <v>0</v>
      </c>
      <c r="P93" s="16">
        <f t="shared" si="21"/>
        <v>0</v>
      </c>
      <c r="Q93" s="16">
        <v>0</v>
      </c>
      <c r="R93" s="16">
        <f t="shared" si="22"/>
        <v>0</v>
      </c>
      <c r="S93" s="16">
        <f t="shared" si="23"/>
        <v>0</v>
      </c>
    </row>
    <row r="94" spans="1:19" x14ac:dyDescent="0.3">
      <c r="A94" s="65">
        <v>20180515</v>
      </c>
      <c r="B94" s="65" t="s">
        <v>88</v>
      </c>
      <c r="C94" s="158">
        <f t="shared" si="12"/>
        <v>109755251.18453705</v>
      </c>
      <c r="D94" s="158">
        <f t="shared" si="13"/>
        <v>2.5673617456609819E-2</v>
      </c>
      <c r="E94" s="66">
        <v>49200</v>
      </c>
      <c r="F94" s="16">
        <f t="shared" si="14"/>
        <v>0.4</v>
      </c>
      <c r="G94" s="16">
        <f t="shared" si="15"/>
        <v>784.00627205017645</v>
      </c>
      <c r="H94" s="153">
        <v>263298</v>
      </c>
      <c r="I94" s="16">
        <f t="shared" si="16"/>
        <v>0.6</v>
      </c>
      <c r="J94" s="16">
        <f t="shared" si="17"/>
        <v>270.34820849253839</v>
      </c>
      <c r="K94" s="66">
        <v>193231</v>
      </c>
      <c r="L94" s="16">
        <f t="shared" si="18"/>
        <v>0</v>
      </c>
      <c r="M94" s="16">
        <f t="shared" si="19"/>
        <v>0</v>
      </c>
      <c r="N94" s="16">
        <v>0</v>
      </c>
      <c r="O94" s="16">
        <f t="shared" si="20"/>
        <v>0</v>
      </c>
      <c r="P94" s="16">
        <f t="shared" si="21"/>
        <v>0</v>
      </c>
      <c r="Q94" s="16">
        <v>0</v>
      </c>
      <c r="R94" s="16">
        <f t="shared" si="22"/>
        <v>0</v>
      </c>
      <c r="S94" s="16">
        <f t="shared" si="23"/>
        <v>0</v>
      </c>
    </row>
    <row r="95" spans="1:19" x14ac:dyDescent="0.3">
      <c r="A95" s="65">
        <v>20180516</v>
      </c>
      <c r="B95" s="65" t="s">
        <v>88</v>
      </c>
      <c r="C95" s="158">
        <f t="shared" si="12"/>
        <v>110397596.23173952</v>
      </c>
      <c r="D95" s="158">
        <f t="shared" si="13"/>
        <v>5.8525222280477558E-3</v>
      </c>
      <c r="E95" s="66">
        <v>49850</v>
      </c>
      <c r="F95" s="16">
        <f t="shared" si="14"/>
        <v>0.4</v>
      </c>
      <c r="G95" s="16">
        <f t="shared" si="15"/>
        <v>784.00627205017645</v>
      </c>
      <c r="H95" s="66">
        <v>263789</v>
      </c>
      <c r="I95" s="16">
        <f t="shared" si="16"/>
        <v>0.6</v>
      </c>
      <c r="J95" s="16">
        <f t="shared" si="17"/>
        <v>270.34820849253839</v>
      </c>
      <c r="K95" s="66">
        <v>201670</v>
      </c>
      <c r="L95" s="16">
        <f t="shared" si="18"/>
        <v>0</v>
      </c>
      <c r="M95" s="16">
        <f t="shared" si="19"/>
        <v>0</v>
      </c>
      <c r="N95" s="16">
        <v>0</v>
      </c>
      <c r="O95" s="16">
        <f t="shared" si="20"/>
        <v>0</v>
      </c>
      <c r="P95" s="16">
        <f t="shared" si="21"/>
        <v>0</v>
      </c>
      <c r="Q95" s="16">
        <v>0</v>
      </c>
      <c r="R95" s="16">
        <f t="shared" si="22"/>
        <v>0</v>
      </c>
      <c r="S95" s="16">
        <f t="shared" si="23"/>
        <v>0</v>
      </c>
    </row>
    <row r="96" spans="1:19" x14ac:dyDescent="0.3">
      <c r="A96" s="65">
        <v>20180517</v>
      </c>
      <c r="B96" s="65" t="s">
        <v>88</v>
      </c>
      <c r="C96" s="158">
        <f t="shared" si="12"/>
        <v>109779311.46857725</v>
      </c>
      <c r="D96" s="158">
        <f t="shared" si="13"/>
        <v>-5.6005274051837747E-3</v>
      </c>
      <c r="E96" s="66">
        <v>49400</v>
      </c>
      <c r="F96" s="16">
        <f t="shared" si="14"/>
        <v>0.4</v>
      </c>
      <c r="G96" s="16">
        <f t="shared" si="15"/>
        <v>784.00627205017645</v>
      </c>
      <c r="H96" s="66">
        <v>262807</v>
      </c>
      <c r="I96" s="16">
        <f t="shared" si="16"/>
        <v>0.6</v>
      </c>
      <c r="J96" s="16">
        <f t="shared" si="17"/>
        <v>270.34820849253839</v>
      </c>
      <c r="K96" s="66">
        <v>209031</v>
      </c>
      <c r="L96" s="16">
        <f t="shared" si="18"/>
        <v>0</v>
      </c>
      <c r="M96" s="16">
        <f t="shared" si="19"/>
        <v>0</v>
      </c>
      <c r="N96" s="16">
        <v>0</v>
      </c>
      <c r="O96" s="16">
        <f t="shared" si="20"/>
        <v>0</v>
      </c>
      <c r="P96" s="16">
        <f t="shared" si="21"/>
        <v>0</v>
      </c>
      <c r="Q96" s="16">
        <v>0</v>
      </c>
      <c r="R96" s="16">
        <f t="shared" si="22"/>
        <v>0</v>
      </c>
      <c r="S96" s="16">
        <f t="shared" si="23"/>
        <v>0</v>
      </c>
    </row>
    <row r="97" spans="1:19" x14ac:dyDescent="0.3">
      <c r="A97" s="65">
        <v>20180518</v>
      </c>
      <c r="B97" s="65" t="s">
        <v>88</v>
      </c>
      <c r="C97" s="158">
        <f t="shared" si="12"/>
        <v>110521687.29583994</v>
      </c>
      <c r="D97" s="158">
        <f t="shared" si="13"/>
        <v>6.7624383623063541E-3</v>
      </c>
      <c r="E97" s="66">
        <v>49500</v>
      </c>
      <c r="F97" s="16">
        <f t="shared" si="14"/>
        <v>0.4</v>
      </c>
      <c r="G97" s="16">
        <f t="shared" si="15"/>
        <v>784.00627205017645</v>
      </c>
      <c r="H97" s="66">
        <v>265263</v>
      </c>
      <c r="I97" s="16">
        <f t="shared" si="16"/>
        <v>0.6</v>
      </c>
      <c r="J97" s="16">
        <f t="shared" si="17"/>
        <v>270.34820849253839</v>
      </c>
      <c r="K97" s="66">
        <v>215998</v>
      </c>
      <c r="L97" s="16">
        <f t="shared" si="18"/>
        <v>0</v>
      </c>
      <c r="M97" s="16">
        <f t="shared" si="19"/>
        <v>0</v>
      </c>
      <c r="N97" s="16">
        <v>0</v>
      </c>
      <c r="O97" s="16">
        <f t="shared" si="20"/>
        <v>0</v>
      </c>
      <c r="P97" s="16">
        <f t="shared" si="21"/>
        <v>0</v>
      </c>
      <c r="Q97" s="16">
        <v>0</v>
      </c>
      <c r="R97" s="16">
        <f t="shared" si="22"/>
        <v>0</v>
      </c>
      <c r="S97" s="16">
        <f t="shared" si="23"/>
        <v>0</v>
      </c>
    </row>
    <row r="98" spans="1:19" x14ac:dyDescent="0.3">
      <c r="A98" s="65">
        <v>20180521</v>
      </c>
      <c r="B98" s="65" t="s">
        <v>88</v>
      </c>
      <c r="C98" s="158">
        <f t="shared" si="12"/>
        <v>110913690.43186504</v>
      </c>
      <c r="D98" s="158">
        <f t="shared" si="13"/>
        <v>3.5468435708532297E-3</v>
      </c>
      <c r="E98" s="66">
        <v>50000</v>
      </c>
      <c r="F98" s="16">
        <f t="shared" si="14"/>
        <v>0.4</v>
      </c>
      <c r="G98" s="16">
        <f t="shared" si="15"/>
        <v>784.00627205017645</v>
      </c>
      <c r="H98" s="66">
        <v>265263</v>
      </c>
      <c r="I98" s="16">
        <f t="shared" si="16"/>
        <v>0.6</v>
      </c>
      <c r="J98" s="16">
        <f t="shared" si="17"/>
        <v>270.34820849253839</v>
      </c>
      <c r="K98" s="66">
        <v>220120</v>
      </c>
      <c r="L98" s="16">
        <f t="shared" si="18"/>
        <v>0</v>
      </c>
      <c r="M98" s="16">
        <f t="shared" si="19"/>
        <v>0</v>
      </c>
      <c r="N98" s="16">
        <v>0</v>
      </c>
      <c r="O98" s="16">
        <f t="shared" si="20"/>
        <v>0</v>
      </c>
      <c r="P98" s="16">
        <f t="shared" si="21"/>
        <v>0</v>
      </c>
      <c r="Q98" s="16">
        <v>0</v>
      </c>
      <c r="R98" s="16">
        <f t="shared" si="22"/>
        <v>0</v>
      </c>
      <c r="S98" s="16">
        <f t="shared" si="23"/>
        <v>0</v>
      </c>
    </row>
    <row r="99" spans="1:19" x14ac:dyDescent="0.3">
      <c r="A99" s="65">
        <v>20180523</v>
      </c>
      <c r="B99" s="65" t="s">
        <v>88</v>
      </c>
      <c r="C99" s="158">
        <f t="shared" si="12"/>
        <v>109004755.3730585</v>
      </c>
      <c r="D99" s="158">
        <f t="shared" si="13"/>
        <v>-1.7210995787568795E-2</v>
      </c>
      <c r="E99" s="66">
        <v>51800</v>
      </c>
      <c r="F99" s="16">
        <f t="shared" si="14"/>
        <v>0.4</v>
      </c>
      <c r="G99" s="16">
        <f t="shared" si="15"/>
        <v>784.00627205017645</v>
      </c>
      <c r="H99" s="66">
        <v>252982</v>
      </c>
      <c r="I99" s="16">
        <f t="shared" si="16"/>
        <v>0.6</v>
      </c>
      <c r="J99" s="16">
        <f t="shared" si="17"/>
        <v>270.34820849253839</v>
      </c>
      <c r="K99" s="66">
        <v>251229</v>
      </c>
      <c r="L99" s="16">
        <f t="shared" si="18"/>
        <v>0</v>
      </c>
      <c r="M99" s="16">
        <f t="shared" si="19"/>
        <v>0</v>
      </c>
      <c r="N99" s="16">
        <v>0</v>
      </c>
      <c r="O99" s="16">
        <f t="shared" si="20"/>
        <v>0</v>
      </c>
      <c r="P99" s="16">
        <f t="shared" si="21"/>
        <v>0</v>
      </c>
      <c r="Q99" s="16">
        <v>0</v>
      </c>
      <c r="R99" s="16">
        <f t="shared" si="22"/>
        <v>0</v>
      </c>
      <c r="S99" s="16">
        <f t="shared" si="23"/>
        <v>0</v>
      </c>
    </row>
    <row r="100" spans="1:19" x14ac:dyDescent="0.3">
      <c r="A100" s="65">
        <v>20180524</v>
      </c>
      <c r="B100" s="65" t="s">
        <v>88</v>
      </c>
      <c r="C100" s="158">
        <f t="shared" si="12"/>
        <v>110550337.49404161</v>
      </c>
      <c r="D100" s="158">
        <f t="shared" si="13"/>
        <v>1.4179033893461802E-2</v>
      </c>
      <c r="E100" s="66">
        <v>51400</v>
      </c>
      <c r="F100" s="16">
        <f t="shared" si="14"/>
        <v>0.4</v>
      </c>
      <c r="G100" s="16">
        <f t="shared" si="15"/>
        <v>784.00627205017645</v>
      </c>
      <c r="H100" s="66">
        <v>259859</v>
      </c>
      <c r="I100" s="16">
        <f t="shared" si="16"/>
        <v>0.6</v>
      </c>
      <c r="J100" s="16">
        <f t="shared" si="17"/>
        <v>270.34820849253839</v>
      </c>
      <c r="K100" s="66">
        <v>250248</v>
      </c>
      <c r="L100" s="16">
        <f t="shared" si="18"/>
        <v>0</v>
      </c>
      <c r="M100" s="16">
        <f t="shared" si="19"/>
        <v>0</v>
      </c>
      <c r="N100" s="16">
        <v>0</v>
      </c>
      <c r="O100" s="16">
        <f t="shared" si="20"/>
        <v>0</v>
      </c>
      <c r="P100" s="16">
        <f t="shared" si="21"/>
        <v>0</v>
      </c>
      <c r="Q100" s="16">
        <v>0</v>
      </c>
      <c r="R100" s="16">
        <f t="shared" si="22"/>
        <v>0</v>
      </c>
      <c r="S100" s="16">
        <f t="shared" si="23"/>
        <v>0</v>
      </c>
    </row>
    <row r="101" spans="1:19" x14ac:dyDescent="0.3">
      <c r="A101" s="65">
        <v>20180525</v>
      </c>
      <c r="B101" s="65" t="s">
        <v>88</v>
      </c>
      <c r="C101" s="158">
        <f t="shared" si="12"/>
        <v>114358457.76651587</v>
      </c>
      <c r="D101" s="158">
        <f t="shared" si="13"/>
        <v>3.444693484250564E-2</v>
      </c>
      <c r="E101" s="66">
        <v>52700</v>
      </c>
      <c r="F101" s="16">
        <f t="shared" si="14"/>
        <v>0.4</v>
      </c>
      <c r="G101" s="16">
        <f t="shared" si="15"/>
        <v>784.00627205017645</v>
      </c>
      <c r="H101" s="66">
        <v>270175</v>
      </c>
      <c r="I101" s="16">
        <f t="shared" si="16"/>
        <v>0.6</v>
      </c>
      <c r="J101" s="16">
        <f t="shared" si="17"/>
        <v>270.34820849253839</v>
      </c>
      <c r="K101" s="66">
        <v>254959</v>
      </c>
      <c r="L101" s="16">
        <f t="shared" si="18"/>
        <v>0</v>
      </c>
      <c r="M101" s="16">
        <f t="shared" si="19"/>
        <v>0</v>
      </c>
      <c r="N101" s="16">
        <v>0</v>
      </c>
      <c r="O101" s="16">
        <f t="shared" si="20"/>
        <v>0</v>
      </c>
      <c r="P101" s="16">
        <f t="shared" si="21"/>
        <v>0</v>
      </c>
      <c r="Q101" s="16">
        <v>0</v>
      </c>
      <c r="R101" s="16">
        <f t="shared" si="22"/>
        <v>0</v>
      </c>
      <c r="S101" s="16">
        <f t="shared" si="23"/>
        <v>0</v>
      </c>
    </row>
    <row r="102" spans="1:19" x14ac:dyDescent="0.3">
      <c r="A102" s="65">
        <v>20180528</v>
      </c>
      <c r="B102" s="65" t="s">
        <v>88</v>
      </c>
      <c r="C102" s="158">
        <f t="shared" si="12"/>
        <v>112982386.79832011</v>
      </c>
      <c r="D102" s="158">
        <f t="shared" si="13"/>
        <v>-1.2032961925783023E-2</v>
      </c>
      <c r="E102" s="66">
        <v>52300</v>
      </c>
      <c r="F102" s="16">
        <f t="shared" si="14"/>
        <v>0.4</v>
      </c>
      <c r="G102" s="16">
        <f t="shared" si="15"/>
        <v>784.00627205017645</v>
      </c>
      <c r="H102" s="66">
        <v>266245</v>
      </c>
      <c r="I102" s="16">
        <f t="shared" si="16"/>
        <v>0.6</v>
      </c>
      <c r="J102" s="16">
        <f t="shared" si="17"/>
        <v>270.34820849253839</v>
      </c>
      <c r="K102" s="66">
        <v>256136</v>
      </c>
      <c r="L102" s="16">
        <f t="shared" si="18"/>
        <v>0</v>
      </c>
      <c r="M102" s="16">
        <f t="shared" si="19"/>
        <v>0</v>
      </c>
      <c r="N102" s="16">
        <v>0</v>
      </c>
      <c r="O102" s="16">
        <f t="shared" si="20"/>
        <v>0</v>
      </c>
      <c r="P102" s="16">
        <f t="shared" si="21"/>
        <v>0</v>
      </c>
      <c r="Q102" s="16">
        <v>0</v>
      </c>
      <c r="R102" s="16">
        <f t="shared" si="22"/>
        <v>0</v>
      </c>
      <c r="S102" s="16">
        <f t="shared" si="23"/>
        <v>0</v>
      </c>
    </row>
    <row r="103" spans="1:19" x14ac:dyDescent="0.3">
      <c r="A103" s="65">
        <v>20180529</v>
      </c>
      <c r="B103" s="65" t="s">
        <v>88</v>
      </c>
      <c r="C103" s="158">
        <f t="shared" si="12"/>
        <v>112065639.5559001</v>
      </c>
      <c r="D103" s="158">
        <f t="shared" si="13"/>
        <v>-8.1140721876982718E-3</v>
      </c>
      <c r="E103" s="66">
        <v>51300</v>
      </c>
      <c r="F103" s="16">
        <f t="shared" si="14"/>
        <v>0.4</v>
      </c>
      <c r="G103" s="16">
        <f t="shared" si="15"/>
        <v>784.00627205017645</v>
      </c>
      <c r="H103" s="66">
        <v>265754</v>
      </c>
      <c r="I103" s="16">
        <f t="shared" si="16"/>
        <v>0.6</v>
      </c>
      <c r="J103" s="16">
        <f t="shared" si="17"/>
        <v>270.34820849253839</v>
      </c>
      <c r="K103" s="66">
        <v>244360</v>
      </c>
      <c r="L103" s="16">
        <f t="shared" si="18"/>
        <v>0</v>
      </c>
      <c r="M103" s="16">
        <f t="shared" si="19"/>
        <v>0</v>
      </c>
      <c r="N103" s="16">
        <v>0</v>
      </c>
      <c r="O103" s="16">
        <f t="shared" si="20"/>
        <v>0</v>
      </c>
      <c r="P103" s="16">
        <f t="shared" si="21"/>
        <v>0</v>
      </c>
      <c r="Q103" s="16">
        <v>0</v>
      </c>
      <c r="R103" s="16">
        <f t="shared" si="22"/>
        <v>0</v>
      </c>
      <c r="S103" s="16">
        <f t="shared" si="23"/>
        <v>0</v>
      </c>
    </row>
    <row r="104" spans="1:19" x14ac:dyDescent="0.3">
      <c r="A104" s="65">
        <v>20180530</v>
      </c>
      <c r="B104" s="65" t="s">
        <v>88</v>
      </c>
      <c r="C104" s="158">
        <f t="shared" si="12"/>
        <v>110388675.9772616</v>
      </c>
      <c r="D104" s="158">
        <f t="shared" si="13"/>
        <v>-1.4964119111656864E-2</v>
      </c>
      <c r="E104" s="66">
        <v>49500</v>
      </c>
      <c r="F104" s="16">
        <f t="shared" si="14"/>
        <v>0.4</v>
      </c>
      <c r="G104" s="16">
        <f t="shared" si="15"/>
        <v>784.00627205017645</v>
      </c>
      <c r="H104" s="66">
        <v>264771</v>
      </c>
      <c r="I104" s="16">
        <f t="shared" si="16"/>
        <v>0.6</v>
      </c>
      <c r="J104" s="16">
        <f t="shared" si="17"/>
        <v>270.34820849253839</v>
      </c>
      <c r="K104" s="66">
        <v>256529</v>
      </c>
      <c r="L104" s="16">
        <f t="shared" si="18"/>
        <v>0</v>
      </c>
      <c r="M104" s="16">
        <f t="shared" si="19"/>
        <v>0</v>
      </c>
      <c r="N104" s="16">
        <v>0</v>
      </c>
      <c r="O104" s="16">
        <f t="shared" si="20"/>
        <v>0</v>
      </c>
      <c r="P104" s="16">
        <f t="shared" si="21"/>
        <v>0</v>
      </c>
      <c r="Q104" s="16">
        <v>0</v>
      </c>
      <c r="R104" s="16">
        <f t="shared" si="22"/>
        <v>0</v>
      </c>
      <c r="S104" s="16">
        <f t="shared" si="23"/>
        <v>0</v>
      </c>
    </row>
    <row r="105" spans="1:19" x14ac:dyDescent="0.3">
      <c r="A105" s="65">
        <v>20180531</v>
      </c>
      <c r="B105" s="65" t="s">
        <v>88</v>
      </c>
      <c r="C105" s="158">
        <f t="shared" si="12"/>
        <v>110267285.39255464</v>
      </c>
      <c r="D105" s="158">
        <f t="shared" si="13"/>
        <v>-1.0996651933026784E-3</v>
      </c>
      <c r="E105" s="66">
        <v>50700</v>
      </c>
      <c r="F105" s="16">
        <f t="shared" si="14"/>
        <v>0.4</v>
      </c>
      <c r="G105" s="16">
        <f t="shared" si="15"/>
        <v>784.00627205017645</v>
      </c>
      <c r="H105" s="66">
        <v>260842</v>
      </c>
      <c r="I105" s="16">
        <f t="shared" si="16"/>
        <v>0.6</v>
      </c>
      <c r="J105" s="16">
        <f t="shared" si="17"/>
        <v>270.34820849253839</v>
      </c>
      <c r="K105" s="66">
        <v>260062</v>
      </c>
      <c r="L105" s="16">
        <f t="shared" si="18"/>
        <v>0</v>
      </c>
      <c r="M105" s="16">
        <f t="shared" si="19"/>
        <v>0</v>
      </c>
      <c r="N105" s="16">
        <v>0</v>
      </c>
      <c r="O105" s="16">
        <f t="shared" si="20"/>
        <v>0</v>
      </c>
      <c r="P105" s="16">
        <f t="shared" si="21"/>
        <v>0</v>
      </c>
      <c r="Q105" s="16">
        <v>0</v>
      </c>
      <c r="R105" s="16">
        <f t="shared" si="22"/>
        <v>0</v>
      </c>
      <c r="S105" s="16">
        <f t="shared" si="23"/>
        <v>0</v>
      </c>
    </row>
    <row r="106" spans="1:19" x14ac:dyDescent="0.3">
      <c r="A106" s="65">
        <v>20180601</v>
      </c>
      <c r="B106" s="65" t="s">
        <v>88</v>
      </c>
      <c r="C106" s="158">
        <f t="shared" si="12"/>
        <v>112862355.7263276</v>
      </c>
      <c r="D106" s="158">
        <f t="shared" si="13"/>
        <v>2.3534363111728324E-2</v>
      </c>
      <c r="E106" s="66">
        <v>51300</v>
      </c>
      <c r="F106" s="16">
        <f t="shared" si="14"/>
        <v>0.4</v>
      </c>
      <c r="G106" s="16">
        <f t="shared" si="15"/>
        <v>784.00627205017645</v>
      </c>
      <c r="H106" s="66">
        <v>268701</v>
      </c>
      <c r="I106" s="16">
        <f t="shared" si="16"/>
        <v>0.6</v>
      </c>
      <c r="J106" s="16">
        <f t="shared" si="17"/>
        <v>270.34820849253839</v>
      </c>
      <c r="K106" s="66">
        <v>258590</v>
      </c>
      <c r="L106" s="16">
        <f t="shared" si="18"/>
        <v>0</v>
      </c>
      <c r="M106" s="16">
        <f t="shared" si="19"/>
        <v>0</v>
      </c>
      <c r="N106" s="16">
        <v>0</v>
      </c>
      <c r="O106" s="16">
        <f t="shared" si="20"/>
        <v>0</v>
      </c>
      <c r="P106" s="16">
        <f t="shared" si="21"/>
        <v>0</v>
      </c>
      <c r="Q106" s="16">
        <v>0</v>
      </c>
      <c r="R106" s="16">
        <f t="shared" si="22"/>
        <v>0</v>
      </c>
      <c r="S106" s="16">
        <f t="shared" si="23"/>
        <v>0</v>
      </c>
    </row>
    <row r="107" spans="1:19" x14ac:dyDescent="0.3">
      <c r="A107" s="65">
        <v>20180604</v>
      </c>
      <c r="B107" s="65" t="s">
        <v>88</v>
      </c>
      <c r="C107" s="158">
        <f t="shared" si="12"/>
        <v>110846369.84211439</v>
      </c>
      <c r="D107" s="158">
        <f t="shared" si="13"/>
        <v>-1.7862341001472971E-2</v>
      </c>
      <c r="E107" s="66">
        <v>51100</v>
      </c>
      <c r="F107" s="16">
        <f t="shared" si="14"/>
        <v>0.4</v>
      </c>
      <c r="G107" s="16">
        <f t="shared" si="15"/>
        <v>784.00627205017645</v>
      </c>
      <c r="H107" s="66">
        <v>261824</v>
      </c>
      <c r="I107" s="16">
        <f t="shared" si="16"/>
        <v>0.6</v>
      </c>
      <c r="J107" s="16">
        <f t="shared" si="17"/>
        <v>270.34820849253839</v>
      </c>
      <c r="K107" s="66">
        <v>248285</v>
      </c>
      <c r="L107" s="16">
        <f t="shared" si="18"/>
        <v>0</v>
      </c>
      <c r="M107" s="16">
        <f t="shared" si="19"/>
        <v>0</v>
      </c>
      <c r="N107" s="16">
        <v>0</v>
      </c>
      <c r="O107" s="16">
        <f t="shared" si="20"/>
        <v>0</v>
      </c>
      <c r="P107" s="16">
        <f t="shared" si="21"/>
        <v>0</v>
      </c>
      <c r="Q107" s="16">
        <v>0</v>
      </c>
      <c r="R107" s="16">
        <f t="shared" si="22"/>
        <v>0</v>
      </c>
      <c r="S107" s="16">
        <f t="shared" si="23"/>
        <v>0</v>
      </c>
    </row>
    <row r="108" spans="1:19" x14ac:dyDescent="0.3">
      <c r="A108" s="65">
        <v>20180605</v>
      </c>
      <c r="B108" s="65" t="s">
        <v>88</v>
      </c>
      <c r="C108" s="158">
        <f t="shared" si="12"/>
        <v>111135912.06689426</v>
      </c>
      <c r="D108" s="158">
        <f t="shared" si="13"/>
        <v>2.6121038081110613E-3</v>
      </c>
      <c r="E108" s="66">
        <v>51300</v>
      </c>
      <c r="F108" s="16">
        <f t="shared" si="14"/>
        <v>0.4</v>
      </c>
      <c r="G108" s="16">
        <f t="shared" si="15"/>
        <v>784.00627205017645</v>
      </c>
      <c r="H108" s="66">
        <v>262315</v>
      </c>
      <c r="I108" s="16">
        <f t="shared" si="16"/>
        <v>0.6</v>
      </c>
      <c r="J108" s="16">
        <f t="shared" si="17"/>
        <v>270.34820849253839</v>
      </c>
      <c r="K108" s="66">
        <v>240434</v>
      </c>
      <c r="L108" s="16">
        <f t="shared" si="18"/>
        <v>0</v>
      </c>
      <c r="M108" s="16">
        <f t="shared" si="19"/>
        <v>0</v>
      </c>
      <c r="N108" s="16">
        <v>0</v>
      </c>
      <c r="O108" s="16">
        <f t="shared" si="20"/>
        <v>0</v>
      </c>
      <c r="P108" s="16">
        <f t="shared" si="21"/>
        <v>0</v>
      </c>
      <c r="Q108" s="16">
        <v>0</v>
      </c>
      <c r="R108" s="16">
        <f t="shared" si="22"/>
        <v>0</v>
      </c>
      <c r="S108" s="16">
        <f t="shared" si="23"/>
        <v>0</v>
      </c>
    </row>
    <row r="109" spans="1:19" x14ac:dyDescent="0.3">
      <c r="A109" s="65">
        <v>20180607</v>
      </c>
      <c r="B109" s="65" t="s">
        <v>88</v>
      </c>
      <c r="C109" s="158">
        <f t="shared" si="12"/>
        <v>111649576.13583481</v>
      </c>
      <c r="D109" s="158">
        <f t="shared" si="13"/>
        <v>4.621944962591106E-3</v>
      </c>
      <c r="E109" s="66">
        <v>50600</v>
      </c>
      <c r="F109" s="16">
        <f t="shared" si="14"/>
        <v>0.4</v>
      </c>
      <c r="G109" s="16">
        <f t="shared" si="15"/>
        <v>784.00627205017645</v>
      </c>
      <c r="H109" s="66">
        <v>266245</v>
      </c>
      <c r="I109" s="16">
        <f t="shared" si="16"/>
        <v>0.6</v>
      </c>
      <c r="J109" s="16">
        <f t="shared" si="17"/>
        <v>270.34820849253839</v>
      </c>
      <c r="K109" s="66">
        <v>252309</v>
      </c>
      <c r="L109" s="16">
        <f t="shared" si="18"/>
        <v>0</v>
      </c>
      <c r="M109" s="16">
        <f t="shared" si="19"/>
        <v>0</v>
      </c>
      <c r="N109" s="16">
        <v>0</v>
      </c>
      <c r="O109" s="16">
        <f t="shared" si="20"/>
        <v>0</v>
      </c>
      <c r="P109" s="16">
        <f t="shared" si="21"/>
        <v>0</v>
      </c>
      <c r="Q109" s="16">
        <v>0</v>
      </c>
      <c r="R109" s="16">
        <f t="shared" si="22"/>
        <v>0</v>
      </c>
      <c r="S109" s="16">
        <f t="shared" si="23"/>
        <v>0</v>
      </c>
    </row>
    <row r="110" spans="1:19" x14ac:dyDescent="0.3">
      <c r="A110" s="65">
        <v>20180608</v>
      </c>
      <c r="B110" s="65" t="s">
        <v>88</v>
      </c>
      <c r="C110" s="158">
        <f t="shared" si="12"/>
        <v>110506276.91806914</v>
      </c>
      <c r="D110" s="158">
        <f t="shared" si="13"/>
        <v>-1.0240067695149298E-2</v>
      </c>
      <c r="E110" s="66">
        <v>49650</v>
      </c>
      <c r="F110" s="16">
        <f t="shared" si="14"/>
        <v>0.4</v>
      </c>
      <c r="G110" s="16">
        <f t="shared" si="15"/>
        <v>784.00627205017645</v>
      </c>
      <c r="H110" s="66">
        <v>264771</v>
      </c>
      <c r="I110" s="16">
        <f t="shared" si="16"/>
        <v>0.6</v>
      </c>
      <c r="J110" s="16">
        <f t="shared" si="17"/>
        <v>270.34820849253839</v>
      </c>
      <c r="K110" s="66">
        <v>243673</v>
      </c>
      <c r="L110" s="16">
        <f t="shared" si="18"/>
        <v>0</v>
      </c>
      <c r="M110" s="16">
        <f t="shared" si="19"/>
        <v>0</v>
      </c>
      <c r="N110" s="16">
        <v>0</v>
      </c>
      <c r="O110" s="16">
        <f t="shared" si="20"/>
        <v>0</v>
      </c>
      <c r="P110" s="16">
        <f t="shared" si="21"/>
        <v>0</v>
      </c>
      <c r="Q110" s="16">
        <v>0</v>
      </c>
      <c r="R110" s="16">
        <f t="shared" si="22"/>
        <v>0</v>
      </c>
      <c r="S110" s="16">
        <f t="shared" si="23"/>
        <v>0</v>
      </c>
    </row>
    <row r="111" spans="1:19" x14ac:dyDescent="0.3">
      <c r="A111" s="65">
        <v>20180611</v>
      </c>
      <c r="B111" s="65" t="s">
        <v>88</v>
      </c>
      <c r="C111" s="158">
        <f t="shared" si="12"/>
        <v>110171314.60460234</v>
      </c>
      <c r="D111" s="158">
        <f t="shared" si="13"/>
        <v>-3.0311609693913395E-3</v>
      </c>
      <c r="E111" s="66">
        <v>49900</v>
      </c>
      <c r="F111" s="16">
        <f t="shared" si="14"/>
        <v>0.4</v>
      </c>
      <c r="G111" s="16">
        <f t="shared" si="15"/>
        <v>784.00627205017645</v>
      </c>
      <c r="H111" s="66">
        <v>262807</v>
      </c>
      <c r="I111" s="16">
        <f t="shared" si="16"/>
        <v>0.6</v>
      </c>
      <c r="J111" s="16">
        <f t="shared" si="17"/>
        <v>270.34820849253839</v>
      </c>
      <c r="K111" s="66">
        <v>240434</v>
      </c>
      <c r="L111" s="16">
        <f t="shared" si="18"/>
        <v>0</v>
      </c>
      <c r="M111" s="16">
        <f t="shared" si="19"/>
        <v>0</v>
      </c>
      <c r="N111" s="16">
        <v>0</v>
      </c>
      <c r="O111" s="16">
        <f t="shared" si="20"/>
        <v>0</v>
      </c>
      <c r="P111" s="16">
        <f t="shared" si="21"/>
        <v>0</v>
      </c>
      <c r="Q111" s="16">
        <v>0</v>
      </c>
      <c r="R111" s="16">
        <f t="shared" si="22"/>
        <v>0</v>
      </c>
      <c r="S111" s="16">
        <f t="shared" si="23"/>
        <v>0</v>
      </c>
    </row>
    <row r="112" spans="1:19" x14ac:dyDescent="0.3">
      <c r="A112" s="65">
        <v>20180612</v>
      </c>
      <c r="B112" s="65" t="s">
        <v>88</v>
      </c>
      <c r="C112" s="158">
        <f t="shared" si="12"/>
        <v>111240002.83906244</v>
      </c>
      <c r="D112" s="158">
        <f t="shared" si="13"/>
        <v>9.7002403783194649E-3</v>
      </c>
      <c r="E112" s="66">
        <v>49400</v>
      </c>
      <c r="F112" s="16">
        <f t="shared" si="14"/>
        <v>0.4</v>
      </c>
      <c r="G112" s="16">
        <f t="shared" si="15"/>
        <v>784.00627205017645</v>
      </c>
      <c r="H112" s="66">
        <v>268210</v>
      </c>
      <c r="I112" s="16">
        <f t="shared" si="16"/>
        <v>0.6</v>
      </c>
      <c r="J112" s="16">
        <f t="shared" si="17"/>
        <v>270.34820849253839</v>
      </c>
      <c r="K112" s="66">
        <v>241906</v>
      </c>
      <c r="L112" s="16">
        <f t="shared" si="18"/>
        <v>0</v>
      </c>
      <c r="M112" s="16">
        <f t="shared" si="19"/>
        <v>0</v>
      </c>
      <c r="N112" s="16">
        <v>0</v>
      </c>
      <c r="O112" s="16">
        <f t="shared" si="20"/>
        <v>0</v>
      </c>
      <c r="P112" s="16">
        <f t="shared" si="21"/>
        <v>0</v>
      </c>
      <c r="Q112" s="16">
        <v>0</v>
      </c>
      <c r="R112" s="16">
        <f t="shared" si="22"/>
        <v>0</v>
      </c>
      <c r="S112" s="16">
        <f t="shared" si="23"/>
        <v>0</v>
      </c>
    </row>
    <row r="113" spans="1:19" x14ac:dyDescent="0.3">
      <c r="A113" s="65">
        <v>20180614</v>
      </c>
      <c r="B113" s="65" t="s">
        <v>88</v>
      </c>
      <c r="C113" s="158">
        <f t="shared" si="12"/>
        <v>112158379.9424054</v>
      </c>
      <c r="D113" s="158">
        <f t="shared" si="13"/>
        <v>8.2558169714507853E-3</v>
      </c>
      <c r="E113" s="66">
        <v>48200</v>
      </c>
      <c r="F113" s="16">
        <f t="shared" si="14"/>
        <v>0.4</v>
      </c>
      <c r="G113" s="16">
        <f t="shared" si="15"/>
        <v>784.00627205017645</v>
      </c>
      <c r="H113" s="66">
        <v>275087</v>
      </c>
      <c r="I113" s="16">
        <f t="shared" si="16"/>
        <v>0.6</v>
      </c>
      <c r="J113" s="16">
        <f t="shared" si="17"/>
        <v>270.34820849253839</v>
      </c>
      <c r="K113" s="66">
        <v>231700</v>
      </c>
      <c r="L113" s="16">
        <f t="shared" si="18"/>
        <v>0</v>
      </c>
      <c r="M113" s="16">
        <f t="shared" si="19"/>
        <v>0</v>
      </c>
      <c r="N113" s="16">
        <v>0</v>
      </c>
      <c r="O113" s="16">
        <f t="shared" si="20"/>
        <v>0</v>
      </c>
      <c r="P113" s="16">
        <f t="shared" si="21"/>
        <v>0</v>
      </c>
      <c r="Q113" s="16">
        <v>0</v>
      </c>
      <c r="R113" s="16">
        <f t="shared" si="22"/>
        <v>0</v>
      </c>
      <c r="S113" s="16">
        <f t="shared" si="23"/>
        <v>0</v>
      </c>
    </row>
    <row r="114" spans="1:19" x14ac:dyDescent="0.3">
      <c r="A114" s="65">
        <v>20180615</v>
      </c>
      <c r="B114" s="65" t="s">
        <v>88</v>
      </c>
      <c r="C114" s="158">
        <f t="shared" si="12"/>
        <v>116641025.53033818</v>
      </c>
      <c r="D114" s="158">
        <f t="shared" si="13"/>
        <v>3.996710357473663E-2</v>
      </c>
      <c r="E114" s="66">
        <v>47650</v>
      </c>
      <c r="F114" s="16">
        <f t="shared" si="14"/>
        <v>0.4</v>
      </c>
      <c r="G114" s="16">
        <f t="shared" si="15"/>
        <v>784.00627205017645</v>
      </c>
      <c r="H114" s="66">
        <v>293263</v>
      </c>
      <c r="I114" s="16">
        <f t="shared" si="16"/>
        <v>0.6</v>
      </c>
      <c r="J114" s="16">
        <f t="shared" si="17"/>
        <v>270.34820849253839</v>
      </c>
      <c r="K114" s="66">
        <v>228363</v>
      </c>
      <c r="L114" s="16">
        <f t="shared" si="18"/>
        <v>0</v>
      </c>
      <c r="M114" s="16">
        <f t="shared" si="19"/>
        <v>0</v>
      </c>
      <c r="N114" s="16">
        <v>0</v>
      </c>
      <c r="O114" s="16">
        <f t="shared" si="20"/>
        <v>0</v>
      </c>
      <c r="P114" s="16">
        <f t="shared" si="21"/>
        <v>0</v>
      </c>
      <c r="Q114" s="16">
        <v>0</v>
      </c>
      <c r="R114" s="16">
        <f t="shared" si="22"/>
        <v>0</v>
      </c>
      <c r="S114" s="16">
        <f t="shared" si="23"/>
        <v>0</v>
      </c>
    </row>
    <row r="115" spans="1:19" x14ac:dyDescent="0.3">
      <c r="A115" s="65">
        <v>20180618</v>
      </c>
      <c r="B115" s="65" t="s">
        <v>88</v>
      </c>
      <c r="C115" s="158">
        <f t="shared" si="12"/>
        <v>117544262.60411885</v>
      </c>
      <c r="D115" s="158">
        <f t="shared" si="13"/>
        <v>7.7437339878818189E-3</v>
      </c>
      <c r="E115" s="66">
        <v>46600</v>
      </c>
      <c r="F115" s="16">
        <f t="shared" si="14"/>
        <v>0.4</v>
      </c>
      <c r="G115" s="16">
        <f t="shared" si="15"/>
        <v>784.00627205017645</v>
      </c>
      <c r="H115" s="66">
        <v>299649</v>
      </c>
      <c r="I115" s="16">
        <f t="shared" si="16"/>
        <v>0.6</v>
      </c>
      <c r="J115" s="16">
        <f t="shared" si="17"/>
        <v>270.34820849253839</v>
      </c>
      <c r="K115" s="66">
        <v>214821</v>
      </c>
      <c r="L115" s="16">
        <f t="shared" si="18"/>
        <v>0</v>
      </c>
      <c r="M115" s="16">
        <f t="shared" si="19"/>
        <v>0</v>
      </c>
      <c r="N115" s="16">
        <v>0</v>
      </c>
      <c r="O115" s="16">
        <f t="shared" si="20"/>
        <v>0</v>
      </c>
      <c r="P115" s="16">
        <f t="shared" si="21"/>
        <v>0</v>
      </c>
      <c r="Q115" s="16">
        <v>0</v>
      </c>
      <c r="R115" s="16">
        <f t="shared" si="22"/>
        <v>0</v>
      </c>
      <c r="S115" s="16">
        <f t="shared" si="23"/>
        <v>0</v>
      </c>
    </row>
    <row r="116" spans="1:19" x14ac:dyDescent="0.3">
      <c r="A116" s="65">
        <v>20180619</v>
      </c>
      <c r="B116" s="65" t="s">
        <v>88</v>
      </c>
      <c r="C116" s="158">
        <f t="shared" si="12"/>
        <v>113209768.36432672</v>
      </c>
      <c r="D116" s="158">
        <f t="shared" si="13"/>
        <v>-3.6875421596632263E-2</v>
      </c>
      <c r="E116" s="66">
        <v>47000</v>
      </c>
      <c r="F116" s="16">
        <f t="shared" si="14"/>
        <v>0.4</v>
      </c>
      <c r="G116" s="16">
        <f t="shared" si="15"/>
        <v>784.00627205017645</v>
      </c>
      <c r="H116" s="66">
        <v>282456</v>
      </c>
      <c r="I116" s="16">
        <f t="shared" si="16"/>
        <v>0.6</v>
      </c>
      <c r="J116" s="16">
        <f t="shared" si="17"/>
        <v>270.34820849253839</v>
      </c>
      <c r="K116" s="66">
        <v>218157</v>
      </c>
      <c r="L116" s="16">
        <f t="shared" si="18"/>
        <v>0</v>
      </c>
      <c r="M116" s="16">
        <f t="shared" si="19"/>
        <v>0</v>
      </c>
      <c r="N116" s="16">
        <v>0</v>
      </c>
      <c r="O116" s="16">
        <f t="shared" si="20"/>
        <v>0</v>
      </c>
      <c r="P116" s="16">
        <f t="shared" si="21"/>
        <v>0</v>
      </c>
      <c r="Q116" s="16">
        <v>0</v>
      </c>
      <c r="R116" s="16">
        <f t="shared" si="22"/>
        <v>0</v>
      </c>
      <c r="S116" s="16">
        <f t="shared" si="23"/>
        <v>0</v>
      </c>
    </row>
    <row r="117" spans="1:19" x14ac:dyDescent="0.3">
      <c r="A117" s="65">
        <v>20180620</v>
      </c>
      <c r="B117" s="65" t="s">
        <v>88</v>
      </c>
      <c r="C117" s="158">
        <f t="shared" si="12"/>
        <v>115732928.19418758</v>
      </c>
      <c r="D117" s="158">
        <f t="shared" si="13"/>
        <v>2.2287474537894501E-2</v>
      </c>
      <c r="E117" s="66">
        <v>47000</v>
      </c>
      <c r="F117" s="16">
        <f t="shared" si="14"/>
        <v>0.4</v>
      </c>
      <c r="G117" s="16">
        <f t="shared" si="15"/>
        <v>784.00627205017645</v>
      </c>
      <c r="H117" s="66">
        <v>291789</v>
      </c>
      <c r="I117" s="16">
        <f t="shared" si="16"/>
        <v>0.6</v>
      </c>
      <c r="J117" s="16">
        <f t="shared" si="17"/>
        <v>270.34820849253839</v>
      </c>
      <c r="K117" s="66">
        <v>230032</v>
      </c>
      <c r="L117" s="16">
        <f t="shared" si="18"/>
        <v>0</v>
      </c>
      <c r="M117" s="16">
        <f t="shared" si="19"/>
        <v>0</v>
      </c>
      <c r="N117" s="16">
        <v>0</v>
      </c>
      <c r="O117" s="16">
        <f t="shared" si="20"/>
        <v>0</v>
      </c>
      <c r="P117" s="16">
        <f t="shared" si="21"/>
        <v>0</v>
      </c>
      <c r="Q117" s="16">
        <v>0</v>
      </c>
      <c r="R117" s="16">
        <f t="shared" si="22"/>
        <v>0</v>
      </c>
      <c r="S117" s="16">
        <f t="shared" si="23"/>
        <v>0</v>
      </c>
    </row>
    <row r="118" spans="1:19" x14ac:dyDescent="0.3">
      <c r="A118" s="65">
        <v>20180621</v>
      </c>
      <c r="B118" s="65" t="s">
        <v>88</v>
      </c>
      <c r="C118" s="158">
        <f t="shared" si="12"/>
        <v>114444178.10767473</v>
      </c>
      <c r="D118" s="158">
        <f t="shared" si="13"/>
        <v>-1.1135552401737064E-2</v>
      </c>
      <c r="E118" s="66">
        <v>47050</v>
      </c>
      <c r="F118" s="16">
        <f t="shared" si="14"/>
        <v>0.4</v>
      </c>
      <c r="G118" s="16">
        <f t="shared" si="15"/>
        <v>784.00627205017645</v>
      </c>
      <c r="H118" s="66">
        <v>286877</v>
      </c>
      <c r="I118" s="16">
        <f t="shared" si="16"/>
        <v>0.6</v>
      </c>
      <c r="J118" s="16">
        <f t="shared" si="17"/>
        <v>270.34820849253839</v>
      </c>
      <c r="K118" s="66">
        <v>226695</v>
      </c>
      <c r="L118" s="16">
        <f t="shared" si="18"/>
        <v>0</v>
      </c>
      <c r="M118" s="16">
        <f t="shared" si="19"/>
        <v>0</v>
      </c>
      <c r="N118" s="16">
        <v>0</v>
      </c>
      <c r="O118" s="16">
        <f t="shared" si="20"/>
        <v>0</v>
      </c>
      <c r="P118" s="16">
        <f t="shared" si="21"/>
        <v>0</v>
      </c>
      <c r="Q118" s="16">
        <v>0</v>
      </c>
      <c r="R118" s="16">
        <f t="shared" si="22"/>
        <v>0</v>
      </c>
      <c r="S118" s="16">
        <f t="shared" si="23"/>
        <v>0</v>
      </c>
    </row>
    <row r="119" spans="1:19" x14ac:dyDescent="0.3">
      <c r="A119" s="65">
        <v>20180622</v>
      </c>
      <c r="B119" s="65" t="s">
        <v>88</v>
      </c>
      <c r="C119" s="158">
        <f t="shared" si="12"/>
        <v>115530436.50288212</v>
      </c>
      <c r="D119" s="158">
        <f t="shared" si="13"/>
        <v>9.4916002995397864E-3</v>
      </c>
      <c r="E119" s="66">
        <v>47250</v>
      </c>
      <c r="F119" s="16">
        <f t="shared" si="14"/>
        <v>0.4</v>
      </c>
      <c r="G119" s="16">
        <f t="shared" si="15"/>
        <v>784.00627205017645</v>
      </c>
      <c r="H119" s="66">
        <v>290315</v>
      </c>
      <c r="I119" s="16">
        <f t="shared" si="16"/>
        <v>0.6</v>
      </c>
      <c r="J119" s="16">
        <f t="shared" si="17"/>
        <v>270.34820849253839</v>
      </c>
      <c r="K119" s="66">
        <v>227677</v>
      </c>
      <c r="L119" s="16">
        <f t="shared" si="18"/>
        <v>0</v>
      </c>
      <c r="M119" s="16">
        <f t="shared" si="19"/>
        <v>0</v>
      </c>
      <c r="N119" s="16">
        <v>0</v>
      </c>
      <c r="O119" s="16">
        <f t="shared" si="20"/>
        <v>0</v>
      </c>
      <c r="P119" s="16">
        <f t="shared" si="21"/>
        <v>0</v>
      </c>
      <c r="Q119" s="16">
        <v>0</v>
      </c>
      <c r="R119" s="16">
        <f t="shared" si="22"/>
        <v>0</v>
      </c>
      <c r="S119" s="16">
        <f t="shared" si="23"/>
        <v>0</v>
      </c>
    </row>
    <row r="120" spans="1:19" x14ac:dyDescent="0.3">
      <c r="A120" s="65">
        <v>20180625</v>
      </c>
      <c r="B120" s="65" t="s">
        <v>88</v>
      </c>
      <c r="C120" s="158">
        <f t="shared" si="12"/>
        <v>115193044.05823034</v>
      </c>
      <c r="D120" s="158">
        <f t="shared" si="13"/>
        <v>-2.9203771306045884E-3</v>
      </c>
      <c r="E120" s="66">
        <v>46650</v>
      </c>
      <c r="F120" s="16">
        <f t="shared" si="14"/>
        <v>0.4</v>
      </c>
      <c r="G120" s="16">
        <f t="shared" si="15"/>
        <v>784.00627205017645</v>
      </c>
      <c r="H120" s="66">
        <v>290807</v>
      </c>
      <c r="I120" s="16">
        <f t="shared" si="16"/>
        <v>0.6</v>
      </c>
      <c r="J120" s="16">
        <f t="shared" si="17"/>
        <v>270.34820849253839</v>
      </c>
      <c r="K120" s="66">
        <v>226597</v>
      </c>
      <c r="L120" s="16">
        <f t="shared" si="18"/>
        <v>0</v>
      </c>
      <c r="M120" s="16">
        <f t="shared" si="19"/>
        <v>0</v>
      </c>
      <c r="N120" s="16">
        <v>0</v>
      </c>
      <c r="O120" s="16">
        <f t="shared" si="20"/>
        <v>0</v>
      </c>
      <c r="P120" s="16">
        <f t="shared" si="21"/>
        <v>0</v>
      </c>
      <c r="Q120" s="16">
        <v>0</v>
      </c>
      <c r="R120" s="16">
        <f t="shared" si="22"/>
        <v>0</v>
      </c>
      <c r="S120" s="16">
        <f t="shared" si="23"/>
        <v>0</v>
      </c>
    </row>
    <row r="121" spans="1:19" x14ac:dyDescent="0.3">
      <c r="A121" s="65">
        <v>20180626</v>
      </c>
      <c r="B121" s="65" t="s">
        <v>88</v>
      </c>
      <c r="C121" s="158">
        <f t="shared" si="12"/>
        <v>116795396.65356326</v>
      </c>
      <c r="D121" s="158">
        <f t="shared" si="13"/>
        <v>1.3910150638287913E-2</v>
      </c>
      <c r="E121" s="66">
        <v>47000</v>
      </c>
      <c r="F121" s="16">
        <f t="shared" si="14"/>
        <v>0.4</v>
      </c>
      <c r="G121" s="16">
        <f t="shared" si="15"/>
        <v>784.00627205017645</v>
      </c>
      <c r="H121" s="66">
        <v>295719</v>
      </c>
      <c r="I121" s="16">
        <f t="shared" si="16"/>
        <v>0.6</v>
      </c>
      <c r="J121" s="16">
        <f t="shared" si="17"/>
        <v>270.34820849253839</v>
      </c>
      <c r="K121" s="66">
        <v>219629</v>
      </c>
      <c r="L121" s="16">
        <f t="shared" si="18"/>
        <v>0</v>
      </c>
      <c r="M121" s="16">
        <f t="shared" si="19"/>
        <v>0</v>
      </c>
      <c r="N121" s="16">
        <v>0</v>
      </c>
      <c r="O121" s="16">
        <f t="shared" si="20"/>
        <v>0</v>
      </c>
      <c r="P121" s="16">
        <f t="shared" si="21"/>
        <v>0</v>
      </c>
      <c r="Q121" s="16">
        <v>0</v>
      </c>
      <c r="R121" s="16">
        <f t="shared" si="22"/>
        <v>0</v>
      </c>
      <c r="S121" s="16">
        <f t="shared" si="23"/>
        <v>0</v>
      </c>
    </row>
    <row r="122" spans="1:19" x14ac:dyDescent="0.3">
      <c r="A122" s="65">
        <v>20180627</v>
      </c>
      <c r="B122" s="65" t="s">
        <v>88</v>
      </c>
      <c r="C122" s="158">
        <f t="shared" si="12"/>
        <v>117805684.55275059</v>
      </c>
      <c r="D122" s="158">
        <f t="shared" si="13"/>
        <v>8.6500660825188785E-3</v>
      </c>
      <c r="E122" s="66">
        <v>47950</v>
      </c>
      <c r="F122" s="16">
        <f t="shared" si="14"/>
        <v>0.4</v>
      </c>
      <c r="G122" s="16">
        <f t="shared" si="15"/>
        <v>784.00627205017645</v>
      </c>
      <c r="H122" s="66">
        <v>296701</v>
      </c>
      <c r="I122" s="16">
        <f t="shared" si="16"/>
        <v>0.6</v>
      </c>
      <c r="J122" s="16">
        <f t="shared" si="17"/>
        <v>270.34820849253839</v>
      </c>
      <c r="K122" s="66">
        <v>222868</v>
      </c>
      <c r="L122" s="16">
        <f t="shared" si="18"/>
        <v>0</v>
      </c>
      <c r="M122" s="16">
        <f t="shared" si="19"/>
        <v>0</v>
      </c>
      <c r="N122" s="16">
        <v>0</v>
      </c>
      <c r="O122" s="16">
        <f t="shared" si="20"/>
        <v>0</v>
      </c>
      <c r="P122" s="16">
        <f t="shared" si="21"/>
        <v>0</v>
      </c>
      <c r="Q122" s="16">
        <v>0</v>
      </c>
      <c r="R122" s="16">
        <f t="shared" si="22"/>
        <v>0</v>
      </c>
      <c r="S122" s="16">
        <f t="shared" si="23"/>
        <v>0</v>
      </c>
    </row>
    <row r="123" spans="1:19" x14ac:dyDescent="0.3">
      <c r="A123" s="65">
        <v>20180628</v>
      </c>
      <c r="B123" s="65" t="s">
        <v>88</v>
      </c>
      <c r="C123" s="158">
        <f t="shared" si="12"/>
        <v>115841608.88051721</v>
      </c>
      <c r="D123" s="158">
        <f t="shared" si="13"/>
        <v>-1.6672163823757642E-2</v>
      </c>
      <c r="E123" s="66">
        <v>46800</v>
      </c>
      <c r="F123" s="16">
        <f t="shared" si="14"/>
        <v>0.4</v>
      </c>
      <c r="G123" s="16">
        <f t="shared" si="15"/>
        <v>784.00627205017645</v>
      </c>
      <c r="H123" s="66">
        <v>292771</v>
      </c>
      <c r="I123" s="16">
        <f t="shared" si="16"/>
        <v>0.6</v>
      </c>
      <c r="J123" s="16">
        <f t="shared" si="17"/>
        <v>270.34820849253839</v>
      </c>
      <c r="K123" s="66">
        <v>223359</v>
      </c>
      <c r="L123" s="16">
        <f t="shared" si="18"/>
        <v>0</v>
      </c>
      <c r="M123" s="16">
        <f t="shared" si="19"/>
        <v>0</v>
      </c>
      <c r="N123" s="16">
        <v>0</v>
      </c>
      <c r="O123" s="16">
        <f t="shared" si="20"/>
        <v>0</v>
      </c>
      <c r="P123" s="16">
        <f t="shared" si="21"/>
        <v>0</v>
      </c>
      <c r="Q123" s="16">
        <v>0</v>
      </c>
      <c r="R123" s="16">
        <f t="shared" si="22"/>
        <v>0</v>
      </c>
      <c r="S123" s="16">
        <f t="shared" si="23"/>
        <v>0</v>
      </c>
    </row>
    <row r="124" spans="1:19" x14ac:dyDescent="0.3">
      <c r="A124" s="65">
        <v>20180629</v>
      </c>
      <c r="B124" s="65" t="s">
        <v>88</v>
      </c>
      <c r="C124" s="158">
        <f t="shared" si="12"/>
        <v>117184969.65840337</v>
      </c>
      <c r="D124" s="158">
        <f t="shared" si="13"/>
        <v>1.1596530735961532E-2</v>
      </c>
      <c r="E124" s="66">
        <v>46650</v>
      </c>
      <c r="F124" s="16">
        <f t="shared" si="14"/>
        <v>0.4</v>
      </c>
      <c r="G124" s="16">
        <f t="shared" si="15"/>
        <v>784.00627205017645</v>
      </c>
      <c r="H124" s="66">
        <v>298175</v>
      </c>
      <c r="I124" s="16">
        <f t="shared" si="16"/>
        <v>0.6</v>
      </c>
      <c r="J124" s="16">
        <f t="shared" si="17"/>
        <v>270.34820849253839</v>
      </c>
      <c r="K124" s="66">
        <v>231209</v>
      </c>
      <c r="L124" s="16">
        <f t="shared" si="18"/>
        <v>0</v>
      </c>
      <c r="M124" s="16">
        <f t="shared" si="19"/>
        <v>0</v>
      </c>
      <c r="N124" s="16">
        <v>0</v>
      </c>
      <c r="O124" s="16">
        <f t="shared" si="20"/>
        <v>0</v>
      </c>
      <c r="P124" s="16">
        <f t="shared" si="21"/>
        <v>0</v>
      </c>
      <c r="Q124" s="16">
        <v>0</v>
      </c>
      <c r="R124" s="16">
        <f t="shared" si="22"/>
        <v>0</v>
      </c>
      <c r="S124" s="16">
        <f t="shared" si="23"/>
        <v>0</v>
      </c>
    </row>
    <row r="125" spans="1:19" x14ac:dyDescent="0.3">
      <c r="A125" s="139">
        <v>20180702</v>
      </c>
      <c r="B125" s="139" t="s">
        <v>89</v>
      </c>
      <c r="C125" s="158">
        <f t="shared" si="12"/>
        <v>114333841.89093845</v>
      </c>
      <c r="D125" s="158">
        <f t="shared" si="13"/>
        <v>-2.4330148958317931E-2</v>
      </c>
      <c r="E125" s="155">
        <v>45550</v>
      </c>
      <c r="F125" s="156">
        <v>0.4</v>
      </c>
      <c r="G125" s="156">
        <f>C124*F125/E124</f>
        <v>1004.8014547344341</v>
      </c>
      <c r="H125" s="155">
        <v>298175</v>
      </c>
      <c r="I125" s="156">
        <v>0.3</v>
      </c>
      <c r="J125" s="156">
        <f>C124*I125/H124</f>
        <v>117.90220809095669</v>
      </c>
      <c r="K125" s="155">
        <v>219727</v>
      </c>
      <c r="L125" s="156">
        <v>0.3</v>
      </c>
      <c r="M125" s="156">
        <f>C124*L125/K124</f>
        <v>152.05070260033568</v>
      </c>
      <c r="N125" s="156">
        <v>0</v>
      </c>
      <c r="O125" s="156">
        <v>0</v>
      </c>
      <c r="P125" s="156">
        <f>IFERROR(C124*O125/N124,0)</f>
        <v>0</v>
      </c>
      <c r="Q125" s="156">
        <v>0</v>
      </c>
      <c r="R125" s="156">
        <v>0</v>
      </c>
      <c r="S125" s="156">
        <f>IFERROR(C124*R125/Q124,0)</f>
        <v>0</v>
      </c>
    </row>
    <row r="126" spans="1:19" x14ac:dyDescent="0.3">
      <c r="A126" s="65">
        <v>20180703</v>
      </c>
      <c r="B126" s="65" t="s">
        <v>88</v>
      </c>
      <c r="C126" s="158">
        <f t="shared" si="12"/>
        <v>114595410.26995942</v>
      </c>
      <c r="D126" s="158">
        <f t="shared" si="13"/>
        <v>2.2877599028858025E-3</v>
      </c>
      <c r="E126" s="66">
        <v>46150</v>
      </c>
      <c r="F126" s="16">
        <f>$F$125</f>
        <v>0.4</v>
      </c>
      <c r="G126" s="16">
        <f>$G$125</f>
        <v>1004.8014547344341</v>
      </c>
      <c r="H126" s="66">
        <v>297684</v>
      </c>
      <c r="I126" s="16">
        <f>$I$125</f>
        <v>0.3</v>
      </c>
      <c r="J126" s="16">
        <f>$J$125</f>
        <v>117.90220809095669</v>
      </c>
      <c r="K126" s="66">
        <v>217863</v>
      </c>
      <c r="L126" s="16">
        <f>$L$125</f>
        <v>0.3</v>
      </c>
      <c r="M126" s="16">
        <f>$M$125</f>
        <v>152.05070260033568</v>
      </c>
      <c r="N126" s="16">
        <v>0</v>
      </c>
      <c r="O126" s="16">
        <f>$O$125</f>
        <v>0</v>
      </c>
      <c r="P126" s="16">
        <f>$P$125</f>
        <v>0</v>
      </c>
      <c r="Q126" s="16">
        <v>0</v>
      </c>
      <c r="R126" s="16">
        <f>$R$125</f>
        <v>0</v>
      </c>
      <c r="S126" s="16">
        <f>$S$125</f>
        <v>0</v>
      </c>
    </row>
    <row r="127" spans="1:19" x14ac:dyDescent="0.3">
      <c r="A127" s="65">
        <v>20180704</v>
      </c>
      <c r="B127" s="65" t="s">
        <v>88</v>
      </c>
      <c r="C127" s="158">
        <f t="shared" si="12"/>
        <v>112393781.93432561</v>
      </c>
      <c r="D127" s="158">
        <f t="shared" si="13"/>
        <v>-1.9212185989362956E-2</v>
      </c>
      <c r="E127" s="66">
        <v>46250</v>
      </c>
      <c r="F127" s="16">
        <f t="shared" ref="F127:F190" si="24">$F$125</f>
        <v>0.4</v>
      </c>
      <c r="G127" s="16">
        <f t="shared" ref="G127:G190" si="25">$G$125</f>
        <v>1004.8014547344341</v>
      </c>
      <c r="H127" s="66">
        <v>286385</v>
      </c>
      <c r="I127" s="16">
        <f t="shared" ref="I127:I190" si="26">$I$125</f>
        <v>0.3</v>
      </c>
      <c r="J127" s="16">
        <f t="shared" ref="J127:J190" si="27">$J$125</f>
        <v>117.90220809095669</v>
      </c>
      <c r="K127" s="66">
        <v>211484</v>
      </c>
      <c r="L127" s="16">
        <f t="shared" ref="L127:L190" si="28">$L$125</f>
        <v>0.3</v>
      </c>
      <c r="M127" s="16">
        <f t="shared" ref="M127:M190" si="29">$M$125</f>
        <v>152.05070260033568</v>
      </c>
      <c r="N127" s="16">
        <v>0</v>
      </c>
      <c r="O127" s="16">
        <f t="shared" ref="O127:O190" si="30">$O$125</f>
        <v>0</v>
      </c>
      <c r="P127" s="16">
        <f t="shared" ref="P127:P190" si="31">$P$125</f>
        <v>0</v>
      </c>
      <c r="Q127" s="16">
        <v>0</v>
      </c>
      <c r="R127" s="16">
        <f t="shared" ref="R127:R190" si="32">$R$125</f>
        <v>0</v>
      </c>
      <c r="S127" s="16">
        <f t="shared" ref="S127:S190" si="33">$S$125</f>
        <v>0</v>
      </c>
    </row>
    <row r="128" spans="1:19" x14ac:dyDescent="0.3">
      <c r="A128" s="65">
        <v>20180705</v>
      </c>
      <c r="B128" s="65" t="s">
        <v>88</v>
      </c>
      <c r="C128" s="158">
        <f t="shared" si="12"/>
        <v>110051830.6956145</v>
      </c>
      <c r="D128" s="158">
        <f t="shared" si="13"/>
        <v>-2.0837017835021891E-2</v>
      </c>
      <c r="E128" s="66">
        <v>45950</v>
      </c>
      <c r="F128" s="16">
        <f t="shared" si="24"/>
        <v>0.4</v>
      </c>
      <c r="G128" s="16">
        <f t="shared" si="25"/>
        <v>1004.8014547344341</v>
      </c>
      <c r="H128" s="66">
        <v>277052</v>
      </c>
      <c r="I128" s="16">
        <f t="shared" si="26"/>
        <v>0.3</v>
      </c>
      <c r="J128" s="16">
        <f t="shared" si="27"/>
        <v>117.90220809095669</v>
      </c>
      <c r="K128" s="66">
        <v>205301</v>
      </c>
      <c r="L128" s="16">
        <f t="shared" si="28"/>
        <v>0.3</v>
      </c>
      <c r="M128" s="16">
        <f t="shared" si="29"/>
        <v>152.05070260033568</v>
      </c>
      <c r="N128" s="16">
        <v>0</v>
      </c>
      <c r="O128" s="16">
        <f t="shared" si="30"/>
        <v>0</v>
      </c>
      <c r="P128" s="16">
        <f t="shared" si="31"/>
        <v>0</v>
      </c>
      <c r="Q128" s="16">
        <v>0</v>
      </c>
      <c r="R128" s="16">
        <f t="shared" si="32"/>
        <v>0</v>
      </c>
      <c r="S128" s="16">
        <f t="shared" si="33"/>
        <v>0</v>
      </c>
    </row>
    <row r="129" spans="1:19" x14ac:dyDescent="0.3">
      <c r="A129" s="65">
        <v>20180706</v>
      </c>
      <c r="B129" s="65" t="s">
        <v>88</v>
      </c>
      <c r="C129" s="158">
        <f t="shared" si="12"/>
        <v>111044459.63682601</v>
      </c>
      <c r="D129" s="158">
        <f t="shared" si="13"/>
        <v>9.0196495136637689E-3</v>
      </c>
      <c r="E129" s="66">
        <v>44900</v>
      </c>
      <c r="F129" s="16">
        <f t="shared" si="24"/>
        <v>0.4</v>
      </c>
      <c r="G129" s="16">
        <f t="shared" si="25"/>
        <v>1004.8014547344341</v>
      </c>
      <c r="H129" s="66">
        <v>284421</v>
      </c>
      <c r="I129" s="16">
        <f t="shared" si="26"/>
        <v>0.3</v>
      </c>
      <c r="J129" s="16">
        <f t="shared" si="27"/>
        <v>117.90220809095669</v>
      </c>
      <c r="K129" s="66">
        <v>213054</v>
      </c>
      <c r="L129" s="16">
        <f t="shared" si="28"/>
        <v>0.3</v>
      </c>
      <c r="M129" s="16">
        <f t="shared" si="29"/>
        <v>152.05070260033568</v>
      </c>
      <c r="N129" s="16">
        <v>0</v>
      </c>
      <c r="O129" s="16">
        <f t="shared" si="30"/>
        <v>0</v>
      </c>
      <c r="P129" s="16">
        <f t="shared" si="31"/>
        <v>0</v>
      </c>
      <c r="Q129" s="16">
        <v>0</v>
      </c>
      <c r="R129" s="16">
        <f t="shared" si="32"/>
        <v>0</v>
      </c>
      <c r="S129" s="16">
        <f t="shared" si="33"/>
        <v>0</v>
      </c>
    </row>
    <row r="130" spans="1:19" x14ac:dyDescent="0.3">
      <c r="A130" s="65">
        <v>20180709</v>
      </c>
      <c r="B130" s="65" t="s">
        <v>88</v>
      </c>
      <c r="C130" s="158">
        <f t="shared" si="12"/>
        <v>112841622.32101879</v>
      </c>
      <c r="D130" s="158">
        <f t="shared" si="13"/>
        <v>1.6184172448318872E-2</v>
      </c>
      <c r="E130" s="66">
        <v>45600</v>
      </c>
      <c r="F130" s="16">
        <f t="shared" si="24"/>
        <v>0.4</v>
      </c>
      <c r="G130" s="16">
        <f t="shared" si="25"/>
        <v>1004.8014547344341</v>
      </c>
      <c r="H130" s="66">
        <v>279017</v>
      </c>
      <c r="I130" s="16">
        <f t="shared" si="26"/>
        <v>0.3</v>
      </c>
      <c r="J130" s="16">
        <f t="shared" si="27"/>
        <v>117.90220809095669</v>
      </c>
      <c r="K130" s="66">
        <v>224438</v>
      </c>
      <c r="L130" s="16">
        <f t="shared" si="28"/>
        <v>0.3</v>
      </c>
      <c r="M130" s="16">
        <f t="shared" si="29"/>
        <v>152.05070260033568</v>
      </c>
      <c r="N130" s="16">
        <v>0</v>
      </c>
      <c r="O130" s="16">
        <f t="shared" si="30"/>
        <v>0</v>
      </c>
      <c r="P130" s="16">
        <f t="shared" si="31"/>
        <v>0</v>
      </c>
      <c r="Q130" s="16">
        <v>0</v>
      </c>
      <c r="R130" s="16">
        <f t="shared" si="32"/>
        <v>0</v>
      </c>
      <c r="S130" s="16">
        <f t="shared" si="33"/>
        <v>0</v>
      </c>
    </row>
    <row r="131" spans="1:19" x14ac:dyDescent="0.3">
      <c r="A131" s="65">
        <v>20180710</v>
      </c>
      <c r="B131" s="65" t="s">
        <v>88</v>
      </c>
      <c r="C131" s="158">
        <f t="shared" si="12"/>
        <v>113540703.96785781</v>
      </c>
      <c r="D131" s="158">
        <f t="shared" si="13"/>
        <v>6.1952463325122371E-3</v>
      </c>
      <c r="E131" s="66">
        <v>46300</v>
      </c>
      <c r="F131" s="16">
        <f t="shared" si="24"/>
        <v>0.4</v>
      </c>
      <c r="G131" s="16">
        <f t="shared" si="25"/>
        <v>1004.8014547344341</v>
      </c>
      <c r="H131" s="66">
        <v>276070</v>
      </c>
      <c r="I131" s="16">
        <f t="shared" si="26"/>
        <v>0.3</v>
      </c>
      <c r="J131" s="16">
        <f t="shared" si="27"/>
        <v>117.90220809095669</v>
      </c>
      <c r="K131" s="66">
        <v>226695</v>
      </c>
      <c r="L131" s="16">
        <f t="shared" si="28"/>
        <v>0.3</v>
      </c>
      <c r="M131" s="16">
        <f t="shared" si="29"/>
        <v>152.05070260033568</v>
      </c>
      <c r="N131" s="16">
        <v>0</v>
      </c>
      <c r="O131" s="16">
        <f t="shared" si="30"/>
        <v>0</v>
      </c>
      <c r="P131" s="16">
        <f t="shared" si="31"/>
        <v>0</v>
      </c>
      <c r="Q131" s="16">
        <v>0</v>
      </c>
      <c r="R131" s="16">
        <f t="shared" si="32"/>
        <v>0</v>
      </c>
      <c r="S131" s="16">
        <f t="shared" si="33"/>
        <v>0</v>
      </c>
    </row>
    <row r="132" spans="1:19" x14ac:dyDescent="0.3">
      <c r="A132" s="65">
        <v>20180711</v>
      </c>
      <c r="B132" s="65" t="s">
        <v>88</v>
      </c>
      <c r="C132" s="158">
        <f t="shared" si="12"/>
        <v>112121218.86176105</v>
      </c>
      <c r="D132" s="158">
        <f t="shared" si="13"/>
        <v>-1.2501993175052014E-2</v>
      </c>
      <c r="E132" s="66">
        <v>46000</v>
      </c>
      <c r="F132" s="16">
        <f t="shared" si="24"/>
        <v>0.4</v>
      </c>
      <c r="G132" s="16">
        <f t="shared" si="25"/>
        <v>1004.8014547344341</v>
      </c>
      <c r="H132" s="66">
        <v>271649</v>
      </c>
      <c r="I132" s="16">
        <f t="shared" si="26"/>
        <v>0.3</v>
      </c>
      <c r="J132" s="16">
        <f t="shared" si="27"/>
        <v>117.90220809095669</v>
      </c>
      <c r="K132" s="66">
        <v>222770</v>
      </c>
      <c r="L132" s="16">
        <f t="shared" si="28"/>
        <v>0.3</v>
      </c>
      <c r="M132" s="16">
        <f t="shared" si="29"/>
        <v>152.05070260033568</v>
      </c>
      <c r="N132" s="16">
        <v>0</v>
      </c>
      <c r="O132" s="16">
        <f t="shared" si="30"/>
        <v>0</v>
      </c>
      <c r="P132" s="16">
        <f t="shared" si="31"/>
        <v>0</v>
      </c>
      <c r="Q132" s="16">
        <v>0</v>
      </c>
      <c r="R132" s="16">
        <f t="shared" si="32"/>
        <v>0</v>
      </c>
      <c r="S132" s="16">
        <f t="shared" si="33"/>
        <v>0</v>
      </c>
    </row>
    <row r="133" spans="1:19" x14ac:dyDescent="0.3">
      <c r="A133" s="65">
        <v>20180712</v>
      </c>
      <c r="B133" s="65" t="s">
        <v>88</v>
      </c>
      <c r="C133" s="158">
        <f t="shared" ref="C133:C196" si="34">E133*G133+H133*J133+K133*M133+N133*P133+Q133*S133</f>
        <v>113129840.95836604</v>
      </c>
      <c r="D133" s="158">
        <f t="shared" si="13"/>
        <v>8.9958181586356142E-3</v>
      </c>
      <c r="E133" s="66">
        <v>45500</v>
      </c>
      <c r="F133" s="16">
        <f t="shared" si="24"/>
        <v>0.4</v>
      </c>
      <c r="G133" s="16">
        <f t="shared" si="25"/>
        <v>1004.8014547344341</v>
      </c>
      <c r="H133" s="66">
        <v>282947</v>
      </c>
      <c r="I133" s="16">
        <f t="shared" si="26"/>
        <v>0.3</v>
      </c>
      <c r="J133" s="16">
        <f t="shared" si="27"/>
        <v>117.90220809095669</v>
      </c>
      <c r="K133" s="66">
        <v>223947</v>
      </c>
      <c r="L133" s="16">
        <f t="shared" si="28"/>
        <v>0.3</v>
      </c>
      <c r="M133" s="16">
        <f t="shared" si="29"/>
        <v>152.05070260033568</v>
      </c>
      <c r="N133" s="16">
        <v>0</v>
      </c>
      <c r="O133" s="16">
        <f t="shared" si="30"/>
        <v>0</v>
      </c>
      <c r="P133" s="16">
        <f t="shared" si="31"/>
        <v>0</v>
      </c>
      <c r="Q133" s="16">
        <v>0</v>
      </c>
      <c r="R133" s="16">
        <f t="shared" si="32"/>
        <v>0</v>
      </c>
      <c r="S133" s="16">
        <f t="shared" si="33"/>
        <v>0</v>
      </c>
    </row>
    <row r="134" spans="1:19" x14ac:dyDescent="0.3">
      <c r="A134" s="65">
        <v>20180713</v>
      </c>
      <c r="B134" s="65" t="s">
        <v>88</v>
      </c>
      <c r="C134" s="158">
        <f t="shared" si="34"/>
        <v>115223933.64652929</v>
      </c>
      <c r="D134" s="158">
        <f t="shared" ref="D134:D197" si="35">(C134-C133)/C133</f>
        <v>1.8510524459535986E-2</v>
      </c>
      <c r="E134" s="66">
        <v>46500</v>
      </c>
      <c r="F134" s="16">
        <f t="shared" si="24"/>
        <v>0.4</v>
      </c>
      <c r="G134" s="16">
        <f t="shared" si="25"/>
        <v>1004.8014547344341</v>
      </c>
      <c r="H134" s="66">
        <v>282947</v>
      </c>
      <c r="I134" s="16">
        <f t="shared" si="26"/>
        <v>0.3</v>
      </c>
      <c r="J134" s="16">
        <f t="shared" si="27"/>
        <v>117.90220809095669</v>
      </c>
      <c r="K134" s="66">
        <v>231111</v>
      </c>
      <c r="L134" s="16">
        <f t="shared" si="28"/>
        <v>0.3</v>
      </c>
      <c r="M134" s="16">
        <f t="shared" si="29"/>
        <v>152.05070260033568</v>
      </c>
      <c r="N134" s="16">
        <v>0</v>
      </c>
      <c r="O134" s="16">
        <f t="shared" si="30"/>
        <v>0</v>
      </c>
      <c r="P134" s="16">
        <f t="shared" si="31"/>
        <v>0</v>
      </c>
      <c r="Q134" s="16">
        <v>0</v>
      </c>
      <c r="R134" s="16">
        <f t="shared" si="32"/>
        <v>0</v>
      </c>
      <c r="S134" s="16">
        <f t="shared" si="33"/>
        <v>0</v>
      </c>
    </row>
    <row r="135" spans="1:19" x14ac:dyDescent="0.3">
      <c r="A135" s="65">
        <v>20180716</v>
      </c>
      <c r="B135" s="65" t="s">
        <v>88</v>
      </c>
      <c r="C135" s="158">
        <f t="shared" si="34"/>
        <v>116811466.35370234</v>
      </c>
      <c r="D135" s="158">
        <f t="shared" si="35"/>
        <v>1.3777803420972413E-2</v>
      </c>
      <c r="E135" s="66">
        <v>46050</v>
      </c>
      <c r="F135" s="16">
        <f t="shared" si="24"/>
        <v>0.4</v>
      </c>
      <c r="G135" s="16">
        <f t="shared" si="25"/>
        <v>1004.8014547344341</v>
      </c>
      <c r="H135" s="66">
        <v>288350</v>
      </c>
      <c r="I135" s="16">
        <f t="shared" si="26"/>
        <v>0.3</v>
      </c>
      <c r="J135" s="16">
        <f t="shared" si="27"/>
        <v>117.90220809095669</v>
      </c>
      <c r="K135" s="66">
        <v>240336</v>
      </c>
      <c r="L135" s="16">
        <f t="shared" si="28"/>
        <v>0.3</v>
      </c>
      <c r="M135" s="16">
        <f t="shared" si="29"/>
        <v>152.05070260033568</v>
      </c>
      <c r="N135" s="16">
        <v>0</v>
      </c>
      <c r="O135" s="16">
        <f t="shared" si="30"/>
        <v>0</v>
      </c>
      <c r="P135" s="16">
        <f t="shared" si="31"/>
        <v>0</v>
      </c>
      <c r="Q135" s="16">
        <v>0</v>
      </c>
      <c r="R135" s="16">
        <f t="shared" si="32"/>
        <v>0</v>
      </c>
      <c r="S135" s="16">
        <f t="shared" si="33"/>
        <v>0</v>
      </c>
    </row>
    <row r="136" spans="1:19" x14ac:dyDescent="0.3">
      <c r="A136" s="65">
        <v>20180717</v>
      </c>
      <c r="B136" s="65" t="s">
        <v>88</v>
      </c>
      <c r="C136" s="158">
        <f t="shared" si="34"/>
        <v>115484371.12743318</v>
      </c>
      <c r="D136" s="158">
        <f t="shared" si="35"/>
        <v>-1.136100134425796E-2</v>
      </c>
      <c r="E136" s="66">
        <v>45850</v>
      </c>
      <c r="F136" s="16">
        <f t="shared" si="24"/>
        <v>0.4</v>
      </c>
      <c r="G136" s="16">
        <f t="shared" si="25"/>
        <v>1004.8014547344341</v>
      </c>
      <c r="H136" s="66">
        <v>290315</v>
      </c>
      <c r="I136" s="16">
        <f t="shared" si="26"/>
        <v>0.3</v>
      </c>
      <c r="J136" s="16">
        <f t="shared" si="27"/>
        <v>117.90220809095669</v>
      </c>
      <c r="K136" s="66">
        <v>231406</v>
      </c>
      <c r="L136" s="16">
        <f t="shared" si="28"/>
        <v>0.3</v>
      </c>
      <c r="M136" s="16">
        <f t="shared" si="29"/>
        <v>152.05070260033568</v>
      </c>
      <c r="N136" s="16">
        <v>0</v>
      </c>
      <c r="O136" s="16">
        <f t="shared" si="30"/>
        <v>0</v>
      </c>
      <c r="P136" s="16">
        <f t="shared" si="31"/>
        <v>0</v>
      </c>
      <c r="Q136" s="16">
        <v>0</v>
      </c>
      <c r="R136" s="16">
        <f t="shared" si="32"/>
        <v>0</v>
      </c>
      <c r="S136" s="16">
        <f t="shared" si="33"/>
        <v>0</v>
      </c>
    </row>
    <row r="137" spans="1:19" x14ac:dyDescent="0.3">
      <c r="A137" s="65">
        <v>20180718</v>
      </c>
      <c r="B137" s="65" t="s">
        <v>88</v>
      </c>
      <c r="C137" s="158">
        <f t="shared" si="34"/>
        <v>115834129.02507888</v>
      </c>
      <c r="D137" s="158">
        <f t="shared" si="35"/>
        <v>3.0286167230347623E-3</v>
      </c>
      <c r="E137" s="66">
        <v>46550</v>
      </c>
      <c r="F137" s="16">
        <f t="shared" si="24"/>
        <v>0.4</v>
      </c>
      <c r="G137" s="16">
        <f t="shared" si="25"/>
        <v>1004.8014547344341</v>
      </c>
      <c r="H137" s="66">
        <v>284912</v>
      </c>
      <c r="I137" s="16">
        <f t="shared" si="26"/>
        <v>0.3</v>
      </c>
      <c r="J137" s="16">
        <f t="shared" si="27"/>
        <v>117.90220809095669</v>
      </c>
      <c r="K137" s="66">
        <v>233270</v>
      </c>
      <c r="L137" s="16">
        <f t="shared" si="28"/>
        <v>0.3</v>
      </c>
      <c r="M137" s="16">
        <f t="shared" si="29"/>
        <v>152.05070260033568</v>
      </c>
      <c r="N137" s="16">
        <v>0</v>
      </c>
      <c r="O137" s="16">
        <f t="shared" si="30"/>
        <v>0</v>
      </c>
      <c r="P137" s="16">
        <f t="shared" si="31"/>
        <v>0</v>
      </c>
      <c r="Q137" s="16">
        <v>0</v>
      </c>
      <c r="R137" s="16">
        <f t="shared" si="32"/>
        <v>0</v>
      </c>
      <c r="S137" s="16">
        <f t="shared" si="33"/>
        <v>0</v>
      </c>
    </row>
    <row r="138" spans="1:19" x14ac:dyDescent="0.3">
      <c r="A138" s="65">
        <v>20180719</v>
      </c>
      <c r="B138" s="65" t="s">
        <v>88</v>
      </c>
      <c r="C138" s="158">
        <f t="shared" si="34"/>
        <v>115116747.14259908</v>
      </c>
      <c r="D138" s="158">
        <f t="shared" si="35"/>
        <v>-6.1931823420063332E-3</v>
      </c>
      <c r="E138" s="66">
        <v>46900</v>
      </c>
      <c r="F138" s="16">
        <f t="shared" si="24"/>
        <v>0.4</v>
      </c>
      <c r="G138" s="16">
        <f t="shared" si="25"/>
        <v>1004.8014547344341</v>
      </c>
      <c r="H138" s="66">
        <v>283438</v>
      </c>
      <c r="I138" s="16">
        <f t="shared" si="26"/>
        <v>0.3</v>
      </c>
      <c r="J138" s="16">
        <f t="shared" si="27"/>
        <v>117.90220809095669</v>
      </c>
      <c r="K138" s="66">
        <v>227382</v>
      </c>
      <c r="L138" s="16">
        <f t="shared" si="28"/>
        <v>0.3</v>
      </c>
      <c r="M138" s="16">
        <f t="shared" si="29"/>
        <v>152.05070260033568</v>
      </c>
      <c r="N138" s="16">
        <v>0</v>
      </c>
      <c r="O138" s="16">
        <f t="shared" si="30"/>
        <v>0</v>
      </c>
      <c r="P138" s="16">
        <f t="shared" si="31"/>
        <v>0</v>
      </c>
      <c r="Q138" s="16">
        <v>0</v>
      </c>
      <c r="R138" s="16">
        <f t="shared" si="32"/>
        <v>0</v>
      </c>
      <c r="S138" s="16">
        <f t="shared" si="33"/>
        <v>0</v>
      </c>
    </row>
    <row r="139" spans="1:19" x14ac:dyDescent="0.3">
      <c r="A139" s="65">
        <v>20180720</v>
      </c>
      <c r="B139" s="65" t="s">
        <v>88</v>
      </c>
      <c r="C139" s="158">
        <f t="shared" si="34"/>
        <v>114232638.90203016</v>
      </c>
      <c r="D139" s="158">
        <f t="shared" si="35"/>
        <v>-7.680100962840321E-3</v>
      </c>
      <c r="E139" s="66">
        <v>47450</v>
      </c>
      <c r="F139" s="16">
        <f t="shared" si="24"/>
        <v>0.4</v>
      </c>
      <c r="G139" s="16">
        <f t="shared" si="25"/>
        <v>1004.8014547344341</v>
      </c>
      <c r="H139" s="66">
        <v>280491</v>
      </c>
      <c r="I139" s="16">
        <f t="shared" si="26"/>
        <v>0.3</v>
      </c>
      <c r="J139" s="16">
        <f t="shared" si="27"/>
        <v>117.90220809095669</v>
      </c>
      <c r="K139" s="66">
        <v>220218</v>
      </c>
      <c r="L139" s="16">
        <f t="shared" si="28"/>
        <v>0.3</v>
      </c>
      <c r="M139" s="16">
        <f t="shared" si="29"/>
        <v>152.05070260033568</v>
      </c>
      <c r="N139" s="16">
        <v>0</v>
      </c>
      <c r="O139" s="16">
        <f t="shared" si="30"/>
        <v>0</v>
      </c>
      <c r="P139" s="16">
        <f t="shared" si="31"/>
        <v>0</v>
      </c>
      <c r="Q139" s="16">
        <v>0</v>
      </c>
      <c r="R139" s="16">
        <f t="shared" si="32"/>
        <v>0</v>
      </c>
      <c r="S139" s="16">
        <f t="shared" si="33"/>
        <v>0</v>
      </c>
    </row>
    <row r="140" spans="1:19" x14ac:dyDescent="0.3">
      <c r="A140" s="65">
        <v>20180723</v>
      </c>
      <c r="B140" s="65" t="s">
        <v>88</v>
      </c>
      <c r="C140" s="158">
        <f t="shared" si="34"/>
        <v>108969809.49872985</v>
      </c>
      <c r="D140" s="158">
        <f t="shared" si="35"/>
        <v>-4.6071153165023915E-2</v>
      </c>
      <c r="E140" s="66">
        <v>46500</v>
      </c>
      <c r="F140" s="16">
        <f t="shared" si="24"/>
        <v>0.4</v>
      </c>
      <c r="G140" s="16">
        <f t="shared" si="25"/>
        <v>1004.8014547344341</v>
      </c>
      <c r="H140" s="66">
        <v>262807</v>
      </c>
      <c r="I140" s="16">
        <f t="shared" si="26"/>
        <v>0.3</v>
      </c>
      <c r="J140" s="16">
        <f t="shared" si="27"/>
        <v>117.90220809095669</v>
      </c>
      <c r="K140" s="66">
        <v>205596</v>
      </c>
      <c r="L140" s="16">
        <f t="shared" si="28"/>
        <v>0.3</v>
      </c>
      <c r="M140" s="16">
        <f t="shared" si="29"/>
        <v>152.05070260033568</v>
      </c>
      <c r="N140" s="16">
        <v>0</v>
      </c>
      <c r="O140" s="16">
        <f t="shared" si="30"/>
        <v>0</v>
      </c>
      <c r="P140" s="16">
        <f t="shared" si="31"/>
        <v>0</v>
      </c>
      <c r="Q140" s="16">
        <v>0</v>
      </c>
      <c r="R140" s="16">
        <f t="shared" si="32"/>
        <v>0</v>
      </c>
      <c r="S140" s="16">
        <f t="shared" si="33"/>
        <v>0</v>
      </c>
    </row>
    <row r="141" spans="1:19" x14ac:dyDescent="0.3">
      <c r="A141" s="65">
        <v>20180724</v>
      </c>
      <c r="B141" s="65" t="s">
        <v>88</v>
      </c>
      <c r="C141" s="158">
        <f t="shared" si="34"/>
        <v>107552528.52892381</v>
      </c>
      <c r="D141" s="158">
        <f t="shared" si="35"/>
        <v>-1.3006180118380083E-2</v>
      </c>
      <c r="E141" s="66">
        <v>46150</v>
      </c>
      <c r="F141" s="16">
        <f t="shared" si="24"/>
        <v>0.4</v>
      </c>
      <c r="G141" s="16">
        <f t="shared" si="25"/>
        <v>1004.8014547344341</v>
      </c>
      <c r="H141" s="66">
        <v>260350</v>
      </c>
      <c r="I141" s="16">
        <f t="shared" si="26"/>
        <v>0.3</v>
      </c>
      <c r="J141" s="16">
        <f t="shared" si="27"/>
        <v>117.90220809095669</v>
      </c>
      <c r="K141" s="66">
        <v>200493</v>
      </c>
      <c r="L141" s="16">
        <f t="shared" si="28"/>
        <v>0.3</v>
      </c>
      <c r="M141" s="16">
        <f t="shared" si="29"/>
        <v>152.05070260033568</v>
      </c>
      <c r="N141" s="16">
        <v>0</v>
      </c>
      <c r="O141" s="16">
        <f t="shared" si="30"/>
        <v>0</v>
      </c>
      <c r="P141" s="16">
        <f t="shared" si="31"/>
        <v>0</v>
      </c>
      <c r="Q141" s="16">
        <v>0</v>
      </c>
      <c r="R141" s="16">
        <f t="shared" si="32"/>
        <v>0</v>
      </c>
      <c r="S141" s="16">
        <f t="shared" si="33"/>
        <v>0</v>
      </c>
    </row>
    <row r="142" spans="1:19" x14ac:dyDescent="0.3">
      <c r="A142" s="65">
        <v>20180725</v>
      </c>
      <c r="B142" s="65" t="s">
        <v>88</v>
      </c>
      <c r="C142" s="158">
        <f t="shared" si="34"/>
        <v>104334217.13083467</v>
      </c>
      <c r="D142" s="158">
        <f t="shared" si="35"/>
        <v>-2.9923158870445794E-2</v>
      </c>
      <c r="E142" s="66">
        <v>46150</v>
      </c>
      <c r="F142" s="16">
        <f t="shared" si="24"/>
        <v>0.4</v>
      </c>
      <c r="G142" s="16">
        <f t="shared" si="25"/>
        <v>1004.8014547344341</v>
      </c>
      <c r="H142" s="66">
        <v>246596</v>
      </c>
      <c r="I142" s="16">
        <f t="shared" si="26"/>
        <v>0.3</v>
      </c>
      <c r="J142" s="16">
        <f t="shared" si="27"/>
        <v>117.90220809095669</v>
      </c>
      <c r="K142" s="66">
        <v>189992</v>
      </c>
      <c r="L142" s="16">
        <f t="shared" si="28"/>
        <v>0.3</v>
      </c>
      <c r="M142" s="16">
        <f t="shared" si="29"/>
        <v>152.05070260033568</v>
      </c>
      <c r="N142" s="16">
        <v>0</v>
      </c>
      <c r="O142" s="16">
        <f t="shared" si="30"/>
        <v>0</v>
      </c>
      <c r="P142" s="16">
        <f t="shared" si="31"/>
        <v>0</v>
      </c>
      <c r="Q142" s="16">
        <v>0</v>
      </c>
      <c r="R142" s="16">
        <f t="shared" si="32"/>
        <v>0</v>
      </c>
      <c r="S142" s="16">
        <f t="shared" si="33"/>
        <v>0</v>
      </c>
    </row>
    <row r="143" spans="1:19" x14ac:dyDescent="0.3">
      <c r="A143" s="65">
        <v>20180726</v>
      </c>
      <c r="B143" s="65" t="s">
        <v>88</v>
      </c>
      <c r="C143" s="158">
        <f t="shared" si="34"/>
        <v>106209594.77546048</v>
      </c>
      <c r="D143" s="158">
        <f t="shared" si="35"/>
        <v>1.7974713341396879E-2</v>
      </c>
      <c r="E143" s="66">
        <v>46900</v>
      </c>
      <c r="F143" s="16">
        <f t="shared" si="24"/>
        <v>0.4</v>
      </c>
      <c r="G143" s="16">
        <f t="shared" si="25"/>
        <v>1004.8014547344341</v>
      </c>
      <c r="H143" s="66">
        <v>250035</v>
      </c>
      <c r="I143" s="16">
        <f t="shared" si="26"/>
        <v>0.3</v>
      </c>
      <c r="J143" s="16">
        <f t="shared" si="27"/>
        <v>117.90220809095669</v>
      </c>
      <c r="K143" s="66">
        <v>194703</v>
      </c>
      <c r="L143" s="16">
        <f t="shared" si="28"/>
        <v>0.3</v>
      </c>
      <c r="M143" s="16">
        <f t="shared" si="29"/>
        <v>152.05070260033568</v>
      </c>
      <c r="N143" s="16">
        <v>0</v>
      </c>
      <c r="O143" s="16">
        <f t="shared" si="30"/>
        <v>0</v>
      </c>
      <c r="P143" s="16">
        <f t="shared" si="31"/>
        <v>0</v>
      </c>
      <c r="Q143" s="16">
        <v>0</v>
      </c>
      <c r="R143" s="16">
        <f t="shared" si="32"/>
        <v>0</v>
      </c>
      <c r="S143" s="16">
        <f t="shared" si="33"/>
        <v>0</v>
      </c>
    </row>
    <row r="144" spans="1:19" x14ac:dyDescent="0.3">
      <c r="A144" s="65">
        <v>20180727</v>
      </c>
      <c r="B144" s="65" t="s">
        <v>88</v>
      </c>
      <c r="C144" s="158">
        <f t="shared" si="34"/>
        <v>106605335.32246496</v>
      </c>
      <c r="D144" s="158">
        <f t="shared" si="35"/>
        <v>3.7260338657832E-3</v>
      </c>
      <c r="E144" s="66">
        <v>46900</v>
      </c>
      <c r="F144" s="16">
        <f t="shared" si="24"/>
        <v>0.4</v>
      </c>
      <c r="G144" s="16">
        <f t="shared" si="25"/>
        <v>1004.8014547344341</v>
      </c>
      <c r="H144" s="66">
        <v>252000</v>
      </c>
      <c r="I144" s="16">
        <f t="shared" si="26"/>
        <v>0.3</v>
      </c>
      <c r="J144" s="16">
        <f t="shared" si="27"/>
        <v>117.90220809095669</v>
      </c>
      <c r="K144" s="66">
        <v>195782</v>
      </c>
      <c r="L144" s="16">
        <f t="shared" si="28"/>
        <v>0.3</v>
      </c>
      <c r="M144" s="16">
        <f t="shared" si="29"/>
        <v>152.05070260033568</v>
      </c>
      <c r="N144" s="16">
        <v>0</v>
      </c>
      <c r="O144" s="16">
        <f t="shared" si="30"/>
        <v>0</v>
      </c>
      <c r="P144" s="16">
        <f t="shared" si="31"/>
        <v>0</v>
      </c>
      <c r="Q144" s="16">
        <v>0</v>
      </c>
      <c r="R144" s="16">
        <f t="shared" si="32"/>
        <v>0</v>
      </c>
      <c r="S144" s="16">
        <f t="shared" si="33"/>
        <v>0</v>
      </c>
    </row>
    <row r="145" spans="1:19" x14ac:dyDescent="0.3">
      <c r="A145" s="65">
        <v>20180730</v>
      </c>
      <c r="B145" s="65" t="s">
        <v>88</v>
      </c>
      <c r="C145" s="158">
        <f t="shared" si="34"/>
        <v>105302694.4285152</v>
      </c>
      <c r="D145" s="158">
        <f t="shared" si="35"/>
        <v>-1.2219284241351252E-2</v>
      </c>
      <c r="E145" s="66">
        <v>46500</v>
      </c>
      <c r="F145" s="16">
        <f t="shared" si="24"/>
        <v>0.4</v>
      </c>
      <c r="G145" s="16">
        <f t="shared" si="25"/>
        <v>1004.8014547344341</v>
      </c>
      <c r="H145" s="66">
        <v>253473</v>
      </c>
      <c r="I145" s="16">
        <f t="shared" si="26"/>
        <v>0.3</v>
      </c>
      <c r="J145" s="16">
        <f t="shared" si="27"/>
        <v>117.90220809095669</v>
      </c>
      <c r="K145" s="66">
        <v>188716</v>
      </c>
      <c r="L145" s="16">
        <f t="shared" si="28"/>
        <v>0.3</v>
      </c>
      <c r="M145" s="16">
        <f t="shared" si="29"/>
        <v>152.05070260033568</v>
      </c>
      <c r="N145" s="16">
        <v>0</v>
      </c>
      <c r="O145" s="16">
        <f t="shared" si="30"/>
        <v>0</v>
      </c>
      <c r="P145" s="16">
        <f t="shared" si="31"/>
        <v>0</v>
      </c>
      <c r="Q145" s="16">
        <v>0</v>
      </c>
      <c r="R145" s="16">
        <f t="shared" si="32"/>
        <v>0</v>
      </c>
      <c r="S145" s="16">
        <f t="shared" si="33"/>
        <v>0</v>
      </c>
    </row>
    <row r="146" spans="1:19" x14ac:dyDescent="0.3">
      <c r="A146" s="65">
        <v>20180731</v>
      </c>
      <c r="B146" s="65" t="s">
        <v>88</v>
      </c>
      <c r="C146" s="158">
        <f t="shared" si="34"/>
        <v>107704522.28417075</v>
      </c>
      <c r="D146" s="158">
        <f t="shared" si="35"/>
        <v>2.2808797711116817E-2</v>
      </c>
      <c r="E146" s="66">
        <v>46250</v>
      </c>
      <c r="F146" s="16">
        <f t="shared" si="24"/>
        <v>0.4</v>
      </c>
      <c r="G146" s="16">
        <f t="shared" si="25"/>
        <v>1004.8014547344341</v>
      </c>
      <c r="H146" s="66">
        <v>266736</v>
      </c>
      <c r="I146" s="16">
        <f t="shared" si="26"/>
        <v>0.3</v>
      </c>
      <c r="J146" s="16">
        <f t="shared" si="27"/>
        <v>117.90220809095669</v>
      </c>
      <c r="K146" s="66">
        <v>195880</v>
      </c>
      <c r="L146" s="16">
        <f t="shared" si="28"/>
        <v>0.3</v>
      </c>
      <c r="M146" s="16">
        <f t="shared" si="29"/>
        <v>152.05070260033568</v>
      </c>
      <c r="N146" s="16">
        <v>0</v>
      </c>
      <c r="O146" s="16">
        <f t="shared" si="30"/>
        <v>0</v>
      </c>
      <c r="P146" s="16">
        <f t="shared" si="31"/>
        <v>0</v>
      </c>
      <c r="Q146" s="16">
        <v>0</v>
      </c>
      <c r="R146" s="16">
        <f t="shared" si="32"/>
        <v>0</v>
      </c>
      <c r="S146" s="16">
        <f t="shared" si="33"/>
        <v>0</v>
      </c>
    </row>
    <row r="147" spans="1:19" x14ac:dyDescent="0.3">
      <c r="A147" s="65">
        <v>20180801</v>
      </c>
      <c r="B147" s="65" t="s">
        <v>88</v>
      </c>
      <c r="C147" s="158">
        <f t="shared" si="34"/>
        <v>110182600.23522723</v>
      </c>
      <c r="D147" s="158">
        <f t="shared" si="35"/>
        <v>2.3008114223080137E-2</v>
      </c>
      <c r="E147" s="66">
        <v>46550</v>
      </c>
      <c r="F147" s="16">
        <f t="shared" si="24"/>
        <v>0.4</v>
      </c>
      <c r="G147" s="16">
        <f t="shared" si="25"/>
        <v>1004.8014547344341</v>
      </c>
      <c r="H147" s="66">
        <v>275578</v>
      </c>
      <c r="I147" s="16">
        <f t="shared" si="26"/>
        <v>0.3</v>
      </c>
      <c r="J147" s="16">
        <f t="shared" si="27"/>
        <v>117.90220809095669</v>
      </c>
      <c r="K147" s="66">
        <v>203339</v>
      </c>
      <c r="L147" s="16">
        <f t="shared" si="28"/>
        <v>0.3</v>
      </c>
      <c r="M147" s="16">
        <f t="shared" si="29"/>
        <v>152.05070260033568</v>
      </c>
      <c r="N147" s="16">
        <v>0</v>
      </c>
      <c r="O147" s="16">
        <f t="shared" si="30"/>
        <v>0</v>
      </c>
      <c r="P147" s="16">
        <f t="shared" si="31"/>
        <v>0</v>
      </c>
      <c r="Q147" s="16">
        <v>0</v>
      </c>
      <c r="R147" s="16">
        <f t="shared" si="32"/>
        <v>0</v>
      </c>
      <c r="S147" s="16">
        <f t="shared" si="33"/>
        <v>0</v>
      </c>
    </row>
    <row r="148" spans="1:19" x14ac:dyDescent="0.3">
      <c r="A148" s="65">
        <v>20180802</v>
      </c>
      <c r="B148" s="65" t="s">
        <v>88</v>
      </c>
      <c r="C148" s="158">
        <f t="shared" si="34"/>
        <v>107965533.76383227</v>
      </c>
      <c r="D148" s="158">
        <f t="shared" si="35"/>
        <v>-2.0121747595915989E-2</v>
      </c>
      <c r="E148" s="66">
        <v>45550</v>
      </c>
      <c r="F148" s="16">
        <f t="shared" si="24"/>
        <v>0.4</v>
      </c>
      <c r="G148" s="16">
        <f t="shared" si="25"/>
        <v>1004.8014547344341</v>
      </c>
      <c r="H148" s="66">
        <v>276561</v>
      </c>
      <c r="I148" s="16">
        <f t="shared" si="26"/>
        <v>0.3</v>
      </c>
      <c r="J148" s="16">
        <f t="shared" si="27"/>
        <v>117.90220809095669</v>
      </c>
      <c r="K148" s="66">
        <v>194604</v>
      </c>
      <c r="L148" s="16">
        <f t="shared" si="28"/>
        <v>0.3</v>
      </c>
      <c r="M148" s="16">
        <f t="shared" si="29"/>
        <v>152.05070260033568</v>
      </c>
      <c r="N148" s="16">
        <v>0</v>
      </c>
      <c r="O148" s="16">
        <f t="shared" si="30"/>
        <v>0</v>
      </c>
      <c r="P148" s="16">
        <f t="shared" si="31"/>
        <v>0</v>
      </c>
      <c r="Q148" s="16">
        <v>0</v>
      </c>
      <c r="R148" s="16">
        <f t="shared" si="32"/>
        <v>0</v>
      </c>
      <c r="S148" s="16">
        <f t="shared" si="33"/>
        <v>0</v>
      </c>
    </row>
    <row r="149" spans="1:19" x14ac:dyDescent="0.3">
      <c r="A149" s="65">
        <v>20180803</v>
      </c>
      <c r="B149" s="65" t="s">
        <v>88</v>
      </c>
      <c r="C149" s="158">
        <f t="shared" si="34"/>
        <v>109453263.91571385</v>
      </c>
      <c r="D149" s="158">
        <f t="shared" si="35"/>
        <v>1.3779676717348432E-2</v>
      </c>
      <c r="E149" s="66">
        <v>45750</v>
      </c>
      <c r="F149" s="16">
        <f t="shared" si="24"/>
        <v>0.4</v>
      </c>
      <c r="G149" s="16">
        <f t="shared" si="25"/>
        <v>1004.8014547344341</v>
      </c>
      <c r="H149" s="66">
        <v>275578</v>
      </c>
      <c r="I149" s="16">
        <f t="shared" si="26"/>
        <v>0.3</v>
      </c>
      <c r="J149" s="16">
        <f t="shared" si="27"/>
        <v>117.90220809095669</v>
      </c>
      <c r="K149" s="66">
        <v>203829</v>
      </c>
      <c r="L149" s="16">
        <f t="shared" si="28"/>
        <v>0.3</v>
      </c>
      <c r="M149" s="16">
        <f t="shared" si="29"/>
        <v>152.05070260033568</v>
      </c>
      <c r="N149" s="16">
        <v>0</v>
      </c>
      <c r="O149" s="16">
        <f t="shared" si="30"/>
        <v>0</v>
      </c>
      <c r="P149" s="16">
        <f t="shared" si="31"/>
        <v>0</v>
      </c>
      <c r="Q149" s="16">
        <v>0</v>
      </c>
      <c r="R149" s="16">
        <f t="shared" si="32"/>
        <v>0</v>
      </c>
      <c r="S149" s="16">
        <f t="shared" si="33"/>
        <v>0</v>
      </c>
    </row>
    <row r="150" spans="1:19" x14ac:dyDescent="0.3">
      <c r="A150" s="65">
        <v>20180806</v>
      </c>
      <c r="B150" s="65" t="s">
        <v>88</v>
      </c>
      <c r="C150" s="158">
        <f t="shared" si="34"/>
        <v>107407668.68221556</v>
      </c>
      <c r="D150" s="158">
        <f t="shared" si="35"/>
        <v>-1.8689211818055346E-2</v>
      </c>
      <c r="E150" s="66">
        <v>45800</v>
      </c>
      <c r="F150" s="16">
        <f t="shared" si="24"/>
        <v>0.4</v>
      </c>
      <c r="G150" s="16">
        <f t="shared" si="25"/>
        <v>1004.8014547344341</v>
      </c>
      <c r="H150" s="66">
        <v>269192</v>
      </c>
      <c r="I150" s="16">
        <f t="shared" si="26"/>
        <v>0.3</v>
      </c>
      <c r="J150" s="16">
        <f t="shared" si="27"/>
        <v>117.90220809095669</v>
      </c>
      <c r="K150" s="66">
        <v>194997</v>
      </c>
      <c r="L150" s="16">
        <f t="shared" si="28"/>
        <v>0.3</v>
      </c>
      <c r="M150" s="16">
        <f t="shared" si="29"/>
        <v>152.05070260033568</v>
      </c>
      <c r="N150" s="16">
        <v>0</v>
      </c>
      <c r="O150" s="16">
        <f t="shared" si="30"/>
        <v>0</v>
      </c>
      <c r="P150" s="16">
        <f t="shared" si="31"/>
        <v>0</v>
      </c>
      <c r="Q150" s="16">
        <v>0</v>
      </c>
      <c r="R150" s="16">
        <f t="shared" si="32"/>
        <v>0</v>
      </c>
      <c r="S150" s="16">
        <f t="shared" si="33"/>
        <v>0</v>
      </c>
    </row>
    <row r="151" spans="1:19" x14ac:dyDescent="0.3">
      <c r="A151" s="65">
        <v>20180807</v>
      </c>
      <c r="B151" s="65" t="s">
        <v>88</v>
      </c>
      <c r="C151" s="158">
        <f t="shared" si="34"/>
        <v>109354830.27859966</v>
      </c>
      <c r="D151" s="158">
        <f t="shared" si="35"/>
        <v>1.8128701798240564E-2</v>
      </c>
      <c r="E151" s="66">
        <v>46700</v>
      </c>
      <c r="F151" s="16">
        <f t="shared" si="24"/>
        <v>0.4</v>
      </c>
      <c r="G151" s="16">
        <f t="shared" si="25"/>
        <v>1004.8014547344341</v>
      </c>
      <c r="H151" s="66">
        <v>269684</v>
      </c>
      <c r="I151" s="16">
        <f t="shared" si="26"/>
        <v>0.3</v>
      </c>
      <c r="J151" s="16">
        <f t="shared" si="27"/>
        <v>117.90220809095669</v>
      </c>
      <c r="K151" s="66">
        <v>201474</v>
      </c>
      <c r="L151" s="16">
        <f t="shared" si="28"/>
        <v>0.3</v>
      </c>
      <c r="M151" s="16">
        <f t="shared" si="29"/>
        <v>152.05070260033568</v>
      </c>
      <c r="N151" s="16">
        <v>0</v>
      </c>
      <c r="O151" s="16">
        <f t="shared" si="30"/>
        <v>0</v>
      </c>
      <c r="P151" s="16">
        <f t="shared" si="31"/>
        <v>0</v>
      </c>
      <c r="Q151" s="16">
        <v>0</v>
      </c>
      <c r="R151" s="16">
        <f t="shared" si="32"/>
        <v>0</v>
      </c>
      <c r="S151" s="16">
        <f t="shared" si="33"/>
        <v>0</v>
      </c>
    </row>
    <row r="152" spans="1:19" x14ac:dyDescent="0.3">
      <c r="A152" s="65">
        <v>20180808</v>
      </c>
      <c r="B152" s="65" t="s">
        <v>88</v>
      </c>
      <c r="C152" s="158">
        <f t="shared" si="34"/>
        <v>108688850.88241322</v>
      </c>
      <c r="D152" s="158">
        <f t="shared" si="35"/>
        <v>-6.0900775438062276E-3</v>
      </c>
      <c r="E152" s="66">
        <v>46800</v>
      </c>
      <c r="F152" s="16">
        <f t="shared" si="24"/>
        <v>0.4</v>
      </c>
      <c r="G152" s="16">
        <f t="shared" si="25"/>
        <v>1004.8014547344341</v>
      </c>
      <c r="H152" s="66">
        <v>271157</v>
      </c>
      <c r="I152" s="16">
        <f t="shared" si="26"/>
        <v>0.3</v>
      </c>
      <c r="J152" s="16">
        <f t="shared" si="27"/>
        <v>117.90220809095669</v>
      </c>
      <c r="K152" s="66">
        <v>195291</v>
      </c>
      <c r="L152" s="16">
        <f t="shared" si="28"/>
        <v>0.3</v>
      </c>
      <c r="M152" s="16">
        <f t="shared" si="29"/>
        <v>152.05070260033568</v>
      </c>
      <c r="N152" s="16">
        <v>0</v>
      </c>
      <c r="O152" s="16">
        <f t="shared" si="30"/>
        <v>0</v>
      </c>
      <c r="P152" s="16">
        <f t="shared" si="31"/>
        <v>0</v>
      </c>
      <c r="Q152" s="16">
        <v>0</v>
      </c>
      <c r="R152" s="16">
        <f t="shared" si="32"/>
        <v>0</v>
      </c>
      <c r="S152" s="16">
        <f t="shared" si="33"/>
        <v>0</v>
      </c>
    </row>
    <row r="153" spans="1:19" x14ac:dyDescent="0.3">
      <c r="A153" s="65">
        <v>20180809</v>
      </c>
      <c r="B153" s="65" t="s">
        <v>88</v>
      </c>
      <c r="C153" s="158">
        <f t="shared" si="34"/>
        <v>109520542.85669167</v>
      </c>
      <c r="D153" s="158">
        <f t="shared" si="35"/>
        <v>7.6520449662148817E-3</v>
      </c>
      <c r="E153" s="66">
        <v>46900</v>
      </c>
      <c r="F153" s="16">
        <f t="shared" si="24"/>
        <v>0.4</v>
      </c>
      <c r="G153" s="16">
        <f t="shared" si="25"/>
        <v>1004.8014547344341</v>
      </c>
      <c r="H153" s="66">
        <v>271157</v>
      </c>
      <c r="I153" s="16">
        <f t="shared" si="26"/>
        <v>0.3</v>
      </c>
      <c r="J153" s="16">
        <f t="shared" si="27"/>
        <v>117.90220809095669</v>
      </c>
      <c r="K153" s="66">
        <v>200100</v>
      </c>
      <c r="L153" s="16">
        <f t="shared" si="28"/>
        <v>0.3</v>
      </c>
      <c r="M153" s="16">
        <f t="shared" si="29"/>
        <v>152.05070260033568</v>
      </c>
      <c r="N153" s="16">
        <v>0</v>
      </c>
      <c r="O153" s="16">
        <f t="shared" si="30"/>
        <v>0</v>
      </c>
      <c r="P153" s="16">
        <f t="shared" si="31"/>
        <v>0</v>
      </c>
      <c r="Q153" s="16">
        <v>0</v>
      </c>
      <c r="R153" s="16">
        <f t="shared" si="32"/>
        <v>0</v>
      </c>
      <c r="S153" s="16">
        <f t="shared" si="33"/>
        <v>0</v>
      </c>
    </row>
    <row r="154" spans="1:19" x14ac:dyDescent="0.3">
      <c r="A154" s="65">
        <v>20180810</v>
      </c>
      <c r="B154" s="65" t="s">
        <v>88</v>
      </c>
      <c r="C154" s="158">
        <f t="shared" si="34"/>
        <v>107341185.23362778</v>
      </c>
      <c r="D154" s="158">
        <f t="shared" si="35"/>
        <v>-1.989907615702376E-2</v>
      </c>
      <c r="E154" s="66">
        <v>45400</v>
      </c>
      <c r="F154" s="16">
        <f t="shared" si="24"/>
        <v>0.4</v>
      </c>
      <c r="G154" s="16">
        <f t="shared" si="25"/>
        <v>1004.8014547344341</v>
      </c>
      <c r="H154" s="66">
        <v>267228</v>
      </c>
      <c r="I154" s="16">
        <f t="shared" si="26"/>
        <v>0.3</v>
      </c>
      <c r="J154" s="16">
        <f t="shared" si="27"/>
        <v>117.90220809095669</v>
      </c>
      <c r="K154" s="66">
        <v>198726</v>
      </c>
      <c r="L154" s="16">
        <f t="shared" si="28"/>
        <v>0.3</v>
      </c>
      <c r="M154" s="16">
        <f t="shared" si="29"/>
        <v>152.05070260033568</v>
      </c>
      <c r="N154" s="16">
        <v>0</v>
      </c>
      <c r="O154" s="16">
        <f t="shared" si="30"/>
        <v>0</v>
      </c>
      <c r="P154" s="16">
        <f t="shared" si="31"/>
        <v>0</v>
      </c>
      <c r="Q154" s="16">
        <v>0</v>
      </c>
      <c r="R154" s="16">
        <f t="shared" si="32"/>
        <v>0</v>
      </c>
      <c r="S154" s="16">
        <f t="shared" si="33"/>
        <v>0</v>
      </c>
    </row>
    <row r="155" spans="1:19" x14ac:dyDescent="0.3">
      <c r="A155" s="65">
        <v>20180813</v>
      </c>
      <c r="B155" s="65" t="s">
        <v>88</v>
      </c>
      <c r="C155" s="158">
        <f t="shared" si="34"/>
        <v>104747152.16948542</v>
      </c>
      <c r="D155" s="158">
        <f t="shared" si="35"/>
        <v>-2.4166242048627055E-2</v>
      </c>
      <c r="E155" s="66">
        <v>45050</v>
      </c>
      <c r="F155" s="16">
        <f t="shared" si="24"/>
        <v>0.4</v>
      </c>
      <c r="G155" s="16">
        <f t="shared" si="25"/>
        <v>1004.8014547344341</v>
      </c>
      <c r="H155" s="66">
        <v>255929</v>
      </c>
      <c r="I155" s="16">
        <f t="shared" si="26"/>
        <v>0.3</v>
      </c>
      <c r="J155" s="16">
        <f t="shared" si="27"/>
        <v>117.90220809095669</v>
      </c>
      <c r="K155" s="66">
        <v>192740</v>
      </c>
      <c r="L155" s="16">
        <f t="shared" si="28"/>
        <v>0.3</v>
      </c>
      <c r="M155" s="16">
        <f t="shared" si="29"/>
        <v>152.05070260033568</v>
      </c>
      <c r="N155" s="16">
        <v>0</v>
      </c>
      <c r="O155" s="16">
        <f t="shared" si="30"/>
        <v>0</v>
      </c>
      <c r="P155" s="16">
        <f t="shared" si="31"/>
        <v>0</v>
      </c>
      <c r="Q155" s="16">
        <v>0</v>
      </c>
      <c r="R155" s="16">
        <f t="shared" si="32"/>
        <v>0</v>
      </c>
      <c r="S155" s="16">
        <f t="shared" si="33"/>
        <v>0</v>
      </c>
    </row>
    <row r="156" spans="1:19" x14ac:dyDescent="0.3">
      <c r="A156" s="65">
        <v>20180814</v>
      </c>
      <c r="B156" s="65" t="s">
        <v>88</v>
      </c>
      <c r="C156" s="158">
        <f t="shared" si="34"/>
        <v>105129458.8355673</v>
      </c>
      <c r="D156" s="158">
        <f t="shared" si="35"/>
        <v>3.6498048697618706E-3</v>
      </c>
      <c r="E156" s="66">
        <v>45150</v>
      </c>
      <c r="F156" s="16">
        <f t="shared" si="24"/>
        <v>0.4</v>
      </c>
      <c r="G156" s="16">
        <f t="shared" si="25"/>
        <v>1004.8014547344341</v>
      </c>
      <c r="H156" s="66">
        <v>256421</v>
      </c>
      <c r="I156" s="16">
        <f t="shared" si="26"/>
        <v>0.3</v>
      </c>
      <c r="J156" s="16">
        <f t="shared" si="27"/>
        <v>117.90220809095669</v>
      </c>
      <c r="K156" s="66">
        <v>194212</v>
      </c>
      <c r="L156" s="16">
        <f t="shared" si="28"/>
        <v>0.3</v>
      </c>
      <c r="M156" s="16">
        <f t="shared" si="29"/>
        <v>152.05070260033568</v>
      </c>
      <c r="N156" s="16">
        <v>0</v>
      </c>
      <c r="O156" s="16">
        <f t="shared" si="30"/>
        <v>0</v>
      </c>
      <c r="P156" s="16">
        <f t="shared" si="31"/>
        <v>0</v>
      </c>
      <c r="Q156" s="16">
        <v>0</v>
      </c>
      <c r="R156" s="16">
        <f t="shared" si="32"/>
        <v>0</v>
      </c>
      <c r="S156" s="16">
        <f t="shared" si="33"/>
        <v>0</v>
      </c>
    </row>
    <row r="157" spans="1:19" x14ac:dyDescent="0.3">
      <c r="A157" s="65">
        <v>20180816</v>
      </c>
      <c r="B157" s="65" t="s">
        <v>88</v>
      </c>
      <c r="C157" s="158">
        <f t="shared" si="34"/>
        <v>103308698.80490825</v>
      </c>
      <c r="D157" s="158">
        <f t="shared" si="35"/>
        <v>-1.7319218141386001E-2</v>
      </c>
      <c r="E157" s="66">
        <v>44250</v>
      </c>
      <c r="F157" s="16">
        <f t="shared" si="24"/>
        <v>0.4</v>
      </c>
      <c r="G157" s="16">
        <f t="shared" si="25"/>
        <v>1004.8014547344341</v>
      </c>
      <c r="H157" s="66">
        <v>253964</v>
      </c>
      <c r="I157" s="16">
        <f t="shared" si="26"/>
        <v>0.3</v>
      </c>
      <c r="J157" s="16">
        <f t="shared" si="27"/>
        <v>117.90220809095669</v>
      </c>
      <c r="K157" s="66">
        <v>190090</v>
      </c>
      <c r="L157" s="16">
        <f t="shared" si="28"/>
        <v>0.3</v>
      </c>
      <c r="M157" s="16">
        <f t="shared" si="29"/>
        <v>152.05070260033568</v>
      </c>
      <c r="N157" s="16">
        <v>0</v>
      </c>
      <c r="O157" s="16">
        <f t="shared" si="30"/>
        <v>0</v>
      </c>
      <c r="P157" s="16">
        <f t="shared" si="31"/>
        <v>0</v>
      </c>
      <c r="Q157" s="16">
        <v>0</v>
      </c>
      <c r="R157" s="16">
        <f t="shared" si="32"/>
        <v>0</v>
      </c>
      <c r="S157" s="16">
        <f t="shared" si="33"/>
        <v>0</v>
      </c>
    </row>
    <row r="158" spans="1:19" x14ac:dyDescent="0.3">
      <c r="A158" s="65">
        <v>20180817</v>
      </c>
      <c r="B158" s="65" t="s">
        <v>88</v>
      </c>
      <c r="C158" s="158">
        <f t="shared" si="34"/>
        <v>104828271.40821895</v>
      </c>
      <c r="D158" s="158">
        <f t="shared" si="35"/>
        <v>1.4709047939712398E-2</v>
      </c>
      <c r="E158" s="66">
        <v>44100</v>
      </c>
      <c r="F158" s="16">
        <f t="shared" si="24"/>
        <v>0.4</v>
      </c>
      <c r="G158" s="16">
        <f t="shared" si="25"/>
        <v>1004.8014547344341</v>
      </c>
      <c r="H158" s="66">
        <v>258385</v>
      </c>
      <c r="I158" s="16">
        <f t="shared" si="26"/>
        <v>0.3</v>
      </c>
      <c r="J158" s="16">
        <f t="shared" si="27"/>
        <v>117.90220809095669</v>
      </c>
      <c r="K158" s="66">
        <v>197647</v>
      </c>
      <c r="L158" s="16">
        <f t="shared" si="28"/>
        <v>0.3</v>
      </c>
      <c r="M158" s="16">
        <f t="shared" si="29"/>
        <v>152.05070260033568</v>
      </c>
      <c r="N158" s="16">
        <v>0</v>
      </c>
      <c r="O158" s="16">
        <f t="shared" si="30"/>
        <v>0</v>
      </c>
      <c r="P158" s="16">
        <f t="shared" si="31"/>
        <v>0</v>
      </c>
      <c r="Q158" s="16">
        <v>0</v>
      </c>
      <c r="R158" s="16">
        <f t="shared" si="32"/>
        <v>0</v>
      </c>
      <c r="S158" s="16">
        <f t="shared" si="33"/>
        <v>0</v>
      </c>
    </row>
    <row r="159" spans="1:19" x14ac:dyDescent="0.3">
      <c r="A159" s="65">
        <v>20180820</v>
      </c>
      <c r="B159" s="65" t="s">
        <v>88</v>
      </c>
      <c r="C159" s="158">
        <f t="shared" si="34"/>
        <v>104285755.18172276</v>
      </c>
      <c r="D159" s="158">
        <f t="shared" si="35"/>
        <v>-5.1752854378714326E-3</v>
      </c>
      <c r="E159" s="66">
        <v>43850</v>
      </c>
      <c r="F159" s="16">
        <f t="shared" si="24"/>
        <v>0.4</v>
      </c>
      <c r="G159" s="16">
        <f t="shared" si="25"/>
        <v>1004.8014547344341</v>
      </c>
      <c r="H159" s="66">
        <v>256421</v>
      </c>
      <c r="I159" s="16">
        <f t="shared" si="26"/>
        <v>0.3</v>
      </c>
      <c r="J159" s="16">
        <f t="shared" si="27"/>
        <v>117.90220809095669</v>
      </c>
      <c r="K159" s="66">
        <v>197254</v>
      </c>
      <c r="L159" s="16">
        <f t="shared" si="28"/>
        <v>0.3</v>
      </c>
      <c r="M159" s="16">
        <f t="shared" si="29"/>
        <v>152.05070260033568</v>
      </c>
      <c r="N159" s="16">
        <v>0</v>
      </c>
      <c r="O159" s="16">
        <f t="shared" si="30"/>
        <v>0</v>
      </c>
      <c r="P159" s="16">
        <f t="shared" si="31"/>
        <v>0</v>
      </c>
      <c r="Q159" s="16">
        <v>0</v>
      </c>
      <c r="R159" s="16">
        <f t="shared" si="32"/>
        <v>0</v>
      </c>
      <c r="S159" s="16">
        <f t="shared" si="33"/>
        <v>0</v>
      </c>
    </row>
    <row r="160" spans="1:19" x14ac:dyDescent="0.3">
      <c r="A160" s="65">
        <v>20180821</v>
      </c>
      <c r="B160" s="65" t="s">
        <v>88</v>
      </c>
      <c r="C160" s="158">
        <f t="shared" si="34"/>
        <v>108526322.10287477</v>
      </c>
      <c r="D160" s="158">
        <f t="shared" si="35"/>
        <v>4.0662954530679918E-2</v>
      </c>
      <c r="E160" s="66">
        <v>44800</v>
      </c>
      <c r="F160" s="16">
        <f t="shared" si="24"/>
        <v>0.4</v>
      </c>
      <c r="G160" s="16">
        <f t="shared" si="25"/>
        <v>1004.8014547344341</v>
      </c>
      <c r="H160" s="66">
        <v>263789</v>
      </c>
      <c r="I160" s="16">
        <f t="shared" si="26"/>
        <v>0.3</v>
      </c>
      <c r="J160" s="16">
        <f t="shared" si="27"/>
        <v>117.90220809095669</v>
      </c>
      <c r="K160" s="66">
        <v>213152</v>
      </c>
      <c r="L160" s="16">
        <f t="shared" si="28"/>
        <v>0.3</v>
      </c>
      <c r="M160" s="16">
        <f t="shared" si="29"/>
        <v>152.05070260033568</v>
      </c>
      <c r="N160" s="16">
        <v>0</v>
      </c>
      <c r="O160" s="16">
        <f t="shared" si="30"/>
        <v>0</v>
      </c>
      <c r="P160" s="16">
        <f t="shared" si="31"/>
        <v>0</v>
      </c>
      <c r="Q160" s="16">
        <v>0</v>
      </c>
      <c r="R160" s="16">
        <f t="shared" si="32"/>
        <v>0</v>
      </c>
      <c r="S160" s="16">
        <f t="shared" si="33"/>
        <v>0</v>
      </c>
    </row>
    <row r="161" spans="1:19" x14ac:dyDescent="0.3">
      <c r="A161" s="65">
        <v>20180822</v>
      </c>
      <c r="B161" s="65" t="s">
        <v>88</v>
      </c>
      <c r="C161" s="158">
        <f t="shared" si="34"/>
        <v>109817663.02517471</v>
      </c>
      <c r="D161" s="158">
        <f t="shared" si="35"/>
        <v>1.1898872985632395E-2</v>
      </c>
      <c r="E161" s="66">
        <v>46100</v>
      </c>
      <c r="F161" s="16">
        <f t="shared" si="24"/>
        <v>0.4</v>
      </c>
      <c r="G161" s="16">
        <f t="shared" si="25"/>
        <v>1004.8014547344341</v>
      </c>
      <c r="H161" s="66">
        <v>263789</v>
      </c>
      <c r="I161" s="16">
        <f t="shared" si="26"/>
        <v>0.3</v>
      </c>
      <c r="J161" s="16">
        <f t="shared" si="27"/>
        <v>117.90220809095669</v>
      </c>
      <c r="K161" s="66">
        <v>213054</v>
      </c>
      <c r="L161" s="16">
        <f t="shared" si="28"/>
        <v>0.3</v>
      </c>
      <c r="M161" s="16">
        <f t="shared" si="29"/>
        <v>152.05070260033568</v>
      </c>
      <c r="N161" s="16">
        <v>0</v>
      </c>
      <c r="O161" s="16">
        <f t="shared" si="30"/>
        <v>0</v>
      </c>
      <c r="P161" s="16">
        <f t="shared" si="31"/>
        <v>0</v>
      </c>
      <c r="Q161" s="16">
        <v>0</v>
      </c>
      <c r="R161" s="16">
        <f t="shared" si="32"/>
        <v>0</v>
      </c>
      <c r="S161" s="16">
        <f t="shared" si="33"/>
        <v>0</v>
      </c>
    </row>
    <row r="162" spans="1:19" x14ac:dyDescent="0.3">
      <c r="A162" s="65">
        <v>20180823</v>
      </c>
      <c r="B162" s="65" t="s">
        <v>88</v>
      </c>
      <c r="C162" s="158">
        <f t="shared" si="34"/>
        <v>110614924.72708553</v>
      </c>
      <c r="D162" s="158">
        <f t="shared" si="35"/>
        <v>7.2598676747296885E-3</v>
      </c>
      <c r="E162" s="66">
        <v>46200</v>
      </c>
      <c r="F162" s="16">
        <f t="shared" si="24"/>
        <v>0.4</v>
      </c>
      <c r="G162" s="16">
        <f t="shared" si="25"/>
        <v>1004.8014547344341</v>
      </c>
      <c r="H162" s="66">
        <v>269192</v>
      </c>
      <c r="I162" s="16">
        <f t="shared" si="26"/>
        <v>0.3</v>
      </c>
      <c r="J162" s="16">
        <f t="shared" si="27"/>
        <v>117.90220809095669</v>
      </c>
      <c r="K162" s="66">
        <v>213447</v>
      </c>
      <c r="L162" s="16">
        <f t="shared" si="28"/>
        <v>0.3</v>
      </c>
      <c r="M162" s="16">
        <f t="shared" si="29"/>
        <v>152.05070260033568</v>
      </c>
      <c r="N162" s="16">
        <v>0</v>
      </c>
      <c r="O162" s="16">
        <f t="shared" si="30"/>
        <v>0</v>
      </c>
      <c r="P162" s="16">
        <f t="shared" si="31"/>
        <v>0</v>
      </c>
      <c r="Q162" s="16">
        <v>0</v>
      </c>
      <c r="R162" s="16">
        <f t="shared" si="32"/>
        <v>0</v>
      </c>
      <c r="S162" s="16">
        <f t="shared" si="33"/>
        <v>0</v>
      </c>
    </row>
    <row r="163" spans="1:19" x14ac:dyDescent="0.3">
      <c r="A163" s="65">
        <v>20180824</v>
      </c>
      <c r="B163" s="65" t="s">
        <v>88</v>
      </c>
      <c r="C163" s="158">
        <f t="shared" si="34"/>
        <v>111739023.31915931</v>
      </c>
      <c r="D163" s="158">
        <f t="shared" si="35"/>
        <v>1.0162268743094239E-2</v>
      </c>
      <c r="E163" s="66">
        <v>46150</v>
      </c>
      <c r="F163" s="16">
        <f t="shared" si="24"/>
        <v>0.4</v>
      </c>
      <c r="G163" s="16">
        <f t="shared" si="25"/>
        <v>1004.8014547344341</v>
      </c>
      <c r="H163" s="66">
        <v>274596</v>
      </c>
      <c r="I163" s="16">
        <f t="shared" si="26"/>
        <v>0.3</v>
      </c>
      <c r="J163" s="16">
        <f t="shared" si="27"/>
        <v>117.90220809095669</v>
      </c>
      <c r="K163" s="66">
        <v>216980</v>
      </c>
      <c r="L163" s="16">
        <f t="shared" si="28"/>
        <v>0.3</v>
      </c>
      <c r="M163" s="16">
        <f t="shared" si="29"/>
        <v>152.05070260033568</v>
      </c>
      <c r="N163" s="16">
        <v>0</v>
      </c>
      <c r="O163" s="16">
        <f t="shared" si="30"/>
        <v>0</v>
      </c>
      <c r="P163" s="16">
        <f t="shared" si="31"/>
        <v>0</v>
      </c>
      <c r="Q163" s="16">
        <v>0</v>
      </c>
      <c r="R163" s="16">
        <f t="shared" si="32"/>
        <v>0</v>
      </c>
      <c r="S163" s="16">
        <f t="shared" si="33"/>
        <v>0</v>
      </c>
    </row>
    <row r="164" spans="1:19" x14ac:dyDescent="0.3">
      <c r="A164" s="65">
        <v>20180827</v>
      </c>
      <c r="B164" s="65" t="s">
        <v>88</v>
      </c>
      <c r="C164" s="158">
        <f t="shared" si="34"/>
        <v>111671100.72537631</v>
      </c>
      <c r="D164" s="158">
        <f t="shared" si="35"/>
        <v>-6.0786815353665021E-4</v>
      </c>
      <c r="E164" s="66">
        <v>46300</v>
      </c>
      <c r="F164" s="16">
        <f t="shared" si="24"/>
        <v>0.4</v>
      </c>
      <c r="G164" s="16">
        <f t="shared" si="25"/>
        <v>1004.8014547344341</v>
      </c>
      <c r="H164" s="66">
        <v>273122</v>
      </c>
      <c r="I164" s="16">
        <f t="shared" si="26"/>
        <v>0.3</v>
      </c>
      <c r="J164" s="16">
        <f t="shared" si="27"/>
        <v>117.90220809095669</v>
      </c>
      <c r="K164" s="66">
        <v>216685</v>
      </c>
      <c r="L164" s="16">
        <f t="shared" si="28"/>
        <v>0.3</v>
      </c>
      <c r="M164" s="16">
        <f t="shared" si="29"/>
        <v>152.05070260033568</v>
      </c>
      <c r="N164" s="16">
        <v>0</v>
      </c>
      <c r="O164" s="16">
        <f t="shared" si="30"/>
        <v>0</v>
      </c>
      <c r="P164" s="16">
        <f t="shared" si="31"/>
        <v>0</v>
      </c>
      <c r="Q164" s="16">
        <v>0</v>
      </c>
      <c r="R164" s="16">
        <f t="shared" si="32"/>
        <v>0</v>
      </c>
      <c r="S164" s="16">
        <f t="shared" si="33"/>
        <v>0</v>
      </c>
    </row>
    <row r="165" spans="1:19" x14ac:dyDescent="0.3">
      <c r="A165" s="65">
        <v>20180828</v>
      </c>
      <c r="B165" s="65" t="s">
        <v>88</v>
      </c>
      <c r="C165" s="158">
        <f t="shared" si="34"/>
        <v>110909611.70282935</v>
      </c>
      <c r="D165" s="158">
        <f t="shared" si="35"/>
        <v>-6.8190339094053544E-3</v>
      </c>
      <c r="E165" s="66">
        <v>46550</v>
      </c>
      <c r="F165" s="16">
        <f t="shared" si="24"/>
        <v>0.4</v>
      </c>
      <c r="G165" s="16">
        <f t="shared" si="25"/>
        <v>1004.8014547344341</v>
      </c>
      <c r="H165" s="66">
        <v>264280</v>
      </c>
      <c r="I165" s="16">
        <f t="shared" si="26"/>
        <v>0.3</v>
      </c>
      <c r="J165" s="16">
        <f t="shared" si="27"/>
        <v>117.90220809095669</v>
      </c>
      <c r="K165" s="66">
        <v>216881</v>
      </c>
      <c r="L165" s="16">
        <f t="shared" si="28"/>
        <v>0.3</v>
      </c>
      <c r="M165" s="16">
        <f t="shared" si="29"/>
        <v>152.05070260033568</v>
      </c>
      <c r="N165" s="16">
        <v>0</v>
      </c>
      <c r="O165" s="16">
        <f t="shared" si="30"/>
        <v>0</v>
      </c>
      <c r="P165" s="16">
        <f t="shared" si="31"/>
        <v>0</v>
      </c>
      <c r="Q165" s="16">
        <v>0</v>
      </c>
      <c r="R165" s="16">
        <f t="shared" si="32"/>
        <v>0</v>
      </c>
      <c r="S165" s="16">
        <f t="shared" si="33"/>
        <v>0</v>
      </c>
    </row>
    <row r="166" spans="1:19" x14ac:dyDescent="0.3">
      <c r="A166" s="65">
        <v>20180829</v>
      </c>
      <c r="B166" s="65" t="s">
        <v>88</v>
      </c>
      <c r="C166" s="158">
        <f t="shared" si="34"/>
        <v>111591834.47486684</v>
      </c>
      <c r="D166" s="158">
        <f t="shared" si="35"/>
        <v>6.1511600443200131E-3</v>
      </c>
      <c r="E166" s="66">
        <v>46800</v>
      </c>
      <c r="F166" s="16">
        <f t="shared" si="24"/>
        <v>0.4</v>
      </c>
      <c r="G166" s="16">
        <f t="shared" si="25"/>
        <v>1004.8014547344341</v>
      </c>
      <c r="H166" s="66">
        <v>264771</v>
      </c>
      <c r="I166" s="16">
        <f t="shared" si="26"/>
        <v>0.3</v>
      </c>
      <c r="J166" s="16">
        <f t="shared" si="27"/>
        <v>117.90220809095669</v>
      </c>
      <c r="K166" s="66">
        <v>219335</v>
      </c>
      <c r="L166" s="16">
        <f t="shared" si="28"/>
        <v>0.3</v>
      </c>
      <c r="M166" s="16">
        <f t="shared" si="29"/>
        <v>152.05070260033568</v>
      </c>
      <c r="N166" s="16">
        <v>0</v>
      </c>
      <c r="O166" s="16">
        <f t="shared" si="30"/>
        <v>0</v>
      </c>
      <c r="P166" s="16">
        <f t="shared" si="31"/>
        <v>0</v>
      </c>
      <c r="Q166" s="16">
        <v>0</v>
      </c>
      <c r="R166" s="16">
        <f t="shared" si="32"/>
        <v>0</v>
      </c>
      <c r="S166" s="16">
        <f t="shared" si="33"/>
        <v>0</v>
      </c>
    </row>
    <row r="167" spans="1:19" x14ac:dyDescent="0.3">
      <c r="A167" s="65">
        <v>20180830</v>
      </c>
      <c r="B167" s="65" t="s">
        <v>88</v>
      </c>
      <c r="C167" s="158">
        <f t="shared" si="34"/>
        <v>112292474.60066509</v>
      </c>
      <c r="D167" s="158">
        <f t="shared" si="35"/>
        <v>6.2785967189745969E-3</v>
      </c>
      <c r="E167" s="66">
        <v>47650</v>
      </c>
      <c r="F167" s="16">
        <f t="shared" si="24"/>
        <v>0.4</v>
      </c>
      <c r="G167" s="16">
        <f t="shared" si="25"/>
        <v>1004.8014547344341</v>
      </c>
      <c r="H167" s="66">
        <v>261824</v>
      </c>
      <c r="I167" s="16">
        <f t="shared" si="26"/>
        <v>0.3</v>
      </c>
      <c r="J167" s="16">
        <f t="shared" si="27"/>
        <v>117.90220809095669</v>
      </c>
      <c r="K167" s="66">
        <v>220611</v>
      </c>
      <c r="L167" s="16">
        <f t="shared" si="28"/>
        <v>0.3</v>
      </c>
      <c r="M167" s="16">
        <f t="shared" si="29"/>
        <v>152.05070260033568</v>
      </c>
      <c r="N167" s="16">
        <v>0</v>
      </c>
      <c r="O167" s="16">
        <f t="shared" si="30"/>
        <v>0</v>
      </c>
      <c r="P167" s="16">
        <f t="shared" si="31"/>
        <v>0</v>
      </c>
      <c r="Q167" s="16">
        <v>0</v>
      </c>
      <c r="R167" s="16">
        <f t="shared" si="32"/>
        <v>0</v>
      </c>
      <c r="S167" s="16">
        <f t="shared" si="33"/>
        <v>0</v>
      </c>
    </row>
    <row r="168" spans="1:19" x14ac:dyDescent="0.3">
      <c r="A168" s="65">
        <v>20180831</v>
      </c>
      <c r="B168" s="65" t="s">
        <v>88</v>
      </c>
      <c r="C168" s="158">
        <f t="shared" si="34"/>
        <v>115337033.43846348</v>
      </c>
      <c r="D168" s="158">
        <f t="shared" si="35"/>
        <v>2.711275932448241E-2</v>
      </c>
      <c r="E168" s="66">
        <v>48450</v>
      </c>
      <c r="F168" s="16">
        <f t="shared" si="24"/>
        <v>0.4</v>
      </c>
      <c r="G168" s="16">
        <f t="shared" si="25"/>
        <v>1004.8014547344341</v>
      </c>
      <c r="H168" s="66">
        <v>265263</v>
      </c>
      <c r="I168" s="16">
        <f t="shared" si="26"/>
        <v>0.3</v>
      </c>
      <c r="J168" s="16">
        <f t="shared" si="27"/>
        <v>117.90220809095669</v>
      </c>
      <c r="K168" s="66">
        <v>232681</v>
      </c>
      <c r="L168" s="16">
        <f t="shared" si="28"/>
        <v>0.3</v>
      </c>
      <c r="M168" s="16">
        <f t="shared" si="29"/>
        <v>152.05070260033568</v>
      </c>
      <c r="N168" s="16">
        <v>0</v>
      </c>
      <c r="O168" s="16">
        <f t="shared" si="30"/>
        <v>0</v>
      </c>
      <c r="P168" s="16">
        <f t="shared" si="31"/>
        <v>0</v>
      </c>
      <c r="Q168" s="16">
        <v>0</v>
      </c>
      <c r="R168" s="16">
        <f t="shared" si="32"/>
        <v>0</v>
      </c>
      <c r="S168" s="16">
        <f t="shared" si="33"/>
        <v>0</v>
      </c>
    </row>
    <row r="169" spans="1:19" x14ac:dyDescent="0.3">
      <c r="A169" s="65">
        <v>20180903</v>
      </c>
      <c r="B169" s="65" t="s">
        <v>88</v>
      </c>
      <c r="C169" s="158">
        <f t="shared" si="34"/>
        <v>113671431.82692021</v>
      </c>
      <c r="D169" s="158">
        <f t="shared" si="35"/>
        <v>-1.4441169170801738E-2</v>
      </c>
      <c r="E169" s="66">
        <v>47450</v>
      </c>
      <c r="F169" s="16">
        <f t="shared" si="24"/>
        <v>0.4</v>
      </c>
      <c r="G169" s="16">
        <f t="shared" si="25"/>
        <v>1004.8014547344341</v>
      </c>
      <c r="H169" s="66">
        <v>262315</v>
      </c>
      <c r="I169" s="16">
        <f t="shared" si="26"/>
        <v>0.3</v>
      </c>
      <c r="J169" s="16">
        <f t="shared" si="27"/>
        <v>117.90220809095669</v>
      </c>
      <c r="K169" s="66">
        <v>230621</v>
      </c>
      <c r="L169" s="16">
        <f t="shared" si="28"/>
        <v>0.3</v>
      </c>
      <c r="M169" s="16">
        <f t="shared" si="29"/>
        <v>152.05070260033568</v>
      </c>
      <c r="N169" s="16">
        <v>0</v>
      </c>
      <c r="O169" s="16">
        <f t="shared" si="30"/>
        <v>0</v>
      </c>
      <c r="P169" s="16">
        <f t="shared" si="31"/>
        <v>0</v>
      </c>
      <c r="Q169" s="16">
        <v>0</v>
      </c>
      <c r="R169" s="16">
        <f t="shared" si="32"/>
        <v>0</v>
      </c>
      <c r="S169" s="16">
        <f t="shared" si="33"/>
        <v>0</v>
      </c>
    </row>
    <row r="170" spans="1:19" x14ac:dyDescent="0.3">
      <c r="A170" s="65">
        <v>20180904</v>
      </c>
      <c r="B170" s="65" t="s">
        <v>88</v>
      </c>
      <c r="C170" s="158">
        <f t="shared" si="34"/>
        <v>115825876.38806018</v>
      </c>
      <c r="D170" s="158">
        <f t="shared" si="35"/>
        <v>1.8953263159563239E-2</v>
      </c>
      <c r="E170" s="66">
        <v>47650</v>
      </c>
      <c r="F170" s="16">
        <f t="shared" si="24"/>
        <v>0.4</v>
      </c>
      <c r="G170" s="16">
        <f t="shared" si="25"/>
        <v>1004.8014547344341</v>
      </c>
      <c r="H170" s="66">
        <v>275087</v>
      </c>
      <c r="I170" s="16">
        <f t="shared" si="26"/>
        <v>0.3</v>
      </c>
      <c r="J170" s="16">
        <f t="shared" si="27"/>
        <v>117.90220809095669</v>
      </c>
      <c r="K170" s="66">
        <v>233565</v>
      </c>
      <c r="L170" s="16">
        <f t="shared" si="28"/>
        <v>0.3</v>
      </c>
      <c r="M170" s="16">
        <f t="shared" si="29"/>
        <v>152.05070260033568</v>
      </c>
      <c r="N170" s="16">
        <v>0</v>
      </c>
      <c r="O170" s="16">
        <f t="shared" si="30"/>
        <v>0</v>
      </c>
      <c r="P170" s="16">
        <f t="shared" si="31"/>
        <v>0</v>
      </c>
      <c r="Q170" s="16">
        <v>0</v>
      </c>
      <c r="R170" s="16">
        <f t="shared" si="32"/>
        <v>0</v>
      </c>
      <c r="S170" s="16">
        <f t="shared" si="33"/>
        <v>0</v>
      </c>
    </row>
    <row r="171" spans="1:19" x14ac:dyDescent="0.3">
      <c r="A171" s="65">
        <v>20180905</v>
      </c>
      <c r="B171" s="65" t="s">
        <v>88</v>
      </c>
      <c r="C171" s="158">
        <f t="shared" si="34"/>
        <v>113596614.09798661</v>
      </c>
      <c r="D171" s="158">
        <f t="shared" si="35"/>
        <v>-1.9246668875655279E-2</v>
      </c>
      <c r="E171" s="66">
        <v>46600</v>
      </c>
      <c r="F171" s="16">
        <f t="shared" si="24"/>
        <v>0.4</v>
      </c>
      <c r="G171" s="16">
        <f t="shared" si="25"/>
        <v>1004.8014547344341</v>
      </c>
      <c r="H171" s="66">
        <v>269684</v>
      </c>
      <c r="I171" s="16">
        <f t="shared" si="26"/>
        <v>0.3</v>
      </c>
      <c r="J171" s="16">
        <f t="shared" si="27"/>
        <v>117.90220809095669</v>
      </c>
      <c r="K171" s="66">
        <v>230032</v>
      </c>
      <c r="L171" s="16">
        <f t="shared" si="28"/>
        <v>0.3</v>
      </c>
      <c r="M171" s="16">
        <f t="shared" si="29"/>
        <v>152.05070260033568</v>
      </c>
      <c r="N171" s="16">
        <v>0</v>
      </c>
      <c r="O171" s="16">
        <f t="shared" si="30"/>
        <v>0</v>
      </c>
      <c r="P171" s="16">
        <f t="shared" si="31"/>
        <v>0</v>
      </c>
      <c r="Q171" s="16">
        <v>0</v>
      </c>
      <c r="R171" s="16">
        <f t="shared" si="32"/>
        <v>0</v>
      </c>
      <c r="S171" s="16">
        <f t="shared" si="33"/>
        <v>0</v>
      </c>
    </row>
    <row r="172" spans="1:19" x14ac:dyDescent="0.3">
      <c r="A172" s="65">
        <v>20180906</v>
      </c>
      <c r="B172" s="65" t="s">
        <v>88</v>
      </c>
      <c r="C172" s="158">
        <f t="shared" si="34"/>
        <v>111964346.55139858</v>
      </c>
      <c r="D172" s="158">
        <f t="shared" si="35"/>
        <v>-1.4368980621025075E-2</v>
      </c>
      <c r="E172" s="66">
        <v>46100</v>
      </c>
      <c r="F172" s="16">
        <f t="shared" si="24"/>
        <v>0.4</v>
      </c>
      <c r="G172" s="16">
        <f t="shared" si="25"/>
        <v>1004.8014547344341</v>
      </c>
      <c r="H172" s="66">
        <v>272631</v>
      </c>
      <c r="I172" s="16">
        <f t="shared" si="26"/>
        <v>0.3</v>
      </c>
      <c r="J172" s="16">
        <f t="shared" si="27"/>
        <v>117.90220809095669</v>
      </c>
      <c r="K172" s="66">
        <v>220316</v>
      </c>
      <c r="L172" s="16">
        <f t="shared" si="28"/>
        <v>0.3</v>
      </c>
      <c r="M172" s="16">
        <f t="shared" si="29"/>
        <v>152.05070260033568</v>
      </c>
      <c r="N172" s="16">
        <v>0</v>
      </c>
      <c r="O172" s="16">
        <f t="shared" si="30"/>
        <v>0</v>
      </c>
      <c r="P172" s="16">
        <f t="shared" si="31"/>
        <v>0</v>
      </c>
      <c r="Q172" s="16">
        <v>0</v>
      </c>
      <c r="R172" s="16">
        <f t="shared" si="32"/>
        <v>0</v>
      </c>
      <c r="S172" s="16">
        <f t="shared" si="33"/>
        <v>0</v>
      </c>
    </row>
    <row r="173" spans="1:19" x14ac:dyDescent="0.3">
      <c r="A173" s="65">
        <v>20180907</v>
      </c>
      <c r="B173" s="65" t="s">
        <v>88</v>
      </c>
      <c r="C173" s="158">
        <f t="shared" si="34"/>
        <v>111064919.53959276</v>
      </c>
      <c r="D173" s="158">
        <f t="shared" si="35"/>
        <v>-8.0331555491455018E-3</v>
      </c>
      <c r="E173" s="66">
        <v>44900</v>
      </c>
      <c r="F173" s="16">
        <f t="shared" si="24"/>
        <v>0.4</v>
      </c>
      <c r="G173" s="16">
        <f t="shared" si="25"/>
        <v>1004.8014547344341</v>
      </c>
      <c r="H173" s="66">
        <v>274596</v>
      </c>
      <c r="I173" s="16">
        <f t="shared" si="26"/>
        <v>0.3</v>
      </c>
      <c r="J173" s="16">
        <f t="shared" si="27"/>
        <v>117.90220809095669</v>
      </c>
      <c r="K173" s="66">
        <v>220807</v>
      </c>
      <c r="L173" s="16">
        <f t="shared" si="28"/>
        <v>0.3</v>
      </c>
      <c r="M173" s="16">
        <f t="shared" si="29"/>
        <v>152.05070260033568</v>
      </c>
      <c r="N173" s="16">
        <v>0</v>
      </c>
      <c r="O173" s="16">
        <f t="shared" si="30"/>
        <v>0</v>
      </c>
      <c r="P173" s="16">
        <f t="shared" si="31"/>
        <v>0</v>
      </c>
      <c r="Q173" s="16">
        <v>0</v>
      </c>
      <c r="R173" s="16">
        <f t="shared" si="32"/>
        <v>0</v>
      </c>
      <c r="S173" s="16">
        <f t="shared" si="33"/>
        <v>0</v>
      </c>
    </row>
    <row r="174" spans="1:19" x14ac:dyDescent="0.3">
      <c r="A174" s="65">
        <v>20180910</v>
      </c>
      <c r="B174" s="65" t="s">
        <v>88</v>
      </c>
      <c r="C174" s="158">
        <f t="shared" si="34"/>
        <v>110553217.67374483</v>
      </c>
      <c r="D174" s="158">
        <f t="shared" si="35"/>
        <v>-4.6072321302633931E-3</v>
      </c>
      <c r="E174" s="66">
        <v>45500</v>
      </c>
      <c r="F174" s="16">
        <f t="shared" si="24"/>
        <v>0.4</v>
      </c>
      <c r="G174" s="16">
        <f t="shared" si="25"/>
        <v>1004.8014547344341</v>
      </c>
      <c r="H174" s="66">
        <v>269192</v>
      </c>
      <c r="I174" s="16">
        <f t="shared" si="26"/>
        <v>0.3</v>
      </c>
      <c r="J174" s="16">
        <f t="shared" si="27"/>
        <v>117.90220809095669</v>
      </c>
      <c r="K174" s="66">
        <v>217667</v>
      </c>
      <c r="L174" s="16">
        <f t="shared" si="28"/>
        <v>0.3</v>
      </c>
      <c r="M174" s="16">
        <f t="shared" si="29"/>
        <v>152.05070260033568</v>
      </c>
      <c r="N174" s="16">
        <v>0</v>
      </c>
      <c r="O174" s="16">
        <f t="shared" si="30"/>
        <v>0</v>
      </c>
      <c r="P174" s="16">
        <f t="shared" si="31"/>
        <v>0</v>
      </c>
      <c r="Q174" s="16">
        <v>0</v>
      </c>
      <c r="R174" s="16">
        <f t="shared" si="32"/>
        <v>0</v>
      </c>
      <c r="S174" s="16">
        <f t="shared" si="33"/>
        <v>0</v>
      </c>
    </row>
    <row r="175" spans="1:19" x14ac:dyDescent="0.3">
      <c r="A175" s="65">
        <v>20180911</v>
      </c>
      <c r="B175" s="65" t="s">
        <v>88</v>
      </c>
      <c r="C175" s="158">
        <f t="shared" si="34"/>
        <v>110308226.64474601</v>
      </c>
      <c r="D175" s="158">
        <f t="shared" si="35"/>
        <v>-2.2160461192709787E-3</v>
      </c>
      <c r="E175" s="66">
        <v>45050</v>
      </c>
      <c r="F175" s="16">
        <f t="shared" si="24"/>
        <v>0.4</v>
      </c>
      <c r="G175" s="16">
        <f t="shared" si="25"/>
        <v>1004.8014547344341</v>
      </c>
      <c r="H175" s="66">
        <v>269684</v>
      </c>
      <c r="I175" s="16">
        <f t="shared" si="26"/>
        <v>0.3</v>
      </c>
      <c r="J175" s="16">
        <f t="shared" si="27"/>
        <v>117.90220809095669</v>
      </c>
      <c r="K175" s="66">
        <v>218648</v>
      </c>
      <c r="L175" s="16">
        <f t="shared" si="28"/>
        <v>0.3</v>
      </c>
      <c r="M175" s="16">
        <f t="shared" si="29"/>
        <v>152.05070260033568</v>
      </c>
      <c r="N175" s="16">
        <v>0</v>
      </c>
      <c r="O175" s="16">
        <f t="shared" si="30"/>
        <v>0</v>
      </c>
      <c r="P175" s="16">
        <f t="shared" si="31"/>
        <v>0</v>
      </c>
      <c r="Q175" s="16">
        <v>0</v>
      </c>
      <c r="R175" s="16">
        <f t="shared" si="32"/>
        <v>0</v>
      </c>
      <c r="S175" s="16">
        <f t="shared" si="33"/>
        <v>0</v>
      </c>
    </row>
    <row r="176" spans="1:19" x14ac:dyDescent="0.3">
      <c r="A176" s="65">
        <v>20180912</v>
      </c>
      <c r="B176" s="65" t="s">
        <v>88</v>
      </c>
      <c r="C176" s="158">
        <f t="shared" si="34"/>
        <v>112111396.32947391</v>
      </c>
      <c r="D176" s="158">
        <f t="shared" si="35"/>
        <v>1.6346647385920898E-2</v>
      </c>
      <c r="E176" s="66">
        <v>44550</v>
      </c>
      <c r="F176" s="16">
        <f t="shared" si="24"/>
        <v>0.4</v>
      </c>
      <c r="G176" s="16">
        <f t="shared" si="25"/>
        <v>1004.8014547344341</v>
      </c>
      <c r="H176" s="66">
        <v>280000</v>
      </c>
      <c r="I176" s="16">
        <f t="shared" si="26"/>
        <v>0.3</v>
      </c>
      <c r="J176" s="16">
        <f t="shared" si="27"/>
        <v>117.90220809095669</v>
      </c>
      <c r="K176" s="66">
        <v>225812</v>
      </c>
      <c r="L176" s="16">
        <f t="shared" si="28"/>
        <v>0.3</v>
      </c>
      <c r="M176" s="16">
        <f t="shared" si="29"/>
        <v>152.05070260033568</v>
      </c>
      <c r="N176" s="16">
        <v>0</v>
      </c>
      <c r="O176" s="16">
        <f t="shared" si="30"/>
        <v>0</v>
      </c>
      <c r="P176" s="16">
        <f t="shared" si="31"/>
        <v>0</v>
      </c>
      <c r="Q176" s="16">
        <v>0</v>
      </c>
      <c r="R176" s="16">
        <f t="shared" si="32"/>
        <v>0</v>
      </c>
      <c r="S176" s="16">
        <f t="shared" si="33"/>
        <v>0</v>
      </c>
    </row>
    <row r="177" spans="1:19" x14ac:dyDescent="0.3">
      <c r="A177" s="65">
        <v>20180913</v>
      </c>
      <c r="B177" s="65" t="s">
        <v>88</v>
      </c>
      <c r="C177" s="158">
        <f t="shared" si="34"/>
        <v>112921756.50658031</v>
      </c>
      <c r="D177" s="158">
        <f t="shared" si="35"/>
        <v>7.2281695138726315E-3</v>
      </c>
      <c r="E177" s="66">
        <v>44050</v>
      </c>
      <c r="F177" s="16">
        <f t="shared" si="24"/>
        <v>0.4</v>
      </c>
      <c r="G177" s="16">
        <f t="shared" si="25"/>
        <v>1004.8014547344341</v>
      </c>
      <c r="H177" s="66">
        <v>288350</v>
      </c>
      <c r="I177" s="16">
        <f t="shared" si="26"/>
        <v>0.3</v>
      </c>
      <c r="J177" s="16">
        <f t="shared" si="27"/>
        <v>117.90220809095669</v>
      </c>
      <c r="K177" s="66">
        <v>227971</v>
      </c>
      <c r="L177" s="16">
        <f t="shared" si="28"/>
        <v>0.3</v>
      </c>
      <c r="M177" s="16">
        <f t="shared" si="29"/>
        <v>152.05070260033568</v>
      </c>
      <c r="N177" s="16">
        <v>0</v>
      </c>
      <c r="O177" s="16">
        <f t="shared" si="30"/>
        <v>0</v>
      </c>
      <c r="P177" s="16">
        <f t="shared" si="31"/>
        <v>0</v>
      </c>
      <c r="Q177" s="16">
        <v>0</v>
      </c>
      <c r="R177" s="16">
        <f t="shared" si="32"/>
        <v>0</v>
      </c>
      <c r="S177" s="16">
        <f t="shared" si="33"/>
        <v>0</v>
      </c>
    </row>
    <row r="178" spans="1:19" x14ac:dyDescent="0.3">
      <c r="A178" s="65">
        <v>20180914</v>
      </c>
      <c r="B178" s="65" t="s">
        <v>88</v>
      </c>
      <c r="C178" s="158">
        <f t="shared" si="34"/>
        <v>115634581.36814612</v>
      </c>
      <c r="D178" s="158">
        <f t="shared" si="35"/>
        <v>2.4023934319581084E-2</v>
      </c>
      <c r="E178" s="66">
        <v>45850</v>
      </c>
      <c r="F178" s="16">
        <f t="shared" si="24"/>
        <v>0.4</v>
      </c>
      <c r="G178" s="16">
        <f t="shared" si="25"/>
        <v>1004.8014547344341</v>
      </c>
      <c r="H178" s="66">
        <v>285894</v>
      </c>
      <c r="I178" s="16">
        <f t="shared" si="26"/>
        <v>0.3</v>
      </c>
      <c r="J178" s="16">
        <f t="shared" si="27"/>
        <v>117.90220809095669</v>
      </c>
      <c r="K178" s="66">
        <v>235822</v>
      </c>
      <c r="L178" s="16">
        <f t="shared" si="28"/>
        <v>0.3</v>
      </c>
      <c r="M178" s="16">
        <f t="shared" si="29"/>
        <v>152.05070260033568</v>
      </c>
      <c r="N178" s="16">
        <v>0</v>
      </c>
      <c r="O178" s="16">
        <f t="shared" si="30"/>
        <v>0</v>
      </c>
      <c r="P178" s="16">
        <f t="shared" si="31"/>
        <v>0</v>
      </c>
      <c r="Q178" s="16">
        <v>0</v>
      </c>
      <c r="R178" s="16">
        <f t="shared" si="32"/>
        <v>0</v>
      </c>
      <c r="S178" s="16">
        <f t="shared" si="33"/>
        <v>0</v>
      </c>
    </row>
    <row r="179" spans="1:19" x14ac:dyDescent="0.3">
      <c r="A179" s="65">
        <v>20180917</v>
      </c>
      <c r="B179" s="65" t="s">
        <v>88</v>
      </c>
      <c r="C179" s="158">
        <f t="shared" si="34"/>
        <v>116412441.23609459</v>
      </c>
      <c r="D179" s="158">
        <f t="shared" si="35"/>
        <v>6.7268792669556007E-3</v>
      </c>
      <c r="E179" s="66">
        <v>45150</v>
      </c>
      <c r="F179" s="16">
        <f t="shared" si="24"/>
        <v>0.4</v>
      </c>
      <c r="G179" s="16">
        <f t="shared" si="25"/>
        <v>1004.8014547344341</v>
      </c>
      <c r="H179" s="66">
        <v>297192</v>
      </c>
      <c r="I179" s="16">
        <f t="shared" si="26"/>
        <v>0.3</v>
      </c>
      <c r="J179" s="16">
        <f t="shared" si="27"/>
        <v>117.90220809095669</v>
      </c>
      <c r="K179" s="66">
        <v>236803</v>
      </c>
      <c r="L179" s="16">
        <f t="shared" si="28"/>
        <v>0.3</v>
      </c>
      <c r="M179" s="16">
        <f t="shared" si="29"/>
        <v>152.05070260033568</v>
      </c>
      <c r="N179" s="16">
        <v>0</v>
      </c>
      <c r="O179" s="16">
        <f t="shared" si="30"/>
        <v>0</v>
      </c>
      <c r="P179" s="16">
        <f t="shared" si="31"/>
        <v>0</v>
      </c>
      <c r="Q179" s="16">
        <v>0</v>
      </c>
      <c r="R179" s="16">
        <f t="shared" si="32"/>
        <v>0</v>
      </c>
      <c r="S179" s="16">
        <f t="shared" si="33"/>
        <v>0</v>
      </c>
    </row>
    <row r="180" spans="1:19" x14ac:dyDescent="0.3">
      <c r="A180" s="65">
        <v>20180918</v>
      </c>
      <c r="B180" s="65" t="s">
        <v>88</v>
      </c>
      <c r="C180" s="158">
        <f t="shared" si="34"/>
        <v>116786334.43120095</v>
      </c>
      <c r="D180" s="158">
        <f t="shared" si="35"/>
        <v>3.2117975633555291E-3</v>
      </c>
      <c r="E180" s="66">
        <v>45500</v>
      </c>
      <c r="F180" s="16">
        <f t="shared" si="24"/>
        <v>0.4</v>
      </c>
      <c r="G180" s="16">
        <f t="shared" si="25"/>
        <v>1004.8014547344341</v>
      </c>
      <c r="H180" s="66">
        <v>295228</v>
      </c>
      <c r="I180" s="16">
        <f t="shared" si="26"/>
        <v>0.3</v>
      </c>
      <c r="J180" s="16">
        <f t="shared" si="27"/>
        <v>117.90220809095669</v>
      </c>
      <c r="K180" s="66">
        <v>238472</v>
      </c>
      <c r="L180" s="16">
        <f t="shared" si="28"/>
        <v>0.3</v>
      </c>
      <c r="M180" s="16">
        <f t="shared" si="29"/>
        <v>152.05070260033568</v>
      </c>
      <c r="N180" s="16">
        <v>0</v>
      </c>
      <c r="O180" s="16">
        <f t="shared" si="30"/>
        <v>0</v>
      </c>
      <c r="P180" s="16">
        <f t="shared" si="31"/>
        <v>0</v>
      </c>
      <c r="Q180" s="16">
        <v>0</v>
      </c>
      <c r="R180" s="16">
        <f t="shared" si="32"/>
        <v>0</v>
      </c>
      <c r="S180" s="16">
        <f t="shared" si="33"/>
        <v>0</v>
      </c>
    </row>
    <row r="181" spans="1:19" x14ac:dyDescent="0.3">
      <c r="A181" s="65">
        <v>20180919</v>
      </c>
      <c r="B181" s="65" t="s">
        <v>88</v>
      </c>
      <c r="C181" s="158">
        <f t="shared" si="34"/>
        <v>118076481.00709379</v>
      </c>
      <c r="D181" s="158">
        <f t="shared" si="35"/>
        <v>1.1047067982537491E-2</v>
      </c>
      <c r="E181" s="66">
        <v>46150</v>
      </c>
      <c r="F181" s="16">
        <f t="shared" si="24"/>
        <v>0.4</v>
      </c>
      <c r="G181" s="16">
        <f t="shared" si="25"/>
        <v>1004.8014547344341</v>
      </c>
      <c r="H181" s="66">
        <v>300631</v>
      </c>
      <c r="I181" s="16">
        <f t="shared" si="26"/>
        <v>0.3</v>
      </c>
      <c r="J181" s="16">
        <f t="shared" si="27"/>
        <v>117.90220809095669</v>
      </c>
      <c r="K181" s="66">
        <v>238472</v>
      </c>
      <c r="L181" s="16">
        <f t="shared" si="28"/>
        <v>0.3</v>
      </c>
      <c r="M181" s="16">
        <f t="shared" si="29"/>
        <v>152.05070260033568</v>
      </c>
      <c r="N181" s="16">
        <v>0</v>
      </c>
      <c r="O181" s="16">
        <f t="shared" si="30"/>
        <v>0</v>
      </c>
      <c r="P181" s="16">
        <f t="shared" si="31"/>
        <v>0</v>
      </c>
      <c r="Q181" s="16">
        <v>0</v>
      </c>
      <c r="R181" s="16">
        <f t="shared" si="32"/>
        <v>0</v>
      </c>
      <c r="S181" s="16">
        <f t="shared" si="33"/>
        <v>0</v>
      </c>
    </row>
    <row r="182" spans="1:19" x14ac:dyDescent="0.3">
      <c r="A182" s="65">
        <v>20180920</v>
      </c>
      <c r="B182" s="65" t="s">
        <v>88</v>
      </c>
      <c r="C182" s="158">
        <f t="shared" si="34"/>
        <v>118543919.53649899</v>
      </c>
      <c r="D182" s="158">
        <f t="shared" si="35"/>
        <v>3.9587776110733153E-3</v>
      </c>
      <c r="E182" s="66">
        <v>47250</v>
      </c>
      <c r="F182" s="16">
        <f t="shared" si="24"/>
        <v>0.4</v>
      </c>
      <c r="G182" s="16">
        <f t="shared" si="25"/>
        <v>1004.8014547344341</v>
      </c>
      <c r="H182" s="66">
        <v>291298</v>
      </c>
      <c r="I182" s="16">
        <f t="shared" si="26"/>
        <v>0.3</v>
      </c>
      <c r="J182" s="16">
        <f t="shared" si="27"/>
        <v>117.90220809095669</v>
      </c>
      <c r="K182" s="66">
        <v>241514</v>
      </c>
      <c r="L182" s="16">
        <f t="shared" si="28"/>
        <v>0.3</v>
      </c>
      <c r="M182" s="16">
        <f t="shared" si="29"/>
        <v>152.05070260033568</v>
      </c>
      <c r="N182" s="16">
        <v>0</v>
      </c>
      <c r="O182" s="16">
        <f t="shared" si="30"/>
        <v>0</v>
      </c>
      <c r="P182" s="16">
        <f t="shared" si="31"/>
        <v>0</v>
      </c>
      <c r="Q182" s="16">
        <v>0</v>
      </c>
      <c r="R182" s="16">
        <f t="shared" si="32"/>
        <v>0</v>
      </c>
      <c r="S182" s="16">
        <f t="shared" si="33"/>
        <v>0</v>
      </c>
    </row>
    <row r="183" spans="1:19" x14ac:dyDescent="0.3">
      <c r="A183" s="65">
        <v>20180921</v>
      </c>
      <c r="B183" s="65" t="s">
        <v>88</v>
      </c>
      <c r="C183" s="158">
        <f t="shared" si="34"/>
        <v>119225340.61038889</v>
      </c>
      <c r="D183" s="158">
        <f t="shared" si="35"/>
        <v>5.7482583379579464E-3</v>
      </c>
      <c r="E183" s="66">
        <v>47400</v>
      </c>
      <c r="F183" s="16">
        <f t="shared" si="24"/>
        <v>0.4</v>
      </c>
      <c r="G183" s="16">
        <f t="shared" si="25"/>
        <v>1004.8014547344341</v>
      </c>
      <c r="H183" s="66">
        <v>297192</v>
      </c>
      <c r="I183" s="16">
        <f t="shared" si="26"/>
        <v>0.3</v>
      </c>
      <c r="J183" s="16">
        <f t="shared" si="27"/>
        <v>117.90220809095669</v>
      </c>
      <c r="K183" s="66">
        <v>240434</v>
      </c>
      <c r="L183" s="16">
        <f t="shared" si="28"/>
        <v>0.3</v>
      </c>
      <c r="M183" s="16">
        <f t="shared" si="29"/>
        <v>152.05070260033568</v>
      </c>
      <c r="N183" s="16">
        <v>0</v>
      </c>
      <c r="O183" s="16">
        <f t="shared" si="30"/>
        <v>0</v>
      </c>
      <c r="P183" s="16">
        <f t="shared" si="31"/>
        <v>0</v>
      </c>
      <c r="Q183" s="16">
        <v>0</v>
      </c>
      <c r="R183" s="16">
        <f t="shared" si="32"/>
        <v>0</v>
      </c>
      <c r="S183" s="16">
        <f t="shared" si="33"/>
        <v>0</v>
      </c>
    </row>
    <row r="184" spans="1:19" x14ac:dyDescent="0.3">
      <c r="A184" s="65">
        <v>20180927</v>
      </c>
      <c r="B184" s="65" t="s">
        <v>88</v>
      </c>
      <c r="C184" s="158">
        <f t="shared" si="34"/>
        <v>119689345.93563133</v>
      </c>
      <c r="D184" s="158">
        <f t="shared" si="35"/>
        <v>3.8918347632048034E-3</v>
      </c>
      <c r="E184" s="66">
        <v>47500</v>
      </c>
      <c r="F184" s="16">
        <f t="shared" si="24"/>
        <v>0.4</v>
      </c>
      <c r="G184" s="16">
        <f t="shared" si="25"/>
        <v>1004.8014547344341</v>
      </c>
      <c r="H184" s="66">
        <v>295719</v>
      </c>
      <c r="I184" s="16">
        <f t="shared" si="26"/>
        <v>0.3</v>
      </c>
      <c r="J184" s="16">
        <f t="shared" si="27"/>
        <v>117.90220809095669</v>
      </c>
      <c r="K184" s="66">
        <v>243967</v>
      </c>
      <c r="L184" s="16">
        <f t="shared" si="28"/>
        <v>0.3</v>
      </c>
      <c r="M184" s="16">
        <f t="shared" si="29"/>
        <v>152.05070260033568</v>
      </c>
      <c r="N184" s="16">
        <v>0</v>
      </c>
      <c r="O184" s="16">
        <f t="shared" si="30"/>
        <v>0</v>
      </c>
      <c r="P184" s="16">
        <f t="shared" si="31"/>
        <v>0</v>
      </c>
      <c r="Q184" s="16">
        <v>0</v>
      </c>
      <c r="R184" s="16">
        <f t="shared" si="32"/>
        <v>0</v>
      </c>
      <c r="S184" s="16">
        <f t="shared" si="33"/>
        <v>0</v>
      </c>
    </row>
    <row r="185" spans="1:19" x14ac:dyDescent="0.3">
      <c r="A185" s="65">
        <v>20180928</v>
      </c>
      <c r="B185" s="65" t="s">
        <v>88</v>
      </c>
      <c r="C185" s="158">
        <f t="shared" si="34"/>
        <v>117007152.65265974</v>
      </c>
      <c r="D185" s="158">
        <f t="shared" si="35"/>
        <v>-2.2409624365514275E-2</v>
      </c>
      <c r="E185" s="66">
        <v>46450</v>
      </c>
      <c r="F185" s="16">
        <f t="shared" si="24"/>
        <v>0.4</v>
      </c>
      <c r="G185" s="16">
        <f t="shared" si="25"/>
        <v>1004.8014547344341</v>
      </c>
      <c r="H185" s="66">
        <v>291789</v>
      </c>
      <c r="I185" s="16">
        <f t="shared" si="26"/>
        <v>0.3</v>
      </c>
      <c r="J185" s="16">
        <f t="shared" si="27"/>
        <v>117.90220809095669</v>
      </c>
      <c r="K185" s="66">
        <v>236313</v>
      </c>
      <c r="L185" s="16">
        <f t="shared" si="28"/>
        <v>0.3</v>
      </c>
      <c r="M185" s="16">
        <f t="shared" si="29"/>
        <v>152.05070260033568</v>
      </c>
      <c r="N185" s="16">
        <v>0</v>
      </c>
      <c r="O185" s="16">
        <f t="shared" si="30"/>
        <v>0</v>
      </c>
      <c r="P185" s="16">
        <f t="shared" si="31"/>
        <v>0</v>
      </c>
      <c r="Q185" s="16">
        <v>0</v>
      </c>
      <c r="R185" s="16">
        <f t="shared" si="32"/>
        <v>0</v>
      </c>
      <c r="S185" s="16">
        <f t="shared" si="33"/>
        <v>0</v>
      </c>
    </row>
    <row r="186" spans="1:19" x14ac:dyDescent="0.3">
      <c r="A186" s="65">
        <v>20181001</v>
      </c>
      <c r="B186" s="65" t="s">
        <v>88</v>
      </c>
      <c r="C186" s="158">
        <f t="shared" si="34"/>
        <v>116506500.53800413</v>
      </c>
      <c r="D186" s="158">
        <f t="shared" si="35"/>
        <v>-4.2788163228090767E-3</v>
      </c>
      <c r="E186" s="66">
        <v>46350</v>
      </c>
      <c r="F186" s="16">
        <f t="shared" si="24"/>
        <v>0.4</v>
      </c>
      <c r="G186" s="16">
        <f t="shared" si="25"/>
        <v>1004.8014547344341</v>
      </c>
      <c r="H186" s="66">
        <v>286877</v>
      </c>
      <c r="I186" s="16">
        <f t="shared" si="26"/>
        <v>0.3</v>
      </c>
      <c r="J186" s="16">
        <f t="shared" si="27"/>
        <v>117.90220809095669</v>
      </c>
      <c r="K186" s="66">
        <v>237490</v>
      </c>
      <c r="L186" s="16">
        <f t="shared" si="28"/>
        <v>0.3</v>
      </c>
      <c r="M186" s="16">
        <f t="shared" si="29"/>
        <v>152.05070260033568</v>
      </c>
      <c r="N186" s="16">
        <v>0</v>
      </c>
      <c r="O186" s="16">
        <f t="shared" si="30"/>
        <v>0</v>
      </c>
      <c r="P186" s="16">
        <f t="shared" si="31"/>
        <v>0</v>
      </c>
      <c r="Q186" s="16">
        <v>0</v>
      </c>
      <c r="R186" s="16">
        <f t="shared" si="32"/>
        <v>0</v>
      </c>
      <c r="S186" s="16">
        <f t="shared" si="33"/>
        <v>0</v>
      </c>
    </row>
    <row r="187" spans="1:19" x14ac:dyDescent="0.3">
      <c r="A187" s="65">
        <v>20181002</v>
      </c>
      <c r="B187" s="65" t="s">
        <v>88</v>
      </c>
      <c r="C187" s="158">
        <f t="shared" si="34"/>
        <v>114403477.62264025</v>
      </c>
      <c r="D187" s="158">
        <f t="shared" si="35"/>
        <v>-1.8050691640831468E-2</v>
      </c>
      <c r="E187" s="66">
        <v>45700</v>
      </c>
      <c r="F187" s="16">
        <f t="shared" si="24"/>
        <v>0.4</v>
      </c>
      <c r="G187" s="16">
        <f t="shared" si="25"/>
        <v>1004.8014547344341</v>
      </c>
      <c r="H187" s="66">
        <v>283438</v>
      </c>
      <c r="I187" s="16">
        <f t="shared" si="26"/>
        <v>0.3</v>
      </c>
      <c r="J187" s="16">
        <f t="shared" si="27"/>
        <v>117.90220809095669</v>
      </c>
      <c r="K187" s="66">
        <v>230621</v>
      </c>
      <c r="L187" s="16">
        <f t="shared" si="28"/>
        <v>0.3</v>
      </c>
      <c r="M187" s="16">
        <f t="shared" si="29"/>
        <v>152.05070260033568</v>
      </c>
      <c r="N187" s="16">
        <v>0</v>
      </c>
      <c r="O187" s="16">
        <f t="shared" si="30"/>
        <v>0</v>
      </c>
      <c r="P187" s="16">
        <f t="shared" si="31"/>
        <v>0</v>
      </c>
      <c r="Q187" s="16">
        <v>0</v>
      </c>
      <c r="R187" s="16">
        <f t="shared" si="32"/>
        <v>0</v>
      </c>
      <c r="S187" s="16">
        <f t="shared" si="33"/>
        <v>0</v>
      </c>
    </row>
    <row r="188" spans="1:19" x14ac:dyDescent="0.3">
      <c r="A188" s="65">
        <v>20181004</v>
      </c>
      <c r="B188" s="65" t="s">
        <v>88</v>
      </c>
      <c r="C188" s="158">
        <f t="shared" si="34"/>
        <v>113137861.78108203</v>
      </c>
      <c r="D188" s="158">
        <f t="shared" si="35"/>
        <v>-1.1062739244106289E-2</v>
      </c>
      <c r="E188" s="66">
        <v>44700</v>
      </c>
      <c r="F188" s="16">
        <f t="shared" si="24"/>
        <v>0.4</v>
      </c>
      <c r="G188" s="16">
        <f t="shared" si="25"/>
        <v>1004.8014547344341</v>
      </c>
      <c r="H188" s="66">
        <v>285403</v>
      </c>
      <c r="I188" s="16">
        <f t="shared" si="26"/>
        <v>0.3</v>
      </c>
      <c r="J188" s="16">
        <f t="shared" si="27"/>
        <v>117.90220809095669</v>
      </c>
      <c r="K188" s="66">
        <v>227382</v>
      </c>
      <c r="L188" s="16">
        <f t="shared" si="28"/>
        <v>0.3</v>
      </c>
      <c r="M188" s="16">
        <f t="shared" si="29"/>
        <v>152.05070260033568</v>
      </c>
      <c r="N188" s="16">
        <v>0</v>
      </c>
      <c r="O188" s="16">
        <f t="shared" si="30"/>
        <v>0</v>
      </c>
      <c r="P188" s="16">
        <f t="shared" si="31"/>
        <v>0</v>
      </c>
      <c r="Q188" s="16">
        <v>0</v>
      </c>
      <c r="R188" s="16">
        <f t="shared" si="32"/>
        <v>0</v>
      </c>
      <c r="S188" s="16">
        <f t="shared" si="33"/>
        <v>0</v>
      </c>
    </row>
    <row r="189" spans="1:19" x14ac:dyDescent="0.3">
      <c r="A189" s="65">
        <v>20181005</v>
      </c>
      <c r="B189" s="65" t="s">
        <v>88</v>
      </c>
      <c r="C189" s="158">
        <f t="shared" si="34"/>
        <v>111337587.56064017</v>
      </c>
      <c r="D189" s="158">
        <f t="shared" si="35"/>
        <v>-1.5912217113713295E-2</v>
      </c>
      <c r="E189" s="66">
        <v>44700</v>
      </c>
      <c r="F189" s="16">
        <f t="shared" si="24"/>
        <v>0.4</v>
      </c>
      <c r="G189" s="16">
        <f t="shared" si="25"/>
        <v>1004.8014547344341</v>
      </c>
      <c r="H189" s="66">
        <v>283929</v>
      </c>
      <c r="I189" s="16">
        <f t="shared" si="26"/>
        <v>0.3</v>
      </c>
      <c r="J189" s="16">
        <f t="shared" si="27"/>
        <v>117.90220809095669</v>
      </c>
      <c r="K189" s="66">
        <v>216685</v>
      </c>
      <c r="L189" s="16">
        <f t="shared" si="28"/>
        <v>0.3</v>
      </c>
      <c r="M189" s="16">
        <f t="shared" si="29"/>
        <v>152.05070260033568</v>
      </c>
      <c r="N189" s="16">
        <v>0</v>
      </c>
      <c r="O189" s="16">
        <f t="shared" si="30"/>
        <v>0</v>
      </c>
      <c r="P189" s="16">
        <f t="shared" si="31"/>
        <v>0</v>
      </c>
      <c r="Q189" s="16">
        <v>0</v>
      </c>
      <c r="R189" s="16">
        <f t="shared" si="32"/>
        <v>0</v>
      </c>
      <c r="S189" s="16">
        <f t="shared" si="33"/>
        <v>0</v>
      </c>
    </row>
    <row r="190" spans="1:19" x14ac:dyDescent="0.3">
      <c r="A190" s="65">
        <v>20181008</v>
      </c>
      <c r="B190" s="65" t="s">
        <v>88</v>
      </c>
      <c r="C190" s="158">
        <f t="shared" si="34"/>
        <v>111212345.61985731</v>
      </c>
      <c r="D190" s="158">
        <f t="shared" si="35"/>
        <v>-1.1248846281553095E-3</v>
      </c>
      <c r="E190" s="66">
        <v>44950</v>
      </c>
      <c r="F190" s="16">
        <f t="shared" si="24"/>
        <v>0.4</v>
      </c>
      <c r="G190" s="16">
        <f t="shared" si="25"/>
        <v>1004.8014547344341</v>
      </c>
      <c r="H190" s="66">
        <v>284912</v>
      </c>
      <c r="I190" s="16">
        <f t="shared" si="26"/>
        <v>0.3</v>
      </c>
      <c r="J190" s="16">
        <f t="shared" si="27"/>
        <v>117.90220809095669</v>
      </c>
      <c r="K190" s="66">
        <v>213447</v>
      </c>
      <c r="L190" s="16">
        <f t="shared" si="28"/>
        <v>0.3</v>
      </c>
      <c r="M190" s="16">
        <f t="shared" si="29"/>
        <v>152.05070260033568</v>
      </c>
      <c r="N190" s="16">
        <v>0</v>
      </c>
      <c r="O190" s="16">
        <f t="shared" si="30"/>
        <v>0</v>
      </c>
      <c r="P190" s="16">
        <f t="shared" si="31"/>
        <v>0</v>
      </c>
      <c r="Q190" s="16">
        <v>0</v>
      </c>
      <c r="R190" s="16">
        <f t="shared" si="32"/>
        <v>0</v>
      </c>
      <c r="S190" s="16">
        <f t="shared" si="33"/>
        <v>0</v>
      </c>
    </row>
    <row r="191" spans="1:19" x14ac:dyDescent="0.3">
      <c r="A191" s="65">
        <v>20181010</v>
      </c>
      <c r="B191" s="65" t="s">
        <v>88</v>
      </c>
      <c r="C191" s="158">
        <f t="shared" si="34"/>
        <v>111456883.91389143</v>
      </c>
      <c r="D191" s="158">
        <f t="shared" si="35"/>
        <v>2.1988412587753236E-3</v>
      </c>
      <c r="E191" s="66">
        <v>45300</v>
      </c>
      <c r="F191" s="16">
        <f t="shared" ref="F191:F247" si="36">$F$125</f>
        <v>0.4</v>
      </c>
      <c r="G191" s="16">
        <f t="shared" ref="G191:G247" si="37">$G$125</f>
        <v>1004.8014547344341</v>
      </c>
      <c r="H191" s="66">
        <v>281473</v>
      </c>
      <c r="I191" s="16">
        <f t="shared" ref="I191:I247" si="38">$I$125</f>
        <v>0.3</v>
      </c>
      <c r="J191" s="16">
        <f t="shared" ref="J191:J247" si="39">$J$125</f>
        <v>117.90220809095669</v>
      </c>
      <c r="K191" s="66">
        <v>215409</v>
      </c>
      <c r="L191" s="16">
        <f t="shared" ref="L191:L247" si="40">$L$125</f>
        <v>0.3</v>
      </c>
      <c r="M191" s="16">
        <f t="shared" ref="M191:M247" si="41">$M$125</f>
        <v>152.05070260033568</v>
      </c>
      <c r="N191" s="16">
        <v>0</v>
      </c>
      <c r="O191" s="16">
        <f t="shared" ref="O191:O247" si="42">$O$125</f>
        <v>0</v>
      </c>
      <c r="P191" s="16">
        <f t="shared" ref="P191:P247" si="43">$P$125</f>
        <v>0</v>
      </c>
      <c r="Q191" s="16">
        <v>0</v>
      </c>
      <c r="R191" s="16">
        <f t="shared" ref="R191:R247" si="44">$R$125</f>
        <v>0</v>
      </c>
      <c r="S191" s="16">
        <f t="shared" ref="S191:S247" si="45">$S$125</f>
        <v>0</v>
      </c>
    </row>
    <row r="192" spans="1:19" x14ac:dyDescent="0.3">
      <c r="A192" s="65">
        <v>20181011</v>
      </c>
      <c r="B192" s="65" t="s">
        <v>88</v>
      </c>
      <c r="C192" s="158">
        <f t="shared" si="34"/>
        <v>106255441.93130466</v>
      </c>
      <c r="D192" s="158">
        <f t="shared" si="35"/>
        <v>-4.6667749895154653E-2</v>
      </c>
      <c r="E192" s="66">
        <v>43100</v>
      </c>
      <c r="F192" s="16">
        <f t="shared" si="36"/>
        <v>0.4</v>
      </c>
      <c r="G192" s="16">
        <f t="shared" si="37"/>
        <v>1004.8014547344341</v>
      </c>
      <c r="H192" s="66">
        <v>266736</v>
      </c>
      <c r="I192" s="16">
        <f t="shared" si="38"/>
        <v>0.3</v>
      </c>
      <c r="J192" s="16">
        <f t="shared" si="39"/>
        <v>117.90220809095669</v>
      </c>
      <c r="K192" s="66">
        <v>207166</v>
      </c>
      <c r="L192" s="16">
        <f t="shared" si="40"/>
        <v>0.3</v>
      </c>
      <c r="M192" s="16">
        <f t="shared" si="41"/>
        <v>152.05070260033568</v>
      </c>
      <c r="N192" s="16">
        <v>0</v>
      </c>
      <c r="O192" s="16">
        <f t="shared" si="42"/>
        <v>0</v>
      </c>
      <c r="P192" s="16">
        <f t="shared" si="43"/>
        <v>0</v>
      </c>
      <c r="Q192" s="16">
        <v>0</v>
      </c>
      <c r="R192" s="16">
        <f t="shared" si="44"/>
        <v>0</v>
      </c>
      <c r="S192" s="16">
        <f t="shared" si="45"/>
        <v>0</v>
      </c>
    </row>
    <row r="193" spans="1:19" x14ac:dyDescent="0.3">
      <c r="A193" s="65">
        <v>20181012</v>
      </c>
      <c r="B193" s="65" t="s">
        <v>88</v>
      </c>
      <c r="C193" s="158">
        <f t="shared" si="34"/>
        <v>109163627.25344326</v>
      </c>
      <c r="D193" s="158">
        <f t="shared" si="35"/>
        <v>2.7369754144157314E-2</v>
      </c>
      <c r="E193" s="66">
        <v>44000</v>
      </c>
      <c r="F193" s="16">
        <f t="shared" si="36"/>
        <v>0.4</v>
      </c>
      <c r="G193" s="16">
        <f t="shared" si="37"/>
        <v>1004.8014547344341</v>
      </c>
      <c r="H193" s="66">
        <v>269684</v>
      </c>
      <c r="I193" s="16">
        <f t="shared" si="38"/>
        <v>0.3</v>
      </c>
      <c r="J193" s="16">
        <f t="shared" si="39"/>
        <v>117.90220809095669</v>
      </c>
      <c r="K193" s="66">
        <v>218059</v>
      </c>
      <c r="L193" s="16">
        <f t="shared" si="40"/>
        <v>0.3</v>
      </c>
      <c r="M193" s="16">
        <f t="shared" si="41"/>
        <v>152.05070260033568</v>
      </c>
      <c r="N193" s="16">
        <v>0</v>
      </c>
      <c r="O193" s="16">
        <f t="shared" si="42"/>
        <v>0</v>
      </c>
      <c r="P193" s="16">
        <f t="shared" si="43"/>
        <v>0</v>
      </c>
      <c r="Q193" s="16">
        <v>0</v>
      </c>
      <c r="R193" s="16">
        <f t="shared" si="44"/>
        <v>0</v>
      </c>
      <c r="S193" s="16">
        <f t="shared" si="45"/>
        <v>0</v>
      </c>
    </row>
    <row r="194" spans="1:19" x14ac:dyDescent="0.3">
      <c r="A194" s="65">
        <v>20181015</v>
      </c>
      <c r="B194" s="65" t="s">
        <v>88</v>
      </c>
      <c r="C194" s="158">
        <f t="shared" si="34"/>
        <v>105636316.89852485</v>
      </c>
      <c r="D194" s="158">
        <f t="shared" si="35"/>
        <v>-3.2312139525458528E-2</v>
      </c>
      <c r="E194" s="66">
        <v>43800</v>
      </c>
      <c r="F194" s="16">
        <f t="shared" si="36"/>
        <v>0.4</v>
      </c>
      <c r="G194" s="16">
        <f t="shared" si="37"/>
        <v>1004.8014547344341</v>
      </c>
      <c r="H194" s="66">
        <v>256912</v>
      </c>
      <c r="I194" s="16">
        <f t="shared" si="38"/>
        <v>0.3</v>
      </c>
      <c r="J194" s="16">
        <f t="shared" si="39"/>
        <v>117.90220809095669</v>
      </c>
      <c r="K194" s="66">
        <v>206086</v>
      </c>
      <c r="L194" s="16">
        <f t="shared" si="40"/>
        <v>0.3</v>
      </c>
      <c r="M194" s="16">
        <f t="shared" si="41"/>
        <v>152.05070260033568</v>
      </c>
      <c r="N194" s="16">
        <v>0</v>
      </c>
      <c r="O194" s="16">
        <f t="shared" si="42"/>
        <v>0</v>
      </c>
      <c r="P194" s="16">
        <f t="shared" si="43"/>
        <v>0</v>
      </c>
      <c r="Q194" s="16">
        <v>0</v>
      </c>
      <c r="R194" s="16">
        <f t="shared" si="44"/>
        <v>0</v>
      </c>
      <c r="S194" s="16">
        <f t="shared" si="45"/>
        <v>0</v>
      </c>
    </row>
    <row r="195" spans="1:19" x14ac:dyDescent="0.3">
      <c r="A195" s="65">
        <v>20181016</v>
      </c>
      <c r="B195" s="65" t="s">
        <v>88</v>
      </c>
      <c r="C195" s="158">
        <f t="shared" si="34"/>
        <v>106388673.179364</v>
      </c>
      <c r="D195" s="158">
        <f t="shared" si="35"/>
        <v>7.1221366186201389E-3</v>
      </c>
      <c r="E195" s="66">
        <v>43600</v>
      </c>
      <c r="F195" s="16">
        <f t="shared" si="36"/>
        <v>0.4</v>
      </c>
      <c r="G195" s="16">
        <f t="shared" si="37"/>
        <v>1004.8014547344341</v>
      </c>
      <c r="H195" s="66">
        <v>257403</v>
      </c>
      <c r="I195" s="16">
        <f t="shared" si="38"/>
        <v>0.3</v>
      </c>
      <c r="J195" s="16">
        <f t="shared" si="39"/>
        <v>117.90220809095669</v>
      </c>
      <c r="K195" s="66">
        <v>211975</v>
      </c>
      <c r="L195" s="16">
        <f t="shared" si="40"/>
        <v>0.3</v>
      </c>
      <c r="M195" s="16">
        <f t="shared" si="41"/>
        <v>152.05070260033568</v>
      </c>
      <c r="N195" s="16">
        <v>0</v>
      </c>
      <c r="O195" s="16">
        <f t="shared" si="42"/>
        <v>0</v>
      </c>
      <c r="P195" s="16">
        <f t="shared" si="43"/>
        <v>0</v>
      </c>
      <c r="Q195" s="16">
        <v>0</v>
      </c>
      <c r="R195" s="16">
        <f t="shared" si="44"/>
        <v>0</v>
      </c>
      <c r="S195" s="16">
        <f t="shared" si="45"/>
        <v>0</v>
      </c>
    </row>
    <row r="196" spans="1:19" x14ac:dyDescent="0.3">
      <c r="A196" s="65">
        <v>20181017</v>
      </c>
      <c r="B196" s="65" t="s">
        <v>88</v>
      </c>
      <c r="C196" s="158">
        <f t="shared" si="34"/>
        <v>107570598.30732045</v>
      </c>
      <c r="D196" s="158">
        <f t="shared" si="35"/>
        <v>1.1109501534658726E-2</v>
      </c>
      <c r="E196" s="66">
        <v>44150</v>
      </c>
      <c r="F196" s="16">
        <f t="shared" si="36"/>
        <v>0.4</v>
      </c>
      <c r="G196" s="16">
        <f t="shared" si="37"/>
        <v>1004.8014547344341</v>
      </c>
      <c r="H196" s="66">
        <v>260842</v>
      </c>
      <c r="I196" s="16">
        <f t="shared" si="38"/>
        <v>0.3</v>
      </c>
      <c r="J196" s="16">
        <f t="shared" si="39"/>
        <v>117.90220809095669</v>
      </c>
      <c r="K196" s="66">
        <v>213447</v>
      </c>
      <c r="L196" s="16">
        <f t="shared" si="40"/>
        <v>0.3</v>
      </c>
      <c r="M196" s="16">
        <f t="shared" si="41"/>
        <v>152.05070260033568</v>
      </c>
      <c r="N196" s="16">
        <v>0</v>
      </c>
      <c r="O196" s="16">
        <f t="shared" si="42"/>
        <v>0</v>
      </c>
      <c r="P196" s="16">
        <f t="shared" si="43"/>
        <v>0</v>
      </c>
      <c r="Q196" s="16">
        <v>0</v>
      </c>
      <c r="R196" s="16">
        <f t="shared" si="44"/>
        <v>0</v>
      </c>
      <c r="S196" s="16">
        <f t="shared" si="45"/>
        <v>0</v>
      </c>
    </row>
    <row r="197" spans="1:19" x14ac:dyDescent="0.3">
      <c r="A197" s="65">
        <v>20181018</v>
      </c>
      <c r="B197" s="65" t="s">
        <v>88</v>
      </c>
      <c r="C197" s="158">
        <f t="shared" ref="C197:C260" si="46">E197*G197+H197*J197+K197*M197+N197*P197+Q197*S197</f>
        <v>106323867.54349947</v>
      </c>
      <c r="D197" s="158">
        <f t="shared" si="35"/>
        <v>-1.158988407091655E-2</v>
      </c>
      <c r="E197" s="66">
        <v>44050</v>
      </c>
      <c r="F197" s="16">
        <f t="shared" si="36"/>
        <v>0.4</v>
      </c>
      <c r="G197" s="16">
        <f t="shared" si="37"/>
        <v>1004.8014547344341</v>
      </c>
      <c r="H197" s="66">
        <v>255929</v>
      </c>
      <c r="I197" s="16">
        <f t="shared" si="38"/>
        <v>0.3</v>
      </c>
      <c r="J197" s="16">
        <f t="shared" si="39"/>
        <v>117.90220809095669</v>
      </c>
      <c r="K197" s="66">
        <v>209718</v>
      </c>
      <c r="L197" s="16">
        <f t="shared" si="40"/>
        <v>0.3</v>
      </c>
      <c r="M197" s="16">
        <f t="shared" si="41"/>
        <v>152.05070260033568</v>
      </c>
      <c r="N197" s="16">
        <v>0</v>
      </c>
      <c r="O197" s="16">
        <f t="shared" si="42"/>
        <v>0</v>
      </c>
      <c r="P197" s="16">
        <f t="shared" si="43"/>
        <v>0</v>
      </c>
      <c r="Q197" s="16">
        <v>0</v>
      </c>
      <c r="R197" s="16">
        <f t="shared" si="44"/>
        <v>0</v>
      </c>
      <c r="S197" s="16">
        <f t="shared" si="45"/>
        <v>0</v>
      </c>
    </row>
    <row r="198" spans="1:19" x14ac:dyDescent="0.3">
      <c r="A198" s="65">
        <v>20181019</v>
      </c>
      <c r="B198" s="65" t="s">
        <v>88</v>
      </c>
      <c r="C198" s="158">
        <f t="shared" si="46"/>
        <v>109187834.7824482</v>
      </c>
      <c r="D198" s="158">
        <f t="shared" ref="D198:D261" si="47">(C198-C197)/C197</f>
        <v>2.6936259046229857E-2</v>
      </c>
      <c r="E198" s="66">
        <v>43900</v>
      </c>
      <c r="F198" s="16">
        <f t="shared" si="36"/>
        <v>0.4</v>
      </c>
      <c r="G198" s="16">
        <f t="shared" si="37"/>
        <v>1004.8014547344341</v>
      </c>
      <c r="H198" s="66">
        <v>268210</v>
      </c>
      <c r="I198" s="16">
        <f t="shared" si="38"/>
        <v>0.3</v>
      </c>
      <c r="J198" s="16">
        <f t="shared" si="39"/>
        <v>117.90220809095669</v>
      </c>
      <c r="K198" s="66">
        <v>220022</v>
      </c>
      <c r="L198" s="16">
        <f t="shared" si="40"/>
        <v>0.3</v>
      </c>
      <c r="M198" s="16">
        <f t="shared" si="41"/>
        <v>152.05070260033568</v>
      </c>
      <c r="N198" s="16">
        <v>0</v>
      </c>
      <c r="O198" s="16">
        <f t="shared" si="42"/>
        <v>0</v>
      </c>
      <c r="P198" s="16">
        <f t="shared" si="43"/>
        <v>0</v>
      </c>
      <c r="Q198" s="16">
        <v>0</v>
      </c>
      <c r="R198" s="16">
        <f t="shared" si="44"/>
        <v>0</v>
      </c>
      <c r="S198" s="16">
        <f t="shared" si="45"/>
        <v>0</v>
      </c>
    </row>
    <row r="199" spans="1:19" x14ac:dyDescent="0.3">
      <c r="A199" s="65">
        <v>20181022</v>
      </c>
      <c r="B199" s="65" t="s">
        <v>88</v>
      </c>
      <c r="C199" s="158">
        <f t="shared" si="46"/>
        <v>108359611.51788554</v>
      </c>
      <c r="D199" s="158">
        <f t="shared" si="47"/>
        <v>-7.5853071563591638E-3</v>
      </c>
      <c r="E199" s="66">
        <v>43550</v>
      </c>
      <c r="F199" s="16">
        <f t="shared" si="36"/>
        <v>0.4</v>
      </c>
      <c r="G199" s="16">
        <f t="shared" si="37"/>
        <v>1004.8014547344341</v>
      </c>
      <c r="H199" s="66">
        <v>263789</v>
      </c>
      <c r="I199" s="16">
        <f t="shared" si="38"/>
        <v>0.3</v>
      </c>
      <c r="J199" s="16">
        <f t="shared" si="39"/>
        <v>117.90220809095669</v>
      </c>
      <c r="K199" s="66">
        <v>220316</v>
      </c>
      <c r="L199" s="16">
        <f t="shared" si="40"/>
        <v>0.3</v>
      </c>
      <c r="M199" s="16">
        <f t="shared" si="41"/>
        <v>152.05070260033568</v>
      </c>
      <c r="N199" s="16">
        <v>0</v>
      </c>
      <c r="O199" s="16">
        <f t="shared" si="42"/>
        <v>0</v>
      </c>
      <c r="P199" s="16">
        <f t="shared" si="43"/>
        <v>0</v>
      </c>
      <c r="Q199" s="16">
        <v>0</v>
      </c>
      <c r="R199" s="16">
        <f t="shared" si="44"/>
        <v>0</v>
      </c>
      <c r="S199" s="16">
        <f t="shared" si="45"/>
        <v>0</v>
      </c>
    </row>
    <row r="200" spans="1:19" x14ac:dyDescent="0.3">
      <c r="A200" s="65">
        <v>20181023</v>
      </c>
      <c r="B200" s="65" t="s">
        <v>88</v>
      </c>
      <c r="C200" s="158">
        <f t="shared" si="46"/>
        <v>104025716.58559614</v>
      </c>
      <c r="D200" s="158">
        <f t="shared" si="47"/>
        <v>-3.9995482371898788E-2</v>
      </c>
      <c r="E200" s="66">
        <v>43050</v>
      </c>
      <c r="F200" s="16">
        <f t="shared" si="36"/>
        <v>0.4</v>
      </c>
      <c r="G200" s="16">
        <f t="shared" si="37"/>
        <v>1004.8014547344341</v>
      </c>
      <c r="H200" s="66">
        <v>242175</v>
      </c>
      <c r="I200" s="16">
        <f t="shared" si="38"/>
        <v>0.3</v>
      </c>
      <c r="J200" s="16">
        <f t="shared" si="39"/>
        <v>117.90220809095669</v>
      </c>
      <c r="K200" s="66">
        <v>211877</v>
      </c>
      <c r="L200" s="16">
        <f t="shared" si="40"/>
        <v>0.3</v>
      </c>
      <c r="M200" s="16">
        <f t="shared" si="41"/>
        <v>152.05070260033568</v>
      </c>
      <c r="N200" s="16">
        <v>0</v>
      </c>
      <c r="O200" s="16">
        <f t="shared" si="42"/>
        <v>0</v>
      </c>
      <c r="P200" s="16">
        <f t="shared" si="43"/>
        <v>0</v>
      </c>
      <c r="Q200" s="16">
        <v>0</v>
      </c>
      <c r="R200" s="16">
        <f t="shared" si="44"/>
        <v>0</v>
      </c>
      <c r="S200" s="16">
        <f t="shared" si="45"/>
        <v>0</v>
      </c>
    </row>
    <row r="201" spans="1:19" x14ac:dyDescent="0.3">
      <c r="A201" s="65">
        <v>20181024</v>
      </c>
      <c r="B201" s="65" t="s">
        <v>88</v>
      </c>
      <c r="C201" s="158">
        <f t="shared" si="46"/>
        <v>101210117.30243757</v>
      </c>
      <c r="D201" s="158">
        <f t="shared" si="47"/>
        <v>-2.706637719569846E-2</v>
      </c>
      <c r="E201" s="66">
        <v>42550</v>
      </c>
      <c r="F201" s="16">
        <f t="shared" si="36"/>
        <v>0.4</v>
      </c>
      <c r="G201" s="16">
        <f t="shared" si="37"/>
        <v>1004.8014547344341</v>
      </c>
      <c r="H201" s="66">
        <v>221543</v>
      </c>
      <c r="I201" s="16">
        <f t="shared" si="38"/>
        <v>0.3</v>
      </c>
      <c r="J201" s="16">
        <f t="shared" si="39"/>
        <v>117.90220809095669</v>
      </c>
      <c r="K201" s="66">
        <v>212662</v>
      </c>
      <c r="L201" s="16">
        <f t="shared" si="40"/>
        <v>0.3</v>
      </c>
      <c r="M201" s="16">
        <f t="shared" si="41"/>
        <v>152.05070260033568</v>
      </c>
      <c r="N201" s="16">
        <v>0</v>
      </c>
      <c r="O201" s="16">
        <f t="shared" si="42"/>
        <v>0</v>
      </c>
      <c r="P201" s="16">
        <f t="shared" si="43"/>
        <v>0</v>
      </c>
      <c r="Q201" s="16">
        <v>0</v>
      </c>
      <c r="R201" s="16">
        <f t="shared" si="44"/>
        <v>0</v>
      </c>
      <c r="S201" s="16">
        <f t="shared" si="45"/>
        <v>0</v>
      </c>
    </row>
    <row r="202" spans="1:19" x14ac:dyDescent="0.3">
      <c r="A202" s="65">
        <v>20181025</v>
      </c>
      <c r="B202" s="65" t="s">
        <v>88</v>
      </c>
      <c r="C202" s="158">
        <f t="shared" si="46"/>
        <v>98882522.513976663</v>
      </c>
      <c r="D202" s="158">
        <f t="shared" si="47"/>
        <v>-2.299764935066281E-2</v>
      </c>
      <c r="E202" s="66">
        <v>41000</v>
      </c>
      <c r="F202" s="16">
        <f t="shared" si="36"/>
        <v>0.4</v>
      </c>
      <c r="G202" s="16">
        <f t="shared" si="37"/>
        <v>1004.8014547344341</v>
      </c>
      <c r="H202" s="66">
        <v>232350</v>
      </c>
      <c r="I202" s="16">
        <f t="shared" si="38"/>
        <v>0.3</v>
      </c>
      <c r="J202" s="16">
        <f t="shared" si="39"/>
        <v>117.90220809095669</v>
      </c>
      <c r="K202" s="66">
        <v>199217</v>
      </c>
      <c r="L202" s="16">
        <f t="shared" si="40"/>
        <v>0.3</v>
      </c>
      <c r="M202" s="16">
        <f t="shared" si="41"/>
        <v>152.05070260033568</v>
      </c>
      <c r="N202" s="16">
        <v>0</v>
      </c>
      <c r="O202" s="16">
        <f t="shared" si="42"/>
        <v>0</v>
      </c>
      <c r="P202" s="16">
        <f t="shared" si="43"/>
        <v>0</v>
      </c>
      <c r="Q202" s="16">
        <v>0</v>
      </c>
      <c r="R202" s="16">
        <f t="shared" si="44"/>
        <v>0</v>
      </c>
      <c r="S202" s="16">
        <f t="shared" si="45"/>
        <v>0</v>
      </c>
    </row>
    <row r="203" spans="1:19" x14ac:dyDescent="0.3">
      <c r="A203" s="65">
        <v>20181026</v>
      </c>
      <c r="B203" s="65" t="s">
        <v>88</v>
      </c>
      <c r="C203" s="158">
        <f t="shared" si="46"/>
        <v>96689388.041447088</v>
      </c>
      <c r="D203" s="158">
        <f t="shared" si="47"/>
        <v>-2.2179192204765854E-2</v>
      </c>
      <c r="E203" s="66">
        <v>41000</v>
      </c>
      <c r="F203" s="16">
        <f t="shared" si="36"/>
        <v>0.4</v>
      </c>
      <c r="G203" s="16">
        <f t="shared" si="37"/>
        <v>1004.8014547344341</v>
      </c>
      <c r="H203" s="66">
        <v>224000</v>
      </c>
      <c r="I203" s="16">
        <f t="shared" si="38"/>
        <v>0.3</v>
      </c>
      <c r="J203" s="16">
        <f t="shared" si="39"/>
        <v>117.90220809095669</v>
      </c>
      <c r="K203" s="66">
        <v>191268</v>
      </c>
      <c r="L203" s="16">
        <f t="shared" si="40"/>
        <v>0.3</v>
      </c>
      <c r="M203" s="16">
        <f t="shared" si="41"/>
        <v>152.05070260033568</v>
      </c>
      <c r="N203" s="16">
        <v>0</v>
      </c>
      <c r="O203" s="16">
        <f t="shared" si="42"/>
        <v>0</v>
      </c>
      <c r="P203" s="16">
        <f t="shared" si="43"/>
        <v>0</v>
      </c>
      <c r="Q203" s="16">
        <v>0</v>
      </c>
      <c r="R203" s="16">
        <f t="shared" si="44"/>
        <v>0</v>
      </c>
      <c r="S203" s="16">
        <f t="shared" si="45"/>
        <v>0</v>
      </c>
    </row>
    <row r="204" spans="1:19" x14ac:dyDescent="0.3">
      <c r="A204" s="65">
        <v>20181029</v>
      </c>
      <c r="B204" s="65" t="s">
        <v>88</v>
      </c>
      <c r="C204" s="158">
        <f t="shared" si="46"/>
        <v>93978155.596217304</v>
      </c>
      <c r="D204" s="158">
        <f t="shared" si="47"/>
        <v>-2.8040641275623553E-2</v>
      </c>
      <c r="E204" s="66">
        <v>41400</v>
      </c>
      <c r="F204" s="16">
        <f t="shared" si="36"/>
        <v>0.4</v>
      </c>
      <c r="G204" s="16">
        <f t="shared" si="37"/>
        <v>1004.8014547344341</v>
      </c>
      <c r="H204" s="66">
        <v>214175</v>
      </c>
      <c r="I204" s="16">
        <f t="shared" si="38"/>
        <v>0.3</v>
      </c>
      <c r="J204" s="16">
        <f t="shared" si="39"/>
        <v>117.90220809095669</v>
      </c>
      <c r="K204" s="66">
        <v>178412</v>
      </c>
      <c r="L204" s="16">
        <f t="shared" si="40"/>
        <v>0.3</v>
      </c>
      <c r="M204" s="16">
        <f t="shared" si="41"/>
        <v>152.05070260033568</v>
      </c>
      <c r="N204" s="16">
        <v>0</v>
      </c>
      <c r="O204" s="16">
        <f t="shared" si="42"/>
        <v>0</v>
      </c>
      <c r="P204" s="16">
        <f t="shared" si="43"/>
        <v>0</v>
      </c>
      <c r="Q204" s="16">
        <v>0</v>
      </c>
      <c r="R204" s="16">
        <f t="shared" si="44"/>
        <v>0</v>
      </c>
      <c r="S204" s="16">
        <f t="shared" si="45"/>
        <v>0</v>
      </c>
    </row>
    <row r="205" spans="1:19" x14ac:dyDescent="0.3">
      <c r="A205" s="65">
        <v>20181030</v>
      </c>
      <c r="B205" s="65" t="s">
        <v>88</v>
      </c>
      <c r="C205" s="158">
        <f t="shared" si="46"/>
        <v>97099629.34623085</v>
      </c>
      <c r="D205" s="158">
        <f t="shared" si="47"/>
        <v>3.3214886270221573E-2</v>
      </c>
      <c r="E205" s="66">
        <v>42350</v>
      </c>
      <c r="F205" s="16">
        <f t="shared" si="36"/>
        <v>0.4</v>
      </c>
      <c r="G205" s="16">
        <f t="shared" si="37"/>
        <v>1004.8014547344341</v>
      </c>
      <c r="H205" s="66">
        <v>221543</v>
      </c>
      <c r="I205" s="16">
        <f t="shared" si="38"/>
        <v>0.3</v>
      </c>
      <c r="J205" s="16">
        <f t="shared" si="39"/>
        <v>117.90220809095669</v>
      </c>
      <c r="K205" s="66">
        <v>186950</v>
      </c>
      <c r="L205" s="16">
        <f t="shared" si="40"/>
        <v>0.3</v>
      </c>
      <c r="M205" s="16">
        <f t="shared" si="41"/>
        <v>152.05070260033568</v>
      </c>
      <c r="N205" s="16">
        <v>0</v>
      </c>
      <c r="O205" s="16">
        <f t="shared" si="42"/>
        <v>0</v>
      </c>
      <c r="P205" s="16">
        <f t="shared" si="43"/>
        <v>0</v>
      </c>
      <c r="Q205" s="16">
        <v>0</v>
      </c>
      <c r="R205" s="16">
        <f t="shared" si="44"/>
        <v>0</v>
      </c>
      <c r="S205" s="16">
        <f t="shared" si="45"/>
        <v>0</v>
      </c>
    </row>
    <row r="206" spans="1:19" x14ac:dyDescent="0.3">
      <c r="A206" s="65">
        <v>20181031</v>
      </c>
      <c r="B206" s="65" t="s">
        <v>88</v>
      </c>
      <c r="C206" s="158">
        <f t="shared" si="46"/>
        <v>95596522.969462171</v>
      </c>
      <c r="D206" s="158">
        <f t="shared" si="47"/>
        <v>-1.5480042373890123E-2</v>
      </c>
      <c r="E206" s="66">
        <v>42400</v>
      </c>
      <c r="F206" s="16">
        <f t="shared" si="36"/>
        <v>0.4</v>
      </c>
      <c r="G206" s="16">
        <f t="shared" si="37"/>
        <v>1004.8014547344341</v>
      </c>
      <c r="H206" s="66">
        <v>213684</v>
      </c>
      <c r="I206" s="16">
        <f t="shared" si="38"/>
        <v>0.3</v>
      </c>
      <c r="J206" s="16">
        <f t="shared" si="39"/>
        <v>117.90220809095669</v>
      </c>
      <c r="K206" s="66">
        <v>182828</v>
      </c>
      <c r="L206" s="16">
        <f t="shared" si="40"/>
        <v>0.3</v>
      </c>
      <c r="M206" s="16">
        <f t="shared" si="41"/>
        <v>152.05070260033568</v>
      </c>
      <c r="N206" s="16">
        <v>0</v>
      </c>
      <c r="O206" s="16">
        <f t="shared" si="42"/>
        <v>0</v>
      </c>
      <c r="P206" s="16">
        <f t="shared" si="43"/>
        <v>0</v>
      </c>
      <c r="Q206" s="16">
        <v>0</v>
      </c>
      <c r="R206" s="16">
        <f t="shared" si="44"/>
        <v>0</v>
      </c>
      <c r="S206" s="16">
        <f t="shared" si="45"/>
        <v>0</v>
      </c>
    </row>
    <row r="207" spans="1:19" x14ac:dyDescent="0.3">
      <c r="A207" s="65">
        <v>20181101</v>
      </c>
      <c r="B207" s="65" t="s">
        <v>88</v>
      </c>
      <c r="C207" s="158">
        <f t="shared" si="46"/>
        <v>96011253.723044232</v>
      </c>
      <c r="D207" s="158">
        <f t="shared" si="47"/>
        <v>4.3383455872609928E-3</v>
      </c>
      <c r="E207" s="66">
        <v>42150</v>
      </c>
      <c r="F207" s="16">
        <f t="shared" si="36"/>
        <v>0.4</v>
      </c>
      <c r="G207" s="16">
        <f t="shared" si="37"/>
        <v>1004.8014547344341</v>
      </c>
      <c r="H207" s="66">
        <v>223508</v>
      </c>
      <c r="I207" s="16">
        <f t="shared" si="38"/>
        <v>0.3</v>
      </c>
      <c r="J207" s="16">
        <f t="shared" si="39"/>
        <v>117.90220809095669</v>
      </c>
      <c r="K207" s="66">
        <v>179590</v>
      </c>
      <c r="L207" s="16">
        <f t="shared" si="40"/>
        <v>0.3</v>
      </c>
      <c r="M207" s="16">
        <f t="shared" si="41"/>
        <v>152.05070260033568</v>
      </c>
      <c r="N207" s="16">
        <v>0</v>
      </c>
      <c r="O207" s="16">
        <f t="shared" si="42"/>
        <v>0</v>
      </c>
      <c r="P207" s="16">
        <f t="shared" si="43"/>
        <v>0</v>
      </c>
      <c r="Q207" s="66">
        <v>26950</v>
      </c>
      <c r="R207" s="16">
        <f t="shared" si="44"/>
        <v>0</v>
      </c>
      <c r="S207" s="16">
        <f t="shared" si="45"/>
        <v>0</v>
      </c>
    </row>
    <row r="208" spans="1:19" x14ac:dyDescent="0.3">
      <c r="A208" s="65">
        <v>20181102</v>
      </c>
      <c r="B208" s="65" t="s">
        <v>88</v>
      </c>
      <c r="C208" s="158">
        <f t="shared" si="46"/>
        <v>101286633.32987544</v>
      </c>
      <c r="D208" s="158">
        <f t="shared" si="47"/>
        <v>5.4945429856052726E-2</v>
      </c>
      <c r="E208" s="66">
        <v>44150</v>
      </c>
      <c r="F208" s="16">
        <f t="shared" si="36"/>
        <v>0.4</v>
      </c>
      <c r="G208" s="16">
        <f t="shared" si="37"/>
        <v>1004.8014547344341</v>
      </c>
      <c r="H208" s="66">
        <v>232350</v>
      </c>
      <c r="I208" s="16">
        <f t="shared" si="38"/>
        <v>0.3</v>
      </c>
      <c r="J208" s="16">
        <f t="shared" si="39"/>
        <v>117.90220809095669</v>
      </c>
      <c r="K208" s="66">
        <v>194212</v>
      </c>
      <c r="L208" s="16">
        <f t="shared" si="40"/>
        <v>0.3</v>
      </c>
      <c r="M208" s="16">
        <f t="shared" si="41"/>
        <v>152.05070260033568</v>
      </c>
      <c r="N208" s="16">
        <v>0</v>
      </c>
      <c r="O208" s="16">
        <f t="shared" si="42"/>
        <v>0</v>
      </c>
      <c r="P208" s="16">
        <f t="shared" si="43"/>
        <v>0</v>
      </c>
      <c r="Q208" s="66">
        <v>27400</v>
      </c>
      <c r="R208" s="16">
        <f t="shared" si="44"/>
        <v>0</v>
      </c>
      <c r="S208" s="16">
        <f t="shared" si="45"/>
        <v>0</v>
      </c>
    </row>
    <row r="209" spans="1:19" x14ac:dyDescent="0.3">
      <c r="A209" s="65">
        <v>20181105</v>
      </c>
      <c r="B209" s="65" t="s">
        <v>88</v>
      </c>
      <c r="C209" s="158">
        <f t="shared" si="46"/>
        <v>102250594.0201088</v>
      </c>
      <c r="D209" s="158">
        <f t="shared" si="47"/>
        <v>9.5171560011663991E-3</v>
      </c>
      <c r="E209" s="66">
        <v>43800</v>
      </c>
      <c r="F209" s="16">
        <f t="shared" si="36"/>
        <v>0.4</v>
      </c>
      <c r="G209" s="16">
        <f t="shared" si="37"/>
        <v>1004.8014547344341</v>
      </c>
      <c r="H209" s="66">
        <v>235789</v>
      </c>
      <c r="I209" s="16">
        <f t="shared" si="38"/>
        <v>0.3</v>
      </c>
      <c r="J209" s="16">
        <f t="shared" si="39"/>
        <v>117.90220809095669</v>
      </c>
      <c r="K209" s="66">
        <v>200198</v>
      </c>
      <c r="L209" s="16">
        <f t="shared" si="40"/>
        <v>0.3</v>
      </c>
      <c r="M209" s="16">
        <f t="shared" si="41"/>
        <v>152.05070260033568</v>
      </c>
      <c r="N209" s="16">
        <v>0</v>
      </c>
      <c r="O209" s="16">
        <f t="shared" si="42"/>
        <v>0</v>
      </c>
      <c r="P209" s="16">
        <f t="shared" si="43"/>
        <v>0</v>
      </c>
      <c r="Q209" s="66">
        <v>26300</v>
      </c>
      <c r="R209" s="16">
        <f t="shared" si="44"/>
        <v>0</v>
      </c>
      <c r="S209" s="16">
        <f t="shared" si="45"/>
        <v>0</v>
      </c>
    </row>
    <row r="210" spans="1:19" x14ac:dyDescent="0.3">
      <c r="A210" s="65">
        <v>20181106</v>
      </c>
      <c r="B210" s="65" t="s">
        <v>88</v>
      </c>
      <c r="C210" s="158">
        <f t="shared" si="46"/>
        <v>102196774.11417614</v>
      </c>
      <c r="D210" s="158">
        <f t="shared" si="47"/>
        <v>-5.263529904000415E-4</v>
      </c>
      <c r="E210" s="66">
        <v>43750</v>
      </c>
      <c r="F210" s="16">
        <f t="shared" si="36"/>
        <v>0.4</v>
      </c>
      <c r="G210" s="16">
        <f t="shared" si="37"/>
        <v>1004.8014547344341</v>
      </c>
      <c r="H210" s="66">
        <v>236771</v>
      </c>
      <c r="I210" s="16">
        <f t="shared" si="38"/>
        <v>0.3</v>
      </c>
      <c r="J210" s="16">
        <f t="shared" si="39"/>
        <v>117.90220809095669</v>
      </c>
      <c r="K210" s="66">
        <v>199413</v>
      </c>
      <c r="L210" s="16">
        <f t="shared" si="40"/>
        <v>0.3</v>
      </c>
      <c r="M210" s="16">
        <f t="shared" si="41"/>
        <v>152.05070260033568</v>
      </c>
      <c r="N210" s="16">
        <v>0</v>
      </c>
      <c r="O210" s="16">
        <f t="shared" si="42"/>
        <v>0</v>
      </c>
      <c r="P210" s="16">
        <f t="shared" si="43"/>
        <v>0</v>
      </c>
      <c r="Q210" s="66">
        <v>26350</v>
      </c>
      <c r="R210" s="16">
        <f t="shared" si="44"/>
        <v>0</v>
      </c>
      <c r="S210" s="16">
        <f t="shared" si="45"/>
        <v>0</v>
      </c>
    </row>
    <row r="211" spans="1:19" x14ac:dyDescent="0.3">
      <c r="A211" s="65">
        <v>20181107</v>
      </c>
      <c r="B211" s="65" t="s">
        <v>88</v>
      </c>
      <c r="C211" s="158">
        <f t="shared" si="46"/>
        <v>101250993.54173146</v>
      </c>
      <c r="D211" s="158">
        <f t="shared" si="47"/>
        <v>-9.2545051508967757E-3</v>
      </c>
      <c r="E211" s="66">
        <v>44000</v>
      </c>
      <c r="F211" s="16">
        <f t="shared" si="36"/>
        <v>0.4</v>
      </c>
      <c r="G211" s="16">
        <f t="shared" si="37"/>
        <v>1004.8014547344341</v>
      </c>
      <c r="H211" s="66">
        <v>229403</v>
      </c>
      <c r="I211" s="16">
        <f t="shared" si="38"/>
        <v>0.3</v>
      </c>
      <c r="J211" s="16">
        <f t="shared" si="39"/>
        <v>117.90220809095669</v>
      </c>
      <c r="K211" s="66">
        <v>197254</v>
      </c>
      <c r="L211" s="16">
        <f t="shared" si="40"/>
        <v>0.3</v>
      </c>
      <c r="M211" s="16">
        <f t="shared" si="41"/>
        <v>152.05070260033568</v>
      </c>
      <c r="N211" s="16">
        <v>0</v>
      </c>
      <c r="O211" s="16">
        <f t="shared" si="42"/>
        <v>0</v>
      </c>
      <c r="P211" s="16">
        <f t="shared" si="43"/>
        <v>0</v>
      </c>
      <c r="Q211" s="66">
        <v>25150</v>
      </c>
      <c r="R211" s="16">
        <f t="shared" si="44"/>
        <v>0</v>
      </c>
      <c r="S211" s="16">
        <f t="shared" si="45"/>
        <v>0</v>
      </c>
    </row>
    <row r="212" spans="1:19" x14ac:dyDescent="0.3">
      <c r="A212" s="65">
        <v>20181108</v>
      </c>
      <c r="B212" s="65" t="s">
        <v>88</v>
      </c>
      <c r="C212" s="158">
        <f t="shared" si="46"/>
        <v>102133989.83254831</v>
      </c>
      <c r="D212" s="158">
        <f t="shared" si="47"/>
        <v>8.7208654446724911E-3</v>
      </c>
      <c r="E212" s="66">
        <v>44050</v>
      </c>
      <c r="F212" s="16">
        <f t="shared" si="36"/>
        <v>0.4</v>
      </c>
      <c r="G212" s="16">
        <f t="shared" si="37"/>
        <v>1004.8014547344341</v>
      </c>
      <c r="H212" s="66">
        <v>234315</v>
      </c>
      <c r="I212" s="16">
        <f t="shared" si="38"/>
        <v>0.3</v>
      </c>
      <c r="J212" s="16">
        <f t="shared" si="39"/>
        <v>117.90220809095669</v>
      </c>
      <c r="K212" s="66">
        <v>198922</v>
      </c>
      <c r="L212" s="16">
        <f t="shared" si="40"/>
        <v>0.3</v>
      </c>
      <c r="M212" s="16">
        <f t="shared" si="41"/>
        <v>152.05070260033568</v>
      </c>
      <c r="N212" s="16">
        <v>0</v>
      </c>
      <c r="O212" s="16">
        <f t="shared" si="42"/>
        <v>0</v>
      </c>
      <c r="P212" s="16">
        <f t="shared" si="43"/>
        <v>0</v>
      </c>
      <c r="Q212" s="66">
        <v>24250</v>
      </c>
      <c r="R212" s="16">
        <f t="shared" si="44"/>
        <v>0</v>
      </c>
      <c r="S212" s="16">
        <f t="shared" si="45"/>
        <v>0</v>
      </c>
    </row>
    <row r="213" spans="1:19" x14ac:dyDescent="0.3">
      <c r="A213" s="65">
        <v>20181109</v>
      </c>
      <c r="B213" s="65" t="s">
        <v>88</v>
      </c>
      <c r="C213" s="158">
        <f t="shared" si="46"/>
        <v>99984886.098070681</v>
      </c>
      <c r="D213" s="158">
        <f t="shared" si="47"/>
        <v>-2.1042003137262566E-2</v>
      </c>
      <c r="E213" s="66">
        <v>44300</v>
      </c>
      <c r="F213" s="16">
        <f t="shared" si="36"/>
        <v>0.4</v>
      </c>
      <c r="G213" s="16">
        <f t="shared" si="37"/>
        <v>1004.8014547344341</v>
      </c>
      <c r="H213" s="66">
        <v>225473</v>
      </c>
      <c r="I213" s="16">
        <f t="shared" si="38"/>
        <v>0.3</v>
      </c>
      <c r="J213" s="16">
        <f t="shared" si="39"/>
        <v>117.90220809095669</v>
      </c>
      <c r="K213" s="66">
        <v>189992</v>
      </c>
      <c r="L213" s="16">
        <f t="shared" si="40"/>
        <v>0.3</v>
      </c>
      <c r="M213" s="16">
        <f t="shared" si="41"/>
        <v>152.05070260033568</v>
      </c>
      <c r="N213" s="16">
        <v>0</v>
      </c>
      <c r="O213" s="16">
        <f t="shared" si="42"/>
        <v>0</v>
      </c>
      <c r="P213" s="16">
        <f t="shared" si="43"/>
        <v>0</v>
      </c>
      <c r="Q213" s="66">
        <v>23350</v>
      </c>
      <c r="R213" s="16">
        <f t="shared" si="44"/>
        <v>0</v>
      </c>
      <c r="S213" s="16">
        <f t="shared" si="45"/>
        <v>0</v>
      </c>
    </row>
    <row r="214" spans="1:19" x14ac:dyDescent="0.3">
      <c r="A214" s="65">
        <v>20181112</v>
      </c>
      <c r="B214" s="65" t="s">
        <v>88</v>
      </c>
      <c r="C214" s="158">
        <f t="shared" si="46"/>
        <v>95823736.513685137</v>
      </c>
      <c r="D214" s="158">
        <f t="shared" si="47"/>
        <v>-4.161778591520382E-2</v>
      </c>
      <c r="E214" s="66">
        <v>45200</v>
      </c>
      <c r="F214" s="16">
        <f t="shared" si="36"/>
        <v>0.4</v>
      </c>
      <c r="G214" s="16">
        <f t="shared" si="37"/>
        <v>1004.8014547344341</v>
      </c>
      <c r="H214" s="66">
        <v>198456</v>
      </c>
      <c r="I214" s="16">
        <f t="shared" si="38"/>
        <v>0.3</v>
      </c>
      <c r="J214" s="16">
        <f t="shared" si="39"/>
        <v>117.90220809095669</v>
      </c>
      <c r="K214" s="66">
        <v>177627</v>
      </c>
      <c r="L214" s="16">
        <f t="shared" si="40"/>
        <v>0.3</v>
      </c>
      <c r="M214" s="16">
        <f t="shared" si="41"/>
        <v>152.05070260033568</v>
      </c>
      <c r="N214" s="16">
        <v>0</v>
      </c>
      <c r="O214" s="16">
        <f t="shared" si="42"/>
        <v>0</v>
      </c>
      <c r="P214" s="16">
        <f t="shared" si="43"/>
        <v>0</v>
      </c>
      <c r="Q214" s="66">
        <v>22200</v>
      </c>
      <c r="R214" s="16">
        <f t="shared" si="44"/>
        <v>0</v>
      </c>
      <c r="S214" s="16">
        <f t="shared" si="45"/>
        <v>0</v>
      </c>
    </row>
    <row r="215" spans="1:19" x14ac:dyDescent="0.3">
      <c r="A215" s="65">
        <v>20181113</v>
      </c>
      <c r="B215" s="65" t="s">
        <v>88</v>
      </c>
      <c r="C215" s="158">
        <f t="shared" si="46"/>
        <v>95632944.512182876</v>
      </c>
      <c r="D215" s="158">
        <f t="shared" si="47"/>
        <v>-1.9910724465958649E-3</v>
      </c>
      <c r="E215" s="66">
        <v>44500</v>
      </c>
      <c r="F215" s="16">
        <f t="shared" si="36"/>
        <v>0.4</v>
      </c>
      <c r="G215" s="16">
        <f t="shared" si="37"/>
        <v>1004.8014547344341</v>
      </c>
      <c r="H215" s="66">
        <v>196982</v>
      </c>
      <c r="I215" s="16">
        <f t="shared" si="38"/>
        <v>0.3</v>
      </c>
      <c r="J215" s="16">
        <f t="shared" si="39"/>
        <v>117.90220809095669</v>
      </c>
      <c r="K215" s="66">
        <v>182141</v>
      </c>
      <c r="L215" s="16">
        <f t="shared" si="40"/>
        <v>0.3</v>
      </c>
      <c r="M215" s="16">
        <f t="shared" si="41"/>
        <v>152.05070260033568</v>
      </c>
      <c r="N215" s="16">
        <v>0</v>
      </c>
      <c r="O215" s="16">
        <f t="shared" si="42"/>
        <v>0</v>
      </c>
      <c r="P215" s="16">
        <f t="shared" si="43"/>
        <v>0</v>
      </c>
      <c r="Q215" s="66">
        <v>22250</v>
      </c>
      <c r="R215" s="16">
        <f t="shared" si="44"/>
        <v>0</v>
      </c>
      <c r="S215" s="16">
        <f t="shared" si="45"/>
        <v>0</v>
      </c>
    </row>
    <row r="216" spans="1:19" x14ac:dyDescent="0.3">
      <c r="A216" s="65">
        <v>20181114</v>
      </c>
      <c r="B216" s="65" t="s">
        <v>88</v>
      </c>
      <c r="C216" s="158">
        <f t="shared" si="46"/>
        <v>96069925.461793616</v>
      </c>
      <c r="D216" s="158">
        <f t="shared" si="47"/>
        <v>4.5693557992985568E-3</v>
      </c>
      <c r="E216" s="66">
        <v>44100</v>
      </c>
      <c r="F216" s="16">
        <f t="shared" si="36"/>
        <v>0.4</v>
      </c>
      <c r="G216" s="16">
        <f t="shared" si="37"/>
        <v>1004.8014547344341</v>
      </c>
      <c r="H216" s="66">
        <v>204350</v>
      </c>
      <c r="I216" s="16">
        <f t="shared" si="38"/>
        <v>0.3</v>
      </c>
      <c r="J216" s="16">
        <f t="shared" si="39"/>
        <v>117.90220809095669</v>
      </c>
      <c r="K216" s="66">
        <v>181945</v>
      </c>
      <c r="L216" s="16">
        <f t="shared" si="40"/>
        <v>0.3</v>
      </c>
      <c r="M216" s="16">
        <f t="shared" si="41"/>
        <v>152.05070260033568</v>
      </c>
      <c r="N216" s="16">
        <v>0</v>
      </c>
      <c r="O216" s="16">
        <f t="shared" si="42"/>
        <v>0</v>
      </c>
      <c r="P216" s="16">
        <f t="shared" si="43"/>
        <v>0</v>
      </c>
      <c r="Q216" s="66">
        <v>20500</v>
      </c>
      <c r="R216" s="16">
        <f t="shared" si="44"/>
        <v>0</v>
      </c>
      <c r="S216" s="16">
        <f t="shared" si="45"/>
        <v>0</v>
      </c>
    </row>
    <row r="217" spans="1:19" x14ac:dyDescent="0.3">
      <c r="A217" s="65">
        <v>20181115</v>
      </c>
      <c r="B217" s="65" t="s">
        <v>88</v>
      </c>
      <c r="C217" s="158">
        <f t="shared" si="46"/>
        <v>97690545.430607438</v>
      </c>
      <c r="D217" s="158">
        <f t="shared" si="47"/>
        <v>1.6869170669423821E-2</v>
      </c>
      <c r="E217" s="66">
        <v>44250</v>
      </c>
      <c r="F217" s="16">
        <f t="shared" si="36"/>
        <v>0.4</v>
      </c>
      <c r="G217" s="16">
        <f t="shared" si="37"/>
        <v>1004.8014547344341</v>
      </c>
      <c r="H217" s="153">
        <v>214666</v>
      </c>
      <c r="I217" s="16">
        <f t="shared" si="38"/>
        <v>0.3</v>
      </c>
      <c r="J217" s="16">
        <f t="shared" si="39"/>
        <v>117.90220809095669</v>
      </c>
      <c r="K217" s="66">
        <v>183613</v>
      </c>
      <c r="L217" s="16">
        <f t="shared" si="40"/>
        <v>0.3</v>
      </c>
      <c r="M217" s="16">
        <f t="shared" si="41"/>
        <v>152.05070260033568</v>
      </c>
      <c r="N217" s="16">
        <v>0</v>
      </c>
      <c r="O217" s="16">
        <f t="shared" si="42"/>
        <v>0</v>
      </c>
      <c r="P217" s="16">
        <f t="shared" si="43"/>
        <v>0</v>
      </c>
      <c r="Q217" s="66">
        <v>20200</v>
      </c>
      <c r="R217" s="16">
        <f t="shared" si="44"/>
        <v>0</v>
      </c>
      <c r="S217" s="16">
        <f t="shared" si="45"/>
        <v>0</v>
      </c>
    </row>
    <row r="218" spans="1:19" x14ac:dyDescent="0.3">
      <c r="A218" s="65">
        <v>20181116</v>
      </c>
      <c r="B218" s="65" t="s">
        <v>88</v>
      </c>
      <c r="C218" s="158">
        <f t="shared" si="46"/>
        <v>98568980.825169861</v>
      </c>
      <c r="D218" s="158">
        <f t="shared" si="47"/>
        <v>8.9920205756902297E-3</v>
      </c>
      <c r="E218" s="66">
        <v>44000</v>
      </c>
      <c r="F218" s="16">
        <f t="shared" si="36"/>
        <v>0.4</v>
      </c>
      <c r="G218" s="16">
        <f t="shared" si="37"/>
        <v>1004.8014547344341</v>
      </c>
      <c r="H218" s="66">
        <v>220070</v>
      </c>
      <c r="I218" s="16">
        <f t="shared" si="38"/>
        <v>0.3</v>
      </c>
      <c r="J218" s="16">
        <f t="shared" si="39"/>
        <v>117.90220809095669</v>
      </c>
      <c r="K218" s="66">
        <v>186852</v>
      </c>
      <c r="L218" s="16">
        <f t="shared" si="40"/>
        <v>0.3</v>
      </c>
      <c r="M218" s="16">
        <f t="shared" si="41"/>
        <v>152.05070260033568</v>
      </c>
      <c r="N218" s="16">
        <v>0</v>
      </c>
      <c r="O218" s="16">
        <f t="shared" si="42"/>
        <v>0</v>
      </c>
      <c r="P218" s="16">
        <f t="shared" si="43"/>
        <v>0</v>
      </c>
      <c r="Q218" s="66">
        <v>21050</v>
      </c>
      <c r="R218" s="16">
        <f t="shared" si="44"/>
        <v>0</v>
      </c>
      <c r="S218" s="16">
        <f t="shared" si="45"/>
        <v>0</v>
      </c>
    </row>
    <row r="219" spans="1:19" x14ac:dyDescent="0.3">
      <c r="A219" s="65">
        <v>20181119</v>
      </c>
      <c r="B219" s="65" t="s">
        <v>88</v>
      </c>
      <c r="C219" s="158">
        <f t="shared" si="46"/>
        <v>100482526.20329072</v>
      </c>
      <c r="D219" s="158">
        <f t="shared" si="47"/>
        <v>1.9413261272477573E-2</v>
      </c>
      <c r="E219" s="66">
        <v>43650</v>
      </c>
      <c r="F219" s="16">
        <f t="shared" si="36"/>
        <v>0.4</v>
      </c>
      <c r="G219" s="16">
        <f t="shared" si="37"/>
        <v>1004.8014547344341</v>
      </c>
      <c r="H219" s="66">
        <v>224982</v>
      </c>
      <c r="I219" s="16">
        <f t="shared" si="38"/>
        <v>0.3</v>
      </c>
      <c r="J219" s="16">
        <f t="shared" si="39"/>
        <v>117.90220809095669</v>
      </c>
      <c r="K219" s="66">
        <v>197941</v>
      </c>
      <c r="L219" s="16">
        <f t="shared" si="40"/>
        <v>0.3</v>
      </c>
      <c r="M219" s="16">
        <f t="shared" si="41"/>
        <v>152.05070260033568</v>
      </c>
      <c r="N219" s="16">
        <v>0</v>
      </c>
      <c r="O219" s="16">
        <f t="shared" si="42"/>
        <v>0</v>
      </c>
      <c r="P219" s="16">
        <f t="shared" si="43"/>
        <v>0</v>
      </c>
      <c r="Q219" s="66">
        <v>20850</v>
      </c>
      <c r="R219" s="16">
        <f t="shared" si="44"/>
        <v>0</v>
      </c>
      <c r="S219" s="16">
        <f t="shared" si="45"/>
        <v>0</v>
      </c>
    </row>
    <row r="220" spans="1:19" x14ac:dyDescent="0.3">
      <c r="A220" s="65">
        <v>20181120</v>
      </c>
      <c r="B220" s="65" t="s">
        <v>88</v>
      </c>
      <c r="C220" s="158">
        <f t="shared" si="46"/>
        <v>98335563.940901905</v>
      </c>
      <c r="D220" s="158">
        <f t="shared" si="47"/>
        <v>-2.1366523549031746E-2</v>
      </c>
      <c r="E220" s="66">
        <v>42800</v>
      </c>
      <c r="F220" s="16">
        <f t="shared" si="36"/>
        <v>0.4</v>
      </c>
      <c r="G220" s="16">
        <f t="shared" si="37"/>
        <v>1004.8014547344341</v>
      </c>
      <c r="H220" s="66">
        <v>223508</v>
      </c>
      <c r="I220" s="16">
        <f t="shared" si="38"/>
        <v>0.3</v>
      </c>
      <c r="J220" s="16">
        <f t="shared" si="39"/>
        <v>117.90220809095669</v>
      </c>
      <c r="K220" s="66">
        <v>190581</v>
      </c>
      <c r="L220" s="16">
        <f t="shared" si="40"/>
        <v>0.3</v>
      </c>
      <c r="M220" s="16">
        <f t="shared" si="41"/>
        <v>152.05070260033568</v>
      </c>
      <c r="N220" s="66">
        <v>10190</v>
      </c>
      <c r="O220" s="16">
        <f t="shared" si="42"/>
        <v>0</v>
      </c>
      <c r="P220" s="16">
        <f t="shared" si="43"/>
        <v>0</v>
      </c>
      <c r="Q220" s="66">
        <v>19700</v>
      </c>
      <c r="R220" s="16">
        <f t="shared" si="44"/>
        <v>0</v>
      </c>
      <c r="S220" s="16">
        <f t="shared" si="45"/>
        <v>0</v>
      </c>
    </row>
    <row r="221" spans="1:19" x14ac:dyDescent="0.3">
      <c r="A221" s="65">
        <v>20181121</v>
      </c>
      <c r="B221" s="65" t="s">
        <v>88</v>
      </c>
      <c r="C221" s="158">
        <f t="shared" si="46"/>
        <v>96880096.862206191</v>
      </c>
      <c r="D221" s="158">
        <f t="shared" si="47"/>
        <v>-1.4801024373749734E-2</v>
      </c>
      <c r="E221" s="66">
        <v>42100</v>
      </c>
      <c r="F221" s="16">
        <f t="shared" si="36"/>
        <v>0.4</v>
      </c>
      <c r="G221" s="16">
        <f t="shared" si="37"/>
        <v>1004.8014547344341</v>
      </c>
      <c r="H221" s="66">
        <v>221052</v>
      </c>
      <c r="I221" s="16">
        <f t="shared" si="38"/>
        <v>0.3</v>
      </c>
      <c r="J221" s="16">
        <f t="shared" si="39"/>
        <v>117.90220809095669</v>
      </c>
      <c r="K221" s="66">
        <v>187539</v>
      </c>
      <c r="L221" s="16">
        <f t="shared" si="40"/>
        <v>0.3</v>
      </c>
      <c r="M221" s="16">
        <f t="shared" si="41"/>
        <v>152.05070260033568</v>
      </c>
      <c r="N221" s="66">
        <v>10090</v>
      </c>
      <c r="O221" s="16">
        <f t="shared" si="42"/>
        <v>0</v>
      </c>
      <c r="P221" s="16">
        <f t="shared" si="43"/>
        <v>0</v>
      </c>
      <c r="Q221" s="66">
        <v>19050</v>
      </c>
      <c r="R221" s="16">
        <f t="shared" si="44"/>
        <v>0</v>
      </c>
      <c r="S221" s="16">
        <f t="shared" si="45"/>
        <v>0</v>
      </c>
    </row>
    <row r="222" spans="1:19" x14ac:dyDescent="0.3">
      <c r="A222" s="65">
        <v>20181122</v>
      </c>
      <c r="B222" s="65" t="s">
        <v>88</v>
      </c>
      <c r="C222" s="158">
        <f t="shared" si="46"/>
        <v>97567096.602461144</v>
      </c>
      <c r="D222" s="158">
        <f t="shared" si="47"/>
        <v>7.0912371323501268E-3</v>
      </c>
      <c r="E222" s="66">
        <v>42450</v>
      </c>
      <c r="F222" s="16">
        <f t="shared" si="36"/>
        <v>0.4</v>
      </c>
      <c r="G222" s="16">
        <f t="shared" si="37"/>
        <v>1004.8014547344341</v>
      </c>
      <c r="H222" s="66">
        <v>219087</v>
      </c>
      <c r="I222" s="16">
        <f t="shared" si="38"/>
        <v>0.3</v>
      </c>
      <c r="J222" s="16">
        <f t="shared" si="39"/>
        <v>117.90220809095669</v>
      </c>
      <c r="K222" s="66">
        <v>191268</v>
      </c>
      <c r="L222" s="16">
        <f t="shared" si="40"/>
        <v>0.3</v>
      </c>
      <c r="M222" s="16">
        <f t="shared" si="41"/>
        <v>152.05070260033568</v>
      </c>
      <c r="N222" s="66">
        <v>10115</v>
      </c>
      <c r="O222" s="16">
        <f t="shared" si="42"/>
        <v>0</v>
      </c>
      <c r="P222" s="16">
        <f t="shared" si="43"/>
        <v>0</v>
      </c>
      <c r="Q222" s="66">
        <v>18350</v>
      </c>
      <c r="R222" s="16">
        <f t="shared" si="44"/>
        <v>0</v>
      </c>
      <c r="S222" s="16">
        <f t="shared" si="45"/>
        <v>0</v>
      </c>
    </row>
    <row r="223" spans="1:19" x14ac:dyDescent="0.3">
      <c r="A223" s="65">
        <v>20181123</v>
      </c>
      <c r="B223" s="65" t="s">
        <v>88</v>
      </c>
      <c r="C223" s="158">
        <f t="shared" si="46"/>
        <v>96434607.060479432</v>
      </c>
      <c r="D223" s="158">
        <f t="shared" si="47"/>
        <v>-1.1607289561931525E-2</v>
      </c>
      <c r="E223" s="66">
        <v>42400</v>
      </c>
      <c r="F223" s="16">
        <f t="shared" si="36"/>
        <v>0.4</v>
      </c>
      <c r="G223" s="16">
        <f t="shared" si="37"/>
        <v>1004.8014547344341</v>
      </c>
      <c r="H223" s="66">
        <v>217122</v>
      </c>
      <c r="I223" s="16">
        <f t="shared" si="38"/>
        <v>0.3</v>
      </c>
      <c r="J223" s="16">
        <f t="shared" si="39"/>
        <v>117.90220809095669</v>
      </c>
      <c r="K223" s="66">
        <v>185674</v>
      </c>
      <c r="L223" s="16">
        <f t="shared" si="40"/>
        <v>0.3</v>
      </c>
      <c r="M223" s="16">
        <f t="shared" si="41"/>
        <v>152.05070260033568</v>
      </c>
      <c r="N223" s="66">
        <v>10065</v>
      </c>
      <c r="O223" s="16">
        <f t="shared" si="42"/>
        <v>0</v>
      </c>
      <c r="P223" s="16">
        <f t="shared" si="43"/>
        <v>0</v>
      </c>
      <c r="Q223" s="66">
        <v>17200</v>
      </c>
      <c r="R223" s="16">
        <f t="shared" si="44"/>
        <v>0</v>
      </c>
      <c r="S223" s="16">
        <f t="shared" si="45"/>
        <v>0</v>
      </c>
    </row>
    <row r="224" spans="1:19" x14ac:dyDescent="0.3">
      <c r="A224" s="65">
        <v>20181126</v>
      </c>
      <c r="B224" s="65" t="s">
        <v>88</v>
      </c>
      <c r="C224" s="158">
        <f t="shared" si="46"/>
        <v>99715107.546669483</v>
      </c>
      <c r="D224" s="158">
        <f t="shared" si="47"/>
        <v>3.4017875803990877E-2</v>
      </c>
      <c r="E224" s="66">
        <v>42600</v>
      </c>
      <c r="F224" s="16">
        <f t="shared" si="36"/>
        <v>0.4</v>
      </c>
      <c r="G224" s="16">
        <f t="shared" si="37"/>
        <v>1004.8014547344341</v>
      </c>
      <c r="H224" s="66">
        <v>236280</v>
      </c>
      <c r="I224" s="16">
        <f t="shared" si="38"/>
        <v>0.3</v>
      </c>
      <c r="J224" s="16">
        <f t="shared" si="39"/>
        <v>117.90220809095669</v>
      </c>
      <c r="K224" s="66">
        <v>191072</v>
      </c>
      <c r="L224" s="16">
        <f t="shared" si="40"/>
        <v>0.3</v>
      </c>
      <c r="M224" s="16">
        <f t="shared" si="41"/>
        <v>152.05070260033568</v>
      </c>
      <c r="N224" s="66">
        <v>10190</v>
      </c>
      <c r="O224" s="16">
        <f t="shared" si="42"/>
        <v>0</v>
      </c>
      <c r="P224" s="16">
        <f t="shared" si="43"/>
        <v>0</v>
      </c>
      <c r="Q224" s="66">
        <v>17400</v>
      </c>
      <c r="R224" s="16">
        <f t="shared" si="44"/>
        <v>0</v>
      </c>
      <c r="S224" s="16">
        <f t="shared" si="45"/>
        <v>0</v>
      </c>
    </row>
    <row r="225" spans="1:19" x14ac:dyDescent="0.3">
      <c r="A225" s="65">
        <v>20181127</v>
      </c>
      <c r="B225" s="65" t="s">
        <v>88</v>
      </c>
      <c r="C225" s="158">
        <f t="shared" si="46"/>
        <v>101086351.41319865</v>
      </c>
      <c r="D225" s="158">
        <f t="shared" si="47"/>
        <v>1.3751615981433766E-2</v>
      </c>
      <c r="E225" s="66">
        <v>43050</v>
      </c>
      <c r="F225" s="16">
        <f t="shared" si="36"/>
        <v>0.4</v>
      </c>
      <c r="G225" s="16">
        <f t="shared" si="37"/>
        <v>1004.8014547344341</v>
      </c>
      <c r="H225" s="66">
        <v>233824</v>
      </c>
      <c r="I225" s="16">
        <f t="shared" si="38"/>
        <v>0.3</v>
      </c>
      <c r="J225" s="16">
        <f t="shared" si="39"/>
        <v>117.90220809095669</v>
      </c>
      <c r="K225" s="66">
        <v>199021</v>
      </c>
      <c r="L225" s="16">
        <f t="shared" si="40"/>
        <v>0.3</v>
      </c>
      <c r="M225" s="16">
        <f t="shared" si="41"/>
        <v>152.05070260033568</v>
      </c>
      <c r="N225" s="66">
        <v>10290</v>
      </c>
      <c r="O225" s="16">
        <f t="shared" si="42"/>
        <v>0</v>
      </c>
      <c r="P225" s="16">
        <f t="shared" si="43"/>
        <v>0</v>
      </c>
      <c r="Q225" s="66">
        <v>18150</v>
      </c>
      <c r="R225" s="16">
        <f t="shared" si="44"/>
        <v>0</v>
      </c>
      <c r="S225" s="16">
        <f t="shared" si="45"/>
        <v>0</v>
      </c>
    </row>
    <row r="226" spans="1:19" x14ac:dyDescent="0.3">
      <c r="A226" s="65">
        <v>20181128</v>
      </c>
      <c r="B226" s="65" t="s">
        <v>88</v>
      </c>
      <c r="C226" s="158">
        <f t="shared" si="46"/>
        <v>100388004.59907411</v>
      </c>
      <c r="D226" s="158">
        <f t="shared" si="47"/>
        <v>-6.9084184398939307E-3</v>
      </c>
      <c r="E226" s="66">
        <v>43150</v>
      </c>
      <c r="F226" s="16">
        <f t="shared" si="36"/>
        <v>0.4</v>
      </c>
      <c r="G226" s="16">
        <f t="shared" si="37"/>
        <v>1004.8014547344341</v>
      </c>
      <c r="H226" s="66">
        <v>231859</v>
      </c>
      <c r="I226" s="16">
        <f t="shared" si="38"/>
        <v>0.3</v>
      </c>
      <c r="J226" s="16">
        <f t="shared" si="39"/>
        <v>117.90220809095669</v>
      </c>
      <c r="K226" s="66">
        <v>195291</v>
      </c>
      <c r="L226" s="16">
        <f t="shared" si="40"/>
        <v>0.3</v>
      </c>
      <c r="M226" s="16">
        <f t="shared" si="41"/>
        <v>152.05070260033568</v>
      </c>
      <c r="N226" s="66">
        <v>10300</v>
      </c>
      <c r="O226" s="16">
        <f t="shared" si="42"/>
        <v>0</v>
      </c>
      <c r="P226" s="16">
        <f t="shared" si="43"/>
        <v>0</v>
      </c>
      <c r="Q226" s="66">
        <v>18500</v>
      </c>
      <c r="R226" s="16">
        <f t="shared" si="44"/>
        <v>0</v>
      </c>
      <c r="S226" s="16">
        <f t="shared" si="45"/>
        <v>0</v>
      </c>
    </row>
    <row r="227" spans="1:19" x14ac:dyDescent="0.3">
      <c r="A227" s="65">
        <v>20181129</v>
      </c>
      <c r="B227" s="65" t="s">
        <v>88</v>
      </c>
      <c r="C227" s="158">
        <f t="shared" si="46"/>
        <v>100086219.1895844</v>
      </c>
      <c r="D227" s="158">
        <f t="shared" si="47"/>
        <v>-3.0061899396742224E-3</v>
      </c>
      <c r="E227" s="66">
        <v>43150</v>
      </c>
      <c r="F227" s="16">
        <f t="shared" si="36"/>
        <v>0.4</v>
      </c>
      <c r="G227" s="16">
        <f t="shared" si="37"/>
        <v>1004.8014547344341</v>
      </c>
      <c r="H227" s="66">
        <v>232842</v>
      </c>
      <c r="I227" s="16">
        <f t="shared" si="38"/>
        <v>0.3</v>
      </c>
      <c r="J227" s="16">
        <f t="shared" si="39"/>
        <v>117.90220809095669</v>
      </c>
      <c r="K227" s="66">
        <v>192544</v>
      </c>
      <c r="L227" s="16">
        <f t="shared" si="40"/>
        <v>0.3</v>
      </c>
      <c r="M227" s="16">
        <f t="shared" si="41"/>
        <v>152.05070260033568</v>
      </c>
      <c r="N227" s="66">
        <v>10320</v>
      </c>
      <c r="O227" s="16">
        <f t="shared" si="42"/>
        <v>0</v>
      </c>
      <c r="P227" s="16">
        <f t="shared" si="43"/>
        <v>0</v>
      </c>
      <c r="Q227" s="66">
        <v>17950</v>
      </c>
      <c r="R227" s="16">
        <f t="shared" si="44"/>
        <v>0</v>
      </c>
      <c r="S227" s="16">
        <f t="shared" si="45"/>
        <v>0</v>
      </c>
    </row>
    <row r="228" spans="1:19" x14ac:dyDescent="0.3">
      <c r="A228" s="65">
        <v>20181130</v>
      </c>
      <c r="B228" s="65" t="s">
        <v>88</v>
      </c>
      <c r="C228" s="158">
        <f t="shared" si="46"/>
        <v>99233607.829606786</v>
      </c>
      <c r="D228" s="158">
        <f t="shared" si="47"/>
        <v>-8.5187687863660048E-3</v>
      </c>
      <c r="E228" s="66">
        <v>41850</v>
      </c>
      <c r="F228" s="16">
        <f t="shared" si="36"/>
        <v>0.4</v>
      </c>
      <c r="G228" s="16">
        <f t="shared" si="37"/>
        <v>1004.8014547344341</v>
      </c>
      <c r="H228" s="66">
        <v>235298</v>
      </c>
      <c r="I228" s="16">
        <f t="shared" si="38"/>
        <v>0.3</v>
      </c>
      <c r="J228" s="16">
        <f t="shared" si="39"/>
        <v>117.90220809095669</v>
      </c>
      <c r="K228" s="66">
        <v>193623</v>
      </c>
      <c r="L228" s="16">
        <f t="shared" si="40"/>
        <v>0.3</v>
      </c>
      <c r="M228" s="16">
        <f t="shared" si="41"/>
        <v>152.05070260033568</v>
      </c>
      <c r="N228" s="66">
        <v>10235</v>
      </c>
      <c r="O228" s="16">
        <f t="shared" si="42"/>
        <v>0</v>
      </c>
      <c r="P228" s="16">
        <f t="shared" si="43"/>
        <v>0</v>
      </c>
      <c r="Q228" s="66">
        <v>18850</v>
      </c>
      <c r="R228" s="16">
        <f t="shared" si="44"/>
        <v>0</v>
      </c>
      <c r="S228" s="16">
        <f t="shared" si="45"/>
        <v>0</v>
      </c>
    </row>
    <row r="229" spans="1:19" x14ac:dyDescent="0.3">
      <c r="A229" s="65">
        <v>20181203</v>
      </c>
      <c r="B229" s="65" t="s">
        <v>88</v>
      </c>
      <c r="C229" s="158">
        <f t="shared" si="46"/>
        <v>102084120.67109165</v>
      </c>
      <c r="D229" s="158">
        <f t="shared" si="47"/>
        <v>2.8725276686296156E-2</v>
      </c>
      <c r="E229" s="66">
        <v>43250</v>
      </c>
      <c r="F229" s="16">
        <f t="shared" si="36"/>
        <v>0.4</v>
      </c>
      <c r="G229" s="16">
        <f t="shared" si="37"/>
        <v>1004.8014547344341</v>
      </c>
      <c r="H229" s="66">
        <v>236280</v>
      </c>
      <c r="I229" s="16">
        <f t="shared" si="38"/>
        <v>0.3</v>
      </c>
      <c r="J229" s="16">
        <f t="shared" si="39"/>
        <v>117.90220809095669</v>
      </c>
      <c r="K229" s="66">
        <v>202357</v>
      </c>
      <c r="L229" s="16">
        <f t="shared" si="40"/>
        <v>0.3</v>
      </c>
      <c r="M229" s="16">
        <f t="shared" si="41"/>
        <v>152.05070260033568</v>
      </c>
      <c r="N229" s="66">
        <v>10430</v>
      </c>
      <c r="O229" s="16">
        <f t="shared" si="42"/>
        <v>0</v>
      </c>
      <c r="P229" s="16">
        <f t="shared" si="43"/>
        <v>0</v>
      </c>
      <c r="Q229" s="66">
        <v>19150</v>
      </c>
      <c r="R229" s="16">
        <f t="shared" si="44"/>
        <v>0</v>
      </c>
      <c r="S229" s="16">
        <f t="shared" si="45"/>
        <v>0</v>
      </c>
    </row>
    <row r="230" spans="1:19" x14ac:dyDescent="0.3">
      <c r="A230" s="65">
        <v>20181204</v>
      </c>
      <c r="B230" s="65" t="s">
        <v>88</v>
      </c>
      <c r="C230" s="158">
        <f t="shared" si="46"/>
        <v>101266810.90491658</v>
      </c>
      <c r="D230" s="158">
        <f t="shared" si="47"/>
        <v>-8.0062380006032472E-3</v>
      </c>
      <c r="E230" s="66">
        <v>42150</v>
      </c>
      <c r="F230" s="16">
        <f t="shared" si="36"/>
        <v>0.4</v>
      </c>
      <c r="G230" s="16">
        <f t="shared" si="37"/>
        <v>1004.8014547344341</v>
      </c>
      <c r="H230" s="66">
        <v>239228</v>
      </c>
      <c r="I230" s="16">
        <f t="shared" si="38"/>
        <v>0.3</v>
      </c>
      <c r="J230" s="16">
        <f t="shared" si="39"/>
        <v>117.90220809095669</v>
      </c>
      <c r="K230" s="66">
        <v>201965</v>
      </c>
      <c r="L230" s="16">
        <f t="shared" si="40"/>
        <v>0.3</v>
      </c>
      <c r="M230" s="16">
        <f t="shared" si="41"/>
        <v>152.05070260033568</v>
      </c>
      <c r="N230" s="66">
        <v>10310</v>
      </c>
      <c r="O230" s="16">
        <f t="shared" si="42"/>
        <v>0</v>
      </c>
      <c r="P230" s="16">
        <f t="shared" si="43"/>
        <v>0</v>
      </c>
      <c r="Q230" s="66">
        <v>19400</v>
      </c>
      <c r="R230" s="16">
        <f t="shared" si="44"/>
        <v>0</v>
      </c>
      <c r="S230" s="16">
        <f t="shared" si="45"/>
        <v>0</v>
      </c>
    </row>
    <row r="231" spans="1:19" x14ac:dyDescent="0.3">
      <c r="A231" s="65">
        <v>20181205</v>
      </c>
      <c r="B231" s="65" t="s">
        <v>88</v>
      </c>
      <c r="C231" s="158">
        <f t="shared" si="46"/>
        <v>99748008.066902995</v>
      </c>
      <c r="D231" s="158">
        <f t="shared" si="47"/>
        <v>-1.4998031679299681E-2</v>
      </c>
      <c r="E231" s="66">
        <v>41450</v>
      </c>
      <c r="F231" s="16">
        <f t="shared" si="36"/>
        <v>0.4</v>
      </c>
      <c r="G231" s="16">
        <f t="shared" si="37"/>
        <v>1004.8014547344341</v>
      </c>
      <c r="H231" s="66">
        <v>237754</v>
      </c>
      <c r="I231" s="16">
        <f t="shared" si="38"/>
        <v>0.3</v>
      </c>
      <c r="J231" s="16">
        <f t="shared" si="39"/>
        <v>117.90220809095669</v>
      </c>
      <c r="K231" s="66">
        <v>197745</v>
      </c>
      <c r="L231" s="16">
        <f t="shared" si="40"/>
        <v>0.3</v>
      </c>
      <c r="M231" s="16">
        <f t="shared" si="41"/>
        <v>152.05070260033568</v>
      </c>
      <c r="N231" s="66">
        <v>10265</v>
      </c>
      <c r="O231" s="16">
        <f t="shared" si="42"/>
        <v>0</v>
      </c>
      <c r="P231" s="16">
        <f t="shared" si="43"/>
        <v>0</v>
      </c>
      <c r="Q231" s="66">
        <v>18900</v>
      </c>
      <c r="R231" s="16">
        <f t="shared" si="44"/>
        <v>0</v>
      </c>
      <c r="S231" s="16">
        <f t="shared" si="45"/>
        <v>0</v>
      </c>
    </row>
    <row r="232" spans="1:19" x14ac:dyDescent="0.3">
      <c r="A232" s="65">
        <v>20181206</v>
      </c>
      <c r="B232" s="65" t="s">
        <v>88</v>
      </c>
      <c r="C232" s="158">
        <f t="shared" si="46"/>
        <v>96995934.857172132</v>
      </c>
      <c r="D232" s="158">
        <f t="shared" si="47"/>
        <v>-2.7590257320075934E-2</v>
      </c>
      <c r="E232" s="66">
        <v>40500</v>
      </c>
      <c r="F232" s="16">
        <f t="shared" si="36"/>
        <v>0.4</v>
      </c>
      <c r="G232" s="16">
        <f t="shared" si="37"/>
        <v>1004.8014547344341</v>
      </c>
      <c r="H232" s="66">
        <v>231368</v>
      </c>
      <c r="I232" s="16">
        <f t="shared" si="38"/>
        <v>0.3</v>
      </c>
      <c r="J232" s="16">
        <f t="shared" si="39"/>
        <v>117.90220809095669</v>
      </c>
      <c r="K232" s="66">
        <v>190875</v>
      </c>
      <c r="L232" s="16">
        <f t="shared" si="40"/>
        <v>0.3</v>
      </c>
      <c r="M232" s="16">
        <f t="shared" si="41"/>
        <v>152.05070260033568</v>
      </c>
      <c r="N232" s="66">
        <v>10080</v>
      </c>
      <c r="O232" s="16">
        <f t="shared" si="42"/>
        <v>0</v>
      </c>
      <c r="P232" s="16">
        <f t="shared" si="43"/>
        <v>0</v>
      </c>
      <c r="Q232" s="66">
        <v>18200</v>
      </c>
      <c r="R232" s="16">
        <f t="shared" si="44"/>
        <v>0</v>
      </c>
      <c r="S232" s="16">
        <f t="shared" si="45"/>
        <v>0</v>
      </c>
    </row>
    <row r="233" spans="1:19" x14ac:dyDescent="0.3">
      <c r="A233" s="65">
        <v>20181207</v>
      </c>
      <c r="B233" s="65" t="s">
        <v>88</v>
      </c>
      <c r="C233" s="158">
        <f t="shared" si="46"/>
        <v>99173363.874084815</v>
      </c>
      <c r="D233" s="158">
        <f t="shared" si="47"/>
        <v>2.2448662617861031E-2</v>
      </c>
      <c r="E233" s="66">
        <v>40950</v>
      </c>
      <c r="F233" s="16">
        <f t="shared" si="36"/>
        <v>0.4</v>
      </c>
      <c r="G233" s="16">
        <f t="shared" si="37"/>
        <v>1004.8014547344341</v>
      </c>
      <c r="H233" s="66">
        <v>241192</v>
      </c>
      <c r="I233" s="16">
        <f t="shared" si="38"/>
        <v>0.3</v>
      </c>
      <c r="J233" s="16">
        <f t="shared" si="39"/>
        <v>117.90220809095669</v>
      </c>
      <c r="K233" s="66">
        <v>194604</v>
      </c>
      <c r="L233" s="16">
        <f t="shared" si="40"/>
        <v>0.3</v>
      </c>
      <c r="M233" s="16">
        <f t="shared" si="41"/>
        <v>152.05070260033568</v>
      </c>
      <c r="N233" s="66">
        <v>10120</v>
      </c>
      <c r="O233" s="16">
        <f t="shared" si="42"/>
        <v>0</v>
      </c>
      <c r="P233" s="16">
        <f t="shared" si="43"/>
        <v>0</v>
      </c>
      <c r="Q233" s="66">
        <v>18050</v>
      </c>
      <c r="R233" s="16">
        <f t="shared" si="44"/>
        <v>0</v>
      </c>
      <c r="S233" s="16">
        <f t="shared" si="45"/>
        <v>0</v>
      </c>
    </row>
    <row r="234" spans="1:19" x14ac:dyDescent="0.3">
      <c r="A234" s="65">
        <v>20181210</v>
      </c>
      <c r="B234" s="65" t="s">
        <v>88</v>
      </c>
      <c r="C234" s="158">
        <f t="shared" si="46"/>
        <v>97856345.546233281</v>
      </c>
      <c r="D234" s="158">
        <f t="shared" si="47"/>
        <v>-1.3279960227261047E-2</v>
      </c>
      <c r="E234" s="66">
        <v>40200</v>
      </c>
      <c r="F234" s="16">
        <f t="shared" si="36"/>
        <v>0.4</v>
      </c>
      <c r="G234" s="16">
        <f t="shared" si="37"/>
        <v>1004.8014547344341</v>
      </c>
      <c r="H234" s="66">
        <v>240210</v>
      </c>
      <c r="I234" s="16">
        <f t="shared" si="38"/>
        <v>0.3</v>
      </c>
      <c r="J234" s="16">
        <f t="shared" si="39"/>
        <v>117.90220809095669</v>
      </c>
      <c r="K234" s="66">
        <v>191660</v>
      </c>
      <c r="L234" s="16">
        <f t="shared" si="40"/>
        <v>0.3</v>
      </c>
      <c r="M234" s="16">
        <f t="shared" si="41"/>
        <v>152.05070260033568</v>
      </c>
      <c r="N234" s="66">
        <v>10020</v>
      </c>
      <c r="O234" s="16">
        <f t="shared" si="42"/>
        <v>0</v>
      </c>
      <c r="P234" s="16">
        <f t="shared" si="43"/>
        <v>0</v>
      </c>
      <c r="Q234" s="66">
        <v>17500</v>
      </c>
      <c r="R234" s="16">
        <f t="shared" si="44"/>
        <v>0</v>
      </c>
      <c r="S234" s="16">
        <f t="shared" si="45"/>
        <v>0</v>
      </c>
    </row>
    <row r="235" spans="1:19" x14ac:dyDescent="0.3">
      <c r="A235" s="65">
        <v>20181211</v>
      </c>
      <c r="B235" s="65" t="s">
        <v>88</v>
      </c>
      <c r="C235" s="158">
        <f t="shared" si="46"/>
        <v>95083732.489778116</v>
      </c>
      <c r="D235" s="158">
        <f t="shared" si="47"/>
        <v>-2.8333502962720126E-2</v>
      </c>
      <c r="E235" s="66">
        <v>40250</v>
      </c>
      <c r="F235" s="16">
        <f t="shared" si="36"/>
        <v>0.4</v>
      </c>
      <c r="G235" s="16">
        <f t="shared" si="37"/>
        <v>1004.8014547344341</v>
      </c>
      <c r="H235" s="66">
        <v>216140</v>
      </c>
      <c r="I235" s="16">
        <f t="shared" si="38"/>
        <v>0.3</v>
      </c>
      <c r="J235" s="16">
        <f t="shared" si="39"/>
        <v>117.90220809095669</v>
      </c>
      <c r="K235" s="66">
        <v>191759</v>
      </c>
      <c r="L235" s="16">
        <f t="shared" si="40"/>
        <v>0.3</v>
      </c>
      <c r="M235" s="16">
        <f t="shared" si="41"/>
        <v>152.05070260033568</v>
      </c>
      <c r="N235" s="66">
        <v>9980</v>
      </c>
      <c r="O235" s="16">
        <f t="shared" si="42"/>
        <v>0</v>
      </c>
      <c r="P235" s="16">
        <f t="shared" si="43"/>
        <v>0</v>
      </c>
      <c r="Q235" s="66">
        <v>17450</v>
      </c>
      <c r="R235" s="16">
        <f t="shared" si="44"/>
        <v>0</v>
      </c>
      <c r="S235" s="16">
        <f t="shared" si="45"/>
        <v>0</v>
      </c>
    </row>
    <row r="236" spans="1:19" x14ac:dyDescent="0.3">
      <c r="A236" s="65">
        <v>20181212</v>
      </c>
      <c r="B236" s="65" t="s">
        <v>88</v>
      </c>
      <c r="C236" s="158">
        <f t="shared" si="46"/>
        <v>97171610.421587169</v>
      </c>
      <c r="D236" s="158">
        <f t="shared" si="47"/>
        <v>2.1958308504911796E-2</v>
      </c>
      <c r="E236" s="152">
        <v>40450</v>
      </c>
      <c r="F236" s="16">
        <f t="shared" si="36"/>
        <v>0.4</v>
      </c>
      <c r="G236" s="16">
        <f t="shared" si="37"/>
        <v>1004.8014547344341</v>
      </c>
      <c r="H236" s="66">
        <v>222526</v>
      </c>
      <c r="I236" s="16">
        <f t="shared" si="38"/>
        <v>0.3</v>
      </c>
      <c r="J236" s="16">
        <f t="shared" si="39"/>
        <v>117.90220809095669</v>
      </c>
      <c r="K236" s="66">
        <v>199217</v>
      </c>
      <c r="L236" s="16">
        <f t="shared" si="40"/>
        <v>0.3</v>
      </c>
      <c r="M236" s="16">
        <f t="shared" si="41"/>
        <v>152.05070260033568</v>
      </c>
      <c r="N236" s="66">
        <v>10115</v>
      </c>
      <c r="O236" s="16">
        <f t="shared" si="42"/>
        <v>0</v>
      </c>
      <c r="P236" s="16">
        <f t="shared" si="43"/>
        <v>0</v>
      </c>
      <c r="Q236" s="66">
        <v>18900</v>
      </c>
      <c r="R236" s="16">
        <f t="shared" si="44"/>
        <v>0</v>
      </c>
      <c r="S236" s="16">
        <f t="shared" si="45"/>
        <v>0</v>
      </c>
    </row>
    <row r="237" spans="1:19" x14ac:dyDescent="0.3">
      <c r="A237" s="65">
        <v>20181213</v>
      </c>
      <c r="B237" s="65" t="s">
        <v>88</v>
      </c>
      <c r="C237" s="158">
        <f t="shared" si="46"/>
        <v>96079892.804907322</v>
      </c>
      <c r="D237" s="158">
        <f t="shared" si="47"/>
        <v>-1.1234944156460296E-2</v>
      </c>
      <c r="E237" s="66">
        <v>40000</v>
      </c>
      <c r="F237" s="16">
        <f t="shared" si="36"/>
        <v>0.4</v>
      </c>
      <c r="G237" s="16">
        <f t="shared" si="37"/>
        <v>1004.8014547344341</v>
      </c>
      <c r="H237" s="66">
        <v>213684</v>
      </c>
      <c r="I237" s="16">
        <f t="shared" si="38"/>
        <v>0.3</v>
      </c>
      <c r="J237" s="16">
        <f t="shared" si="39"/>
        <v>117.90220809095669</v>
      </c>
      <c r="K237" s="66">
        <v>201867</v>
      </c>
      <c r="L237" s="16">
        <f t="shared" si="40"/>
        <v>0.3</v>
      </c>
      <c r="M237" s="16">
        <f t="shared" si="41"/>
        <v>152.05070260033568</v>
      </c>
      <c r="N237" s="66">
        <v>10195</v>
      </c>
      <c r="O237" s="16">
        <f t="shared" si="42"/>
        <v>0</v>
      </c>
      <c r="P237" s="16">
        <f t="shared" si="43"/>
        <v>0</v>
      </c>
      <c r="Q237" s="66">
        <v>20050</v>
      </c>
      <c r="R237" s="16">
        <f t="shared" si="44"/>
        <v>0</v>
      </c>
      <c r="S237" s="16">
        <f t="shared" si="45"/>
        <v>0</v>
      </c>
    </row>
    <row r="238" spans="1:19" x14ac:dyDescent="0.3">
      <c r="A238" s="65">
        <v>20181214</v>
      </c>
      <c r="B238" s="65" t="s">
        <v>88</v>
      </c>
      <c r="C238" s="158">
        <f t="shared" si="46"/>
        <v>93014024.510646954</v>
      </c>
      <c r="D238" s="158">
        <f t="shared" si="47"/>
        <v>-3.1909572385615495E-2</v>
      </c>
      <c r="E238" s="66">
        <v>38950</v>
      </c>
      <c r="F238" s="16">
        <f t="shared" si="36"/>
        <v>0.4</v>
      </c>
      <c r="G238" s="16">
        <f t="shared" si="37"/>
        <v>1004.8014547344341</v>
      </c>
      <c r="H238" s="66">
        <v>204350</v>
      </c>
      <c r="I238" s="16">
        <f t="shared" si="38"/>
        <v>0.3</v>
      </c>
      <c r="J238" s="16">
        <f t="shared" si="39"/>
        <v>117.90220809095669</v>
      </c>
      <c r="K238" s="66">
        <v>195880</v>
      </c>
      <c r="L238" s="16">
        <f t="shared" si="40"/>
        <v>0.3</v>
      </c>
      <c r="M238" s="16">
        <f t="shared" si="41"/>
        <v>152.05070260033568</v>
      </c>
      <c r="N238" s="66">
        <v>9995</v>
      </c>
      <c r="O238" s="16">
        <f t="shared" si="42"/>
        <v>0</v>
      </c>
      <c r="P238" s="16">
        <f t="shared" si="43"/>
        <v>0</v>
      </c>
      <c r="Q238" s="66">
        <v>20200</v>
      </c>
      <c r="R238" s="16">
        <f t="shared" si="44"/>
        <v>0</v>
      </c>
      <c r="S238" s="16">
        <f t="shared" si="45"/>
        <v>0</v>
      </c>
    </row>
    <row r="239" spans="1:19" x14ac:dyDescent="0.3">
      <c r="A239" s="65">
        <v>20181217</v>
      </c>
      <c r="B239" s="65" t="s">
        <v>88</v>
      </c>
      <c r="C239" s="158">
        <f t="shared" si="46"/>
        <v>94326139.75778909</v>
      </c>
      <c r="D239" s="158">
        <f t="shared" si="47"/>
        <v>1.4106638800388035E-2</v>
      </c>
      <c r="E239" s="66">
        <v>39150</v>
      </c>
      <c r="F239" s="16">
        <f t="shared" si="36"/>
        <v>0.4</v>
      </c>
      <c r="G239" s="16">
        <f t="shared" si="37"/>
        <v>1004.8014547344341</v>
      </c>
      <c r="H239" s="66">
        <v>210736</v>
      </c>
      <c r="I239" s="16">
        <f t="shared" si="38"/>
        <v>0.3</v>
      </c>
      <c r="J239" s="16">
        <f t="shared" si="39"/>
        <v>117.90220809095669</v>
      </c>
      <c r="K239" s="66">
        <v>198236</v>
      </c>
      <c r="L239" s="16">
        <f t="shared" si="40"/>
        <v>0.3</v>
      </c>
      <c r="M239" s="16">
        <f t="shared" si="41"/>
        <v>152.05070260033568</v>
      </c>
      <c r="N239" s="66">
        <v>10020</v>
      </c>
      <c r="O239" s="16">
        <f t="shared" si="42"/>
        <v>0</v>
      </c>
      <c r="P239" s="16">
        <f t="shared" si="43"/>
        <v>0</v>
      </c>
      <c r="Q239" s="66">
        <v>20050</v>
      </c>
      <c r="R239" s="16">
        <f t="shared" si="44"/>
        <v>0</v>
      </c>
      <c r="S239" s="16">
        <f t="shared" si="45"/>
        <v>0</v>
      </c>
    </row>
    <row r="240" spans="1:19" x14ac:dyDescent="0.3">
      <c r="A240" s="65">
        <v>20181218</v>
      </c>
      <c r="B240" s="65" t="s">
        <v>88</v>
      </c>
      <c r="C240" s="158">
        <f t="shared" si="46"/>
        <v>96478005.884975433</v>
      </c>
      <c r="D240" s="158">
        <f t="shared" si="47"/>
        <v>2.2813041355364595E-2</v>
      </c>
      <c r="E240" s="66">
        <v>38900</v>
      </c>
      <c r="F240" s="16">
        <f t="shared" si="36"/>
        <v>0.4</v>
      </c>
      <c r="G240" s="16">
        <f t="shared" si="37"/>
        <v>1004.8014547344341</v>
      </c>
      <c r="H240" s="66">
        <v>214666</v>
      </c>
      <c r="I240" s="16">
        <f t="shared" si="38"/>
        <v>0.3</v>
      </c>
      <c r="J240" s="16">
        <f t="shared" si="39"/>
        <v>117.90220809095669</v>
      </c>
      <c r="K240" s="66">
        <v>210993</v>
      </c>
      <c r="L240" s="16">
        <f t="shared" si="40"/>
        <v>0.3</v>
      </c>
      <c r="M240" s="16">
        <f t="shared" si="41"/>
        <v>152.05070260033568</v>
      </c>
      <c r="N240" s="66">
        <v>9960</v>
      </c>
      <c r="O240" s="16">
        <f t="shared" si="42"/>
        <v>0</v>
      </c>
      <c r="P240" s="16">
        <f t="shared" si="43"/>
        <v>0</v>
      </c>
      <c r="Q240" s="66">
        <v>19550</v>
      </c>
      <c r="R240" s="16">
        <f t="shared" si="44"/>
        <v>0</v>
      </c>
      <c r="S240" s="16">
        <f t="shared" si="45"/>
        <v>0</v>
      </c>
    </row>
    <row r="241" spans="1:19" x14ac:dyDescent="0.3">
      <c r="A241" s="65">
        <v>20181219</v>
      </c>
      <c r="B241" s="65" t="s">
        <v>88</v>
      </c>
      <c r="C241" s="158">
        <f t="shared" si="46"/>
        <v>97743552.283603787</v>
      </c>
      <c r="D241" s="158">
        <f t="shared" si="47"/>
        <v>1.3117460161201759E-2</v>
      </c>
      <c r="E241" s="66">
        <v>39100</v>
      </c>
      <c r="F241" s="16">
        <f t="shared" si="36"/>
        <v>0.4</v>
      </c>
      <c r="G241" s="16">
        <f t="shared" si="37"/>
        <v>1004.8014547344341</v>
      </c>
      <c r="H241" s="66">
        <v>221543</v>
      </c>
      <c r="I241" s="16">
        <f t="shared" si="38"/>
        <v>0.3</v>
      </c>
      <c r="J241" s="16">
        <f t="shared" si="39"/>
        <v>117.90220809095669</v>
      </c>
      <c r="K241" s="66">
        <v>212662</v>
      </c>
      <c r="L241" s="16">
        <f t="shared" si="40"/>
        <v>0.3</v>
      </c>
      <c r="M241" s="16">
        <f t="shared" si="41"/>
        <v>152.05070260033568</v>
      </c>
      <c r="N241" s="66">
        <v>10055</v>
      </c>
      <c r="O241" s="16">
        <f t="shared" si="42"/>
        <v>0</v>
      </c>
      <c r="P241" s="16">
        <f t="shared" si="43"/>
        <v>0</v>
      </c>
      <c r="Q241" s="66">
        <v>20450</v>
      </c>
      <c r="R241" s="16">
        <f t="shared" si="44"/>
        <v>0</v>
      </c>
      <c r="S241" s="16">
        <f t="shared" si="45"/>
        <v>0</v>
      </c>
    </row>
    <row r="242" spans="1:19" x14ac:dyDescent="0.3">
      <c r="A242" s="65">
        <v>20181220</v>
      </c>
      <c r="B242" s="65" t="s">
        <v>88</v>
      </c>
      <c r="C242" s="158">
        <f t="shared" si="46"/>
        <v>98281517.754158273</v>
      </c>
      <c r="D242" s="158">
        <f t="shared" si="47"/>
        <v>5.5038461155327602E-3</v>
      </c>
      <c r="E242" s="66">
        <v>38650</v>
      </c>
      <c r="F242" s="16">
        <f t="shared" si="36"/>
        <v>0.4</v>
      </c>
      <c r="G242" s="16">
        <f t="shared" si="37"/>
        <v>1004.8014547344341</v>
      </c>
      <c r="H242" s="66">
        <v>220070</v>
      </c>
      <c r="I242" s="16">
        <f t="shared" si="38"/>
        <v>0.3</v>
      </c>
      <c r="J242" s="16">
        <f t="shared" si="39"/>
        <v>117.90220809095669</v>
      </c>
      <c r="K242" s="66">
        <v>220316</v>
      </c>
      <c r="L242" s="16">
        <f t="shared" si="40"/>
        <v>0.3</v>
      </c>
      <c r="M242" s="16">
        <f t="shared" si="41"/>
        <v>152.05070260033568</v>
      </c>
      <c r="N242" s="66">
        <v>9910</v>
      </c>
      <c r="O242" s="16">
        <f t="shared" si="42"/>
        <v>0</v>
      </c>
      <c r="P242" s="16">
        <f t="shared" si="43"/>
        <v>0</v>
      </c>
      <c r="Q242" s="66">
        <v>20350</v>
      </c>
      <c r="R242" s="16">
        <f t="shared" si="44"/>
        <v>0</v>
      </c>
      <c r="S242" s="16">
        <f t="shared" si="45"/>
        <v>0</v>
      </c>
    </row>
    <row r="243" spans="1:19" x14ac:dyDescent="0.3">
      <c r="A243" s="65">
        <v>20181221</v>
      </c>
      <c r="B243" s="65" t="s">
        <v>88</v>
      </c>
      <c r="C243" s="158">
        <f t="shared" si="46"/>
        <v>98385159.146357462</v>
      </c>
      <c r="D243" s="158">
        <f t="shared" si="47"/>
        <v>1.0545359348075739E-3</v>
      </c>
      <c r="E243" s="66">
        <v>38650</v>
      </c>
      <c r="F243" s="16">
        <f t="shared" si="36"/>
        <v>0.4</v>
      </c>
      <c r="G243" s="16">
        <f t="shared" si="37"/>
        <v>1004.8014547344341</v>
      </c>
      <c r="H243" s="66">
        <v>216140</v>
      </c>
      <c r="I243" s="16">
        <f t="shared" si="38"/>
        <v>0.3</v>
      </c>
      <c r="J243" s="16">
        <f t="shared" si="39"/>
        <v>117.90220809095669</v>
      </c>
      <c r="K243" s="66">
        <v>224045</v>
      </c>
      <c r="L243" s="16">
        <f t="shared" si="40"/>
        <v>0.3</v>
      </c>
      <c r="M243" s="16">
        <f t="shared" si="41"/>
        <v>152.05070260033568</v>
      </c>
      <c r="N243" s="66">
        <v>9880</v>
      </c>
      <c r="O243" s="16">
        <f t="shared" si="42"/>
        <v>0</v>
      </c>
      <c r="P243" s="16">
        <f t="shared" si="43"/>
        <v>0</v>
      </c>
      <c r="Q243" s="66">
        <v>20800</v>
      </c>
      <c r="R243" s="16">
        <f t="shared" si="44"/>
        <v>0</v>
      </c>
      <c r="S243" s="16">
        <f t="shared" si="45"/>
        <v>0</v>
      </c>
    </row>
    <row r="244" spans="1:19" x14ac:dyDescent="0.3">
      <c r="A244" s="65">
        <v>20181224</v>
      </c>
      <c r="B244" s="65" t="s">
        <v>88</v>
      </c>
      <c r="C244" s="158">
        <f t="shared" si="46"/>
        <v>97226732.441784471</v>
      </c>
      <c r="D244" s="158">
        <f t="shared" si="47"/>
        <v>-1.1774404947088804E-2</v>
      </c>
      <c r="E244" s="66">
        <v>38800</v>
      </c>
      <c r="F244" s="16">
        <f t="shared" si="36"/>
        <v>0.4</v>
      </c>
      <c r="G244" s="16">
        <f t="shared" si="37"/>
        <v>1004.8014547344341</v>
      </c>
      <c r="H244" s="66">
        <v>206807</v>
      </c>
      <c r="I244" s="16">
        <f t="shared" si="38"/>
        <v>0.3</v>
      </c>
      <c r="J244" s="16">
        <f t="shared" si="39"/>
        <v>117.90220809095669</v>
      </c>
      <c r="K244" s="66">
        <v>222672</v>
      </c>
      <c r="L244" s="16">
        <f t="shared" si="40"/>
        <v>0.3</v>
      </c>
      <c r="M244" s="16">
        <f t="shared" si="41"/>
        <v>152.05070260033568</v>
      </c>
      <c r="N244" s="66">
        <v>9955</v>
      </c>
      <c r="O244" s="16">
        <f t="shared" si="42"/>
        <v>0</v>
      </c>
      <c r="P244" s="16">
        <f t="shared" si="43"/>
        <v>0</v>
      </c>
      <c r="Q244" s="66">
        <v>20600</v>
      </c>
      <c r="R244" s="16">
        <f t="shared" si="44"/>
        <v>0</v>
      </c>
      <c r="S244" s="16">
        <f t="shared" si="45"/>
        <v>0</v>
      </c>
    </row>
    <row r="245" spans="1:19" x14ac:dyDescent="0.3">
      <c r="A245" s="65">
        <v>20181226</v>
      </c>
      <c r="B245" s="65" t="s">
        <v>88</v>
      </c>
      <c r="C245" s="158">
        <f t="shared" si="46"/>
        <v>99726740.925482243</v>
      </c>
      <c r="D245" s="158">
        <f t="shared" si="47"/>
        <v>2.571318011941498E-2</v>
      </c>
      <c r="E245" s="66">
        <v>38350</v>
      </c>
      <c r="F245" s="16">
        <f t="shared" si="36"/>
        <v>0.4</v>
      </c>
      <c r="G245" s="16">
        <f t="shared" si="37"/>
        <v>1004.8014547344341</v>
      </c>
      <c r="H245" s="66">
        <v>224000</v>
      </c>
      <c r="I245" s="16">
        <f t="shared" si="38"/>
        <v>0.3</v>
      </c>
      <c r="J245" s="16">
        <f t="shared" si="39"/>
        <v>117.90220809095669</v>
      </c>
      <c r="K245" s="66">
        <v>228756</v>
      </c>
      <c r="L245" s="16">
        <f t="shared" si="40"/>
        <v>0.3</v>
      </c>
      <c r="M245" s="16">
        <f t="shared" si="41"/>
        <v>152.05070260033568</v>
      </c>
      <c r="N245" s="66">
        <v>9790</v>
      </c>
      <c r="O245" s="16">
        <f t="shared" si="42"/>
        <v>0</v>
      </c>
      <c r="P245" s="16">
        <f t="shared" si="43"/>
        <v>0</v>
      </c>
      <c r="Q245" s="66">
        <v>20300</v>
      </c>
      <c r="R245" s="16">
        <f t="shared" si="44"/>
        <v>0</v>
      </c>
      <c r="S245" s="16">
        <f t="shared" si="45"/>
        <v>0</v>
      </c>
    </row>
    <row r="246" spans="1:19" x14ac:dyDescent="0.3">
      <c r="A246" s="65">
        <v>20181227</v>
      </c>
      <c r="B246" s="65" t="s">
        <v>88</v>
      </c>
      <c r="C246" s="158">
        <f t="shared" si="46"/>
        <v>101075089.0115117</v>
      </c>
      <c r="D246" s="158">
        <f t="shared" si="47"/>
        <v>1.3520426653037492E-2</v>
      </c>
      <c r="E246" s="66">
        <v>38250</v>
      </c>
      <c r="F246" s="16">
        <f t="shared" si="36"/>
        <v>0.4</v>
      </c>
      <c r="G246" s="16">
        <f t="shared" si="37"/>
        <v>1004.8014547344341</v>
      </c>
      <c r="H246" s="153">
        <v>223000</v>
      </c>
      <c r="I246" s="16">
        <f t="shared" si="38"/>
        <v>0.3</v>
      </c>
      <c r="J246" s="16">
        <f t="shared" si="39"/>
        <v>117.90220809095669</v>
      </c>
      <c r="K246" s="66">
        <v>239060</v>
      </c>
      <c r="L246" s="16">
        <f t="shared" si="40"/>
        <v>0.3</v>
      </c>
      <c r="M246" s="16">
        <f t="shared" si="41"/>
        <v>152.05070260033568</v>
      </c>
      <c r="N246" s="66">
        <v>9940</v>
      </c>
      <c r="O246" s="16">
        <f t="shared" si="42"/>
        <v>0</v>
      </c>
      <c r="P246" s="16">
        <f t="shared" si="43"/>
        <v>0</v>
      </c>
      <c r="Q246" s="66">
        <v>19750</v>
      </c>
      <c r="R246" s="16">
        <f t="shared" si="44"/>
        <v>0</v>
      </c>
      <c r="S246" s="16">
        <f t="shared" si="45"/>
        <v>0</v>
      </c>
    </row>
    <row r="247" spans="1:19" x14ac:dyDescent="0.3">
      <c r="A247" s="65">
        <v>20181228</v>
      </c>
      <c r="B247" s="65" t="s">
        <v>88</v>
      </c>
      <c r="C247" s="158">
        <f t="shared" si="46"/>
        <v>103020280.08353834</v>
      </c>
      <c r="D247" s="158">
        <f t="shared" si="47"/>
        <v>1.9245009735337434E-2</v>
      </c>
      <c r="E247" s="66">
        <v>38700</v>
      </c>
      <c r="F247" s="16">
        <f t="shared" si="36"/>
        <v>0.4</v>
      </c>
      <c r="G247" s="16">
        <f t="shared" si="37"/>
        <v>1004.8014547344341</v>
      </c>
      <c r="H247" s="66">
        <v>222500</v>
      </c>
      <c r="I247" s="16">
        <f t="shared" si="38"/>
        <v>0.3</v>
      </c>
      <c r="J247" s="16">
        <f t="shared" si="39"/>
        <v>117.90220809095669</v>
      </c>
      <c r="K247" s="66">
        <v>249267</v>
      </c>
      <c r="L247" s="16">
        <f t="shared" si="40"/>
        <v>0.3</v>
      </c>
      <c r="M247" s="16">
        <f t="shared" si="41"/>
        <v>152.05070260033568</v>
      </c>
      <c r="N247" s="66">
        <v>10040</v>
      </c>
      <c r="O247" s="16">
        <f t="shared" si="42"/>
        <v>0</v>
      </c>
      <c r="P247" s="16">
        <f t="shared" si="43"/>
        <v>0</v>
      </c>
      <c r="Q247" s="66">
        <v>19650</v>
      </c>
      <c r="R247" s="16">
        <f t="shared" si="44"/>
        <v>0</v>
      </c>
      <c r="S247" s="16">
        <f t="shared" si="45"/>
        <v>0</v>
      </c>
    </row>
    <row r="248" spans="1:19" x14ac:dyDescent="0.3">
      <c r="A248" s="139">
        <v>20190102</v>
      </c>
      <c r="B248" s="139" t="s">
        <v>89</v>
      </c>
      <c r="C248" s="158">
        <f t="shared" si="46"/>
        <v>103062733.70238772</v>
      </c>
      <c r="D248" s="158">
        <f t="shared" si="47"/>
        <v>4.1208991875149728E-4</v>
      </c>
      <c r="E248" s="155">
        <v>38750</v>
      </c>
      <c r="F248" s="156">
        <v>0.3</v>
      </c>
      <c r="G248" s="156">
        <f>C247*F248/E247</f>
        <v>798.60682235301033</v>
      </c>
      <c r="H248" s="155">
        <v>214500</v>
      </c>
      <c r="I248" s="156">
        <v>0.15</v>
      </c>
      <c r="J248" s="156">
        <f>C247*I248/H247</f>
        <v>69.451874213621352</v>
      </c>
      <c r="K248" s="155">
        <v>255155</v>
      </c>
      <c r="L248" s="156">
        <v>0.15</v>
      </c>
      <c r="M248" s="156">
        <f>C247*L248/K247</f>
        <v>61.993934265389122</v>
      </c>
      <c r="N248" s="155">
        <v>9845</v>
      </c>
      <c r="O248" s="156">
        <v>0.1</v>
      </c>
      <c r="P248" s="156">
        <f>C247*O248/N247</f>
        <v>1026.0984072065573</v>
      </c>
      <c r="Q248" s="155">
        <v>19900</v>
      </c>
      <c r="R248" s="156">
        <v>0.3</v>
      </c>
      <c r="S248" s="156">
        <f>C247*R248/Q247</f>
        <v>1572.8287035654707</v>
      </c>
    </row>
    <row r="249" spans="1:19" x14ac:dyDescent="0.3">
      <c r="A249" s="65">
        <v>20190103</v>
      </c>
      <c r="B249" s="65" t="s">
        <v>88</v>
      </c>
      <c r="C249" s="158">
        <f t="shared" si="46"/>
        <v>99472655.974236041</v>
      </c>
      <c r="D249" s="158">
        <f t="shared" si="47"/>
        <v>-3.4833907457943798E-2</v>
      </c>
      <c r="E249" s="66">
        <v>37600</v>
      </c>
      <c r="F249" s="16">
        <f>$F$248</f>
        <v>0.3</v>
      </c>
      <c r="G249" s="16">
        <f>$G$248</f>
        <v>798.60682235301033</v>
      </c>
      <c r="H249" s="66">
        <v>210500</v>
      </c>
      <c r="I249" s="16">
        <f>$I$248</f>
        <v>0.15</v>
      </c>
      <c r="J249" s="16">
        <f>$J$248</f>
        <v>69.451874213621352</v>
      </c>
      <c r="K249" s="66">
        <v>244752</v>
      </c>
      <c r="L249" s="16">
        <f>$L$248</f>
        <v>0.15</v>
      </c>
      <c r="M249" s="16">
        <f>$M$248</f>
        <v>61.993934265389122</v>
      </c>
      <c r="N249" s="66">
        <v>9750</v>
      </c>
      <c r="O249" s="16">
        <f>$O$248</f>
        <v>0.1</v>
      </c>
      <c r="P249" s="16">
        <f>P248</f>
        <v>1026.0984072065573</v>
      </c>
      <c r="Q249" s="66">
        <v>18850</v>
      </c>
      <c r="R249" s="16">
        <f>$R$248</f>
        <v>0.3</v>
      </c>
      <c r="S249" s="16">
        <f>$S$248</f>
        <v>1572.8287035654707</v>
      </c>
    </row>
    <row r="250" spans="1:19" x14ac:dyDescent="0.3">
      <c r="A250" s="65">
        <v>20190104</v>
      </c>
      <c r="B250" s="65" t="s">
        <v>88</v>
      </c>
      <c r="C250" s="158">
        <f t="shared" si="46"/>
        <v>99894428.473599508</v>
      </c>
      <c r="D250" s="158">
        <f t="shared" si="47"/>
        <v>4.2400848276606638E-3</v>
      </c>
      <c r="E250" s="66">
        <v>37450</v>
      </c>
      <c r="F250" s="16">
        <f t="shared" ref="F250:F313" si="48">$F$248</f>
        <v>0.3</v>
      </c>
      <c r="G250" s="16">
        <f t="shared" ref="G250:G313" si="49">$G$248</f>
        <v>798.60682235301033</v>
      </c>
      <c r="H250" s="66">
        <v>220000</v>
      </c>
      <c r="I250" s="16">
        <f t="shared" ref="I250:I313" si="50">$I$248</f>
        <v>0.15</v>
      </c>
      <c r="J250" s="16">
        <f t="shared" ref="J250:J313" si="51">$J$248</f>
        <v>69.451874213621352</v>
      </c>
      <c r="K250" s="66">
        <v>249463</v>
      </c>
      <c r="L250" s="16">
        <f t="shared" ref="L250:L313" si="52">$L$248</f>
        <v>0.15</v>
      </c>
      <c r="M250" s="16">
        <f t="shared" ref="M250:M313" si="53">$M$248</f>
        <v>61.993934265389122</v>
      </c>
      <c r="N250" s="66">
        <v>9810</v>
      </c>
      <c r="O250" s="16">
        <f t="shared" ref="O250:O313" si="54">$O$248</f>
        <v>0.1</v>
      </c>
      <c r="P250" s="16">
        <f t="shared" ref="P250:P313" si="55">P249</f>
        <v>1026.0984072065573</v>
      </c>
      <c r="Q250" s="66">
        <v>18550</v>
      </c>
      <c r="R250" s="16">
        <f t="shared" ref="R250:R313" si="56">$R$248</f>
        <v>0.3</v>
      </c>
      <c r="S250" s="16">
        <f t="shared" ref="S250:S313" si="57">$S$248</f>
        <v>1572.8287035654707</v>
      </c>
    </row>
    <row r="251" spans="1:19" x14ac:dyDescent="0.3">
      <c r="A251" s="65">
        <v>20190107</v>
      </c>
      <c r="B251" s="65" t="s">
        <v>88</v>
      </c>
      <c r="C251" s="158">
        <f t="shared" si="46"/>
        <v>102312628.77683231</v>
      </c>
      <c r="D251" s="158">
        <f t="shared" si="47"/>
        <v>2.4207559322208801E-2</v>
      </c>
      <c r="E251" s="66">
        <v>38750</v>
      </c>
      <c r="F251" s="16">
        <f t="shared" si="48"/>
        <v>0.3</v>
      </c>
      <c r="G251" s="16">
        <f t="shared" si="49"/>
        <v>798.60682235301033</v>
      </c>
      <c r="H251" s="66">
        <v>216000</v>
      </c>
      <c r="I251" s="16">
        <f t="shared" si="50"/>
        <v>0.15</v>
      </c>
      <c r="J251" s="16">
        <f t="shared" si="51"/>
        <v>69.451874213621352</v>
      </c>
      <c r="K251" s="66">
        <v>250640</v>
      </c>
      <c r="L251" s="16">
        <f t="shared" si="52"/>
        <v>0.15</v>
      </c>
      <c r="M251" s="16">
        <f t="shared" si="53"/>
        <v>61.993934265389122</v>
      </c>
      <c r="N251" s="66">
        <v>9975</v>
      </c>
      <c r="O251" s="16">
        <f t="shared" si="54"/>
        <v>0.1</v>
      </c>
      <c r="P251" s="16">
        <f t="shared" si="55"/>
        <v>1026.0984072065573</v>
      </c>
      <c r="Q251" s="66">
        <v>19450</v>
      </c>
      <c r="R251" s="16">
        <f t="shared" si="56"/>
        <v>0.3</v>
      </c>
      <c r="S251" s="16">
        <f t="shared" si="57"/>
        <v>1572.8287035654707</v>
      </c>
    </row>
    <row r="252" spans="1:19" x14ac:dyDescent="0.3">
      <c r="A252" s="65">
        <v>20190108</v>
      </c>
      <c r="B252" s="65" t="s">
        <v>88</v>
      </c>
      <c r="C252" s="158">
        <f t="shared" si="46"/>
        <v>102853559.70378222</v>
      </c>
      <c r="D252" s="158">
        <f t="shared" si="47"/>
        <v>5.2870396686786319E-3</v>
      </c>
      <c r="E252" s="66">
        <v>38100</v>
      </c>
      <c r="F252" s="16">
        <f t="shared" si="48"/>
        <v>0.3</v>
      </c>
      <c r="G252" s="16">
        <f t="shared" si="49"/>
        <v>798.60682235301033</v>
      </c>
      <c r="H252" s="66">
        <v>213500</v>
      </c>
      <c r="I252" s="16">
        <f t="shared" si="50"/>
        <v>0.15</v>
      </c>
      <c r="J252" s="16">
        <f t="shared" si="51"/>
        <v>69.451874213621352</v>
      </c>
      <c r="K252" s="66">
        <v>254959</v>
      </c>
      <c r="L252" s="16">
        <f t="shared" si="52"/>
        <v>0.15</v>
      </c>
      <c r="M252" s="16">
        <f t="shared" si="53"/>
        <v>61.993934265389122</v>
      </c>
      <c r="N252" s="66">
        <v>9920</v>
      </c>
      <c r="O252" s="16">
        <f t="shared" si="54"/>
        <v>0.1</v>
      </c>
      <c r="P252" s="16">
        <f t="shared" si="55"/>
        <v>1026.0984072065573</v>
      </c>
      <c r="Q252" s="66">
        <v>20100</v>
      </c>
      <c r="R252" s="16">
        <f t="shared" si="56"/>
        <v>0.3</v>
      </c>
      <c r="S252" s="16">
        <f t="shared" si="57"/>
        <v>1572.8287035654707</v>
      </c>
    </row>
    <row r="253" spans="1:19" x14ac:dyDescent="0.3">
      <c r="A253" s="65">
        <v>20190109</v>
      </c>
      <c r="B253" s="65" t="s">
        <v>88</v>
      </c>
      <c r="C253" s="158">
        <f t="shared" si="46"/>
        <v>106011372.65070817</v>
      </c>
      <c r="D253" s="158">
        <f t="shared" si="47"/>
        <v>3.0702028748644576E-2</v>
      </c>
      <c r="E253" s="66">
        <v>39600</v>
      </c>
      <c r="F253" s="16">
        <f t="shared" si="48"/>
        <v>0.3</v>
      </c>
      <c r="G253" s="16">
        <f t="shared" si="49"/>
        <v>798.60682235301033</v>
      </c>
      <c r="H253" s="66">
        <v>214000</v>
      </c>
      <c r="I253" s="16">
        <f t="shared" si="50"/>
        <v>0.15</v>
      </c>
      <c r="J253" s="16">
        <f t="shared" si="51"/>
        <v>69.451874213621352</v>
      </c>
      <c r="K253" s="66">
        <v>239159</v>
      </c>
      <c r="L253" s="16">
        <f t="shared" si="52"/>
        <v>0.15</v>
      </c>
      <c r="M253" s="16">
        <f t="shared" si="53"/>
        <v>61.993934265389122</v>
      </c>
      <c r="N253" s="66">
        <v>10145</v>
      </c>
      <c r="O253" s="16">
        <f t="shared" si="54"/>
        <v>0.1</v>
      </c>
      <c r="P253" s="16">
        <f t="shared" si="55"/>
        <v>1026.0984072065573</v>
      </c>
      <c r="Q253" s="66">
        <v>21800</v>
      </c>
      <c r="R253" s="16">
        <f t="shared" si="56"/>
        <v>0.3</v>
      </c>
      <c r="S253" s="16">
        <f t="shared" si="57"/>
        <v>1572.8287035654707</v>
      </c>
    </row>
    <row r="254" spans="1:19" x14ac:dyDescent="0.3">
      <c r="A254" s="65">
        <v>20190110</v>
      </c>
      <c r="B254" s="65" t="s">
        <v>88</v>
      </c>
      <c r="C254" s="158">
        <f t="shared" si="46"/>
        <v>107923121.36420938</v>
      </c>
      <c r="D254" s="158">
        <f t="shared" si="47"/>
        <v>1.8033430430149648E-2</v>
      </c>
      <c r="E254" s="66">
        <v>39800</v>
      </c>
      <c r="F254" s="16">
        <f t="shared" si="48"/>
        <v>0.3</v>
      </c>
      <c r="G254" s="16">
        <f t="shared" si="49"/>
        <v>798.60682235301033</v>
      </c>
      <c r="H254" s="66">
        <v>216500</v>
      </c>
      <c r="I254" s="16">
        <f t="shared" si="50"/>
        <v>0.15</v>
      </c>
      <c r="J254" s="16">
        <f t="shared" si="51"/>
        <v>69.451874213621352</v>
      </c>
      <c r="K254" s="66">
        <v>244654</v>
      </c>
      <c r="L254" s="16">
        <f t="shared" si="52"/>
        <v>0.15</v>
      </c>
      <c r="M254" s="16">
        <f t="shared" si="53"/>
        <v>61.993934265389122</v>
      </c>
      <c r="N254" s="66">
        <v>10125</v>
      </c>
      <c r="O254" s="16">
        <f t="shared" si="54"/>
        <v>0.1</v>
      </c>
      <c r="P254" s="16">
        <f t="shared" si="55"/>
        <v>1026.0984072065573</v>
      </c>
      <c r="Q254" s="66">
        <v>22600</v>
      </c>
      <c r="R254" s="16">
        <f t="shared" si="56"/>
        <v>0.3</v>
      </c>
      <c r="S254" s="16">
        <f t="shared" si="57"/>
        <v>1572.8287035654707</v>
      </c>
    </row>
    <row r="255" spans="1:19" x14ac:dyDescent="0.3">
      <c r="A255" s="65">
        <v>20190111</v>
      </c>
      <c r="B255" s="65" t="s">
        <v>88</v>
      </c>
      <c r="C255" s="158">
        <f t="shared" si="46"/>
        <v>108170425.85351156</v>
      </c>
      <c r="D255" s="158">
        <f t="shared" si="47"/>
        <v>2.291487553140647E-3</v>
      </c>
      <c r="E255" s="66">
        <v>40500</v>
      </c>
      <c r="F255" s="16">
        <f t="shared" si="48"/>
        <v>0.3</v>
      </c>
      <c r="G255" s="16">
        <f t="shared" si="49"/>
        <v>798.60682235301033</v>
      </c>
      <c r="H255" s="66">
        <v>216500</v>
      </c>
      <c r="I255" s="16">
        <f t="shared" si="50"/>
        <v>0.15</v>
      </c>
      <c r="J255" s="16">
        <f t="shared" si="51"/>
        <v>69.451874213621352</v>
      </c>
      <c r="K255" s="66">
        <v>244065</v>
      </c>
      <c r="L255" s="16">
        <f t="shared" si="52"/>
        <v>0.15</v>
      </c>
      <c r="M255" s="16">
        <f t="shared" si="53"/>
        <v>61.993934265389122</v>
      </c>
      <c r="N255" s="66">
        <v>10240</v>
      </c>
      <c r="O255" s="16">
        <f t="shared" si="54"/>
        <v>0.1</v>
      </c>
      <c r="P255" s="16">
        <f t="shared" si="55"/>
        <v>1026.0984072065573</v>
      </c>
      <c r="Q255" s="66">
        <v>22350</v>
      </c>
      <c r="R255" s="16">
        <f t="shared" si="56"/>
        <v>0.3</v>
      </c>
      <c r="S255" s="16">
        <f t="shared" si="57"/>
        <v>1572.8287035654707</v>
      </c>
    </row>
    <row r="256" spans="1:19" x14ac:dyDescent="0.3">
      <c r="A256" s="65">
        <v>20190114</v>
      </c>
      <c r="B256" s="65" t="s">
        <v>88</v>
      </c>
      <c r="C256" s="158">
        <f t="shared" si="46"/>
        <v>107011315.26786324</v>
      </c>
      <c r="D256" s="158">
        <f t="shared" si="47"/>
        <v>-1.071559602823441E-2</v>
      </c>
      <c r="E256" s="66">
        <v>40050</v>
      </c>
      <c r="F256" s="16">
        <f t="shared" si="48"/>
        <v>0.3</v>
      </c>
      <c r="G256" s="16">
        <f t="shared" si="49"/>
        <v>798.60682235301033</v>
      </c>
      <c r="H256" s="66">
        <v>211000</v>
      </c>
      <c r="I256" s="16">
        <f t="shared" si="50"/>
        <v>0.15</v>
      </c>
      <c r="J256" s="16">
        <f t="shared" si="51"/>
        <v>69.451874213621352</v>
      </c>
      <c r="K256" s="66">
        <v>239257</v>
      </c>
      <c r="L256" s="16">
        <f t="shared" si="52"/>
        <v>0.15</v>
      </c>
      <c r="M256" s="16">
        <f t="shared" si="53"/>
        <v>61.993934265389122</v>
      </c>
      <c r="N256" s="66">
        <v>10200</v>
      </c>
      <c r="O256" s="16">
        <f t="shared" si="54"/>
        <v>0.1</v>
      </c>
      <c r="P256" s="16">
        <f t="shared" si="55"/>
        <v>1026.0984072065573</v>
      </c>
      <c r="Q256" s="66">
        <v>22300</v>
      </c>
      <c r="R256" s="16">
        <f t="shared" si="56"/>
        <v>0.3</v>
      </c>
      <c r="S256" s="16">
        <f t="shared" si="57"/>
        <v>1572.8287035654707</v>
      </c>
    </row>
    <row r="257" spans="1:19" x14ac:dyDescent="0.3">
      <c r="A257" s="65">
        <v>20190115</v>
      </c>
      <c r="B257" s="65" t="s">
        <v>88</v>
      </c>
      <c r="C257" s="158">
        <f t="shared" si="46"/>
        <v>107039930.79246119</v>
      </c>
      <c r="D257" s="158">
        <f t="shared" si="47"/>
        <v>2.6740653104126839E-4</v>
      </c>
      <c r="E257" s="66">
        <v>41100</v>
      </c>
      <c r="F257" s="16">
        <f t="shared" si="48"/>
        <v>0.3</v>
      </c>
      <c r="G257" s="16">
        <f t="shared" si="49"/>
        <v>798.60682235301033</v>
      </c>
      <c r="H257" s="66">
        <v>207500</v>
      </c>
      <c r="I257" s="16">
        <f t="shared" si="50"/>
        <v>0.15</v>
      </c>
      <c r="J257" s="16">
        <f t="shared" si="51"/>
        <v>69.451874213621352</v>
      </c>
      <c r="K257" s="66">
        <v>242495</v>
      </c>
      <c r="L257" s="16">
        <f t="shared" si="52"/>
        <v>0.15</v>
      </c>
      <c r="M257" s="16">
        <f t="shared" si="53"/>
        <v>61.993934265389122</v>
      </c>
      <c r="N257" s="66">
        <v>10295</v>
      </c>
      <c r="O257" s="16">
        <f t="shared" si="54"/>
        <v>0.1</v>
      </c>
      <c r="P257" s="16">
        <f t="shared" si="55"/>
        <v>1026.0984072065573</v>
      </c>
      <c r="Q257" s="66">
        <v>21750</v>
      </c>
      <c r="R257" s="16">
        <f t="shared" si="56"/>
        <v>0.3</v>
      </c>
      <c r="S257" s="16">
        <f t="shared" si="57"/>
        <v>1572.8287035654707</v>
      </c>
    </row>
    <row r="258" spans="1:19" x14ac:dyDescent="0.3">
      <c r="A258" s="65">
        <v>20190116</v>
      </c>
      <c r="B258" s="65" t="s">
        <v>88</v>
      </c>
      <c r="C258" s="158">
        <f t="shared" si="46"/>
        <v>106543836.22196129</v>
      </c>
      <c r="D258" s="158">
        <f t="shared" si="47"/>
        <v>-4.6346682665721313E-3</v>
      </c>
      <c r="E258" s="66">
        <v>41450</v>
      </c>
      <c r="F258" s="16">
        <f t="shared" si="48"/>
        <v>0.3</v>
      </c>
      <c r="G258" s="16">
        <f t="shared" si="49"/>
        <v>798.60682235301033</v>
      </c>
      <c r="H258" s="66">
        <v>202000</v>
      </c>
      <c r="I258" s="16">
        <f t="shared" si="50"/>
        <v>0.15</v>
      </c>
      <c r="J258" s="16">
        <f t="shared" si="51"/>
        <v>69.451874213621352</v>
      </c>
      <c r="K258" s="66">
        <v>244556</v>
      </c>
      <c r="L258" s="16">
        <f t="shared" si="52"/>
        <v>0.15</v>
      </c>
      <c r="M258" s="16">
        <f t="shared" si="53"/>
        <v>61.993934265389122</v>
      </c>
      <c r="N258" s="66">
        <v>10400</v>
      </c>
      <c r="O258" s="16">
        <f t="shared" si="54"/>
        <v>0.1</v>
      </c>
      <c r="P258" s="16">
        <f t="shared" si="55"/>
        <v>1026.0984072065573</v>
      </c>
      <c r="Q258" s="66">
        <v>21350</v>
      </c>
      <c r="R258" s="16">
        <f t="shared" si="56"/>
        <v>0.3</v>
      </c>
      <c r="S258" s="16">
        <f t="shared" si="57"/>
        <v>1572.8287035654707</v>
      </c>
    </row>
    <row r="259" spans="1:19" x14ac:dyDescent="0.3">
      <c r="A259" s="65">
        <v>20190117</v>
      </c>
      <c r="B259" s="65" t="s">
        <v>88</v>
      </c>
      <c r="C259" s="158">
        <f t="shared" si="46"/>
        <v>105759928.22172208</v>
      </c>
      <c r="D259" s="158">
        <f t="shared" si="47"/>
        <v>-7.357610050816114E-3</v>
      </c>
      <c r="E259" s="66">
        <v>41950</v>
      </c>
      <c r="F259" s="16">
        <f t="shared" si="48"/>
        <v>0.3</v>
      </c>
      <c r="G259" s="16">
        <f t="shared" si="49"/>
        <v>798.60682235301033</v>
      </c>
      <c r="H259" s="66">
        <v>195500</v>
      </c>
      <c r="I259" s="16">
        <f t="shared" si="50"/>
        <v>0.15</v>
      </c>
      <c r="J259" s="16">
        <f t="shared" si="51"/>
        <v>69.451874213621352</v>
      </c>
      <c r="K259" s="66">
        <v>250346</v>
      </c>
      <c r="L259" s="16">
        <f t="shared" si="52"/>
        <v>0.15</v>
      </c>
      <c r="M259" s="16">
        <f t="shared" si="53"/>
        <v>61.993934265389122</v>
      </c>
      <c r="N259" s="66">
        <v>10410</v>
      </c>
      <c r="O259" s="16">
        <f t="shared" si="54"/>
        <v>0.1</v>
      </c>
      <c r="P259" s="16">
        <f t="shared" si="55"/>
        <v>1026.0984072065573</v>
      </c>
      <c r="Q259" s="66">
        <v>20650</v>
      </c>
      <c r="R259" s="16">
        <f t="shared" si="56"/>
        <v>0.3</v>
      </c>
      <c r="S259" s="16">
        <f t="shared" si="57"/>
        <v>1572.8287035654707</v>
      </c>
    </row>
    <row r="260" spans="1:19" x14ac:dyDescent="0.3">
      <c r="A260" s="65">
        <v>20190118</v>
      </c>
      <c r="B260" s="65" t="s">
        <v>88</v>
      </c>
      <c r="C260" s="158">
        <f t="shared" si="46"/>
        <v>109358462.62725431</v>
      </c>
      <c r="D260" s="158">
        <f t="shared" si="47"/>
        <v>3.4025499695763989E-2</v>
      </c>
      <c r="E260" s="66">
        <v>42300</v>
      </c>
      <c r="F260" s="16">
        <f t="shared" si="48"/>
        <v>0.3</v>
      </c>
      <c r="G260" s="16">
        <f t="shared" si="49"/>
        <v>798.60682235301033</v>
      </c>
      <c r="H260" s="66">
        <v>201000</v>
      </c>
      <c r="I260" s="16">
        <f t="shared" si="50"/>
        <v>0.15</v>
      </c>
      <c r="J260" s="16">
        <f t="shared" si="51"/>
        <v>69.451874213621352</v>
      </c>
      <c r="K260" s="66">
        <v>256136</v>
      </c>
      <c r="L260" s="16">
        <f t="shared" si="52"/>
        <v>0.15</v>
      </c>
      <c r="M260" s="16">
        <f t="shared" si="53"/>
        <v>61.993934265389122</v>
      </c>
      <c r="N260" s="66">
        <v>10470</v>
      </c>
      <c r="O260" s="16">
        <f t="shared" si="54"/>
        <v>0.1</v>
      </c>
      <c r="P260" s="16">
        <f t="shared" si="55"/>
        <v>1026.0984072065573</v>
      </c>
      <c r="Q260" s="66">
        <v>22250</v>
      </c>
      <c r="R260" s="16">
        <f t="shared" si="56"/>
        <v>0.3</v>
      </c>
      <c r="S260" s="16">
        <f t="shared" si="57"/>
        <v>1572.8287035654707</v>
      </c>
    </row>
    <row r="261" spans="1:19" x14ac:dyDescent="0.3">
      <c r="A261" s="65">
        <v>20190121</v>
      </c>
      <c r="B261" s="65" t="s">
        <v>88</v>
      </c>
      <c r="C261" s="158">
        <f t="shared" ref="C261:C324" si="58">E261*G261+H261*J261+K261*M261+N261*P261+Q261*S261</f>
        <v>109302067.32693288</v>
      </c>
      <c r="D261" s="158">
        <f t="shared" si="47"/>
        <v>-5.1569214641990712E-4</v>
      </c>
      <c r="E261" s="66">
        <v>42750</v>
      </c>
      <c r="F261" s="16">
        <f t="shared" si="48"/>
        <v>0.3</v>
      </c>
      <c r="G261" s="16">
        <f t="shared" si="49"/>
        <v>798.60682235301033</v>
      </c>
      <c r="H261" s="66">
        <v>198000</v>
      </c>
      <c r="I261" s="16">
        <f t="shared" si="50"/>
        <v>0.15</v>
      </c>
      <c r="J261" s="16">
        <f t="shared" si="51"/>
        <v>69.451874213621352</v>
      </c>
      <c r="K261" s="66">
        <v>252211</v>
      </c>
      <c r="L261" s="16">
        <f t="shared" si="52"/>
        <v>0.15</v>
      </c>
      <c r="M261" s="16">
        <f t="shared" si="53"/>
        <v>61.993934265389122</v>
      </c>
      <c r="N261" s="66">
        <v>10505</v>
      </c>
      <c r="O261" s="16">
        <f t="shared" si="54"/>
        <v>0.1</v>
      </c>
      <c r="P261" s="16">
        <f t="shared" si="55"/>
        <v>1026.0984072065573</v>
      </c>
      <c r="Q261" s="66">
        <v>22250</v>
      </c>
      <c r="R261" s="16">
        <f t="shared" si="56"/>
        <v>0.3</v>
      </c>
      <c r="S261" s="16">
        <f t="shared" si="57"/>
        <v>1572.8287035654707</v>
      </c>
    </row>
    <row r="262" spans="1:19" x14ac:dyDescent="0.3">
      <c r="A262" s="65">
        <v>20190122</v>
      </c>
      <c r="B262" s="65" t="s">
        <v>88</v>
      </c>
      <c r="C262" s="158">
        <f t="shared" si="58"/>
        <v>108203674.05850551</v>
      </c>
      <c r="D262" s="158">
        <f t="shared" ref="D262:D325" si="59">(C262-C261)/C261</f>
        <v>-1.0049153646307285E-2</v>
      </c>
      <c r="E262" s="66">
        <v>42150</v>
      </c>
      <c r="F262" s="16">
        <f t="shared" si="48"/>
        <v>0.3</v>
      </c>
      <c r="G262" s="16">
        <f t="shared" si="49"/>
        <v>798.60682235301033</v>
      </c>
      <c r="H262" s="66">
        <v>200000</v>
      </c>
      <c r="I262" s="16">
        <f t="shared" si="50"/>
        <v>0.15</v>
      </c>
      <c r="J262" s="16">
        <f t="shared" si="51"/>
        <v>69.451874213621352</v>
      </c>
      <c r="K262" s="66">
        <v>252309</v>
      </c>
      <c r="L262" s="16">
        <f t="shared" si="52"/>
        <v>0.15</v>
      </c>
      <c r="M262" s="16">
        <f t="shared" si="53"/>
        <v>61.993934265389122</v>
      </c>
      <c r="N262" s="66">
        <v>10450</v>
      </c>
      <c r="O262" s="16">
        <f t="shared" si="54"/>
        <v>0.1</v>
      </c>
      <c r="P262" s="16">
        <f t="shared" si="55"/>
        <v>1026.0984072065573</v>
      </c>
      <c r="Q262" s="66">
        <v>21800</v>
      </c>
      <c r="R262" s="16">
        <f t="shared" si="56"/>
        <v>0.3</v>
      </c>
      <c r="S262" s="16">
        <f t="shared" si="57"/>
        <v>1572.8287035654707</v>
      </c>
    </row>
    <row r="263" spans="1:19" x14ac:dyDescent="0.3">
      <c r="A263" s="65">
        <v>20190123</v>
      </c>
      <c r="B263" s="65" t="s">
        <v>88</v>
      </c>
      <c r="C263" s="158">
        <f t="shared" si="58"/>
        <v>107567517.12731367</v>
      </c>
      <c r="D263" s="158">
        <f t="shared" si="59"/>
        <v>-5.8792544405457349E-3</v>
      </c>
      <c r="E263" s="66">
        <v>42000</v>
      </c>
      <c r="F263" s="16">
        <f t="shared" si="48"/>
        <v>0.3</v>
      </c>
      <c r="G263" s="16">
        <f t="shared" si="49"/>
        <v>798.60682235301033</v>
      </c>
      <c r="H263" s="66">
        <v>200000</v>
      </c>
      <c r="I263" s="16">
        <f t="shared" si="50"/>
        <v>0.15</v>
      </c>
      <c r="J263" s="16">
        <f t="shared" si="51"/>
        <v>69.451874213621352</v>
      </c>
      <c r="K263" s="66">
        <v>247206</v>
      </c>
      <c r="L263" s="16">
        <f t="shared" si="52"/>
        <v>0.15</v>
      </c>
      <c r="M263" s="16">
        <f t="shared" si="53"/>
        <v>61.993934265389122</v>
      </c>
      <c r="N263" s="66">
        <v>10485</v>
      </c>
      <c r="O263" s="16">
        <f t="shared" si="54"/>
        <v>0.1</v>
      </c>
      <c r="P263" s="16">
        <f t="shared" si="55"/>
        <v>1026.0984072065573</v>
      </c>
      <c r="Q263" s="66">
        <v>21650</v>
      </c>
      <c r="R263" s="16">
        <f t="shared" si="56"/>
        <v>0.3</v>
      </c>
      <c r="S263" s="16">
        <f t="shared" si="57"/>
        <v>1572.8287035654707</v>
      </c>
    </row>
    <row r="264" spans="1:19" x14ac:dyDescent="0.3">
      <c r="A264" s="65">
        <v>20190124</v>
      </c>
      <c r="B264" s="65" t="s">
        <v>88</v>
      </c>
      <c r="C264" s="158">
        <f t="shared" si="58"/>
        <v>109445072.45365351</v>
      </c>
      <c r="D264" s="158">
        <f t="shared" si="59"/>
        <v>1.7454668253777977E-2</v>
      </c>
      <c r="E264" s="66">
        <v>43050</v>
      </c>
      <c r="F264" s="16">
        <f t="shared" si="48"/>
        <v>0.3</v>
      </c>
      <c r="G264" s="16">
        <f t="shared" si="49"/>
        <v>798.60682235301033</v>
      </c>
      <c r="H264" s="66">
        <v>208000</v>
      </c>
      <c r="I264" s="16">
        <f t="shared" si="50"/>
        <v>0.15</v>
      </c>
      <c r="J264" s="16">
        <f t="shared" si="51"/>
        <v>69.451874213621352</v>
      </c>
      <c r="K264" s="66">
        <v>256823</v>
      </c>
      <c r="L264" s="16">
        <f t="shared" si="52"/>
        <v>0.15</v>
      </c>
      <c r="M264" s="16">
        <f t="shared" si="53"/>
        <v>61.993934265389122</v>
      </c>
      <c r="N264" s="66">
        <v>10605</v>
      </c>
      <c r="O264" s="16">
        <f t="shared" si="54"/>
        <v>0.1</v>
      </c>
      <c r="P264" s="16">
        <f t="shared" si="55"/>
        <v>1026.0984072065573</v>
      </c>
      <c r="Q264" s="66">
        <v>21500</v>
      </c>
      <c r="R264" s="16">
        <f t="shared" si="56"/>
        <v>0.3</v>
      </c>
      <c r="S264" s="16">
        <f t="shared" si="57"/>
        <v>1572.8287035654707</v>
      </c>
    </row>
    <row r="265" spans="1:19" x14ac:dyDescent="0.3">
      <c r="A265" s="65">
        <v>20190125</v>
      </c>
      <c r="B265" s="65" t="s">
        <v>88</v>
      </c>
      <c r="C265" s="158">
        <f t="shared" si="58"/>
        <v>112073841.57312505</v>
      </c>
      <c r="D265" s="158">
        <f t="shared" si="59"/>
        <v>2.4019072403508479E-2</v>
      </c>
      <c r="E265" s="66">
        <v>44750</v>
      </c>
      <c r="F265" s="16">
        <f t="shared" si="48"/>
        <v>0.3</v>
      </c>
      <c r="G265" s="16">
        <f t="shared" si="49"/>
        <v>798.60682235301033</v>
      </c>
      <c r="H265" s="66">
        <v>208500</v>
      </c>
      <c r="I265" s="16">
        <f t="shared" si="50"/>
        <v>0.15</v>
      </c>
      <c r="J265" s="16">
        <f t="shared" si="51"/>
        <v>69.451874213621352</v>
      </c>
      <c r="K265" s="66">
        <v>255449</v>
      </c>
      <c r="L265" s="16">
        <f t="shared" si="52"/>
        <v>0.15</v>
      </c>
      <c r="M265" s="16">
        <f t="shared" si="53"/>
        <v>61.993934265389122</v>
      </c>
      <c r="N265" s="66">
        <v>10820</v>
      </c>
      <c r="O265" s="16">
        <f t="shared" si="54"/>
        <v>0.1</v>
      </c>
      <c r="P265" s="16">
        <f t="shared" si="55"/>
        <v>1026.0984072065573</v>
      </c>
      <c r="Q265" s="66">
        <v>22200</v>
      </c>
      <c r="R265" s="16">
        <f t="shared" si="56"/>
        <v>0.3</v>
      </c>
      <c r="S265" s="16">
        <f t="shared" si="57"/>
        <v>1572.8287035654707</v>
      </c>
    </row>
    <row r="266" spans="1:19" x14ac:dyDescent="0.3">
      <c r="A266" s="65">
        <v>20190128</v>
      </c>
      <c r="B266" s="65" t="s">
        <v>88</v>
      </c>
      <c r="C266" s="158">
        <f t="shared" si="58"/>
        <v>111903070.08117363</v>
      </c>
      <c r="D266" s="158">
        <f t="shared" si="59"/>
        <v>-1.5237408618673724E-3</v>
      </c>
      <c r="E266" s="66">
        <v>45050</v>
      </c>
      <c r="F266" s="16">
        <f t="shared" si="48"/>
        <v>0.3</v>
      </c>
      <c r="G266" s="16">
        <f t="shared" si="49"/>
        <v>798.60682235301033</v>
      </c>
      <c r="H266" s="66">
        <v>211000</v>
      </c>
      <c r="I266" s="16">
        <f t="shared" si="50"/>
        <v>0.15</v>
      </c>
      <c r="J266" s="16">
        <f t="shared" si="51"/>
        <v>69.451874213621352</v>
      </c>
      <c r="K266" s="66">
        <v>257804</v>
      </c>
      <c r="L266" s="16">
        <f t="shared" si="52"/>
        <v>0.15</v>
      </c>
      <c r="M266" s="16">
        <f t="shared" si="53"/>
        <v>61.993934265389122</v>
      </c>
      <c r="N266" s="66">
        <v>10875</v>
      </c>
      <c r="O266" s="16">
        <f t="shared" si="54"/>
        <v>0.1</v>
      </c>
      <c r="P266" s="16">
        <f t="shared" si="55"/>
        <v>1026.0984072065573</v>
      </c>
      <c r="Q266" s="66">
        <v>21700</v>
      </c>
      <c r="R266" s="16">
        <f t="shared" si="56"/>
        <v>0.3</v>
      </c>
      <c r="S266" s="16">
        <f t="shared" si="57"/>
        <v>1572.8287035654707</v>
      </c>
    </row>
    <row r="267" spans="1:19" x14ac:dyDescent="0.3">
      <c r="A267" s="65">
        <v>20190129</v>
      </c>
      <c r="B267" s="65" t="s">
        <v>88</v>
      </c>
      <c r="C267" s="158">
        <f t="shared" si="58"/>
        <v>111328861.95561424</v>
      </c>
      <c r="D267" s="158">
        <f t="shared" si="59"/>
        <v>-5.131299124705546E-3</v>
      </c>
      <c r="E267" s="66">
        <v>45500</v>
      </c>
      <c r="F267" s="16">
        <f t="shared" si="48"/>
        <v>0.3</v>
      </c>
      <c r="G267" s="16">
        <f t="shared" si="49"/>
        <v>798.60682235301033</v>
      </c>
      <c r="H267" s="66">
        <v>210500</v>
      </c>
      <c r="I267" s="16">
        <f t="shared" si="50"/>
        <v>0.15</v>
      </c>
      <c r="J267" s="16">
        <f t="shared" si="51"/>
        <v>69.451874213621352</v>
      </c>
      <c r="K267" s="66">
        <v>264870</v>
      </c>
      <c r="L267" s="16">
        <f t="shared" si="52"/>
        <v>0.15</v>
      </c>
      <c r="M267" s="16">
        <f t="shared" si="53"/>
        <v>61.993934265389122</v>
      </c>
      <c r="N267" s="66">
        <v>10875</v>
      </c>
      <c r="O267" s="16">
        <f t="shared" si="54"/>
        <v>0.1</v>
      </c>
      <c r="P267" s="16">
        <f t="shared" si="55"/>
        <v>1026.0984072065573</v>
      </c>
      <c r="Q267" s="66">
        <v>20850</v>
      </c>
      <c r="R267" s="16">
        <f t="shared" si="56"/>
        <v>0.3</v>
      </c>
      <c r="S267" s="16">
        <f t="shared" si="57"/>
        <v>1572.8287035654707</v>
      </c>
    </row>
    <row r="268" spans="1:19" x14ac:dyDescent="0.3">
      <c r="A268" s="65">
        <v>20190130</v>
      </c>
      <c r="B268" s="65" t="s">
        <v>88</v>
      </c>
      <c r="C268" s="158">
        <f t="shared" si="58"/>
        <v>113042516.10921092</v>
      </c>
      <c r="D268" s="158">
        <f t="shared" si="59"/>
        <v>1.5392721379653571E-2</v>
      </c>
      <c r="E268" s="66">
        <v>46400</v>
      </c>
      <c r="F268" s="16">
        <f t="shared" si="48"/>
        <v>0.3</v>
      </c>
      <c r="G268" s="16">
        <f t="shared" si="49"/>
        <v>798.60682235301033</v>
      </c>
      <c r="H268" s="66">
        <v>215000</v>
      </c>
      <c r="I268" s="16">
        <f t="shared" si="50"/>
        <v>0.15</v>
      </c>
      <c r="J268" s="16">
        <f t="shared" si="51"/>
        <v>69.451874213621352</v>
      </c>
      <c r="K268" s="66">
        <v>268403</v>
      </c>
      <c r="L268" s="16">
        <f t="shared" si="52"/>
        <v>0.15</v>
      </c>
      <c r="M268" s="16">
        <f t="shared" si="53"/>
        <v>61.993934265389122</v>
      </c>
      <c r="N268" s="66">
        <v>11020</v>
      </c>
      <c r="O268" s="16">
        <f t="shared" si="54"/>
        <v>0.1</v>
      </c>
      <c r="P268" s="16">
        <f t="shared" si="55"/>
        <v>1026.0984072065573</v>
      </c>
      <c r="Q268" s="66">
        <v>21050</v>
      </c>
      <c r="R268" s="16">
        <f t="shared" si="56"/>
        <v>0.3</v>
      </c>
      <c r="S268" s="16">
        <f t="shared" si="57"/>
        <v>1572.8287035654707</v>
      </c>
    </row>
    <row r="269" spans="1:19" x14ac:dyDescent="0.3">
      <c r="A269" s="65">
        <v>20190131</v>
      </c>
      <c r="B269" s="65" t="s">
        <v>88</v>
      </c>
      <c r="C269" s="158">
        <f t="shared" si="58"/>
        <v>113062533.16980976</v>
      </c>
      <c r="D269" s="158">
        <f t="shared" si="59"/>
        <v>1.7707550475519113E-4</v>
      </c>
      <c r="E269" s="66">
        <v>46150</v>
      </c>
      <c r="F269" s="16">
        <f t="shared" si="48"/>
        <v>0.3</v>
      </c>
      <c r="G269" s="16">
        <f t="shared" si="49"/>
        <v>798.60682235301033</v>
      </c>
      <c r="H269" s="66">
        <v>219000</v>
      </c>
      <c r="I269" s="16">
        <f t="shared" si="50"/>
        <v>0.15</v>
      </c>
      <c r="J269" s="16">
        <f t="shared" si="51"/>
        <v>69.451874213621352</v>
      </c>
      <c r="K269" s="66">
        <v>270857</v>
      </c>
      <c r="L269" s="16">
        <f t="shared" si="52"/>
        <v>0.15</v>
      </c>
      <c r="M269" s="16">
        <f t="shared" si="53"/>
        <v>61.993934265389122</v>
      </c>
      <c r="N269" s="66">
        <v>11045</v>
      </c>
      <c r="O269" s="16">
        <f t="shared" si="54"/>
        <v>0.1</v>
      </c>
      <c r="P269" s="16">
        <f t="shared" si="55"/>
        <v>1026.0984072065573</v>
      </c>
      <c r="Q269" s="66">
        <v>20900</v>
      </c>
      <c r="R269" s="16">
        <f t="shared" si="56"/>
        <v>0.3</v>
      </c>
      <c r="S269" s="16">
        <f t="shared" si="57"/>
        <v>1572.8287035654707</v>
      </c>
    </row>
    <row r="270" spans="1:19" x14ac:dyDescent="0.3">
      <c r="A270" s="65">
        <v>20190201</v>
      </c>
      <c r="B270" s="65" t="s">
        <v>88</v>
      </c>
      <c r="C270" s="158">
        <f t="shared" si="58"/>
        <v>112792250.22275513</v>
      </c>
      <c r="D270" s="158">
        <f t="shared" si="59"/>
        <v>-2.3905615722290947E-3</v>
      </c>
      <c r="E270" s="66">
        <v>46350</v>
      </c>
      <c r="F270" s="16">
        <f t="shared" si="48"/>
        <v>0.3</v>
      </c>
      <c r="G270" s="16">
        <f t="shared" si="49"/>
        <v>798.60682235301033</v>
      </c>
      <c r="H270" s="66">
        <v>214500</v>
      </c>
      <c r="I270" s="16">
        <f t="shared" si="50"/>
        <v>0.15</v>
      </c>
      <c r="J270" s="16">
        <f t="shared" si="51"/>
        <v>69.451874213621352</v>
      </c>
      <c r="K270" s="66">
        <v>273016</v>
      </c>
      <c r="L270" s="16">
        <f t="shared" si="52"/>
        <v>0.15</v>
      </c>
      <c r="M270" s="16">
        <f t="shared" si="53"/>
        <v>61.993934265389122</v>
      </c>
      <c r="N270" s="66">
        <v>11030</v>
      </c>
      <c r="O270" s="16">
        <f t="shared" si="54"/>
        <v>0.1</v>
      </c>
      <c r="P270" s="16">
        <f t="shared" si="55"/>
        <v>1026.0984072065573</v>
      </c>
      <c r="Q270" s="66">
        <v>20750</v>
      </c>
      <c r="R270" s="16">
        <f t="shared" si="56"/>
        <v>0.3</v>
      </c>
      <c r="S270" s="16">
        <f t="shared" si="57"/>
        <v>1572.8287035654707</v>
      </c>
    </row>
    <row r="271" spans="1:19" x14ac:dyDescent="0.3">
      <c r="A271" s="65">
        <v>20190207</v>
      </c>
      <c r="B271" s="65" t="s">
        <v>88</v>
      </c>
      <c r="C271" s="158">
        <f t="shared" si="58"/>
        <v>113937516.26621601</v>
      </c>
      <c r="D271" s="158">
        <f t="shared" si="59"/>
        <v>1.0153765362416942E-2</v>
      </c>
      <c r="E271" s="66">
        <v>46200</v>
      </c>
      <c r="F271" s="16">
        <f t="shared" si="48"/>
        <v>0.3</v>
      </c>
      <c r="G271" s="16">
        <f t="shared" si="49"/>
        <v>798.60682235301033</v>
      </c>
      <c r="H271" s="66">
        <v>214000</v>
      </c>
      <c r="I271" s="16">
        <f t="shared" si="50"/>
        <v>0.15</v>
      </c>
      <c r="J271" s="16">
        <f t="shared" si="51"/>
        <v>69.451874213621352</v>
      </c>
      <c r="K271" s="66">
        <v>282731</v>
      </c>
      <c r="L271" s="16">
        <f t="shared" si="52"/>
        <v>0.15</v>
      </c>
      <c r="M271" s="16">
        <f t="shared" si="53"/>
        <v>61.993934265389122</v>
      </c>
      <c r="N271" s="66">
        <v>11020</v>
      </c>
      <c r="O271" s="16">
        <f t="shared" si="54"/>
        <v>0.1</v>
      </c>
      <c r="P271" s="16">
        <f t="shared" si="55"/>
        <v>1026.0984072065573</v>
      </c>
      <c r="Q271" s="66">
        <v>21200</v>
      </c>
      <c r="R271" s="16">
        <f t="shared" si="56"/>
        <v>0.3</v>
      </c>
      <c r="S271" s="16">
        <f t="shared" si="57"/>
        <v>1572.8287035654707</v>
      </c>
    </row>
    <row r="272" spans="1:19" x14ac:dyDescent="0.3">
      <c r="A272" s="65">
        <v>20190208</v>
      </c>
      <c r="B272" s="65" t="s">
        <v>88</v>
      </c>
      <c r="C272" s="158">
        <f t="shared" si="58"/>
        <v>112933587.68723746</v>
      </c>
      <c r="D272" s="158">
        <f t="shared" si="59"/>
        <v>-8.8112204994258911E-3</v>
      </c>
      <c r="E272" s="66">
        <v>44800</v>
      </c>
      <c r="F272" s="16">
        <f t="shared" si="48"/>
        <v>0.3</v>
      </c>
      <c r="G272" s="16">
        <f t="shared" si="49"/>
        <v>798.60682235301033</v>
      </c>
      <c r="H272" s="66">
        <v>215000</v>
      </c>
      <c r="I272" s="16">
        <f t="shared" si="50"/>
        <v>0.15</v>
      </c>
      <c r="J272" s="16">
        <f t="shared" si="51"/>
        <v>69.451874213621352</v>
      </c>
      <c r="K272" s="66">
        <v>283811</v>
      </c>
      <c r="L272" s="16">
        <f t="shared" si="52"/>
        <v>0.15</v>
      </c>
      <c r="M272" s="16">
        <f t="shared" si="53"/>
        <v>61.993934265389122</v>
      </c>
      <c r="N272" s="66">
        <v>10845</v>
      </c>
      <c r="O272" s="16">
        <f t="shared" si="54"/>
        <v>0.1</v>
      </c>
      <c r="P272" s="16">
        <f t="shared" si="55"/>
        <v>1026.0984072065573</v>
      </c>
      <c r="Q272" s="66">
        <v>21300</v>
      </c>
      <c r="R272" s="16">
        <f t="shared" si="56"/>
        <v>0.3</v>
      </c>
      <c r="S272" s="16">
        <f t="shared" si="57"/>
        <v>1572.8287035654707</v>
      </c>
    </row>
    <row r="273" spans="1:19" x14ac:dyDescent="0.3">
      <c r="A273" s="65">
        <v>20190211</v>
      </c>
      <c r="B273" s="65" t="s">
        <v>88</v>
      </c>
      <c r="C273" s="158">
        <f t="shared" si="58"/>
        <v>113969929.12566973</v>
      </c>
      <c r="D273" s="158">
        <f t="shared" si="59"/>
        <v>9.1765564138665233E-3</v>
      </c>
      <c r="E273" s="66">
        <v>45000</v>
      </c>
      <c r="F273" s="16">
        <f t="shared" si="48"/>
        <v>0.3</v>
      </c>
      <c r="G273" s="16">
        <f t="shared" si="49"/>
        <v>798.60682235301033</v>
      </c>
      <c r="H273" s="66">
        <v>215500</v>
      </c>
      <c r="I273" s="16">
        <f t="shared" si="50"/>
        <v>0.15</v>
      </c>
      <c r="J273" s="16">
        <f t="shared" si="51"/>
        <v>69.451874213621352</v>
      </c>
      <c r="K273" s="66">
        <v>284596</v>
      </c>
      <c r="L273" s="16">
        <f t="shared" si="52"/>
        <v>0.15</v>
      </c>
      <c r="M273" s="16">
        <f t="shared" si="53"/>
        <v>61.993934265389122</v>
      </c>
      <c r="N273" s="66">
        <v>10775</v>
      </c>
      <c r="O273" s="16">
        <f t="shared" si="54"/>
        <v>0.1</v>
      </c>
      <c r="P273" s="16">
        <f t="shared" si="55"/>
        <v>1026.0984072065573</v>
      </c>
      <c r="Q273" s="66">
        <v>21850</v>
      </c>
      <c r="R273" s="16">
        <f t="shared" si="56"/>
        <v>0.3</v>
      </c>
      <c r="S273" s="16">
        <f t="shared" si="57"/>
        <v>1572.8287035654707</v>
      </c>
    </row>
    <row r="274" spans="1:19" x14ac:dyDescent="0.3">
      <c r="A274" s="65">
        <v>20190212</v>
      </c>
      <c r="B274" s="65" t="s">
        <v>88</v>
      </c>
      <c r="C274" s="158">
        <f t="shared" si="58"/>
        <v>114270570.97828828</v>
      </c>
      <c r="D274" s="158">
        <f t="shared" si="59"/>
        <v>2.637905059035708E-3</v>
      </c>
      <c r="E274" s="66">
        <v>46050</v>
      </c>
      <c r="F274" s="16">
        <f t="shared" si="48"/>
        <v>0.3</v>
      </c>
      <c r="G274" s="16">
        <f t="shared" si="49"/>
        <v>798.60682235301033</v>
      </c>
      <c r="H274" s="66">
        <v>212500</v>
      </c>
      <c r="I274" s="16">
        <f t="shared" si="50"/>
        <v>0.15</v>
      </c>
      <c r="J274" s="16">
        <f t="shared" si="51"/>
        <v>69.451874213621352</v>
      </c>
      <c r="K274" s="66">
        <v>274095</v>
      </c>
      <c r="L274" s="16">
        <f t="shared" si="52"/>
        <v>0.15</v>
      </c>
      <c r="M274" s="16">
        <f t="shared" si="53"/>
        <v>61.993934265389122</v>
      </c>
      <c r="N274" s="66">
        <v>10935</v>
      </c>
      <c r="O274" s="16">
        <f t="shared" si="54"/>
        <v>0.1</v>
      </c>
      <c r="P274" s="16">
        <f t="shared" si="55"/>
        <v>1026.0984072065573</v>
      </c>
      <c r="Q274" s="66">
        <v>21950</v>
      </c>
      <c r="R274" s="16">
        <f t="shared" si="56"/>
        <v>0.3</v>
      </c>
      <c r="S274" s="16">
        <f t="shared" si="57"/>
        <v>1572.8287035654707</v>
      </c>
    </row>
    <row r="275" spans="1:19" x14ac:dyDescent="0.3">
      <c r="A275" s="65">
        <v>20190213</v>
      </c>
      <c r="B275" s="65" t="s">
        <v>88</v>
      </c>
      <c r="C275" s="158">
        <f t="shared" si="58"/>
        <v>114612869.83001637</v>
      </c>
      <c r="D275" s="158">
        <f t="shared" si="59"/>
        <v>2.9955118697458363E-3</v>
      </c>
      <c r="E275" s="66">
        <v>46200</v>
      </c>
      <c r="F275" s="16">
        <f t="shared" si="48"/>
        <v>0.3</v>
      </c>
      <c r="G275" s="16">
        <f t="shared" si="49"/>
        <v>798.60682235301033</v>
      </c>
      <c r="H275" s="66">
        <v>212000</v>
      </c>
      <c r="I275" s="16">
        <f t="shared" si="50"/>
        <v>0.15</v>
      </c>
      <c r="J275" s="16">
        <f t="shared" si="51"/>
        <v>69.451874213621352</v>
      </c>
      <c r="K275" s="66">
        <v>277334</v>
      </c>
      <c r="L275" s="16">
        <f t="shared" si="52"/>
        <v>0.15</v>
      </c>
      <c r="M275" s="16">
        <f t="shared" si="53"/>
        <v>61.993934265389122</v>
      </c>
      <c r="N275" s="66">
        <v>10990</v>
      </c>
      <c r="O275" s="16">
        <f t="shared" si="54"/>
        <v>0.1</v>
      </c>
      <c r="P275" s="16">
        <f t="shared" si="55"/>
        <v>1026.0984072065573</v>
      </c>
      <c r="Q275" s="66">
        <v>21950</v>
      </c>
      <c r="R275" s="16">
        <f t="shared" si="56"/>
        <v>0.3</v>
      </c>
      <c r="S275" s="16">
        <f t="shared" si="57"/>
        <v>1572.8287035654707</v>
      </c>
    </row>
    <row r="276" spans="1:19" x14ac:dyDescent="0.3">
      <c r="A276" s="65">
        <v>20190214</v>
      </c>
      <c r="B276" s="65" t="s">
        <v>88</v>
      </c>
      <c r="C276" s="158">
        <f t="shared" si="58"/>
        <v>115849763.44701479</v>
      </c>
      <c r="D276" s="158">
        <f t="shared" si="59"/>
        <v>1.0791926062342473E-2</v>
      </c>
      <c r="E276" s="66">
        <v>47500</v>
      </c>
      <c r="F276" s="16">
        <f t="shared" si="48"/>
        <v>0.3</v>
      </c>
      <c r="G276" s="16">
        <f t="shared" si="49"/>
        <v>798.60682235301033</v>
      </c>
      <c r="H276" s="66">
        <v>210000</v>
      </c>
      <c r="I276" s="16">
        <f t="shared" si="50"/>
        <v>0.15</v>
      </c>
      <c r="J276" s="16">
        <f t="shared" si="51"/>
        <v>69.451874213621352</v>
      </c>
      <c r="K276" s="66">
        <v>274782</v>
      </c>
      <c r="L276" s="16">
        <f t="shared" si="52"/>
        <v>0.15</v>
      </c>
      <c r="M276" s="16">
        <f t="shared" si="53"/>
        <v>61.993934265389122</v>
      </c>
      <c r="N276" s="66">
        <v>11090</v>
      </c>
      <c r="O276" s="16">
        <f t="shared" si="54"/>
        <v>0.1</v>
      </c>
      <c r="P276" s="16">
        <f t="shared" si="55"/>
        <v>1026.0984072065573</v>
      </c>
      <c r="Q276" s="66">
        <v>22200</v>
      </c>
      <c r="R276" s="16">
        <f t="shared" si="56"/>
        <v>0.3</v>
      </c>
      <c r="S276" s="16">
        <f t="shared" si="57"/>
        <v>1572.8287035654707</v>
      </c>
    </row>
    <row r="277" spans="1:19" x14ac:dyDescent="0.3">
      <c r="A277" s="65">
        <v>20190215</v>
      </c>
      <c r="B277" s="65" t="s">
        <v>88</v>
      </c>
      <c r="C277" s="158">
        <f t="shared" si="58"/>
        <v>115737948.58935669</v>
      </c>
      <c r="D277" s="158">
        <f t="shared" si="59"/>
        <v>-9.6517122116734325E-4</v>
      </c>
      <c r="E277" s="66">
        <v>46050</v>
      </c>
      <c r="F277" s="16">
        <f t="shared" si="48"/>
        <v>0.3</v>
      </c>
      <c r="G277" s="16">
        <f t="shared" si="49"/>
        <v>798.60682235301033</v>
      </c>
      <c r="H277" s="66">
        <v>209500</v>
      </c>
      <c r="I277" s="16">
        <f t="shared" si="50"/>
        <v>0.15</v>
      </c>
      <c r="J277" s="16">
        <f t="shared" si="51"/>
        <v>69.451874213621352</v>
      </c>
      <c r="K277" s="66">
        <v>279395</v>
      </c>
      <c r="L277" s="16">
        <f t="shared" si="52"/>
        <v>0.15</v>
      </c>
      <c r="M277" s="16">
        <f t="shared" si="53"/>
        <v>61.993934265389122</v>
      </c>
      <c r="N277" s="66">
        <v>10945</v>
      </c>
      <c r="O277" s="16">
        <f t="shared" si="54"/>
        <v>0.1</v>
      </c>
      <c r="P277" s="16">
        <f t="shared" si="55"/>
        <v>1026.0984072065573</v>
      </c>
      <c r="Q277" s="66">
        <v>22800</v>
      </c>
      <c r="R277" s="16">
        <f t="shared" si="56"/>
        <v>0.3</v>
      </c>
      <c r="S277" s="16">
        <f t="shared" si="57"/>
        <v>1572.8287035654707</v>
      </c>
    </row>
    <row r="278" spans="1:19" x14ac:dyDescent="0.3">
      <c r="A278" s="65">
        <v>20190218</v>
      </c>
      <c r="B278" s="65" t="s">
        <v>88</v>
      </c>
      <c r="C278" s="158">
        <f t="shared" si="58"/>
        <v>115895396.77821583</v>
      </c>
      <c r="D278" s="158">
        <f t="shared" si="59"/>
        <v>1.3603851699304605E-3</v>
      </c>
      <c r="E278" s="66">
        <v>46200</v>
      </c>
      <c r="F278" s="16">
        <f t="shared" si="48"/>
        <v>0.3</v>
      </c>
      <c r="G278" s="16">
        <f t="shared" si="49"/>
        <v>798.60682235301033</v>
      </c>
      <c r="H278" s="66">
        <v>212000</v>
      </c>
      <c r="I278" s="16">
        <f t="shared" si="50"/>
        <v>0.15</v>
      </c>
      <c r="J278" s="16">
        <f t="shared" si="51"/>
        <v>69.451874213621352</v>
      </c>
      <c r="K278" s="66">
        <v>273506</v>
      </c>
      <c r="L278" s="16">
        <f t="shared" si="52"/>
        <v>0.15</v>
      </c>
      <c r="M278" s="16">
        <f t="shared" si="53"/>
        <v>61.993934265389122</v>
      </c>
      <c r="N278" s="66">
        <v>11015</v>
      </c>
      <c r="O278" s="16">
        <f t="shared" si="54"/>
        <v>0.1</v>
      </c>
      <c r="P278" s="16">
        <f t="shared" si="55"/>
        <v>1026.0984072065573</v>
      </c>
      <c r="Q278" s="66">
        <v>22900</v>
      </c>
      <c r="R278" s="16">
        <f t="shared" si="56"/>
        <v>0.3</v>
      </c>
      <c r="S278" s="16">
        <f t="shared" si="57"/>
        <v>1572.8287035654707</v>
      </c>
    </row>
    <row r="279" spans="1:19" x14ac:dyDescent="0.3">
      <c r="A279" s="65">
        <v>20190219</v>
      </c>
      <c r="B279" s="65" t="s">
        <v>88</v>
      </c>
      <c r="C279" s="158">
        <f t="shared" si="58"/>
        <v>114795631.47495067</v>
      </c>
      <c r="D279" s="158">
        <f t="shared" si="59"/>
        <v>-9.4892923605044404E-3</v>
      </c>
      <c r="E279" s="66">
        <v>45950</v>
      </c>
      <c r="F279" s="16">
        <f t="shared" si="48"/>
        <v>0.3</v>
      </c>
      <c r="G279" s="16">
        <f t="shared" si="49"/>
        <v>798.60682235301033</v>
      </c>
      <c r="H279" s="66">
        <v>215000</v>
      </c>
      <c r="I279" s="16">
        <f t="shared" si="50"/>
        <v>0.15</v>
      </c>
      <c r="J279" s="16">
        <f t="shared" si="51"/>
        <v>69.451874213621352</v>
      </c>
      <c r="K279" s="66">
        <v>282927</v>
      </c>
      <c r="L279" s="16">
        <f t="shared" si="52"/>
        <v>0.15</v>
      </c>
      <c r="M279" s="16">
        <f t="shared" si="53"/>
        <v>61.993934265389122</v>
      </c>
      <c r="N279" s="66">
        <v>10975</v>
      </c>
      <c r="O279" s="16">
        <f t="shared" si="54"/>
        <v>0.1</v>
      </c>
      <c r="P279" s="16">
        <f t="shared" si="55"/>
        <v>1026.0984072065573</v>
      </c>
      <c r="Q279" s="66">
        <v>21850</v>
      </c>
      <c r="R279" s="16">
        <f t="shared" si="56"/>
        <v>0.3</v>
      </c>
      <c r="S279" s="16">
        <f t="shared" si="57"/>
        <v>1572.8287035654707</v>
      </c>
    </row>
    <row r="280" spans="1:19" x14ac:dyDescent="0.3">
      <c r="A280" s="65">
        <v>20190220</v>
      </c>
      <c r="B280" s="65" t="s">
        <v>88</v>
      </c>
      <c r="C280" s="158">
        <f t="shared" si="58"/>
        <v>115157623.71901768</v>
      </c>
      <c r="D280" s="158">
        <f t="shared" si="59"/>
        <v>3.1533625401590553E-3</v>
      </c>
      <c r="E280" s="66">
        <v>46900</v>
      </c>
      <c r="F280" s="16">
        <f t="shared" si="48"/>
        <v>0.3</v>
      </c>
      <c r="G280" s="16">
        <f t="shared" si="49"/>
        <v>798.60682235301033</v>
      </c>
      <c r="H280" s="153">
        <v>213500</v>
      </c>
      <c r="I280" s="16">
        <f t="shared" si="50"/>
        <v>0.15</v>
      </c>
      <c r="J280" s="16">
        <f t="shared" si="51"/>
        <v>69.451874213621352</v>
      </c>
      <c r="K280" s="66">
        <v>285185</v>
      </c>
      <c r="L280" s="16">
        <f t="shared" si="52"/>
        <v>0.15</v>
      </c>
      <c r="M280" s="16">
        <f t="shared" si="53"/>
        <v>61.993934265389122</v>
      </c>
      <c r="N280" s="66">
        <v>11090</v>
      </c>
      <c r="O280" s="16">
        <f t="shared" si="54"/>
        <v>0.1</v>
      </c>
      <c r="P280" s="16">
        <f t="shared" si="55"/>
        <v>1026.0984072065573</v>
      </c>
      <c r="Q280" s="66">
        <v>21500</v>
      </c>
      <c r="R280" s="16">
        <f t="shared" si="56"/>
        <v>0.3</v>
      </c>
      <c r="S280" s="16">
        <f t="shared" si="57"/>
        <v>1572.8287035654707</v>
      </c>
    </row>
    <row r="281" spans="1:19" x14ac:dyDescent="0.3">
      <c r="A281" s="65">
        <v>20190221</v>
      </c>
      <c r="B281" s="65" t="s">
        <v>88</v>
      </c>
      <c r="C281" s="158">
        <f t="shared" si="58"/>
        <v>115994645.38145494</v>
      </c>
      <c r="D281" s="158">
        <f t="shared" si="59"/>
        <v>7.2684867523801671E-3</v>
      </c>
      <c r="E281" s="66">
        <v>46950</v>
      </c>
      <c r="F281" s="16">
        <f t="shared" si="48"/>
        <v>0.3</v>
      </c>
      <c r="G281" s="16">
        <f t="shared" si="49"/>
        <v>798.60682235301033</v>
      </c>
      <c r="H281" s="66">
        <v>207500</v>
      </c>
      <c r="I281" s="16">
        <f t="shared" si="50"/>
        <v>0.15</v>
      </c>
      <c r="J281" s="16">
        <f t="shared" si="51"/>
        <v>69.451874213621352</v>
      </c>
      <c r="K281" s="66">
        <v>281848</v>
      </c>
      <c r="L281" s="16">
        <f t="shared" si="52"/>
        <v>0.15</v>
      </c>
      <c r="M281" s="16">
        <f t="shared" si="53"/>
        <v>61.993934265389122</v>
      </c>
      <c r="N281" s="66">
        <v>11095</v>
      </c>
      <c r="O281" s="16">
        <f t="shared" si="54"/>
        <v>0.1</v>
      </c>
      <c r="P281" s="16">
        <f t="shared" si="55"/>
        <v>1026.0984072065573</v>
      </c>
      <c r="Q281" s="66">
        <v>22400</v>
      </c>
      <c r="R281" s="16">
        <f t="shared" si="56"/>
        <v>0.3</v>
      </c>
      <c r="S281" s="16">
        <f t="shared" si="57"/>
        <v>1572.8287035654707</v>
      </c>
    </row>
    <row r="282" spans="1:19" x14ac:dyDescent="0.3">
      <c r="A282" s="65">
        <v>20190222</v>
      </c>
      <c r="B282" s="65" t="s">
        <v>88</v>
      </c>
      <c r="C282" s="158">
        <f t="shared" si="58"/>
        <v>115881420.7518138</v>
      </c>
      <c r="D282" s="158">
        <f t="shared" si="59"/>
        <v>-9.7611945162468384E-4</v>
      </c>
      <c r="E282" s="66">
        <v>47150</v>
      </c>
      <c r="F282" s="16">
        <f t="shared" si="48"/>
        <v>0.3</v>
      </c>
      <c r="G282" s="16">
        <f t="shared" si="49"/>
        <v>798.60682235301033</v>
      </c>
      <c r="H282" s="66">
        <v>207000</v>
      </c>
      <c r="I282" s="16">
        <f t="shared" si="50"/>
        <v>0.15</v>
      </c>
      <c r="J282" s="16">
        <f t="shared" si="51"/>
        <v>69.451874213621352</v>
      </c>
      <c r="K282" s="66">
        <v>282142</v>
      </c>
      <c r="L282" s="16">
        <f t="shared" si="52"/>
        <v>0.15</v>
      </c>
      <c r="M282" s="16">
        <f t="shared" si="53"/>
        <v>61.993934265389122</v>
      </c>
      <c r="N282" s="66">
        <v>11075</v>
      </c>
      <c r="O282" s="16">
        <f t="shared" si="54"/>
        <v>0.1</v>
      </c>
      <c r="P282" s="16">
        <f t="shared" si="55"/>
        <v>1026.0984072065573</v>
      </c>
      <c r="Q282" s="66">
        <v>22250</v>
      </c>
      <c r="R282" s="16">
        <f t="shared" si="56"/>
        <v>0.3</v>
      </c>
      <c r="S282" s="16">
        <f t="shared" si="57"/>
        <v>1572.8287035654707</v>
      </c>
    </row>
    <row r="283" spans="1:19" x14ac:dyDescent="0.3">
      <c r="A283" s="65">
        <v>20190225</v>
      </c>
      <c r="B283" s="65" t="s">
        <v>88</v>
      </c>
      <c r="C283" s="158">
        <f t="shared" si="58"/>
        <v>116165946.73857188</v>
      </c>
      <c r="D283" s="158">
        <f t="shared" si="59"/>
        <v>2.4553201446110991E-3</v>
      </c>
      <c r="E283" s="66">
        <v>47350</v>
      </c>
      <c r="F283" s="16">
        <f t="shared" si="48"/>
        <v>0.3</v>
      </c>
      <c r="G283" s="16">
        <f t="shared" si="49"/>
        <v>798.60682235301033</v>
      </c>
      <c r="H283" s="66">
        <v>204000</v>
      </c>
      <c r="I283" s="16">
        <f t="shared" si="50"/>
        <v>0.15</v>
      </c>
      <c r="J283" s="16">
        <f t="shared" si="51"/>
        <v>69.451874213621352</v>
      </c>
      <c r="K283" s="66">
        <v>277726</v>
      </c>
      <c r="L283" s="16">
        <f t="shared" si="52"/>
        <v>0.15</v>
      </c>
      <c r="M283" s="16">
        <f t="shared" si="53"/>
        <v>61.993934265389122</v>
      </c>
      <c r="N283" s="66">
        <v>11130</v>
      </c>
      <c r="O283" s="16">
        <f t="shared" si="54"/>
        <v>0.1</v>
      </c>
      <c r="P283" s="16">
        <f t="shared" si="55"/>
        <v>1026.0984072065573</v>
      </c>
      <c r="Q283" s="66">
        <v>22600</v>
      </c>
      <c r="R283" s="16">
        <f t="shared" si="56"/>
        <v>0.3</v>
      </c>
      <c r="S283" s="16">
        <f t="shared" si="57"/>
        <v>1572.8287035654707</v>
      </c>
    </row>
    <row r="284" spans="1:19" x14ac:dyDescent="0.3">
      <c r="A284" s="65">
        <v>20190226</v>
      </c>
      <c r="B284" s="65" t="s">
        <v>88</v>
      </c>
      <c r="C284" s="158">
        <f t="shared" si="58"/>
        <v>115751622.93713254</v>
      </c>
      <c r="D284" s="158">
        <f t="shared" si="59"/>
        <v>-3.5666545409539742E-3</v>
      </c>
      <c r="E284" s="66">
        <v>46750</v>
      </c>
      <c r="F284" s="16">
        <f t="shared" si="48"/>
        <v>0.3</v>
      </c>
      <c r="G284" s="16">
        <f t="shared" si="49"/>
        <v>798.60682235301033</v>
      </c>
      <c r="H284" s="66">
        <v>204500</v>
      </c>
      <c r="I284" s="16">
        <f t="shared" si="50"/>
        <v>0.15</v>
      </c>
      <c r="J284" s="16">
        <f t="shared" si="51"/>
        <v>69.451874213621352</v>
      </c>
      <c r="K284" s="66">
        <v>276254</v>
      </c>
      <c r="L284" s="16">
        <f t="shared" si="52"/>
        <v>0.15</v>
      </c>
      <c r="M284" s="16">
        <f t="shared" si="53"/>
        <v>61.993934265389122</v>
      </c>
      <c r="N284" s="66">
        <v>11095</v>
      </c>
      <c r="O284" s="16">
        <f t="shared" si="54"/>
        <v>0.1</v>
      </c>
      <c r="P284" s="16">
        <f t="shared" si="55"/>
        <v>1026.0984072065573</v>
      </c>
      <c r="Q284" s="66">
        <v>22700</v>
      </c>
      <c r="R284" s="16">
        <f t="shared" si="56"/>
        <v>0.3</v>
      </c>
      <c r="S284" s="16">
        <f t="shared" si="57"/>
        <v>1572.8287035654707</v>
      </c>
    </row>
    <row r="285" spans="1:19" x14ac:dyDescent="0.3">
      <c r="A285" s="65">
        <v>20190227</v>
      </c>
      <c r="B285" s="65" t="s">
        <v>88</v>
      </c>
      <c r="C285" s="158">
        <f t="shared" si="58"/>
        <v>117087291.76558539</v>
      </c>
      <c r="D285" s="158">
        <f t="shared" si="59"/>
        <v>1.1539093747119977E-2</v>
      </c>
      <c r="E285" s="66">
        <v>46750</v>
      </c>
      <c r="F285" s="16">
        <f t="shared" si="48"/>
        <v>0.3</v>
      </c>
      <c r="G285" s="16">
        <f t="shared" si="49"/>
        <v>798.60682235301033</v>
      </c>
      <c r="H285" s="66">
        <v>202500</v>
      </c>
      <c r="I285" s="16">
        <f t="shared" si="50"/>
        <v>0.15</v>
      </c>
      <c r="J285" s="16">
        <f t="shared" si="51"/>
        <v>69.451874213621352</v>
      </c>
      <c r="K285" s="66">
        <v>272132</v>
      </c>
      <c r="L285" s="16">
        <f t="shared" si="52"/>
        <v>0.15</v>
      </c>
      <c r="M285" s="16">
        <f t="shared" si="53"/>
        <v>61.993934265389122</v>
      </c>
      <c r="N285" s="66">
        <v>11095</v>
      </c>
      <c r="O285" s="16">
        <f t="shared" si="54"/>
        <v>0.1</v>
      </c>
      <c r="P285" s="16">
        <f t="shared" si="55"/>
        <v>1026.0984072065573</v>
      </c>
      <c r="Q285" s="66">
        <v>23800</v>
      </c>
      <c r="R285" s="16">
        <f t="shared" si="56"/>
        <v>0.3</v>
      </c>
      <c r="S285" s="16">
        <f t="shared" si="57"/>
        <v>1572.8287035654707</v>
      </c>
    </row>
    <row r="286" spans="1:19" x14ac:dyDescent="0.3">
      <c r="A286" s="65">
        <v>20190228</v>
      </c>
      <c r="B286" s="65" t="s">
        <v>88</v>
      </c>
      <c r="C286" s="158">
        <f t="shared" si="58"/>
        <v>114846451.78767022</v>
      </c>
      <c r="D286" s="158">
        <f t="shared" si="59"/>
        <v>-1.9138199749307049E-2</v>
      </c>
      <c r="E286" s="66">
        <v>45100</v>
      </c>
      <c r="F286" s="16">
        <f t="shared" si="48"/>
        <v>0.3</v>
      </c>
      <c r="G286" s="16">
        <f t="shared" si="49"/>
        <v>798.60682235301033</v>
      </c>
      <c r="H286" s="66">
        <v>204500</v>
      </c>
      <c r="I286" s="16">
        <f t="shared" si="50"/>
        <v>0.15</v>
      </c>
      <c r="J286" s="16">
        <f t="shared" si="51"/>
        <v>69.451874213621352</v>
      </c>
      <c r="K286" s="66">
        <v>272623</v>
      </c>
      <c r="L286" s="16">
        <f t="shared" si="52"/>
        <v>0.15</v>
      </c>
      <c r="M286" s="16">
        <f t="shared" si="53"/>
        <v>61.993934265389122</v>
      </c>
      <c r="N286" s="66">
        <v>10950</v>
      </c>
      <c r="O286" s="16">
        <f t="shared" si="54"/>
        <v>0.1</v>
      </c>
      <c r="P286" s="16">
        <f t="shared" si="55"/>
        <v>1026.0984072065573</v>
      </c>
      <c r="Q286" s="66">
        <v>23200</v>
      </c>
      <c r="R286" s="16">
        <f t="shared" si="56"/>
        <v>0.3</v>
      </c>
      <c r="S286" s="16">
        <f t="shared" si="57"/>
        <v>1572.8287035654707</v>
      </c>
    </row>
    <row r="287" spans="1:19" x14ac:dyDescent="0.3">
      <c r="A287" s="65">
        <v>20190304</v>
      </c>
      <c r="B287" s="65" t="s">
        <v>88</v>
      </c>
      <c r="C287" s="158">
        <f t="shared" si="58"/>
        <v>116376053.25746706</v>
      </c>
      <c r="D287" s="158">
        <f t="shared" si="59"/>
        <v>1.3318665452762838E-2</v>
      </c>
      <c r="E287" s="66">
        <v>44850</v>
      </c>
      <c r="F287" s="16">
        <f t="shared" si="48"/>
        <v>0.3</v>
      </c>
      <c r="G287" s="16">
        <f t="shared" si="49"/>
        <v>798.60682235301033</v>
      </c>
      <c r="H287" s="66">
        <v>207500</v>
      </c>
      <c r="I287" s="16">
        <f t="shared" si="50"/>
        <v>0.15</v>
      </c>
      <c r="J287" s="16">
        <f t="shared" si="51"/>
        <v>69.451874213621352</v>
      </c>
      <c r="K287" s="66">
        <v>285381</v>
      </c>
      <c r="L287" s="16">
        <f t="shared" si="52"/>
        <v>0.15</v>
      </c>
      <c r="M287" s="16">
        <f t="shared" si="53"/>
        <v>61.993934265389122</v>
      </c>
      <c r="N287" s="66">
        <v>10895</v>
      </c>
      <c r="O287" s="16">
        <f t="shared" si="54"/>
        <v>0.1</v>
      </c>
      <c r="P287" s="16">
        <f t="shared" si="55"/>
        <v>1026.0984072065573</v>
      </c>
      <c r="Q287" s="66">
        <v>23700</v>
      </c>
      <c r="R287" s="16">
        <f t="shared" si="56"/>
        <v>0.3</v>
      </c>
      <c r="S287" s="16">
        <f t="shared" si="57"/>
        <v>1572.8287035654707</v>
      </c>
    </row>
    <row r="288" spans="1:19" x14ac:dyDescent="0.3">
      <c r="A288" s="65">
        <v>20190305</v>
      </c>
      <c r="B288" s="65" t="s">
        <v>88</v>
      </c>
      <c r="C288" s="158">
        <f t="shared" si="58"/>
        <v>115944370.5213903</v>
      </c>
      <c r="D288" s="158">
        <f t="shared" si="59"/>
        <v>-3.70937769406662E-3</v>
      </c>
      <c r="E288" s="66">
        <v>44250</v>
      </c>
      <c r="F288" s="16">
        <f t="shared" si="48"/>
        <v>0.3</v>
      </c>
      <c r="G288" s="16">
        <f t="shared" si="49"/>
        <v>798.60682235301033</v>
      </c>
      <c r="H288" s="66">
        <v>210000</v>
      </c>
      <c r="I288" s="16">
        <f t="shared" si="50"/>
        <v>0.15</v>
      </c>
      <c r="J288" s="16">
        <f t="shared" si="51"/>
        <v>69.451874213621352</v>
      </c>
      <c r="K288" s="66">
        <v>292447</v>
      </c>
      <c r="L288" s="16">
        <f t="shared" si="52"/>
        <v>0.15</v>
      </c>
      <c r="M288" s="16">
        <f t="shared" si="53"/>
        <v>61.993934265389122</v>
      </c>
      <c r="N288" s="66">
        <v>10805</v>
      </c>
      <c r="O288" s="16">
        <f t="shared" si="54"/>
        <v>0.1</v>
      </c>
      <c r="P288" s="16">
        <f t="shared" si="55"/>
        <v>1026.0984072065573</v>
      </c>
      <c r="Q288" s="66">
        <v>23400</v>
      </c>
      <c r="R288" s="16">
        <f t="shared" si="56"/>
        <v>0.3</v>
      </c>
      <c r="S288" s="16">
        <f t="shared" si="57"/>
        <v>1572.8287035654707</v>
      </c>
    </row>
    <row r="289" spans="1:19" x14ac:dyDescent="0.3">
      <c r="A289" s="65">
        <v>20190306</v>
      </c>
      <c r="B289" s="65" t="s">
        <v>88</v>
      </c>
      <c r="C289" s="158">
        <f t="shared" si="58"/>
        <v>116078720.35438231</v>
      </c>
      <c r="D289" s="158">
        <f t="shared" si="59"/>
        <v>1.1587439078572296E-3</v>
      </c>
      <c r="E289" s="66">
        <v>44000</v>
      </c>
      <c r="F289" s="16">
        <f t="shared" si="48"/>
        <v>0.3</v>
      </c>
      <c r="G289" s="16">
        <f t="shared" si="49"/>
        <v>798.60682235301033</v>
      </c>
      <c r="H289" s="66">
        <v>211000</v>
      </c>
      <c r="I289" s="16">
        <f t="shared" si="50"/>
        <v>0.15</v>
      </c>
      <c r="J289" s="16">
        <f t="shared" si="51"/>
        <v>69.451874213621352</v>
      </c>
      <c r="K289" s="66">
        <v>292054</v>
      </c>
      <c r="L289" s="16">
        <f t="shared" si="52"/>
        <v>0.15</v>
      </c>
      <c r="M289" s="16">
        <f t="shared" si="53"/>
        <v>61.993934265389122</v>
      </c>
      <c r="N289" s="66">
        <v>10780</v>
      </c>
      <c r="O289" s="16">
        <f t="shared" si="54"/>
        <v>0.1</v>
      </c>
      <c r="P289" s="16">
        <f t="shared" si="55"/>
        <v>1026.0984072065573</v>
      </c>
      <c r="Q289" s="66">
        <v>23600</v>
      </c>
      <c r="R289" s="16">
        <f t="shared" si="56"/>
        <v>0.3</v>
      </c>
      <c r="S289" s="16">
        <f t="shared" si="57"/>
        <v>1572.8287035654707</v>
      </c>
    </row>
    <row r="290" spans="1:19" x14ac:dyDescent="0.3">
      <c r="A290" s="65">
        <v>20190307</v>
      </c>
      <c r="B290" s="65" t="s">
        <v>88</v>
      </c>
      <c r="C290" s="158">
        <f t="shared" si="58"/>
        <v>114505456.5928098</v>
      </c>
      <c r="D290" s="158">
        <f t="shared" si="59"/>
        <v>-1.3553420960960091E-2</v>
      </c>
      <c r="E290" s="66">
        <v>44450</v>
      </c>
      <c r="F290" s="16">
        <f t="shared" si="48"/>
        <v>0.3</v>
      </c>
      <c r="G290" s="16">
        <f t="shared" si="49"/>
        <v>798.60682235301033</v>
      </c>
      <c r="H290" s="66">
        <v>207000</v>
      </c>
      <c r="I290" s="16">
        <f t="shared" si="50"/>
        <v>0.15</v>
      </c>
      <c r="J290" s="16">
        <f t="shared" si="51"/>
        <v>69.451874213621352</v>
      </c>
      <c r="K290" s="66">
        <v>278708</v>
      </c>
      <c r="L290" s="16">
        <f t="shared" si="52"/>
        <v>0.15</v>
      </c>
      <c r="M290" s="16">
        <f t="shared" si="53"/>
        <v>61.993934265389122</v>
      </c>
      <c r="N290" s="66">
        <v>10740</v>
      </c>
      <c r="O290" s="16">
        <f t="shared" si="54"/>
        <v>0.1</v>
      </c>
      <c r="P290" s="16">
        <f t="shared" si="55"/>
        <v>1026.0984072065573</v>
      </c>
      <c r="Q290" s="66">
        <v>23100</v>
      </c>
      <c r="R290" s="16">
        <f t="shared" si="56"/>
        <v>0.3</v>
      </c>
      <c r="S290" s="16">
        <f t="shared" si="57"/>
        <v>1572.8287035654707</v>
      </c>
    </row>
    <row r="291" spans="1:19" x14ac:dyDescent="0.3">
      <c r="A291" s="65">
        <v>20190308</v>
      </c>
      <c r="B291" s="65" t="s">
        <v>88</v>
      </c>
      <c r="C291" s="158">
        <f t="shared" si="58"/>
        <v>113132199.25055501</v>
      </c>
      <c r="D291" s="158">
        <f t="shared" si="59"/>
        <v>-1.1992942372503665E-2</v>
      </c>
      <c r="E291" s="66">
        <v>43800</v>
      </c>
      <c r="F291" s="16">
        <f t="shared" si="48"/>
        <v>0.3</v>
      </c>
      <c r="G291" s="16">
        <f t="shared" si="49"/>
        <v>798.60682235301033</v>
      </c>
      <c r="H291" s="66">
        <v>206000</v>
      </c>
      <c r="I291" s="16">
        <f t="shared" si="50"/>
        <v>0.15</v>
      </c>
      <c r="J291" s="16">
        <f t="shared" si="51"/>
        <v>69.451874213621352</v>
      </c>
      <c r="K291" s="66">
        <v>276254</v>
      </c>
      <c r="L291" s="16">
        <f t="shared" si="52"/>
        <v>0.15</v>
      </c>
      <c r="M291" s="16">
        <f t="shared" si="53"/>
        <v>61.993934265389122</v>
      </c>
      <c r="N291" s="66">
        <v>10660</v>
      </c>
      <c r="O291" s="16">
        <f t="shared" si="54"/>
        <v>0.1</v>
      </c>
      <c r="P291" s="16">
        <f t="shared" si="55"/>
        <v>1026.0984072065573</v>
      </c>
      <c r="Q291" s="66">
        <v>22750</v>
      </c>
      <c r="R291" s="16">
        <f t="shared" si="56"/>
        <v>0.3</v>
      </c>
      <c r="S291" s="16">
        <f t="shared" si="57"/>
        <v>1572.8287035654707</v>
      </c>
    </row>
    <row r="292" spans="1:19" x14ac:dyDescent="0.3">
      <c r="A292" s="65">
        <v>20190311</v>
      </c>
      <c r="B292" s="65" t="s">
        <v>88</v>
      </c>
      <c r="C292" s="158">
        <f t="shared" si="58"/>
        <v>116517484.98717426</v>
      </c>
      <c r="D292" s="158">
        <f t="shared" si="59"/>
        <v>2.9923273471611941E-2</v>
      </c>
      <c r="E292" s="66">
        <v>43650</v>
      </c>
      <c r="F292" s="16">
        <f t="shared" si="48"/>
        <v>0.3</v>
      </c>
      <c r="G292" s="16">
        <f t="shared" si="49"/>
        <v>798.60682235301033</v>
      </c>
      <c r="H292" s="66">
        <v>205000</v>
      </c>
      <c r="I292" s="16">
        <f t="shared" si="50"/>
        <v>0.15</v>
      </c>
      <c r="J292" s="16">
        <f t="shared" si="51"/>
        <v>69.451874213621352</v>
      </c>
      <c r="K292" s="66">
        <v>282731</v>
      </c>
      <c r="L292" s="16">
        <f t="shared" si="52"/>
        <v>0.15</v>
      </c>
      <c r="M292" s="16">
        <f t="shared" si="53"/>
        <v>61.993934265389122</v>
      </c>
      <c r="N292" s="66">
        <v>10610</v>
      </c>
      <c r="O292" s="16">
        <f t="shared" si="54"/>
        <v>0.1</v>
      </c>
      <c r="P292" s="16">
        <f t="shared" si="55"/>
        <v>1026.0984072065573</v>
      </c>
      <c r="Q292" s="66">
        <v>24800</v>
      </c>
      <c r="R292" s="16">
        <f t="shared" si="56"/>
        <v>0.3</v>
      </c>
      <c r="S292" s="16">
        <f t="shared" si="57"/>
        <v>1572.8287035654707</v>
      </c>
    </row>
    <row r="293" spans="1:19" x14ac:dyDescent="0.3">
      <c r="A293" s="65">
        <v>20190312</v>
      </c>
      <c r="B293" s="65" t="s">
        <v>88</v>
      </c>
      <c r="C293" s="158">
        <f t="shared" si="58"/>
        <v>118763045.16433519</v>
      </c>
      <c r="D293" s="158">
        <f t="shared" si="59"/>
        <v>1.9272302156265346E-2</v>
      </c>
      <c r="E293" s="66">
        <v>44650</v>
      </c>
      <c r="F293" s="16">
        <f t="shared" si="48"/>
        <v>0.3</v>
      </c>
      <c r="G293" s="16">
        <f t="shared" si="49"/>
        <v>798.60682235301033</v>
      </c>
      <c r="H293" s="66">
        <v>209000</v>
      </c>
      <c r="I293" s="16">
        <f t="shared" si="50"/>
        <v>0.15</v>
      </c>
      <c r="J293" s="16">
        <f t="shared" si="51"/>
        <v>69.451874213621352</v>
      </c>
      <c r="K293" s="66">
        <v>295881</v>
      </c>
      <c r="L293" s="16">
        <f t="shared" si="52"/>
        <v>0.15</v>
      </c>
      <c r="M293" s="16">
        <f t="shared" si="53"/>
        <v>61.993934265389122</v>
      </c>
      <c r="N293" s="66">
        <v>10725</v>
      </c>
      <c r="O293" s="16">
        <f t="shared" si="54"/>
        <v>0.1</v>
      </c>
      <c r="P293" s="16">
        <f t="shared" si="55"/>
        <v>1026.0984072065573</v>
      </c>
      <c r="Q293" s="66">
        <v>24950</v>
      </c>
      <c r="R293" s="16">
        <f t="shared" si="56"/>
        <v>0.3</v>
      </c>
      <c r="S293" s="16">
        <f t="shared" si="57"/>
        <v>1572.8287035654707</v>
      </c>
    </row>
    <row r="294" spans="1:19" x14ac:dyDescent="0.3">
      <c r="A294" s="65">
        <v>20190313</v>
      </c>
      <c r="B294" s="65" t="s">
        <v>88</v>
      </c>
      <c r="C294" s="158">
        <f t="shared" si="58"/>
        <v>119281273.76677305</v>
      </c>
      <c r="D294" s="158">
        <f t="shared" si="59"/>
        <v>4.3635509827216774E-3</v>
      </c>
      <c r="E294" s="66">
        <v>43850</v>
      </c>
      <c r="F294" s="16">
        <f t="shared" si="48"/>
        <v>0.3</v>
      </c>
      <c r="G294" s="16">
        <f t="shared" si="49"/>
        <v>798.60682235301033</v>
      </c>
      <c r="H294" s="66">
        <v>207500</v>
      </c>
      <c r="I294" s="16">
        <f t="shared" si="50"/>
        <v>0.15</v>
      </c>
      <c r="J294" s="16">
        <f t="shared" si="51"/>
        <v>69.451874213621352</v>
      </c>
      <c r="K294" s="66">
        <v>306382</v>
      </c>
      <c r="L294" s="16">
        <f t="shared" si="52"/>
        <v>0.15</v>
      </c>
      <c r="M294" s="16">
        <f t="shared" si="53"/>
        <v>61.993934265389122</v>
      </c>
      <c r="N294" s="66">
        <v>10630</v>
      </c>
      <c r="O294" s="16">
        <f t="shared" si="54"/>
        <v>0.1</v>
      </c>
      <c r="P294" s="16">
        <f t="shared" si="55"/>
        <v>1026.0984072065573</v>
      </c>
      <c r="Q294" s="66">
        <v>25400</v>
      </c>
      <c r="R294" s="16">
        <f t="shared" si="56"/>
        <v>0.3</v>
      </c>
      <c r="S294" s="16">
        <f t="shared" si="57"/>
        <v>1572.8287035654707</v>
      </c>
    </row>
    <row r="295" spans="1:19" x14ac:dyDescent="0.3">
      <c r="A295" s="65">
        <v>20190314</v>
      </c>
      <c r="B295" s="65" t="s">
        <v>88</v>
      </c>
      <c r="C295" s="158">
        <f t="shared" si="58"/>
        <v>118209197.63228208</v>
      </c>
      <c r="D295" s="158">
        <f t="shared" si="59"/>
        <v>-8.987799179502088E-3</v>
      </c>
      <c r="E295" s="66">
        <v>43850</v>
      </c>
      <c r="F295" s="16">
        <f t="shared" si="48"/>
        <v>0.3</v>
      </c>
      <c r="G295" s="16">
        <f t="shared" si="49"/>
        <v>798.60682235301033</v>
      </c>
      <c r="H295" s="66">
        <v>206000</v>
      </c>
      <c r="I295" s="16">
        <f t="shared" si="50"/>
        <v>0.15</v>
      </c>
      <c r="J295" s="16">
        <f t="shared" si="51"/>
        <v>69.451874213621352</v>
      </c>
      <c r="K295" s="66">
        <v>301083</v>
      </c>
      <c r="L295" s="16">
        <f t="shared" si="52"/>
        <v>0.15</v>
      </c>
      <c r="M295" s="16">
        <f t="shared" si="53"/>
        <v>61.993934265389122</v>
      </c>
      <c r="N295" s="66">
        <v>10620</v>
      </c>
      <c r="O295" s="16">
        <f t="shared" si="54"/>
        <v>0.1</v>
      </c>
      <c r="P295" s="16">
        <f t="shared" si="55"/>
        <v>1026.0984072065573</v>
      </c>
      <c r="Q295" s="66">
        <v>25000</v>
      </c>
      <c r="R295" s="16">
        <f t="shared" si="56"/>
        <v>0.3</v>
      </c>
      <c r="S295" s="16">
        <f t="shared" si="57"/>
        <v>1572.8287035654707</v>
      </c>
    </row>
    <row r="296" spans="1:19" x14ac:dyDescent="0.3">
      <c r="A296" s="65">
        <v>20190315</v>
      </c>
      <c r="B296" s="65" t="s">
        <v>88</v>
      </c>
      <c r="C296" s="158">
        <f t="shared" si="58"/>
        <v>121348669.92723353</v>
      </c>
      <c r="D296" s="158">
        <f t="shared" si="59"/>
        <v>2.6558612678495051E-2</v>
      </c>
      <c r="E296" s="66">
        <v>44200</v>
      </c>
      <c r="F296" s="16">
        <f t="shared" si="48"/>
        <v>0.3</v>
      </c>
      <c r="G296" s="16">
        <f t="shared" si="49"/>
        <v>798.60682235301033</v>
      </c>
      <c r="H296" s="66">
        <v>203000</v>
      </c>
      <c r="I296" s="16">
        <f t="shared" si="50"/>
        <v>0.15</v>
      </c>
      <c r="J296" s="16">
        <f t="shared" si="51"/>
        <v>69.451874213621352</v>
      </c>
      <c r="K296" s="66">
        <v>299807</v>
      </c>
      <c r="L296" s="16">
        <f t="shared" si="52"/>
        <v>0.15</v>
      </c>
      <c r="M296" s="16">
        <f t="shared" si="53"/>
        <v>61.993934265389122</v>
      </c>
      <c r="N296" s="66">
        <v>10775</v>
      </c>
      <c r="O296" s="16">
        <f t="shared" si="54"/>
        <v>0.1</v>
      </c>
      <c r="P296" s="16">
        <f t="shared" si="55"/>
        <v>1026.0984072065573</v>
      </c>
      <c r="Q296" s="66">
        <v>26900</v>
      </c>
      <c r="R296" s="16">
        <f t="shared" si="56"/>
        <v>0.3</v>
      </c>
      <c r="S296" s="16">
        <f t="shared" si="57"/>
        <v>1572.8287035654707</v>
      </c>
    </row>
    <row r="297" spans="1:19" x14ac:dyDescent="0.3">
      <c r="A297" s="65">
        <v>20190318</v>
      </c>
      <c r="B297" s="65" t="s">
        <v>88</v>
      </c>
      <c r="C297" s="158">
        <f t="shared" si="58"/>
        <v>121441183.76629058</v>
      </c>
      <c r="D297" s="158">
        <f t="shared" si="59"/>
        <v>7.62380330270772E-4</v>
      </c>
      <c r="E297" s="66">
        <v>43700</v>
      </c>
      <c r="F297" s="16">
        <f t="shared" si="48"/>
        <v>0.3</v>
      </c>
      <c r="G297" s="16">
        <f t="shared" si="49"/>
        <v>798.60682235301033</v>
      </c>
      <c r="H297" s="66">
        <v>201000</v>
      </c>
      <c r="I297" s="16">
        <f t="shared" si="50"/>
        <v>0.15</v>
      </c>
      <c r="J297" s="16">
        <f t="shared" si="51"/>
        <v>69.451874213621352</v>
      </c>
      <c r="K297" s="66">
        <v>293821</v>
      </c>
      <c r="L297" s="16">
        <f t="shared" si="52"/>
        <v>0.15</v>
      </c>
      <c r="M297" s="16">
        <f t="shared" si="53"/>
        <v>61.993934265389122</v>
      </c>
      <c r="N297" s="66">
        <v>10755</v>
      </c>
      <c r="O297" s="16">
        <f t="shared" si="54"/>
        <v>0.1</v>
      </c>
      <c r="P297" s="16">
        <f t="shared" si="55"/>
        <v>1026.0984072065573</v>
      </c>
      <c r="Q297" s="66">
        <v>27550</v>
      </c>
      <c r="R297" s="16">
        <f t="shared" si="56"/>
        <v>0.3</v>
      </c>
      <c r="S297" s="16">
        <f t="shared" si="57"/>
        <v>1572.8287035654707</v>
      </c>
    </row>
    <row r="298" spans="1:19" x14ac:dyDescent="0.3">
      <c r="A298" s="65">
        <v>20190319</v>
      </c>
      <c r="B298" s="65" t="s">
        <v>88</v>
      </c>
      <c r="C298" s="158">
        <f t="shared" si="58"/>
        <v>119524815.85387459</v>
      </c>
      <c r="D298" s="158">
        <f t="shared" si="59"/>
        <v>-1.5780214363720024E-2</v>
      </c>
      <c r="E298" s="66">
        <v>43900</v>
      </c>
      <c r="F298" s="16">
        <f t="shared" si="48"/>
        <v>0.3</v>
      </c>
      <c r="G298" s="16">
        <f t="shared" si="49"/>
        <v>798.60682235301033</v>
      </c>
      <c r="H298" s="66">
        <v>203000</v>
      </c>
      <c r="I298" s="16">
        <f t="shared" si="50"/>
        <v>0.15</v>
      </c>
      <c r="J298" s="16">
        <f t="shared" si="51"/>
        <v>69.451874213621352</v>
      </c>
      <c r="K298" s="66">
        <v>284400</v>
      </c>
      <c r="L298" s="16">
        <f t="shared" si="52"/>
        <v>0.15</v>
      </c>
      <c r="M298" s="16">
        <f t="shared" si="53"/>
        <v>61.993934265389122</v>
      </c>
      <c r="N298" s="66">
        <v>10775</v>
      </c>
      <c r="O298" s="16">
        <f t="shared" si="54"/>
        <v>0.1</v>
      </c>
      <c r="P298" s="16">
        <f t="shared" si="55"/>
        <v>1026.0984072065573</v>
      </c>
      <c r="Q298" s="66">
        <v>26500</v>
      </c>
      <c r="R298" s="16">
        <f t="shared" si="56"/>
        <v>0.3</v>
      </c>
      <c r="S298" s="16">
        <f t="shared" si="57"/>
        <v>1572.8287035654707</v>
      </c>
    </row>
    <row r="299" spans="1:19" x14ac:dyDescent="0.3">
      <c r="A299" s="65">
        <v>20190320</v>
      </c>
      <c r="B299" s="65" t="s">
        <v>88</v>
      </c>
      <c r="C299" s="158">
        <f t="shared" si="58"/>
        <v>120920141.5333522</v>
      </c>
      <c r="D299" s="158">
        <f t="shared" si="59"/>
        <v>1.1673941260729166E-2</v>
      </c>
      <c r="E299" s="66">
        <v>44050</v>
      </c>
      <c r="F299" s="16">
        <f t="shared" si="48"/>
        <v>0.3</v>
      </c>
      <c r="G299" s="16">
        <f t="shared" si="49"/>
        <v>798.60682235301033</v>
      </c>
      <c r="H299" s="66">
        <v>201000</v>
      </c>
      <c r="I299" s="16">
        <f t="shared" si="50"/>
        <v>0.15</v>
      </c>
      <c r="J299" s="16">
        <f t="shared" si="51"/>
        <v>69.451874213621352</v>
      </c>
      <c r="K299" s="66">
        <v>289208</v>
      </c>
      <c r="L299" s="16">
        <f t="shared" si="52"/>
        <v>0.15</v>
      </c>
      <c r="M299" s="16">
        <f t="shared" si="53"/>
        <v>61.993934265389122</v>
      </c>
      <c r="N299" s="66">
        <v>10790</v>
      </c>
      <c r="O299" s="16">
        <f t="shared" si="54"/>
        <v>0.1</v>
      </c>
      <c r="P299" s="16">
        <f t="shared" si="55"/>
        <v>1026.0984072065573</v>
      </c>
      <c r="Q299" s="66">
        <v>27200</v>
      </c>
      <c r="R299" s="16">
        <f t="shared" si="56"/>
        <v>0.3</v>
      </c>
      <c r="S299" s="16">
        <f t="shared" si="57"/>
        <v>1572.8287035654707</v>
      </c>
    </row>
    <row r="300" spans="1:19" x14ac:dyDescent="0.3">
      <c r="A300" s="65">
        <v>20190321</v>
      </c>
      <c r="B300" s="65" t="s">
        <v>88</v>
      </c>
      <c r="C300" s="158">
        <f t="shared" si="58"/>
        <v>120374909.13889168</v>
      </c>
      <c r="D300" s="158">
        <f t="shared" si="59"/>
        <v>-4.5090287486152852E-3</v>
      </c>
      <c r="E300" s="66">
        <v>45850</v>
      </c>
      <c r="F300" s="16">
        <f t="shared" si="48"/>
        <v>0.3</v>
      </c>
      <c r="G300" s="16">
        <f t="shared" si="49"/>
        <v>798.60682235301033</v>
      </c>
      <c r="H300" s="66">
        <v>200500</v>
      </c>
      <c r="I300" s="16">
        <f t="shared" si="50"/>
        <v>0.15</v>
      </c>
      <c r="J300" s="16">
        <f t="shared" si="51"/>
        <v>69.451874213621352</v>
      </c>
      <c r="K300" s="66">
        <v>277530</v>
      </c>
      <c r="L300" s="16">
        <f t="shared" si="52"/>
        <v>0.15</v>
      </c>
      <c r="M300" s="16">
        <f t="shared" si="53"/>
        <v>61.993934265389122</v>
      </c>
      <c r="N300" s="66">
        <v>10900</v>
      </c>
      <c r="O300" s="16">
        <f t="shared" si="54"/>
        <v>0.1</v>
      </c>
      <c r="P300" s="16">
        <f t="shared" si="55"/>
        <v>1026.0984072065573</v>
      </c>
      <c r="Q300" s="66">
        <v>26350</v>
      </c>
      <c r="R300" s="16">
        <f t="shared" si="56"/>
        <v>0.3</v>
      </c>
      <c r="S300" s="16">
        <f t="shared" si="57"/>
        <v>1572.8287035654707</v>
      </c>
    </row>
    <row r="301" spans="1:19" x14ac:dyDescent="0.3">
      <c r="A301" s="65">
        <v>20190322</v>
      </c>
      <c r="B301" s="65" t="s">
        <v>88</v>
      </c>
      <c r="C301" s="158">
        <f t="shared" si="58"/>
        <v>120327030.81819704</v>
      </c>
      <c r="D301" s="158">
        <f t="shared" si="59"/>
        <v>-3.9774335895362576E-4</v>
      </c>
      <c r="E301" s="66">
        <v>46550</v>
      </c>
      <c r="F301" s="16">
        <f t="shared" si="48"/>
        <v>0.3</v>
      </c>
      <c r="G301" s="16">
        <f t="shared" si="49"/>
        <v>798.60682235301033</v>
      </c>
      <c r="H301" s="66">
        <v>199500</v>
      </c>
      <c r="I301" s="16">
        <f t="shared" si="50"/>
        <v>0.15</v>
      </c>
      <c r="J301" s="16">
        <f t="shared" si="51"/>
        <v>69.451874213621352</v>
      </c>
      <c r="K301" s="66">
        <v>276058</v>
      </c>
      <c r="L301" s="16">
        <f t="shared" si="52"/>
        <v>0.15</v>
      </c>
      <c r="M301" s="16">
        <f t="shared" si="53"/>
        <v>61.993934265389122</v>
      </c>
      <c r="N301" s="66">
        <v>10925</v>
      </c>
      <c r="O301" s="16">
        <f t="shared" si="54"/>
        <v>0.1</v>
      </c>
      <c r="P301" s="16">
        <f t="shared" si="55"/>
        <v>1026.0984072065573</v>
      </c>
      <c r="Q301" s="66">
        <v>26050</v>
      </c>
      <c r="R301" s="16">
        <f t="shared" si="56"/>
        <v>0.3</v>
      </c>
      <c r="S301" s="16">
        <f t="shared" si="57"/>
        <v>1572.8287035654707</v>
      </c>
    </row>
    <row r="302" spans="1:19" x14ac:dyDescent="0.3">
      <c r="A302" s="65">
        <v>20190325</v>
      </c>
      <c r="B302" s="65" t="s">
        <v>88</v>
      </c>
      <c r="C302" s="158">
        <f t="shared" si="58"/>
        <v>119442763.7971251</v>
      </c>
      <c r="D302" s="158">
        <f t="shared" si="59"/>
        <v>-7.3488642997265171E-3</v>
      </c>
      <c r="E302" s="66">
        <v>45500</v>
      </c>
      <c r="F302" s="16">
        <f t="shared" si="48"/>
        <v>0.3</v>
      </c>
      <c r="G302" s="16">
        <f t="shared" si="49"/>
        <v>798.60682235301033</v>
      </c>
      <c r="H302" s="66">
        <v>198000</v>
      </c>
      <c r="I302" s="16">
        <f t="shared" si="50"/>
        <v>0.15</v>
      </c>
      <c r="J302" s="16">
        <f t="shared" si="51"/>
        <v>69.451874213621352</v>
      </c>
      <c r="K302" s="66">
        <v>266440</v>
      </c>
      <c r="L302" s="16">
        <f t="shared" si="52"/>
        <v>0.15</v>
      </c>
      <c r="M302" s="16">
        <f t="shared" si="53"/>
        <v>61.993934265389122</v>
      </c>
      <c r="N302" s="66">
        <v>10720</v>
      </c>
      <c r="O302" s="16">
        <f t="shared" si="54"/>
        <v>0.1</v>
      </c>
      <c r="P302" s="16">
        <f t="shared" si="55"/>
        <v>1026.0984072065573</v>
      </c>
      <c r="Q302" s="66">
        <v>26600</v>
      </c>
      <c r="R302" s="16">
        <f t="shared" si="56"/>
        <v>0.3</v>
      </c>
      <c r="S302" s="16">
        <f t="shared" si="57"/>
        <v>1572.8287035654707</v>
      </c>
    </row>
    <row r="303" spans="1:19" x14ac:dyDescent="0.3">
      <c r="A303" s="65">
        <v>20190326</v>
      </c>
      <c r="B303" s="65" t="s">
        <v>88</v>
      </c>
      <c r="C303" s="158">
        <f t="shared" si="58"/>
        <v>123556899.53526796</v>
      </c>
      <c r="D303" s="158">
        <f t="shared" si="59"/>
        <v>3.4444411761358512E-2</v>
      </c>
      <c r="E303" s="66">
        <v>45250</v>
      </c>
      <c r="F303" s="16">
        <f t="shared" si="48"/>
        <v>0.3</v>
      </c>
      <c r="G303" s="16">
        <f t="shared" si="49"/>
        <v>798.60682235301033</v>
      </c>
      <c r="H303" s="66">
        <v>192500</v>
      </c>
      <c r="I303" s="16">
        <f t="shared" si="50"/>
        <v>0.15</v>
      </c>
      <c r="J303" s="16">
        <f t="shared" si="51"/>
        <v>69.451874213621352</v>
      </c>
      <c r="K303" s="66">
        <v>280965</v>
      </c>
      <c r="L303" s="16">
        <f t="shared" si="52"/>
        <v>0.15</v>
      </c>
      <c r="M303" s="16">
        <f t="shared" si="53"/>
        <v>61.993934265389122</v>
      </c>
      <c r="N303" s="66">
        <v>10740</v>
      </c>
      <c r="O303" s="16">
        <f t="shared" si="54"/>
        <v>0.1</v>
      </c>
      <c r="P303" s="16">
        <f t="shared" si="55"/>
        <v>1026.0984072065573</v>
      </c>
      <c r="Q303" s="66">
        <v>29000</v>
      </c>
      <c r="R303" s="16">
        <f t="shared" si="56"/>
        <v>0.3</v>
      </c>
      <c r="S303" s="16">
        <f t="shared" si="57"/>
        <v>1572.8287035654707</v>
      </c>
    </row>
    <row r="304" spans="1:19" x14ac:dyDescent="0.3">
      <c r="A304" s="65">
        <v>20190327</v>
      </c>
      <c r="B304" s="65" t="s">
        <v>88</v>
      </c>
      <c r="C304" s="158">
        <f t="shared" si="58"/>
        <v>121024066.14833292</v>
      </c>
      <c r="D304" s="158">
        <f t="shared" si="59"/>
        <v>-2.0499327811411058E-2</v>
      </c>
      <c r="E304" s="66">
        <v>45350</v>
      </c>
      <c r="F304" s="16">
        <f t="shared" si="48"/>
        <v>0.3</v>
      </c>
      <c r="G304" s="16">
        <f t="shared" si="49"/>
        <v>798.60682235301033</v>
      </c>
      <c r="H304" s="66">
        <v>183000</v>
      </c>
      <c r="I304" s="16">
        <f t="shared" si="50"/>
        <v>0.15</v>
      </c>
      <c r="J304" s="16">
        <f t="shared" si="51"/>
        <v>69.451874213621352</v>
      </c>
      <c r="K304" s="66">
        <v>264576</v>
      </c>
      <c r="L304" s="16">
        <f t="shared" si="52"/>
        <v>0.15</v>
      </c>
      <c r="M304" s="16">
        <f t="shared" si="53"/>
        <v>61.993934265389122</v>
      </c>
      <c r="N304" s="66">
        <v>10670</v>
      </c>
      <c r="O304" s="16">
        <f t="shared" si="54"/>
        <v>0.1</v>
      </c>
      <c r="P304" s="16">
        <f t="shared" si="55"/>
        <v>1026.0984072065573</v>
      </c>
      <c r="Q304" s="66">
        <v>28450</v>
      </c>
      <c r="R304" s="16">
        <f t="shared" si="56"/>
        <v>0.3</v>
      </c>
      <c r="S304" s="16">
        <f t="shared" si="57"/>
        <v>1572.8287035654707</v>
      </c>
    </row>
    <row r="305" spans="1:19" x14ac:dyDescent="0.3">
      <c r="A305" s="65">
        <v>20190328</v>
      </c>
      <c r="B305" s="65" t="s">
        <v>88</v>
      </c>
      <c r="C305" s="158">
        <f t="shared" si="58"/>
        <v>122340073.39245299</v>
      </c>
      <c r="D305" s="158">
        <f t="shared" si="59"/>
        <v>1.0873930169451583E-2</v>
      </c>
      <c r="E305" s="66">
        <v>44850</v>
      </c>
      <c r="F305" s="16">
        <f t="shared" si="48"/>
        <v>0.3</v>
      </c>
      <c r="G305" s="16">
        <f t="shared" si="49"/>
        <v>798.60682235301033</v>
      </c>
      <c r="H305" s="66">
        <v>180500</v>
      </c>
      <c r="I305" s="16">
        <f t="shared" si="50"/>
        <v>0.15</v>
      </c>
      <c r="J305" s="16">
        <f t="shared" si="51"/>
        <v>69.451874213621352</v>
      </c>
      <c r="K305" s="66">
        <v>265263</v>
      </c>
      <c r="L305" s="16">
        <f t="shared" si="52"/>
        <v>0.15</v>
      </c>
      <c r="M305" s="16">
        <f t="shared" si="53"/>
        <v>61.993934265389122</v>
      </c>
      <c r="N305" s="66">
        <v>10630</v>
      </c>
      <c r="O305" s="16">
        <f t="shared" si="54"/>
        <v>0.1</v>
      </c>
      <c r="P305" s="16">
        <f t="shared" si="55"/>
        <v>1026.0984072065573</v>
      </c>
      <c r="Q305" s="66">
        <v>29650</v>
      </c>
      <c r="R305" s="16">
        <f t="shared" si="56"/>
        <v>0.3</v>
      </c>
      <c r="S305" s="16">
        <f t="shared" si="57"/>
        <v>1572.8287035654707</v>
      </c>
    </row>
    <row r="306" spans="1:19" x14ac:dyDescent="0.3">
      <c r="A306" s="65">
        <v>20190329</v>
      </c>
      <c r="B306" s="65" t="s">
        <v>88</v>
      </c>
      <c r="C306" s="158">
        <f t="shared" si="58"/>
        <v>123430755.82510588</v>
      </c>
      <c r="D306" s="158">
        <f t="shared" si="59"/>
        <v>8.9151690235962661E-3</v>
      </c>
      <c r="E306" s="66">
        <v>44650</v>
      </c>
      <c r="F306" s="16">
        <f t="shared" si="48"/>
        <v>0.3</v>
      </c>
      <c r="G306" s="16">
        <f t="shared" si="49"/>
        <v>798.60682235301033</v>
      </c>
      <c r="H306" s="66">
        <v>181000</v>
      </c>
      <c r="I306" s="16">
        <f t="shared" si="50"/>
        <v>0.15</v>
      </c>
      <c r="J306" s="16">
        <f t="shared" si="51"/>
        <v>69.451874213621352</v>
      </c>
      <c r="K306" s="66">
        <v>274586</v>
      </c>
      <c r="L306" s="16">
        <f t="shared" si="52"/>
        <v>0.15</v>
      </c>
      <c r="M306" s="16">
        <f t="shared" si="53"/>
        <v>61.993934265389122</v>
      </c>
      <c r="N306" s="66">
        <v>10715</v>
      </c>
      <c r="O306" s="16">
        <f t="shared" si="54"/>
        <v>0.1</v>
      </c>
      <c r="P306" s="16">
        <f t="shared" si="55"/>
        <v>1026.0984072065573</v>
      </c>
      <c r="Q306" s="66">
        <v>30000</v>
      </c>
      <c r="R306" s="16">
        <f t="shared" si="56"/>
        <v>0.3</v>
      </c>
      <c r="S306" s="16">
        <f t="shared" si="57"/>
        <v>1572.8287035654707</v>
      </c>
    </row>
    <row r="307" spans="1:19" x14ac:dyDescent="0.3">
      <c r="A307" s="65">
        <v>20190401</v>
      </c>
      <c r="B307" s="65" t="s">
        <v>88</v>
      </c>
      <c r="C307" s="158">
        <f t="shared" si="58"/>
        <v>123109554.83710343</v>
      </c>
      <c r="D307" s="158">
        <f t="shared" si="59"/>
        <v>-2.602276765262397E-3</v>
      </c>
      <c r="E307" s="66">
        <v>45050</v>
      </c>
      <c r="F307" s="16">
        <f t="shared" si="48"/>
        <v>0.3</v>
      </c>
      <c r="G307" s="16">
        <f t="shared" si="49"/>
        <v>798.60682235301033</v>
      </c>
      <c r="H307" s="66">
        <v>182000</v>
      </c>
      <c r="I307" s="16">
        <f t="shared" si="50"/>
        <v>0.15</v>
      </c>
      <c r="J307" s="16">
        <f t="shared" si="51"/>
        <v>69.451874213621352</v>
      </c>
      <c r="K307" s="66">
        <v>269777</v>
      </c>
      <c r="L307" s="16">
        <f t="shared" si="52"/>
        <v>0.15</v>
      </c>
      <c r="M307" s="16">
        <f t="shared" si="53"/>
        <v>61.993934265389122</v>
      </c>
      <c r="N307" s="66">
        <v>10850</v>
      </c>
      <c r="O307" s="16">
        <f t="shared" si="54"/>
        <v>0.1</v>
      </c>
      <c r="P307" s="16">
        <f t="shared" si="55"/>
        <v>1026.0984072065573</v>
      </c>
      <c r="Q307" s="66">
        <v>29650</v>
      </c>
      <c r="R307" s="16">
        <f t="shared" si="56"/>
        <v>0.3</v>
      </c>
      <c r="S307" s="16">
        <f t="shared" si="57"/>
        <v>1572.8287035654707</v>
      </c>
    </row>
    <row r="308" spans="1:19" x14ac:dyDescent="0.3">
      <c r="A308" s="65">
        <v>20190402</v>
      </c>
      <c r="B308" s="65" t="s">
        <v>88</v>
      </c>
      <c r="C308" s="158">
        <f t="shared" si="58"/>
        <v>124104094.76073581</v>
      </c>
      <c r="D308" s="158">
        <f t="shared" si="59"/>
        <v>8.0784950034815933E-3</v>
      </c>
      <c r="E308" s="66">
        <v>45750</v>
      </c>
      <c r="F308" s="16">
        <f t="shared" si="48"/>
        <v>0.3</v>
      </c>
      <c r="G308" s="16">
        <f t="shared" si="49"/>
        <v>798.60682235301033</v>
      </c>
      <c r="H308" s="66">
        <v>190000</v>
      </c>
      <c r="I308" s="16">
        <f t="shared" si="50"/>
        <v>0.15</v>
      </c>
      <c r="J308" s="16">
        <f t="shared" si="51"/>
        <v>69.451874213621352</v>
      </c>
      <c r="K308" s="66">
        <v>271838</v>
      </c>
      <c r="L308" s="16">
        <f t="shared" si="52"/>
        <v>0.15</v>
      </c>
      <c r="M308" s="16">
        <f t="shared" si="53"/>
        <v>61.993934265389122</v>
      </c>
      <c r="N308" s="66">
        <v>10915</v>
      </c>
      <c r="O308" s="16">
        <f t="shared" si="54"/>
        <v>0.1</v>
      </c>
      <c r="P308" s="16">
        <f t="shared" si="55"/>
        <v>1026.0984072065573</v>
      </c>
      <c r="Q308" s="66">
        <v>29450</v>
      </c>
      <c r="R308" s="16">
        <f t="shared" si="56"/>
        <v>0.3</v>
      </c>
      <c r="S308" s="16">
        <f t="shared" si="57"/>
        <v>1572.8287035654707</v>
      </c>
    </row>
    <row r="309" spans="1:19" x14ac:dyDescent="0.3">
      <c r="A309" s="65">
        <v>20190403</v>
      </c>
      <c r="B309" s="65" t="s">
        <v>88</v>
      </c>
      <c r="C309" s="158">
        <f t="shared" si="58"/>
        <v>128021178.27348693</v>
      </c>
      <c r="D309" s="158">
        <f t="shared" si="59"/>
        <v>3.156288694827504E-2</v>
      </c>
      <c r="E309" s="66">
        <v>46600</v>
      </c>
      <c r="F309" s="16">
        <f t="shared" si="48"/>
        <v>0.3</v>
      </c>
      <c r="G309" s="16">
        <f t="shared" si="49"/>
        <v>798.60682235301033</v>
      </c>
      <c r="H309" s="66">
        <v>193500</v>
      </c>
      <c r="I309" s="16">
        <f t="shared" si="50"/>
        <v>0.15</v>
      </c>
      <c r="J309" s="16">
        <f t="shared" si="51"/>
        <v>69.451874213621352</v>
      </c>
      <c r="K309" s="66">
        <v>274291</v>
      </c>
      <c r="L309" s="16">
        <f t="shared" si="52"/>
        <v>0.15</v>
      </c>
      <c r="M309" s="16">
        <f t="shared" si="53"/>
        <v>61.993934265389122</v>
      </c>
      <c r="N309" s="66">
        <v>11080</v>
      </c>
      <c r="O309" s="16">
        <f t="shared" si="54"/>
        <v>0.1</v>
      </c>
      <c r="P309" s="16">
        <f t="shared" si="55"/>
        <v>1026.0984072065573</v>
      </c>
      <c r="Q309" s="66">
        <v>31150</v>
      </c>
      <c r="R309" s="16">
        <f t="shared" si="56"/>
        <v>0.3</v>
      </c>
      <c r="S309" s="16">
        <f t="shared" si="57"/>
        <v>1572.8287035654707</v>
      </c>
    </row>
    <row r="310" spans="1:19" x14ac:dyDescent="0.3">
      <c r="A310" s="65">
        <v>20190404</v>
      </c>
      <c r="B310" s="65" t="s">
        <v>88</v>
      </c>
      <c r="C310" s="158">
        <f t="shared" si="58"/>
        <v>127870748.01114818</v>
      </c>
      <c r="D310" s="158">
        <f t="shared" si="59"/>
        <v>-1.1750420076386424E-3</v>
      </c>
      <c r="E310" s="66">
        <v>46950</v>
      </c>
      <c r="F310" s="16">
        <f t="shared" si="48"/>
        <v>0.3</v>
      </c>
      <c r="G310" s="16">
        <f t="shared" si="49"/>
        <v>798.60682235301033</v>
      </c>
      <c r="H310" s="66">
        <v>192500</v>
      </c>
      <c r="I310" s="16">
        <f t="shared" si="50"/>
        <v>0.15</v>
      </c>
      <c r="J310" s="16">
        <f t="shared" si="51"/>
        <v>69.451874213621352</v>
      </c>
      <c r="K310" s="66">
        <v>267814</v>
      </c>
      <c r="L310" s="16">
        <f t="shared" si="52"/>
        <v>0.15</v>
      </c>
      <c r="M310" s="16">
        <f t="shared" si="53"/>
        <v>61.993934265389122</v>
      </c>
      <c r="N310" s="66">
        <v>11120</v>
      </c>
      <c r="O310" s="16">
        <f t="shared" si="54"/>
        <v>0.1</v>
      </c>
      <c r="P310" s="16">
        <f t="shared" si="55"/>
        <v>1026.0984072065573</v>
      </c>
      <c r="Q310" s="66">
        <v>31150</v>
      </c>
      <c r="R310" s="16">
        <f t="shared" si="56"/>
        <v>0.3</v>
      </c>
      <c r="S310" s="16">
        <f t="shared" si="57"/>
        <v>1572.8287035654707</v>
      </c>
    </row>
    <row r="311" spans="1:19" x14ac:dyDescent="0.3">
      <c r="A311" s="65">
        <v>20190405</v>
      </c>
      <c r="B311" s="65" t="s">
        <v>88</v>
      </c>
      <c r="C311" s="158">
        <f t="shared" si="58"/>
        <v>125708831.11537334</v>
      </c>
      <c r="D311" s="158">
        <f t="shared" si="59"/>
        <v>-1.690704816700031E-2</v>
      </c>
      <c r="E311" s="66">
        <v>46850</v>
      </c>
      <c r="F311" s="16">
        <f t="shared" si="48"/>
        <v>0.3</v>
      </c>
      <c r="G311" s="16">
        <f t="shared" si="49"/>
        <v>798.60682235301033</v>
      </c>
      <c r="H311" s="66">
        <v>192000</v>
      </c>
      <c r="I311" s="16">
        <f t="shared" si="50"/>
        <v>0.15</v>
      </c>
      <c r="J311" s="16">
        <f t="shared" si="51"/>
        <v>69.451874213621352</v>
      </c>
      <c r="K311" s="66">
        <v>260160</v>
      </c>
      <c r="L311" s="16">
        <f t="shared" si="52"/>
        <v>0.15</v>
      </c>
      <c r="M311" s="16">
        <f t="shared" si="53"/>
        <v>61.993934265389122</v>
      </c>
      <c r="N311" s="66">
        <v>11120</v>
      </c>
      <c r="O311" s="16">
        <f t="shared" si="54"/>
        <v>0.1</v>
      </c>
      <c r="P311" s="16">
        <f t="shared" si="55"/>
        <v>1026.0984072065573</v>
      </c>
      <c r="Q311" s="66">
        <v>30150</v>
      </c>
      <c r="R311" s="16">
        <f t="shared" si="56"/>
        <v>0.3</v>
      </c>
      <c r="S311" s="16">
        <f t="shared" si="57"/>
        <v>1572.8287035654707</v>
      </c>
    </row>
    <row r="312" spans="1:19" x14ac:dyDescent="0.3">
      <c r="A312" s="65">
        <v>20190408</v>
      </c>
      <c r="B312" s="65" t="s">
        <v>88</v>
      </c>
      <c r="C312" s="158">
        <f t="shared" si="58"/>
        <v>125125556.86773737</v>
      </c>
      <c r="D312" s="158">
        <f t="shared" si="59"/>
        <v>-4.6398828344896203E-3</v>
      </c>
      <c r="E312" s="66">
        <v>46650</v>
      </c>
      <c r="F312" s="16">
        <f t="shared" si="48"/>
        <v>0.3</v>
      </c>
      <c r="G312" s="16">
        <f t="shared" si="49"/>
        <v>798.60682235301033</v>
      </c>
      <c r="H312" s="66">
        <v>195500</v>
      </c>
      <c r="I312" s="16">
        <f t="shared" si="50"/>
        <v>0.15</v>
      </c>
      <c r="J312" s="16">
        <f t="shared" si="51"/>
        <v>69.451874213621352</v>
      </c>
      <c r="K312" s="66">
        <v>266146</v>
      </c>
      <c r="L312" s="16">
        <f t="shared" si="52"/>
        <v>0.15</v>
      </c>
      <c r="M312" s="16">
        <f t="shared" si="53"/>
        <v>61.993934265389122</v>
      </c>
      <c r="N312" s="66">
        <v>11105</v>
      </c>
      <c r="O312" s="16">
        <f t="shared" si="54"/>
        <v>0.1</v>
      </c>
      <c r="P312" s="16">
        <f t="shared" si="55"/>
        <v>1026.0984072065573</v>
      </c>
      <c r="Q312" s="66">
        <v>29500</v>
      </c>
      <c r="R312" s="16">
        <f t="shared" si="56"/>
        <v>0.3</v>
      </c>
      <c r="S312" s="16">
        <f t="shared" si="57"/>
        <v>1572.8287035654707</v>
      </c>
    </row>
    <row r="313" spans="1:19" x14ac:dyDescent="0.3">
      <c r="A313" s="65">
        <v>20190409</v>
      </c>
      <c r="B313" s="65" t="s">
        <v>88</v>
      </c>
      <c r="C313" s="158">
        <f t="shared" si="58"/>
        <v>125804224.40749039</v>
      </c>
      <c r="D313" s="158">
        <f t="shared" si="59"/>
        <v>5.4238922626366256E-3</v>
      </c>
      <c r="E313" s="66">
        <v>46650</v>
      </c>
      <c r="F313" s="16">
        <f t="shared" si="48"/>
        <v>0.3</v>
      </c>
      <c r="G313" s="16">
        <f t="shared" si="49"/>
        <v>798.60682235301033</v>
      </c>
      <c r="H313" s="66">
        <v>204500</v>
      </c>
      <c r="I313" s="16">
        <f t="shared" si="50"/>
        <v>0.15</v>
      </c>
      <c r="J313" s="16">
        <f t="shared" si="51"/>
        <v>69.451874213621352</v>
      </c>
      <c r="K313" s="66">
        <v>265852</v>
      </c>
      <c r="L313" s="16">
        <f t="shared" si="52"/>
        <v>0.15</v>
      </c>
      <c r="M313" s="16">
        <f t="shared" si="53"/>
        <v>61.993934265389122</v>
      </c>
      <c r="N313" s="66">
        <v>11175</v>
      </c>
      <c r="O313" s="16">
        <f t="shared" si="54"/>
        <v>0.1</v>
      </c>
      <c r="P313" s="16">
        <f t="shared" si="55"/>
        <v>1026.0984072065573</v>
      </c>
      <c r="Q313" s="66">
        <v>29500</v>
      </c>
      <c r="R313" s="16">
        <f t="shared" si="56"/>
        <v>0.3</v>
      </c>
      <c r="S313" s="16">
        <f t="shared" si="57"/>
        <v>1572.8287035654707</v>
      </c>
    </row>
    <row r="314" spans="1:19" x14ac:dyDescent="0.3">
      <c r="A314" s="65">
        <v>20190410</v>
      </c>
      <c r="B314" s="65" t="s">
        <v>88</v>
      </c>
      <c r="C314" s="158">
        <f t="shared" si="58"/>
        <v>127123355.78519708</v>
      </c>
      <c r="D314" s="158">
        <f t="shared" si="59"/>
        <v>1.0485588889558389E-2</v>
      </c>
      <c r="E314" s="66">
        <v>46700</v>
      </c>
      <c r="F314" s="16">
        <f t="shared" ref="F314:F368" si="60">$F$248</f>
        <v>0.3</v>
      </c>
      <c r="G314" s="16">
        <f t="shared" ref="G314:G368" si="61">$G$248</f>
        <v>798.60682235301033</v>
      </c>
      <c r="H314" s="66">
        <v>205500</v>
      </c>
      <c r="I314" s="16">
        <f t="shared" ref="I314:I368" si="62">$I$248</f>
        <v>0.15</v>
      </c>
      <c r="J314" s="16">
        <f t="shared" ref="J314:J368" si="63">$J$248</f>
        <v>69.451874213621352</v>
      </c>
      <c r="K314" s="66">
        <v>272819</v>
      </c>
      <c r="L314" s="16">
        <f t="shared" ref="L314:L368" si="64">$L$248</f>
        <v>0.15</v>
      </c>
      <c r="M314" s="16">
        <f t="shared" ref="M314:M368" si="65">$M$248</f>
        <v>61.993934265389122</v>
      </c>
      <c r="N314" s="66">
        <v>11090</v>
      </c>
      <c r="O314" s="16">
        <f t="shared" ref="O314:O368" si="66">$O$248</f>
        <v>0.1</v>
      </c>
      <c r="P314" s="16">
        <f t="shared" ref="P314:P368" si="67">P313</f>
        <v>1026.0984072065573</v>
      </c>
      <c r="Q314" s="66">
        <v>30050</v>
      </c>
      <c r="R314" s="16">
        <f t="shared" ref="R314:R368" si="68">$R$248</f>
        <v>0.3</v>
      </c>
      <c r="S314" s="16">
        <f t="shared" ref="S314:S368" si="69">$S$248</f>
        <v>1572.8287035654707</v>
      </c>
    </row>
    <row r="315" spans="1:19" x14ac:dyDescent="0.3">
      <c r="A315" s="65">
        <v>20190411</v>
      </c>
      <c r="B315" s="65" t="s">
        <v>88</v>
      </c>
      <c r="C315" s="158">
        <f t="shared" si="58"/>
        <v>126563854.54686478</v>
      </c>
      <c r="D315" s="158">
        <f t="shared" si="59"/>
        <v>-4.4012466070963542E-3</v>
      </c>
      <c r="E315" s="66">
        <v>46250</v>
      </c>
      <c r="F315" s="16">
        <f t="shared" si="60"/>
        <v>0.3</v>
      </c>
      <c r="G315" s="16">
        <f t="shared" si="61"/>
        <v>798.60682235301033</v>
      </c>
      <c r="H315" s="66">
        <v>210500</v>
      </c>
      <c r="I315" s="16">
        <f t="shared" si="62"/>
        <v>0.15</v>
      </c>
      <c r="J315" s="16">
        <f t="shared" si="63"/>
        <v>69.451874213621352</v>
      </c>
      <c r="K315" s="66">
        <v>273310</v>
      </c>
      <c r="L315" s="16">
        <f t="shared" si="64"/>
        <v>0.15</v>
      </c>
      <c r="M315" s="16">
        <f t="shared" si="65"/>
        <v>61.993934265389122</v>
      </c>
      <c r="N315" s="66">
        <v>11140</v>
      </c>
      <c r="O315" s="16">
        <f t="shared" si="66"/>
        <v>0.1</v>
      </c>
      <c r="P315" s="16">
        <f t="shared" si="67"/>
        <v>1026.0984072065573</v>
      </c>
      <c r="Q315" s="66">
        <v>29650</v>
      </c>
      <c r="R315" s="16">
        <f t="shared" si="68"/>
        <v>0.3</v>
      </c>
      <c r="S315" s="16">
        <f t="shared" si="69"/>
        <v>1572.8287035654707</v>
      </c>
    </row>
    <row r="316" spans="1:19" x14ac:dyDescent="0.3">
      <c r="A316" s="65">
        <v>20190412</v>
      </c>
      <c r="B316" s="65" t="s">
        <v>88</v>
      </c>
      <c r="C316" s="158">
        <f t="shared" si="58"/>
        <v>125501790.47719616</v>
      </c>
      <c r="D316" s="158">
        <f t="shared" si="59"/>
        <v>-8.3915275294918715E-3</v>
      </c>
      <c r="E316" s="66">
        <v>46850</v>
      </c>
      <c r="F316" s="16">
        <f t="shared" si="60"/>
        <v>0.3</v>
      </c>
      <c r="G316" s="16">
        <f t="shared" si="61"/>
        <v>798.60682235301033</v>
      </c>
      <c r="H316" s="66">
        <v>209000</v>
      </c>
      <c r="I316" s="16">
        <f t="shared" si="62"/>
        <v>0.15</v>
      </c>
      <c r="J316" s="16">
        <f t="shared" si="63"/>
        <v>69.451874213621352</v>
      </c>
      <c r="K316" s="66">
        <v>268992</v>
      </c>
      <c r="L316" s="16">
        <f t="shared" si="64"/>
        <v>0.15</v>
      </c>
      <c r="M316" s="16">
        <f t="shared" si="65"/>
        <v>61.993934265389122</v>
      </c>
      <c r="N316" s="66">
        <v>11150</v>
      </c>
      <c r="O316" s="16">
        <f t="shared" si="66"/>
        <v>0.1</v>
      </c>
      <c r="P316" s="16">
        <f t="shared" si="67"/>
        <v>1026.0984072065573</v>
      </c>
      <c r="Q316" s="66">
        <v>28900</v>
      </c>
      <c r="R316" s="16">
        <f t="shared" si="68"/>
        <v>0.3</v>
      </c>
      <c r="S316" s="16">
        <f t="shared" si="69"/>
        <v>1572.8287035654707</v>
      </c>
    </row>
    <row r="317" spans="1:19" x14ac:dyDescent="0.3">
      <c r="A317" s="65">
        <v>20190415</v>
      </c>
      <c r="B317" s="65" t="s">
        <v>88</v>
      </c>
      <c r="C317" s="158">
        <f t="shared" si="58"/>
        <v>122614533.34615132</v>
      </c>
      <c r="D317" s="158">
        <f t="shared" si="59"/>
        <v>-2.3005704700041339E-2</v>
      </c>
      <c r="E317" s="66">
        <v>47050</v>
      </c>
      <c r="F317" s="16">
        <f t="shared" si="60"/>
        <v>0.3</v>
      </c>
      <c r="G317" s="16">
        <f t="shared" si="61"/>
        <v>798.60682235301033</v>
      </c>
      <c r="H317" s="66">
        <v>203500</v>
      </c>
      <c r="I317" s="16">
        <f t="shared" si="62"/>
        <v>0.15</v>
      </c>
      <c r="J317" s="16">
        <f t="shared" si="63"/>
        <v>69.451874213621352</v>
      </c>
      <c r="K317" s="66">
        <v>263398</v>
      </c>
      <c r="L317" s="16">
        <f t="shared" si="64"/>
        <v>0.15</v>
      </c>
      <c r="M317" s="16">
        <f t="shared" si="65"/>
        <v>61.993934265389122</v>
      </c>
      <c r="N317" s="66">
        <v>11190</v>
      </c>
      <c r="O317" s="16">
        <f t="shared" si="66"/>
        <v>0.1</v>
      </c>
      <c r="P317" s="16">
        <f t="shared" si="67"/>
        <v>1026.0984072065573</v>
      </c>
      <c r="Q317" s="66">
        <v>27400</v>
      </c>
      <c r="R317" s="16">
        <f t="shared" si="68"/>
        <v>0.3</v>
      </c>
      <c r="S317" s="16">
        <f t="shared" si="69"/>
        <v>1572.8287035654707</v>
      </c>
    </row>
    <row r="318" spans="1:19" x14ac:dyDescent="0.3">
      <c r="A318" s="65">
        <v>20190416</v>
      </c>
      <c r="B318" s="65" t="s">
        <v>88</v>
      </c>
      <c r="C318" s="158">
        <f t="shared" si="58"/>
        <v>124605062.71296525</v>
      </c>
      <c r="D318" s="158">
        <f t="shared" si="59"/>
        <v>1.6234041043034379E-2</v>
      </c>
      <c r="E318" s="66">
        <v>47250</v>
      </c>
      <c r="F318" s="16">
        <f t="shared" si="60"/>
        <v>0.3</v>
      </c>
      <c r="G318" s="16">
        <f t="shared" si="61"/>
        <v>798.60682235301033</v>
      </c>
      <c r="H318" s="66">
        <v>208000</v>
      </c>
      <c r="I318" s="16">
        <f t="shared" si="62"/>
        <v>0.15</v>
      </c>
      <c r="J318" s="16">
        <f t="shared" si="63"/>
        <v>69.451874213621352</v>
      </c>
      <c r="K318" s="66">
        <v>265165</v>
      </c>
      <c r="L318" s="16">
        <f t="shared" si="64"/>
        <v>0.15</v>
      </c>
      <c r="M318" s="16">
        <f t="shared" si="65"/>
        <v>61.993934265389122</v>
      </c>
      <c r="N318" s="66">
        <v>11260</v>
      </c>
      <c r="O318" s="16">
        <f t="shared" si="66"/>
        <v>0.1</v>
      </c>
      <c r="P318" s="16">
        <f t="shared" si="67"/>
        <v>1026.0984072065573</v>
      </c>
      <c r="Q318" s="66">
        <v>28250</v>
      </c>
      <c r="R318" s="16">
        <f t="shared" si="68"/>
        <v>0.3</v>
      </c>
      <c r="S318" s="16">
        <f t="shared" si="69"/>
        <v>1572.8287035654707</v>
      </c>
    </row>
    <row r="319" spans="1:19" x14ac:dyDescent="0.3">
      <c r="A319" s="65">
        <v>20190417</v>
      </c>
      <c r="B319" s="65" t="s">
        <v>88</v>
      </c>
      <c r="C319" s="158">
        <f t="shared" si="58"/>
        <v>124176325.87510557</v>
      </c>
      <c r="D319" s="158">
        <f t="shared" si="59"/>
        <v>-3.4407657965494919E-3</v>
      </c>
      <c r="E319" s="66">
        <v>47050</v>
      </c>
      <c r="F319" s="16">
        <f t="shared" si="60"/>
        <v>0.3</v>
      </c>
      <c r="G319" s="16">
        <f t="shared" si="61"/>
        <v>798.60682235301033</v>
      </c>
      <c r="H319" s="66">
        <v>208500</v>
      </c>
      <c r="I319" s="16">
        <f t="shared" si="62"/>
        <v>0.15</v>
      </c>
      <c r="J319" s="16">
        <f t="shared" si="63"/>
        <v>69.451874213621352</v>
      </c>
      <c r="K319" s="66">
        <v>261534</v>
      </c>
      <c r="L319" s="16">
        <f t="shared" si="64"/>
        <v>0.15</v>
      </c>
      <c r="M319" s="16">
        <f t="shared" si="65"/>
        <v>61.993934265389122</v>
      </c>
      <c r="N319" s="66">
        <v>11260</v>
      </c>
      <c r="O319" s="16">
        <f t="shared" si="66"/>
        <v>0.1</v>
      </c>
      <c r="P319" s="16">
        <f t="shared" si="67"/>
        <v>1026.0984072065573</v>
      </c>
      <c r="Q319" s="66">
        <v>28200</v>
      </c>
      <c r="R319" s="16">
        <f t="shared" si="68"/>
        <v>0.3</v>
      </c>
      <c r="S319" s="16">
        <f t="shared" si="69"/>
        <v>1572.8287035654707</v>
      </c>
    </row>
    <row r="320" spans="1:19" x14ac:dyDescent="0.3">
      <c r="A320" s="65">
        <v>20190418</v>
      </c>
      <c r="B320" s="65" t="s">
        <v>88</v>
      </c>
      <c r="C320" s="158">
        <f t="shared" si="58"/>
        <v>119584683.91365007</v>
      </c>
      <c r="D320" s="158">
        <f t="shared" si="59"/>
        <v>-3.6976790294743496E-2</v>
      </c>
      <c r="E320" s="66">
        <v>45600</v>
      </c>
      <c r="F320" s="16">
        <f t="shared" si="60"/>
        <v>0.3</v>
      </c>
      <c r="G320" s="16">
        <f t="shared" si="61"/>
        <v>798.60682235301033</v>
      </c>
      <c r="H320" s="66">
        <v>203500</v>
      </c>
      <c r="I320" s="16">
        <f t="shared" si="62"/>
        <v>0.15</v>
      </c>
      <c r="J320" s="16">
        <f t="shared" si="63"/>
        <v>69.451874213621352</v>
      </c>
      <c r="K320" s="66">
        <v>252701</v>
      </c>
      <c r="L320" s="16">
        <f t="shared" si="64"/>
        <v>0.15</v>
      </c>
      <c r="M320" s="16">
        <f t="shared" si="65"/>
        <v>61.993934265389122</v>
      </c>
      <c r="N320" s="66">
        <v>11085</v>
      </c>
      <c r="O320" s="16">
        <f t="shared" si="66"/>
        <v>0.1</v>
      </c>
      <c r="P320" s="16">
        <f t="shared" si="67"/>
        <v>1026.0984072065573</v>
      </c>
      <c r="Q320" s="66">
        <v>26700</v>
      </c>
      <c r="R320" s="16">
        <f t="shared" si="68"/>
        <v>0.3</v>
      </c>
      <c r="S320" s="16">
        <f t="shared" si="69"/>
        <v>1572.8287035654707</v>
      </c>
    </row>
    <row r="321" spans="1:19" x14ac:dyDescent="0.3">
      <c r="A321" s="65">
        <v>20190419</v>
      </c>
      <c r="B321" s="65" t="s">
        <v>88</v>
      </c>
      <c r="C321" s="158">
        <f t="shared" si="58"/>
        <v>121381956.58075035</v>
      </c>
      <c r="D321" s="158">
        <f t="shared" si="59"/>
        <v>1.5029288101794529E-2</v>
      </c>
      <c r="E321" s="66">
        <v>45300</v>
      </c>
      <c r="F321" s="16">
        <f t="shared" si="60"/>
        <v>0.3</v>
      </c>
      <c r="G321" s="16">
        <f t="shared" si="61"/>
        <v>798.60682235301033</v>
      </c>
      <c r="H321" s="66">
        <v>218000</v>
      </c>
      <c r="I321" s="16">
        <f t="shared" si="62"/>
        <v>0.15</v>
      </c>
      <c r="J321" s="16">
        <f t="shared" si="63"/>
        <v>69.451874213621352</v>
      </c>
      <c r="K321" s="66">
        <v>256627</v>
      </c>
      <c r="L321" s="16">
        <f t="shared" si="64"/>
        <v>0.15</v>
      </c>
      <c r="M321" s="16">
        <f t="shared" si="65"/>
        <v>61.993934265389122</v>
      </c>
      <c r="N321" s="66">
        <v>11085</v>
      </c>
      <c r="O321" s="16">
        <f t="shared" si="66"/>
        <v>0.1</v>
      </c>
      <c r="P321" s="16">
        <f t="shared" si="67"/>
        <v>1026.0984072065573</v>
      </c>
      <c r="Q321" s="66">
        <v>27200</v>
      </c>
      <c r="R321" s="16">
        <f t="shared" si="68"/>
        <v>0.3</v>
      </c>
      <c r="S321" s="16">
        <f t="shared" si="69"/>
        <v>1572.8287035654707</v>
      </c>
    </row>
    <row r="322" spans="1:19" x14ac:dyDescent="0.3">
      <c r="A322" s="65">
        <v>20190422</v>
      </c>
      <c r="B322" s="65" t="s">
        <v>88</v>
      </c>
      <c r="C322" s="158">
        <f t="shared" si="58"/>
        <v>120360691.61082724</v>
      </c>
      <c r="D322" s="158">
        <f t="shared" si="59"/>
        <v>-8.4136472890326483E-3</v>
      </c>
      <c r="E322" s="66">
        <v>45350</v>
      </c>
      <c r="F322" s="16">
        <f t="shared" si="60"/>
        <v>0.3</v>
      </c>
      <c r="G322" s="16">
        <f t="shared" si="61"/>
        <v>798.60682235301033</v>
      </c>
      <c r="H322" s="66">
        <v>220500</v>
      </c>
      <c r="I322" s="16">
        <f t="shared" si="62"/>
        <v>0.15</v>
      </c>
      <c r="J322" s="16">
        <f t="shared" si="63"/>
        <v>69.451874213621352</v>
      </c>
      <c r="K322" s="66">
        <v>254468</v>
      </c>
      <c r="L322" s="16">
        <f t="shared" si="64"/>
        <v>0.15</v>
      </c>
      <c r="M322" s="16">
        <f t="shared" si="65"/>
        <v>61.993934265389122</v>
      </c>
      <c r="N322" s="66">
        <v>11085</v>
      </c>
      <c r="O322" s="16">
        <f t="shared" si="66"/>
        <v>0.1</v>
      </c>
      <c r="P322" s="16">
        <f t="shared" si="67"/>
        <v>1026.0984072065573</v>
      </c>
      <c r="Q322" s="66">
        <v>26500</v>
      </c>
      <c r="R322" s="16">
        <f t="shared" si="68"/>
        <v>0.3</v>
      </c>
      <c r="S322" s="16">
        <f t="shared" si="69"/>
        <v>1572.8287035654707</v>
      </c>
    </row>
    <row r="323" spans="1:19" x14ac:dyDescent="0.3">
      <c r="A323" s="65">
        <v>20190423</v>
      </c>
      <c r="B323" s="65" t="s">
        <v>88</v>
      </c>
      <c r="C323" s="158">
        <f t="shared" si="58"/>
        <v>121883181.16525337</v>
      </c>
      <c r="D323" s="158">
        <f t="shared" si="59"/>
        <v>1.2649391874125586E-2</v>
      </c>
      <c r="E323" s="66">
        <v>45200</v>
      </c>
      <c r="F323" s="16">
        <f t="shared" si="60"/>
        <v>0.3</v>
      </c>
      <c r="G323" s="16">
        <f t="shared" si="61"/>
        <v>798.60682235301033</v>
      </c>
      <c r="H323" s="66">
        <v>221500</v>
      </c>
      <c r="I323" s="16">
        <f t="shared" si="62"/>
        <v>0.15</v>
      </c>
      <c r="J323" s="16">
        <f t="shared" si="63"/>
        <v>69.451874213621352</v>
      </c>
      <c r="K323" s="66">
        <v>254468</v>
      </c>
      <c r="L323" s="16">
        <f t="shared" si="64"/>
        <v>0.15</v>
      </c>
      <c r="M323" s="16">
        <f t="shared" si="65"/>
        <v>61.993934265389122</v>
      </c>
      <c r="N323" s="66">
        <v>11085</v>
      </c>
      <c r="O323" s="16">
        <f t="shared" si="66"/>
        <v>0.1</v>
      </c>
      <c r="P323" s="16">
        <f t="shared" si="67"/>
        <v>1026.0984072065573</v>
      </c>
      <c r="Q323" s="66">
        <v>27500</v>
      </c>
      <c r="R323" s="16">
        <f t="shared" si="68"/>
        <v>0.3</v>
      </c>
      <c r="S323" s="16">
        <f t="shared" si="69"/>
        <v>1572.8287035654707</v>
      </c>
    </row>
    <row r="324" spans="1:19" x14ac:dyDescent="0.3">
      <c r="A324" s="65">
        <v>20190424</v>
      </c>
      <c r="B324" s="65" t="s">
        <v>88</v>
      </c>
      <c r="C324" s="158">
        <f t="shared" si="58"/>
        <v>120504099.62898958</v>
      </c>
      <c r="D324" s="158">
        <f t="shared" si="59"/>
        <v>-1.131478127727884E-2</v>
      </c>
      <c r="E324" s="66">
        <v>44750</v>
      </c>
      <c r="F324" s="16">
        <f t="shared" si="60"/>
        <v>0.3</v>
      </c>
      <c r="G324" s="16">
        <f t="shared" si="61"/>
        <v>798.60682235301033</v>
      </c>
      <c r="H324" s="153">
        <v>218000</v>
      </c>
      <c r="I324" s="16">
        <f t="shared" si="62"/>
        <v>0.15</v>
      </c>
      <c r="J324" s="16">
        <f t="shared" si="63"/>
        <v>69.451874213621352</v>
      </c>
      <c r="K324" s="66">
        <v>254075</v>
      </c>
      <c r="L324" s="16">
        <f t="shared" si="64"/>
        <v>0.15</v>
      </c>
      <c r="M324" s="16">
        <f t="shared" si="65"/>
        <v>61.993934265389122</v>
      </c>
      <c r="N324" s="66">
        <v>10965</v>
      </c>
      <c r="O324" s="16">
        <f t="shared" si="66"/>
        <v>0.1</v>
      </c>
      <c r="P324" s="16">
        <f t="shared" si="67"/>
        <v>1026.0984072065573</v>
      </c>
      <c r="Q324" s="66">
        <v>27100</v>
      </c>
      <c r="R324" s="16">
        <f t="shared" si="68"/>
        <v>0.3</v>
      </c>
      <c r="S324" s="16">
        <f t="shared" si="69"/>
        <v>1572.8287035654707</v>
      </c>
    </row>
    <row r="325" spans="1:19" x14ac:dyDescent="0.3">
      <c r="A325" s="65">
        <v>20190425</v>
      </c>
      <c r="B325" s="65" t="s">
        <v>88</v>
      </c>
      <c r="C325" s="158">
        <f t="shared" ref="C325:C381" si="70">E325*G325+H325*J325+K325*M325+N325*P325+Q325*S325</f>
        <v>117720849.86007692</v>
      </c>
      <c r="D325" s="158">
        <f t="shared" si="59"/>
        <v>-2.3096722663227084E-2</v>
      </c>
      <c r="E325" s="66">
        <v>44650</v>
      </c>
      <c r="F325" s="16">
        <f t="shared" si="60"/>
        <v>0.3</v>
      </c>
      <c r="G325" s="16">
        <f t="shared" si="61"/>
        <v>798.60682235301033</v>
      </c>
      <c r="H325" s="66">
        <v>211500</v>
      </c>
      <c r="I325" s="16">
        <f t="shared" si="62"/>
        <v>0.15</v>
      </c>
      <c r="J325" s="16">
        <f t="shared" si="63"/>
        <v>69.451874213621352</v>
      </c>
      <c r="K325" s="66">
        <v>249463</v>
      </c>
      <c r="L325" s="16">
        <f t="shared" si="64"/>
        <v>0.15</v>
      </c>
      <c r="M325" s="16">
        <f t="shared" si="65"/>
        <v>61.993934265389122</v>
      </c>
      <c r="N325" s="66">
        <v>10965</v>
      </c>
      <c r="O325" s="16">
        <f t="shared" si="66"/>
        <v>0.1</v>
      </c>
      <c r="P325" s="16">
        <f t="shared" si="67"/>
        <v>1026.0984072065573</v>
      </c>
      <c r="Q325" s="66">
        <v>25850</v>
      </c>
      <c r="R325" s="16">
        <f t="shared" si="68"/>
        <v>0.3</v>
      </c>
      <c r="S325" s="16">
        <f t="shared" si="69"/>
        <v>1572.8287035654707</v>
      </c>
    </row>
    <row r="326" spans="1:19" x14ac:dyDescent="0.3">
      <c r="A326" s="65">
        <v>20190426</v>
      </c>
      <c r="B326" s="65" t="s">
        <v>88</v>
      </c>
      <c r="C326" s="158">
        <f t="shared" si="70"/>
        <v>118566634.66586244</v>
      </c>
      <c r="D326" s="158">
        <f t="shared" ref="D326:D381" si="71">(C326-C325)/C325</f>
        <v>7.1846644565582247E-3</v>
      </c>
      <c r="E326" s="66">
        <v>44850</v>
      </c>
      <c r="F326" s="16">
        <f t="shared" si="60"/>
        <v>0.3</v>
      </c>
      <c r="G326" s="16">
        <f t="shared" si="61"/>
        <v>798.60682235301033</v>
      </c>
      <c r="H326" s="66">
        <v>212000</v>
      </c>
      <c r="I326" s="16">
        <f t="shared" si="62"/>
        <v>0.15</v>
      </c>
      <c r="J326" s="16">
        <f t="shared" si="63"/>
        <v>69.451874213621352</v>
      </c>
      <c r="K326" s="66">
        <v>249463</v>
      </c>
      <c r="L326" s="16">
        <f t="shared" si="64"/>
        <v>0.15</v>
      </c>
      <c r="M326" s="16">
        <f t="shared" si="65"/>
        <v>61.993934265389122</v>
      </c>
      <c r="N326" s="66">
        <v>10910</v>
      </c>
      <c r="O326" s="16">
        <f t="shared" si="66"/>
        <v>0.1</v>
      </c>
      <c r="P326" s="16">
        <f t="shared" si="67"/>
        <v>1026.0984072065573</v>
      </c>
      <c r="Q326" s="66">
        <v>26300</v>
      </c>
      <c r="R326" s="16">
        <f t="shared" si="68"/>
        <v>0.3</v>
      </c>
      <c r="S326" s="16">
        <f t="shared" si="69"/>
        <v>1572.8287035654707</v>
      </c>
    </row>
    <row r="327" spans="1:19" x14ac:dyDescent="0.3">
      <c r="A327" s="65">
        <v>20190429</v>
      </c>
      <c r="B327" s="65" t="s">
        <v>88</v>
      </c>
      <c r="C327" s="158">
        <f t="shared" si="70"/>
        <v>121644380.66403748</v>
      </c>
      <c r="D327" s="158">
        <f t="shared" si="71"/>
        <v>2.5957943453894627E-2</v>
      </c>
      <c r="E327" s="66">
        <v>46150</v>
      </c>
      <c r="F327" s="16">
        <f t="shared" si="60"/>
        <v>0.3</v>
      </c>
      <c r="G327" s="16">
        <f t="shared" si="61"/>
        <v>798.60682235301033</v>
      </c>
      <c r="H327" s="66">
        <v>216000</v>
      </c>
      <c r="I327" s="16">
        <f t="shared" si="62"/>
        <v>0.15</v>
      </c>
      <c r="J327" s="16">
        <f t="shared" si="63"/>
        <v>69.451874213621352</v>
      </c>
      <c r="K327" s="66">
        <v>253585</v>
      </c>
      <c r="L327" s="16">
        <f t="shared" si="64"/>
        <v>0.15</v>
      </c>
      <c r="M327" s="16">
        <f t="shared" si="65"/>
        <v>61.993934265389122</v>
      </c>
      <c r="N327" s="66">
        <v>11075</v>
      </c>
      <c r="O327" s="16">
        <f t="shared" si="66"/>
        <v>0.1</v>
      </c>
      <c r="P327" s="16">
        <f t="shared" si="67"/>
        <v>1026.0984072065573</v>
      </c>
      <c r="Q327" s="66">
        <v>27150</v>
      </c>
      <c r="R327" s="16">
        <f t="shared" si="68"/>
        <v>0.3</v>
      </c>
      <c r="S327" s="16">
        <f t="shared" si="69"/>
        <v>1572.8287035654707</v>
      </c>
    </row>
    <row r="328" spans="1:19" x14ac:dyDescent="0.3">
      <c r="A328" s="65">
        <v>20190430</v>
      </c>
      <c r="B328" s="65" t="s">
        <v>88</v>
      </c>
      <c r="C328" s="158">
        <f t="shared" si="70"/>
        <v>120844210.14602038</v>
      </c>
      <c r="D328" s="158">
        <f t="shared" si="71"/>
        <v>-6.5779488838620713E-3</v>
      </c>
      <c r="E328" s="66">
        <v>45850</v>
      </c>
      <c r="F328" s="16">
        <f t="shared" si="60"/>
        <v>0.3</v>
      </c>
      <c r="G328" s="16">
        <f t="shared" si="61"/>
        <v>798.60682235301033</v>
      </c>
      <c r="H328" s="66">
        <v>212000</v>
      </c>
      <c r="I328" s="16">
        <f t="shared" si="62"/>
        <v>0.15</v>
      </c>
      <c r="J328" s="16">
        <f t="shared" si="63"/>
        <v>69.451874213621352</v>
      </c>
      <c r="K328" s="66">
        <v>255449</v>
      </c>
      <c r="L328" s="16">
        <f t="shared" si="64"/>
        <v>0.15</v>
      </c>
      <c r="M328" s="16">
        <f t="shared" si="65"/>
        <v>61.993934265389122</v>
      </c>
      <c r="N328" s="66">
        <v>11070</v>
      </c>
      <c r="O328" s="16">
        <f t="shared" si="66"/>
        <v>0.1</v>
      </c>
      <c r="P328" s="16">
        <f t="shared" si="67"/>
        <v>1026.0984072065573</v>
      </c>
      <c r="Q328" s="66">
        <v>26900</v>
      </c>
      <c r="R328" s="16">
        <f t="shared" si="68"/>
        <v>0.3</v>
      </c>
      <c r="S328" s="16">
        <f t="shared" si="69"/>
        <v>1572.8287035654707</v>
      </c>
    </row>
    <row r="329" spans="1:19" x14ac:dyDescent="0.3">
      <c r="A329" s="65">
        <v>20190502</v>
      </c>
      <c r="B329" s="65" t="s">
        <v>88</v>
      </c>
      <c r="C329" s="158">
        <f t="shared" si="70"/>
        <v>119489496.96539989</v>
      </c>
      <c r="D329" s="158">
        <f t="shared" si="71"/>
        <v>-1.1210410320722383E-2</v>
      </c>
      <c r="E329" s="66">
        <v>45900</v>
      </c>
      <c r="F329" s="16">
        <f t="shared" si="60"/>
        <v>0.3</v>
      </c>
      <c r="G329" s="16">
        <f t="shared" si="61"/>
        <v>798.60682235301033</v>
      </c>
      <c r="H329" s="66">
        <v>207000</v>
      </c>
      <c r="I329" s="16">
        <f t="shared" si="62"/>
        <v>0.15</v>
      </c>
      <c r="J329" s="16">
        <f t="shared" si="63"/>
        <v>69.451874213621352</v>
      </c>
      <c r="K329" s="66">
        <v>245145</v>
      </c>
      <c r="L329" s="16">
        <f t="shared" si="64"/>
        <v>0.15</v>
      </c>
      <c r="M329" s="16">
        <f t="shared" si="65"/>
        <v>61.993934265389122</v>
      </c>
      <c r="N329" s="66">
        <v>11055</v>
      </c>
      <c r="O329" s="16">
        <f t="shared" si="66"/>
        <v>0.1</v>
      </c>
      <c r="P329" s="16">
        <f t="shared" si="67"/>
        <v>1026.0984072065573</v>
      </c>
      <c r="Q329" s="66">
        <v>26650</v>
      </c>
      <c r="R329" s="16">
        <f t="shared" si="68"/>
        <v>0.3</v>
      </c>
      <c r="S329" s="16">
        <f t="shared" si="69"/>
        <v>1572.8287035654707</v>
      </c>
    </row>
    <row r="330" spans="1:19" x14ac:dyDescent="0.3">
      <c r="A330" s="65">
        <v>20190503</v>
      </c>
      <c r="B330" s="65" t="s">
        <v>88</v>
      </c>
      <c r="C330" s="158">
        <f t="shared" si="70"/>
        <v>119995683.85153154</v>
      </c>
      <c r="D330" s="158">
        <f t="shared" si="71"/>
        <v>4.236245854129077E-3</v>
      </c>
      <c r="E330" s="66">
        <v>45300</v>
      </c>
      <c r="F330" s="16">
        <f t="shared" si="60"/>
        <v>0.3</v>
      </c>
      <c r="G330" s="16">
        <f t="shared" si="61"/>
        <v>798.60682235301033</v>
      </c>
      <c r="H330" s="66">
        <v>204500</v>
      </c>
      <c r="I330" s="16">
        <f t="shared" si="62"/>
        <v>0.15</v>
      </c>
      <c r="J330" s="16">
        <f t="shared" si="63"/>
        <v>69.451874213621352</v>
      </c>
      <c r="K330" s="66">
        <v>243378</v>
      </c>
      <c r="L330" s="16">
        <f t="shared" si="64"/>
        <v>0.15</v>
      </c>
      <c r="M330" s="16">
        <f t="shared" si="65"/>
        <v>61.993934265389122</v>
      </c>
      <c r="N330" s="66">
        <v>11065</v>
      </c>
      <c r="O330" s="16">
        <f t="shared" si="66"/>
        <v>0.1</v>
      </c>
      <c r="P330" s="16">
        <f t="shared" si="67"/>
        <v>1026.0984072065573</v>
      </c>
      <c r="Q330" s="66">
        <v>27450</v>
      </c>
      <c r="R330" s="16">
        <f t="shared" si="68"/>
        <v>0.3</v>
      </c>
      <c r="S330" s="16">
        <f t="shared" si="69"/>
        <v>1572.8287035654707</v>
      </c>
    </row>
    <row r="331" spans="1:19" x14ac:dyDescent="0.3">
      <c r="A331" s="65">
        <v>20190507</v>
      </c>
      <c r="B331" s="65" t="s">
        <v>88</v>
      </c>
      <c r="C331" s="158">
        <f t="shared" si="70"/>
        <v>118374842.05525532</v>
      </c>
      <c r="D331" s="158">
        <f t="shared" si="71"/>
        <v>-1.3507500805459384E-2</v>
      </c>
      <c r="E331" s="66">
        <v>44850</v>
      </c>
      <c r="F331" s="16">
        <f t="shared" si="60"/>
        <v>0.3</v>
      </c>
      <c r="G331" s="16">
        <f t="shared" si="61"/>
        <v>798.60682235301033</v>
      </c>
      <c r="H331" s="66">
        <v>205500</v>
      </c>
      <c r="I331" s="16">
        <f t="shared" si="62"/>
        <v>0.15</v>
      </c>
      <c r="J331" s="16">
        <f t="shared" si="63"/>
        <v>69.451874213621352</v>
      </c>
      <c r="K331" s="66">
        <v>235037</v>
      </c>
      <c r="L331" s="16">
        <f t="shared" si="64"/>
        <v>0.15</v>
      </c>
      <c r="M331" s="16">
        <f t="shared" si="65"/>
        <v>61.993934265389122</v>
      </c>
      <c r="N331" s="66">
        <v>10885</v>
      </c>
      <c r="O331" s="16">
        <f t="shared" si="66"/>
        <v>0.1</v>
      </c>
      <c r="P331" s="16">
        <f t="shared" si="67"/>
        <v>1026.0984072065573</v>
      </c>
      <c r="Q331" s="66">
        <v>27050</v>
      </c>
      <c r="R331" s="16">
        <f t="shared" si="68"/>
        <v>0.3</v>
      </c>
      <c r="S331" s="16">
        <f t="shared" si="69"/>
        <v>1572.8287035654707</v>
      </c>
    </row>
    <row r="332" spans="1:19" x14ac:dyDescent="0.3">
      <c r="A332" s="65">
        <v>20190508</v>
      </c>
      <c r="B332" s="65" t="s">
        <v>88</v>
      </c>
      <c r="C332" s="158">
        <f t="shared" si="70"/>
        <v>116972822.64470236</v>
      </c>
      <c r="D332" s="158">
        <f t="shared" si="71"/>
        <v>-1.1843896779169727E-2</v>
      </c>
      <c r="E332" s="66">
        <v>44250</v>
      </c>
      <c r="F332" s="16">
        <f t="shared" si="60"/>
        <v>0.3</v>
      </c>
      <c r="G332" s="16">
        <f t="shared" si="61"/>
        <v>798.60682235301033</v>
      </c>
      <c r="H332" s="66">
        <v>205500</v>
      </c>
      <c r="I332" s="16">
        <f t="shared" si="62"/>
        <v>0.15</v>
      </c>
      <c r="J332" s="16">
        <f t="shared" si="63"/>
        <v>69.451874213621352</v>
      </c>
      <c r="K332" s="66">
        <v>226990</v>
      </c>
      <c r="L332" s="16">
        <f t="shared" si="64"/>
        <v>0.15</v>
      </c>
      <c r="M332" s="16">
        <f t="shared" si="65"/>
        <v>61.993934265389122</v>
      </c>
      <c r="N332" s="66">
        <v>10855</v>
      </c>
      <c r="O332" s="16">
        <f t="shared" si="66"/>
        <v>0.1</v>
      </c>
      <c r="P332" s="16">
        <f t="shared" si="67"/>
        <v>1026.0984072065573</v>
      </c>
      <c r="Q332" s="66">
        <v>26800</v>
      </c>
      <c r="R332" s="16">
        <f t="shared" si="68"/>
        <v>0.3</v>
      </c>
      <c r="S332" s="16">
        <f t="shared" si="69"/>
        <v>1572.8287035654707</v>
      </c>
    </row>
    <row r="333" spans="1:19" x14ac:dyDescent="0.3">
      <c r="A333" s="65">
        <v>20190509</v>
      </c>
      <c r="B333" s="65" t="s">
        <v>88</v>
      </c>
      <c r="C333" s="158">
        <f t="shared" si="70"/>
        <v>113233937.61763515</v>
      </c>
      <c r="D333" s="158">
        <f t="shared" si="71"/>
        <v>-3.1963706975113734E-2</v>
      </c>
      <c r="E333" s="66">
        <v>42450</v>
      </c>
      <c r="F333" s="16">
        <f t="shared" si="60"/>
        <v>0.3</v>
      </c>
      <c r="G333" s="16">
        <f t="shared" si="61"/>
        <v>798.60682235301033</v>
      </c>
      <c r="H333" s="66">
        <v>210000</v>
      </c>
      <c r="I333" s="16">
        <f t="shared" si="62"/>
        <v>0.15</v>
      </c>
      <c r="J333" s="16">
        <f t="shared" si="63"/>
        <v>69.451874213621352</v>
      </c>
      <c r="K333" s="66">
        <v>223849</v>
      </c>
      <c r="L333" s="16">
        <f t="shared" si="64"/>
        <v>0.15</v>
      </c>
      <c r="M333" s="16">
        <f t="shared" si="65"/>
        <v>61.993934265389122</v>
      </c>
      <c r="N333" s="66">
        <v>10490</v>
      </c>
      <c r="O333" s="16">
        <f t="shared" si="66"/>
        <v>0.1</v>
      </c>
      <c r="P333" s="16">
        <f t="shared" si="67"/>
        <v>1026.0984072065573</v>
      </c>
      <c r="Q333" s="66">
        <v>25500</v>
      </c>
      <c r="R333" s="16">
        <f t="shared" si="68"/>
        <v>0.3</v>
      </c>
      <c r="S333" s="16">
        <f t="shared" si="69"/>
        <v>1572.8287035654707</v>
      </c>
    </row>
    <row r="334" spans="1:19" x14ac:dyDescent="0.3">
      <c r="A334" s="65">
        <v>20190510</v>
      </c>
      <c r="B334" s="65" t="s">
        <v>88</v>
      </c>
      <c r="C334" s="158">
        <f t="shared" si="70"/>
        <v>112492659.99096411</v>
      </c>
      <c r="D334" s="158">
        <f t="shared" si="71"/>
        <v>-6.5464262946869729E-3</v>
      </c>
      <c r="E334" s="66">
        <v>42900</v>
      </c>
      <c r="F334" s="16">
        <f t="shared" si="60"/>
        <v>0.3</v>
      </c>
      <c r="G334" s="16">
        <f t="shared" si="61"/>
        <v>798.60682235301033</v>
      </c>
      <c r="H334" s="66">
        <v>201500</v>
      </c>
      <c r="I334" s="16">
        <f t="shared" si="62"/>
        <v>0.15</v>
      </c>
      <c r="J334" s="16">
        <f t="shared" si="63"/>
        <v>69.451874213621352</v>
      </c>
      <c r="K334" s="66">
        <v>221298</v>
      </c>
      <c r="L334" s="16">
        <f t="shared" si="64"/>
        <v>0.15</v>
      </c>
      <c r="M334" s="16">
        <f t="shared" si="65"/>
        <v>61.993934265389122</v>
      </c>
      <c r="N334" s="66">
        <v>10530</v>
      </c>
      <c r="O334" s="16">
        <f t="shared" si="66"/>
        <v>0.1</v>
      </c>
      <c r="P334" s="16">
        <f t="shared" si="67"/>
        <v>1026.0984072065573</v>
      </c>
      <c r="Q334" s="66">
        <v>25250</v>
      </c>
      <c r="R334" s="16">
        <f t="shared" si="68"/>
        <v>0.3</v>
      </c>
      <c r="S334" s="16">
        <f t="shared" si="69"/>
        <v>1572.8287035654707</v>
      </c>
    </row>
    <row r="335" spans="1:19" x14ac:dyDescent="0.3">
      <c r="A335" s="65">
        <v>20190513</v>
      </c>
      <c r="B335" s="65" t="s">
        <v>88</v>
      </c>
      <c r="C335" s="158">
        <f t="shared" si="70"/>
        <v>111196354.37538552</v>
      </c>
      <c r="D335" s="158">
        <f t="shared" si="71"/>
        <v>-1.1523468426141907E-2</v>
      </c>
      <c r="E335" s="66">
        <v>42650</v>
      </c>
      <c r="F335" s="16">
        <f t="shared" si="60"/>
        <v>0.3</v>
      </c>
      <c r="G335" s="16">
        <f t="shared" si="61"/>
        <v>798.60682235301033</v>
      </c>
      <c r="H335" s="66">
        <v>194500</v>
      </c>
      <c r="I335" s="16">
        <f t="shared" si="62"/>
        <v>0.15</v>
      </c>
      <c r="J335" s="16">
        <f t="shared" si="63"/>
        <v>69.451874213621352</v>
      </c>
      <c r="K335" s="66">
        <v>219531</v>
      </c>
      <c r="L335" s="16">
        <f t="shared" si="64"/>
        <v>0.15</v>
      </c>
      <c r="M335" s="16">
        <f t="shared" si="65"/>
        <v>61.993934265389122</v>
      </c>
      <c r="N335" s="66">
        <v>10425</v>
      </c>
      <c r="O335" s="16">
        <f t="shared" si="66"/>
        <v>0.1</v>
      </c>
      <c r="P335" s="16">
        <f t="shared" si="67"/>
        <v>1026.0984072065573</v>
      </c>
      <c r="Q335" s="66">
        <v>25000</v>
      </c>
      <c r="R335" s="16">
        <f t="shared" si="68"/>
        <v>0.3</v>
      </c>
      <c r="S335" s="16">
        <f t="shared" si="69"/>
        <v>1572.8287035654707</v>
      </c>
    </row>
    <row r="336" spans="1:19" x14ac:dyDescent="0.3">
      <c r="A336" s="65">
        <v>20190514</v>
      </c>
      <c r="B336" s="65" t="s">
        <v>88</v>
      </c>
      <c r="C336" s="158">
        <f t="shared" si="70"/>
        <v>111679654.2880871</v>
      </c>
      <c r="D336" s="158">
        <f t="shared" si="71"/>
        <v>4.3463647294587964E-3</v>
      </c>
      <c r="E336" s="66">
        <v>42650</v>
      </c>
      <c r="F336" s="16">
        <f t="shared" si="60"/>
        <v>0.3</v>
      </c>
      <c r="G336" s="16">
        <f t="shared" si="61"/>
        <v>798.60682235301033</v>
      </c>
      <c r="H336" s="66">
        <v>195500</v>
      </c>
      <c r="I336" s="16">
        <f t="shared" si="62"/>
        <v>0.15</v>
      </c>
      <c r="J336" s="16">
        <f t="shared" si="63"/>
        <v>69.451874213621352</v>
      </c>
      <c r="K336" s="66">
        <v>221298</v>
      </c>
      <c r="L336" s="16">
        <f t="shared" si="64"/>
        <v>0.15</v>
      </c>
      <c r="M336" s="16">
        <f t="shared" si="65"/>
        <v>61.993934265389122</v>
      </c>
      <c r="N336" s="66">
        <v>10415</v>
      </c>
      <c r="O336" s="16">
        <f t="shared" si="66"/>
        <v>0.1</v>
      </c>
      <c r="P336" s="16">
        <f t="shared" si="67"/>
        <v>1026.0984072065573</v>
      </c>
      <c r="Q336" s="66">
        <v>25200</v>
      </c>
      <c r="R336" s="16">
        <f t="shared" si="68"/>
        <v>0.3</v>
      </c>
      <c r="S336" s="16">
        <f t="shared" si="69"/>
        <v>1572.8287035654707</v>
      </c>
    </row>
    <row r="337" spans="1:19" x14ac:dyDescent="0.3">
      <c r="A337" s="65">
        <v>20190515</v>
      </c>
      <c r="B337" s="65" t="s">
        <v>88</v>
      </c>
      <c r="C337" s="158">
        <f t="shared" si="70"/>
        <v>113921377.09366187</v>
      </c>
      <c r="D337" s="158">
        <f t="shared" si="71"/>
        <v>2.0072794994440629E-2</v>
      </c>
      <c r="E337" s="66">
        <v>42550</v>
      </c>
      <c r="F337" s="16">
        <f t="shared" si="60"/>
        <v>0.3</v>
      </c>
      <c r="G337" s="16">
        <f t="shared" si="61"/>
        <v>798.60682235301033</v>
      </c>
      <c r="H337" s="66">
        <v>196000</v>
      </c>
      <c r="I337" s="16">
        <f t="shared" si="62"/>
        <v>0.15</v>
      </c>
      <c r="J337" s="16">
        <f t="shared" si="63"/>
        <v>69.451874213621352</v>
      </c>
      <c r="K337" s="66">
        <v>234939</v>
      </c>
      <c r="L337" s="16">
        <f t="shared" si="64"/>
        <v>0.15</v>
      </c>
      <c r="M337" s="16">
        <f t="shared" si="65"/>
        <v>61.993934265389122</v>
      </c>
      <c r="N337" s="66">
        <v>10440</v>
      </c>
      <c r="O337" s="16">
        <f t="shared" si="66"/>
        <v>0.1</v>
      </c>
      <c r="P337" s="16">
        <f t="shared" si="67"/>
        <v>1026.0984072065573</v>
      </c>
      <c r="Q337" s="66">
        <v>26100</v>
      </c>
      <c r="R337" s="16">
        <f t="shared" si="68"/>
        <v>0.3</v>
      </c>
      <c r="S337" s="16">
        <f t="shared" si="69"/>
        <v>1572.8287035654707</v>
      </c>
    </row>
    <row r="338" spans="1:19" x14ac:dyDescent="0.3">
      <c r="A338" s="65">
        <v>20190516</v>
      </c>
      <c r="B338" s="65" t="s">
        <v>88</v>
      </c>
      <c r="C338" s="158">
        <f t="shared" si="70"/>
        <v>111366859.43477935</v>
      </c>
      <c r="D338" s="158">
        <f t="shared" si="71"/>
        <v>-2.2423514568142029E-2</v>
      </c>
      <c r="E338" s="66">
        <v>41550</v>
      </c>
      <c r="F338" s="16">
        <f t="shared" si="60"/>
        <v>0.3</v>
      </c>
      <c r="G338" s="16">
        <f t="shared" si="61"/>
        <v>798.60682235301033</v>
      </c>
      <c r="H338" s="66">
        <v>196500</v>
      </c>
      <c r="I338" s="16">
        <f t="shared" si="62"/>
        <v>0.15</v>
      </c>
      <c r="J338" s="16">
        <f t="shared" si="63"/>
        <v>69.451874213621352</v>
      </c>
      <c r="K338" s="66">
        <v>220120</v>
      </c>
      <c r="L338" s="16">
        <f t="shared" si="64"/>
        <v>0.15</v>
      </c>
      <c r="M338" s="16">
        <f t="shared" si="65"/>
        <v>61.993934265389122</v>
      </c>
      <c r="N338" s="66">
        <v>10280</v>
      </c>
      <c r="O338" s="16">
        <f t="shared" si="66"/>
        <v>0.1</v>
      </c>
      <c r="P338" s="16">
        <f t="shared" si="67"/>
        <v>1026.0984072065573</v>
      </c>
      <c r="Q338" s="66">
        <v>25650</v>
      </c>
      <c r="R338" s="16">
        <f t="shared" si="68"/>
        <v>0.3</v>
      </c>
      <c r="S338" s="16">
        <f t="shared" si="69"/>
        <v>1572.8287035654707</v>
      </c>
    </row>
    <row r="339" spans="1:19" x14ac:dyDescent="0.3">
      <c r="A339" s="65">
        <v>20190517</v>
      </c>
      <c r="B339" s="65" t="s">
        <v>88</v>
      </c>
      <c r="C339" s="158">
        <f t="shared" si="70"/>
        <v>110616054.16689833</v>
      </c>
      <c r="D339" s="158">
        <f t="shared" si="71"/>
        <v>-6.7417297362212221E-3</v>
      </c>
      <c r="E339" s="66">
        <v>41200</v>
      </c>
      <c r="F339" s="16">
        <f t="shared" si="60"/>
        <v>0.3</v>
      </c>
      <c r="G339" s="16">
        <f t="shared" si="61"/>
        <v>798.60682235301033</v>
      </c>
      <c r="H339" s="153">
        <v>195500</v>
      </c>
      <c r="I339" s="16">
        <f t="shared" si="62"/>
        <v>0.15</v>
      </c>
      <c r="J339" s="16">
        <f t="shared" si="63"/>
        <v>69.451874213621352</v>
      </c>
      <c r="K339" s="66">
        <v>218354</v>
      </c>
      <c r="L339" s="16">
        <f t="shared" si="64"/>
        <v>0.15</v>
      </c>
      <c r="M339" s="16">
        <f t="shared" si="65"/>
        <v>61.993934265389122</v>
      </c>
      <c r="N339" s="66">
        <v>10225</v>
      </c>
      <c r="O339" s="16">
        <f t="shared" si="66"/>
        <v>0.1</v>
      </c>
      <c r="P339" s="16">
        <f t="shared" si="67"/>
        <v>1026.0984072065573</v>
      </c>
      <c r="Q339" s="66">
        <v>25500</v>
      </c>
      <c r="R339" s="16">
        <f t="shared" si="68"/>
        <v>0.3</v>
      </c>
      <c r="S339" s="16">
        <f t="shared" si="69"/>
        <v>1572.8287035654707</v>
      </c>
    </row>
    <row r="340" spans="1:19" x14ac:dyDescent="0.3">
      <c r="A340" s="65">
        <v>20190520</v>
      </c>
      <c r="B340" s="65" t="s">
        <v>88</v>
      </c>
      <c r="C340" s="158">
        <f t="shared" si="70"/>
        <v>110260117.9618426</v>
      </c>
      <c r="D340" s="158">
        <f t="shared" si="71"/>
        <v>-3.2177626271019336E-3</v>
      </c>
      <c r="E340" s="66">
        <v>42000</v>
      </c>
      <c r="F340" s="16">
        <f t="shared" si="60"/>
        <v>0.3</v>
      </c>
      <c r="G340" s="16">
        <f t="shared" si="61"/>
        <v>798.60682235301033</v>
      </c>
      <c r="H340" s="66">
        <v>188000</v>
      </c>
      <c r="I340" s="16">
        <f t="shared" si="62"/>
        <v>0.15</v>
      </c>
      <c r="J340" s="16">
        <f t="shared" si="63"/>
        <v>69.451874213621352</v>
      </c>
      <c r="K340" s="66">
        <v>207951</v>
      </c>
      <c r="L340" s="16">
        <f t="shared" si="64"/>
        <v>0.15</v>
      </c>
      <c r="M340" s="16">
        <f t="shared" si="65"/>
        <v>61.993934265389122</v>
      </c>
      <c r="N340" s="66">
        <v>10315</v>
      </c>
      <c r="O340" s="16">
        <f t="shared" si="66"/>
        <v>0.1</v>
      </c>
      <c r="P340" s="16">
        <f t="shared" si="67"/>
        <v>1026.0984072065573</v>
      </c>
      <c r="Q340" s="66">
        <v>25550</v>
      </c>
      <c r="R340" s="16">
        <f t="shared" si="68"/>
        <v>0.3</v>
      </c>
      <c r="S340" s="16">
        <f t="shared" si="69"/>
        <v>1572.8287035654707</v>
      </c>
    </row>
    <row r="341" spans="1:19" x14ac:dyDescent="0.3">
      <c r="A341" s="65">
        <v>20190521</v>
      </c>
      <c r="B341" s="65" t="s">
        <v>88</v>
      </c>
      <c r="C341" s="158">
        <f t="shared" si="70"/>
        <v>109315879.70652108</v>
      </c>
      <c r="D341" s="158">
        <f t="shared" si="71"/>
        <v>-8.56373340402454E-3</v>
      </c>
      <c r="E341" s="66">
        <v>43150</v>
      </c>
      <c r="F341" s="16">
        <f t="shared" si="60"/>
        <v>0.3</v>
      </c>
      <c r="G341" s="16">
        <f t="shared" si="61"/>
        <v>798.60682235301033</v>
      </c>
      <c r="H341" s="66">
        <v>181000</v>
      </c>
      <c r="I341" s="16">
        <f t="shared" si="62"/>
        <v>0.15</v>
      </c>
      <c r="J341" s="16">
        <f t="shared" si="63"/>
        <v>69.451874213621352</v>
      </c>
      <c r="K341" s="66">
        <v>210208</v>
      </c>
      <c r="L341" s="16">
        <f t="shared" si="64"/>
        <v>0.15</v>
      </c>
      <c r="M341" s="16">
        <f t="shared" si="65"/>
        <v>61.993934265389122</v>
      </c>
      <c r="N341" s="66">
        <v>10370</v>
      </c>
      <c r="O341" s="16">
        <f t="shared" si="66"/>
        <v>0.1</v>
      </c>
      <c r="P341" s="16">
        <f t="shared" si="67"/>
        <v>1026.0984072065573</v>
      </c>
      <c r="Q341" s="66">
        <v>24550</v>
      </c>
      <c r="R341" s="16">
        <f t="shared" si="68"/>
        <v>0.3</v>
      </c>
      <c r="S341" s="16">
        <f t="shared" si="69"/>
        <v>1572.8287035654707</v>
      </c>
    </row>
    <row r="342" spans="1:19" x14ac:dyDescent="0.3">
      <c r="A342" s="65">
        <v>20190522</v>
      </c>
      <c r="B342" s="65" t="s">
        <v>88</v>
      </c>
      <c r="C342" s="158">
        <f t="shared" si="70"/>
        <v>110350816.49855216</v>
      </c>
      <c r="D342" s="158">
        <f t="shared" si="71"/>
        <v>9.4673966381605395E-3</v>
      </c>
      <c r="E342" s="66">
        <v>43500</v>
      </c>
      <c r="F342" s="16">
        <f t="shared" si="60"/>
        <v>0.3</v>
      </c>
      <c r="G342" s="16">
        <f t="shared" si="61"/>
        <v>798.60682235301033</v>
      </c>
      <c r="H342" s="66">
        <v>184500</v>
      </c>
      <c r="I342" s="16">
        <f t="shared" si="62"/>
        <v>0.15</v>
      </c>
      <c r="J342" s="16">
        <f t="shared" si="63"/>
        <v>69.451874213621352</v>
      </c>
      <c r="K342" s="66">
        <v>210503</v>
      </c>
      <c r="L342" s="16">
        <f t="shared" si="64"/>
        <v>0.15</v>
      </c>
      <c r="M342" s="16">
        <f t="shared" si="65"/>
        <v>61.993934265389122</v>
      </c>
      <c r="N342" s="66">
        <v>10315</v>
      </c>
      <c r="O342" s="16">
        <f t="shared" si="66"/>
        <v>0.1</v>
      </c>
      <c r="P342" s="16">
        <f t="shared" si="67"/>
        <v>1026.0984072065573</v>
      </c>
      <c r="Q342" s="66">
        <v>24900</v>
      </c>
      <c r="R342" s="16">
        <f t="shared" si="68"/>
        <v>0.3</v>
      </c>
      <c r="S342" s="16">
        <f t="shared" si="69"/>
        <v>1572.8287035654707</v>
      </c>
    </row>
    <row r="343" spans="1:19" x14ac:dyDescent="0.3">
      <c r="A343" s="65">
        <v>20190523</v>
      </c>
      <c r="B343" s="65" t="s">
        <v>88</v>
      </c>
      <c r="C343" s="158">
        <f t="shared" si="70"/>
        <v>109054165.38770017</v>
      </c>
      <c r="D343" s="158">
        <f t="shared" si="71"/>
        <v>-1.1750262952236521E-2</v>
      </c>
      <c r="E343" s="66">
        <v>43850</v>
      </c>
      <c r="F343" s="16">
        <f t="shared" si="60"/>
        <v>0.3</v>
      </c>
      <c r="G343" s="16">
        <f t="shared" si="61"/>
        <v>798.60682235301033</v>
      </c>
      <c r="H343" s="66">
        <v>180500</v>
      </c>
      <c r="I343" s="16">
        <f t="shared" si="62"/>
        <v>0.15</v>
      </c>
      <c r="J343" s="16">
        <f t="shared" si="63"/>
        <v>69.451874213621352</v>
      </c>
      <c r="K343" s="66">
        <v>199708</v>
      </c>
      <c r="L343" s="16">
        <f t="shared" si="64"/>
        <v>0.15</v>
      </c>
      <c r="M343" s="16">
        <f t="shared" si="65"/>
        <v>61.993934265389122</v>
      </c>
      <c r="N343" s="66">
        <v>10315</v>
      </c>
      <c r="O343" s="16">
        <f t="shared" si="66"/>
        <v>0.1</v>
      </c>
      <c r="P343" s="16">
        <f t="shared" si="67"/>
        <v>1026.0984072065573</v>
      </c>
      <c r="Q343" s="66">
        <v>24500</v>
      </c>
      <c r="R343" s="16">
        <f t="shared" si="68"/>
        <v>0.3</v>
      </c>
      <c r="S343" s="16">
        <f t="shared" si="69"/>
        <v>1572.8287035654707</v>
      </c>
    </row>
    <row r="344" spans="1:19" x14ac:dyDescent="0.3">
      <c r="A344" s="65">
        <v>20190524</v>
      </c>
      <c r="B344" s="65" t="s">
        <v>88</v>
      </c>
      <c r="C344" s="158">
        <f t="shared" si="70"/>
        <v>107814358.09283948</v>
      </c>
      <c r="D344" s="158">
        <f t="shared" si="71"/>
        <v>-1.1368729387392335E-2</v>
      </c>
      <c r="E344" s="66">
        <v>42700</v>
      </c>
      <c r="F344" s="16">
        <f t="shared" si="60"/>
        <v>0.3</v>
      </c>
      <c r="G344" s="16">
        <f t="shared" si="61"/>
        <v>798.60682235301033</v>
      </c>
      <c r="H344" s="66">
        <v>181000</v>
      </c>
      <c r="I344" s="16">
        <f t="shared" si="62"/>
        <v>0.15</v>
      </c>
      <c r="J344" s="16">
        <f t="shared" si="63"/>
        <v>69.451874213621352</v>
      </c>
      <c r="K344" s="66">
        <v>207559</v>
      </c>
      <c r="L344" s="16">
        <f t="shared" si="64"/>
        <v>0.15</v>
      </c>
      <c r="M344" s="16">
        <f t="shared" si="65"/>
        <v>61.993934265389122</v>
      </c>
      <c r="N344" s="66">
        <v>10260</v>
      </c>
      <c r="O344" s="16">
        <f t="shared" si="66"/>
        <v>0.1</v>
      </c>
      <c r="P344" s="16">
        <f t="shared" si="67"/>
        <v>1026.0984072065573</v>
      </c>
      <c r="Q344" s="66">
        <v>24000</v>
      </c>
      <c r="R344" s="16">
        <f t="shared" si="68"/>
        <v>0.3</v>
      </c>
      <c r="S344" s="16">
        <f t="shared" si="69"/>
        <v>1572.8287035654707</v>
      </c>
    </row>
    <row r="345" spans="1:19" x14ac:dyDescent="0.3">
      <c r="A345" s="65">
        <v>20190527</v>
      </c>
      <c r="B345" s="65" t="s">
        <v>88</v>
      </c>
      <c r="C345" s="158">
        <f t="shared" si="70"/>
        <v>106460806.34415549</v>
      </c>
      <c r="D345" s="158">
        <f t="shared" si="71"/>
        <v>-1.2554466516588068E-2</v>
      </c>
      <c r="E345" s="66">
        <v>42650</v>
      </c>
      <c r="F345" s="16">
        <f t="shared" si="60"/>
        <v>0.3</v>
      </c>
      <c r="G345" s="16">
        <f t="shared" si="61"/>
        <v>798.60682235301033</v>
      </c>
      <c r="H345" s="66">
        <v>174000</v>
      </c>
      <c r="I345" s="16">
        <f t="shared" si="62"/>
        <v>0.15</v>
      </c>
      <c r="J345" s="16">
        <f t="shared" si="63"/>
        <v>69.451874213621352</v>
      </c>
      <c r="K345" s="66">
        <v>207559</v>
      </c>
      <c r="L345" s="16">
        <f t="shared" si="64"/>
        <v>0.15</v>
      </c>
      <c r="M345" s="16">
        <f t="shared" si="65"/>
        <v>61.993934265389122</v>
      </c>
      <c r="N345" s="66">
        <v>10220</v>
      </c>
      <c r="O345" s="16">
        <f t="shared" si="66"/>
        <v>0.1</v>
      </c>
      <c r="P345" s="16">
        <f t="shared" si="67"/>
        <v>1026.0984072065573</v>
      </c>
      <c r="Q345" s="66">
        <v>23500</v>
      </c>
      <c r="R345" s="16">
        <f t="shared" si="68"/>
        <v>0.3</v>
      </c>
      <c r="S345" s="16">
        <f t="shared" si="69"/>
        <v>1572.8287035654707</v>
      </c>
    </row>
    <row r="346" spans="1:19" x14ac:dyDescent="0.3">
      <c r="A346" s="65">
        <v>20190528</v>
      </c>
      <c r="B346" s="65" t="s">
        <v>88</v>
      </c>
      <c r="C346" s="158">
        <f t="shared" si="70"/>
        <v>107033890.72514066</v>
      </c>
      <c r="D346" s="158">
        <f t="shared" si="71"/>
        <v>5.3830550478132077E-3</v>
      </c>
      <c r="E346" s="66">
        <v>42550</v>
      </c>
      <c r="F346" s="16">
        <f t="shared" si="60"/>
        <v>0.3</v>
      </c>
      <c r="G346" s="16">
        <f t="shared" si="61"/>
        <v>798.60682235301033</v>
      </c>
      <c r="H346" s="66">
        <v>186000</v>
      </c>
      <c r="I346" s="16">
        <f t="shared" si="62"/>
        <v>0.15</v>
      </c>
      <c r="J346" s="16">
        <f t="shared" si="63"/>
        <v>69.451874213621352</v>
      </c>
      <c r="K346" s="66">
        <v>214134</v>
      </c>
      <c r="L346" s="16">
        <f t="shared" si="64"/>
        <v>0.15</v>
      </c>
      <c r="M346" s="16">
        <f t="shared" si="65"/>
        <v>61.993934265389122</v>
      </c>
      <c r="N346" s="66">
        <v>10260</v>
      </c>
      <c r="O346" s="16">
        <f t="shared" si="66"/>
        <v>0.1</v>
      </c>
      <c r="P346" s="16">
        <f t="shared" si="67"/>
        <v>1026.0984072065573</v>
      </c>
      <c r="Q346" s="66">
        <v>23100</v>
      </c>
      <c r="R346" s="16">
        <f t="shared" si="68"/>
        <v>0.3</v>
      </c>
      <c r="S346" s="16">
        <f t="shared" si="69"/>
        <v>1572.8287035654707</v>
      </c>
    </row>
    <row r="347" spans="1:19" x14ac:dyDescent="0.3">
      <c r="A347" s="65">
        <v>20190529</v>
      </c>
      <c r="B347" s="65" t="s">
        <v>88</v>
      </c>
      <c r="C347" s="158">
        <f t="shared" si="70"/>
        <v>103973722.66072887</v>
      </c>
      <c r="D347" s="158">
        <f t="shared" si="71"/>
        <v>-2.8590645856929515E-2</v>
      </c>
      <c r="E347" s="66">
        <v>41800</v>
      </c>
      <c r="F347" s="16">
        <f t="shared" si="60"/>
        <v>0.3</v>
      </c>
      <c r="G347" s="16">
        <f t="shared" si="61"/>
        <v>798.60682235301033</v>
      </c>
      <c r="H347" s="66">
        <v>185500</v>
      </c>
      <c r="I347" s="16">
        <f t="shared" si="62"/>
        <v>0.15</v>
      </c>
      <c r="J347" s="16">
        <f t="shared" si="63"/>
        <v>69.451874213621352</v>
      </c>
      <c r="K347" s="66">
        <v>184398</v>
      </c>
      <c r="L347" s="16">
        <f t="shared" si="64"/>
        <v>0.15</v>
      </c>
      <c r="M347" s="16">
        <f t="shared" si="65"/>
        <v>61.993934265389122</v>
      </c>
      <c r="N347" s="66">
        <v>10075</v>
      </c>
      <c r="O347" s="16">
        <f t="shared" si="66"/>
        <v>0.1</v>
      </c>
      <c r="P347" s="16">
        <f t="shared" si="67"/>
        <v>1026.0984072065573</v>
      </c>
      <c r="Q347" s="66">
        <v>22850</v>
      </c>
      <c r="R347" s="16">
        <f t="shared" si="68"/>
        <v>0.3</v>
      </c>
      <c r="S347" s="16">
        <f t="shared" si="69"/>
        <v>1572.8287035654707</v>
      </c>
    </row>
    <row r="348" spans="1:19" x14ac:dyDescent="0.3">
      <c r="A348" s="65">
        <v>20190530</v>
      </c>
      <c r="B348" s="65" t="s">
        <v>88</v>
      </c>
      <c r="C348" s="158">
        <f t="shared" si="70"/>
        <v>103914307.49003759</v>
      </c>
      <c r="D348" s="158">
        <f t="shared" si="71"/>
        <v>-5.7144410309474102E-4</v>
      </c>
      <c r="E348" s="66">
        <v>42550</v>
      </c>
      <c r="F348" s="16">
        <f t="shared" si="60"/>
        <v>0.3</v>
      </c>
      <c r="G348" s="16">
        <f t="shared" si="61"/>
        <v>798.60682235301033</v>
      </c>
      <c r="H348" s="66">
        <v>186000</v>
      </c>
      <c r="I348" s="16">
        <f t="shared" si="62"/>
        <v>0.15</v>
      </c>
      <c r="J348" s="16">
        <f t="shared" si="63"/>
        <v>69.451874213621352</v>
      </c>
      <c r="K348" s="66">
        <v>180277</v>
      </c>
      <c r="L348" s="16">
        <f t="shared" si="64"/>
        <v>0.15</v>
      </c>
      <c r="M348" s="16">
        <f t="shared" si="65"/>
        <v>61.993934265389122</v>
      </c>
      <c r="N348" s="66">
        <v>10185</v>
      </c>
      <c r="O348" s="16">
        <f t="shared" si="66"/>
        <v>0.1</v>
      </c>
      <c r="P348" s="16">
        <f t="shared" si="67"/>
        <v>1026.0984072065573</v>
      </c>
      <c r="Q348" s="66">
        <v>22500</v>
      </c>
      <c r="R348" s="16">
        <f t="shared" si="68"/>
        <v>0.3</v>
      </c>
      <c r="S348" s="16">
        <f t="shared" si="69"/>
        <v>1572.8287035654707</v>
      </c>
    </row>
    <row r="349" spans="1:19" x14ac:dyDescent="0.3">
      <c r="A349" s="65">
        <v>20190531</v>
      </c>
      <c r="B349" s="65" t="s">
        <v>88</v>
      </c>
      <c r="C349" s="158">
        <f t="shared" si="70"/>
        <v>106068672.0038338</v>
      </c>
      <c r="D349" s="158">
        <f t="shared" si="71"/>
        <v>2.073212597796268E-2</v>
      </c>
      <c r="E349" s="66">
        <v>42500</v>
      </c>
      <c r="F349" s="16">
        <f t="shared" si="60"/>
        <v>0.3</v>
      </c>
      <c r="G349" s="16">
        <f t="shared" si="61"/>
        <v>798.60682235301033</v>
      </c>
      <c r="H349" s="66">
        <v>190000</v>
      </c>
      <c r="I349" s="16">
        <f t="shared" si="62"/>
        <v>0.15</v>
      </c>
      <c r="J349" s="16">
        <f t="shared" si="63"/>
        <v>69.451874213621352</v>
      </c>
      <c r="K349" s="66">
        <v>191170</v>
      </c>
      <c r="L349" s="16">
        <f t="shared" si="64"/>
        <v>0.15</v>
      </c>
      <c r="M349" s="16">
        <f t="shared" si="65"/>
        <v>61.993934265389122</v>
      </c>
      <c r="N349" s="66">
        <v>10245</v>
      </c>
      <c r="O349" s="16">
        <f t="shared" si="66"/>
        <v>0.1</v>
      </c>
      <c r="P349" s="16">
        <f t="shared" si="67"/>
        <v>1026.0984072065573</v>
      </c>
      <c r="Q349" s="66">
        <v>23250</v>
      </c>
      <c r="R349" s="16">
        <f t="shared" si="68"/>
        <v>0.3</v>
      </c>
      <c r="S349" s="16">
        <f t="shared" si="69"/>
        <v>1572.8287035654707</v>
      </c>
    </row>
    <row r="350" spans="1:19" x14ac:dyDescent="0.3">
      <c r="A350" s="65">
        <v>20190603</v>
      </c>
      <c r="B350" s="65" t="s">
        <v>88</v>
      </c>
      <c r="C350" s="158">
        <f t="shared" si="70"/>
        <v>107047337.24915789</v>
      </c>
      <c r="D350" s="158">
        <f t="shared" si="71"/>
        <v>9.2267134756690156E-3</v>
      </c>
      <c r="E350" s="66">
        <v>43800</v>
      </c>
      <c r="F350" s="16">
        <f t="shared" si="60"/>
        <v>0.3</v>
      </c>
      <c r="G350" s="16">
        <f t="shared" si="61"/>
        <v>798.60682235301033</v>
      </c>
      <c r="H350" s="66">
        <v>193000</v>
      </c>
      <c r="I350" s="16">
        <f t="shared" si="62"/>
        <v>0.15</v>
      </c>
      <c r="J350" s="16">
        <f t="shared" si="63"/>
        <v>69.451874213621352</v>
      </c>
      <c r="K350" s="66">
        <v>186655</v>
      </c>
      <c r="L350" s="16">
        <f t="shared" si="64"/>
        <v>0.15</v>
      </c>
      <c r="M350" s="16">
        <f t="shared" si="65"/>
        <v>61.993934265389122</v>
      </c>
      <c r="N350" s="66">
        <v>10410</v>
      </c>
      <c r="O350" s="16">
        <f t="shared" si="66"/>
        <v>0.1</v>
      </c>
      <c r="P350" s="16">
        <f t="shared" si="67"/>
        <v>1026.0984072065573</v>
      </c>
      <c r="Q350" s="66">
        <v>23150</v>
      </c>
      <c r="R350" s="16">
        <f t="shared" si="68"/>
        <v>0.3</v>
      </c>
      <c r="S350" s="16">
        <f t="shared" si="69"/>
        <v>1572.8287035654707</v>
      </c>
    </row>
    <row r="351" spans="1:19" x14ac:dyDescent="0.3">
      <c r="A351" s="65">
        <v>20190604</v>
      </c>
      <c r="B351" s="65" t="s">
        <v>88</v>
      </c>
      <c r="C351" s="158">
        <f t="shared" si="70"/>
        <v>106800727.48179516</v>
      </c>
      <c r="D351" s="158">
        <f t="shared" si="71"/>
        <v>-2.3037449945039964E-3</v>
      </c>
      <c r="E351" s="66">
        <v>43450</v>
      </c>
      <c r="F351" s="16">
        <f t="shared" si="60"/>
        <v>0.3</v>
      </c>
      <c r="G351" s="16">
        <f t="shared" si="61"/>
        <v>798.60682235301033</v>
      </c>
      <c r="H351" s="66">
        <v>195500</v>
      </c>
      <c r="I351" s="16">
        <f t="shared" si="62"/>
        <v>0.15</v>
      </c>
      <c r="J351" s="16">
        <f t="shared" si="63"/>
        <v>69.451874213621352</v>
      </c>
      <c r="K351" s="66">
        <v>183613</v>
      </c>
      <c r="L351" s="16">
        <f t="shared" si="64"/>
        <v>0.15</v>
      </c>
      <c r="M351" s="16">
        <f t="shared" si="65"/>
        <v>61.993934265389122</v>
      </c>
      <c r="N351" s="66">
        <v>10380</v>
      </c>
      <c r="O351" s="16">
        <f t="shared" si="66"/>
        <v>0.1</v>
      </c>
      <c r="P351" s="16">
        <f t="shared" si="67"/>
        <v>1026.0984072065573</v>
      </c>
      <c r="Q351" s="66">
        <v>23200</v>
      </c>
      <c r="R351" s="16">
        <f t="shared" si="68"/>
        <v>0.3</v>
      </c>
      <c r="S351" s="16">
        <f t="shared" si="69"/>
        <v>1572.8287035654707</v>
      </c>
    </row>
    <row r="352" spans="1:19" x14ac:dyDescent="0.3">
      <c r="A352" s="65">
        <v>20190605</v>
      </c>
      <c r="B352" s="65" t="s">
        <v>88</v>
      </c>
      <c r="C352" s="158">
        <f t="shared" si="70"/>
        <v>106614360.24593297</v>
      </c>
      <c r="D352" s="158">
        <f t="shared" si="71"/>
        <v>-1.7449996854559155E-3</v>
      </c>
      <c r="E352" s="66">
        <v>43900</v>
      </c>
      <c r="F352" s="16">
        <f t="shared" si="60"/>
        <v>0.3</v>
      </c>
      <c r="G352" s="16">
        <f t="shared" si="61"/>
        <v>798.60682235301033</v>
      </c>
      <c r="H352" s="66">
        <v>196000</v>
      </c>
      <c r="I352" s="16">
        <f t="shared" si="62"/>
        <v>0.15</v>
      </c>
      <c r="J352" s="16">
        <f t="shared" si="63"/>
        <v>69.451874213621352</v>
      </c>
      <c r="K352" s="66">
        <v>184398</v>
      </c>
      <c r="L352" s="16">
        <f t="shared" si="64"/>
        <v>0.15</v>
      </c>
      <c r="M352" s="16">
        <f t="shared" si="65"/>
        <v>61.993934265389122</v>
      </c>
      <c r="N352" s="66">
        <v>10380</v>
      </c>
      <c r="O352" s="16">
        <f t="shared" si="66"/>
        <v>0.1</v>
      </c>
      <c r="P352" s="16">
        <f t="shared" si="67"/>
        <v>1026.0984072065573</v>
      </c>
      <c r="Q352" s="66">
        <v>22800</v>
      </c>
      <c r="R352" s="16">
        <f t="shared" si="68"/>
        <v>0.3</v>
      </c>
      <c r="S352" s="16">
        <f t="shared" si="69"/>
        <v>1572.8287035654707</v>
      </c>
    </row>
    <row r="353" spans="1:19" x14ac:dyDescent="0.3">
      <c r="A353" s="65">
        <v>20190607</v>
      </c>
      <c r="B353" s="65" t="s">
        <v>88</v>
      </c>
      <c r="C353" s="158">
        <f t="shared" si="70"/>
        <v>107006038.58610886</v>
      </c>
      <c r="D353" s="158">
        <f t="shared" si="71"/>
        <v>3.6737859634705101E-3</v>
      </c>
      <c r="E353" s="66">
        <v>44200</v>
      </c>
      <c r="F353" s="16">
        <f t="shared" si="60"/>
        <v>0.3</v>
      </c>
      <c r="G353" s="16">
        <f t="shared" si="61"/>
        <v>798.60682235301033</v>
      </c>
      <c r="H353" s="66">
        <v>196500</v>
      </c>
      <c r="I353" s="16">
        <f t="shared" si="62"/>
        <v>0.15</v>
      </c>
      <c r="J353" s="16">
        <f t="shared" si="63"/>
        <v>69.451874213621352</v>
      </c>
      <c r="K353" s="66">
        <v>187146</v>
      </c>
      <c r="L353" s="16">
        <f t="shared" si="64"/>
        <v>0.15</v>
      </c>
      <c r="M353" s="16">
        <f t="shared" si="65"/>
        <v>61.993934265389122</v>
      </c>
      <c r="N353" s="66">
        <v>10405</v>
      </c>
      <c r="O353" s="16">
        <f t="shared" si="66"/>
        <v>0.1</v>
      </c>
      <c r="P353" s="16">
        <f t="shared" si="67"/>
        <v>1026.0984072065573</v>
      </c>
      <c r="Q353" s="66">
        <v>22750</v>
      </c>
      <c r="R353" s="16">
        <f t="shared" si="68"/>
        <v>0.3</v>
      </c>
      <c r="S353" s="16">
        <f t="shared" si="69"/>
        <v>1572.8287035654707</v>
      </c>
    </row>
    <row r="354" spans="1:19" x14ac:dyDescent="0.3">
      <c r="A354" s="65">
        <v>20190610</v>
      </c>
      <c r="B354" s="65" t="s">
        <v>88</v>
      </c>
      <c r="C354" s="158">
        <f t="shared" si="70"/>
        <v>107214974.40723881</v>
      </c>
      <c r="D354" s="158">
        <f t="shared" si="71"/>
        <v>1.9525610319815277E-3</v>
      </c>
      <c r="E354" s="66">
        <v>44800</v>
      </c>
      <c r="F354" s="16">
        <f t="shared" si="60"/>
        <v>0.3</v>
      </c>
      <c r="G354" s="16">
        <f t="shared" si="61"/>
        <v>798.60682235301033</v>
      </c>
      <c r="H354" s="66">
        <v>198500</v>
      </c>
      <c r="I354" s="16">
        <f t="shared" si="62"/>
        <v>0.15</v>
      </c>
      <c r="J354" s="16">
        <f t="shared" si="63"/>
        <v>69.451874213621352</v>
      </c>
      <c r="K354" s="66">
        <v>187440</v>
      </c>
      <c r="L354" s="16">
        <f t="shared" si="64"/>
        <v>0.15</v>
      </c>
      <c r="M354" s="16">
        <f t="shared" si="65"/>
        <v>61.993934265389122</v>
      </c>
      <c r="N354" s="66">
        <v>10525</v>
      </c>
      <c r="O354" s="16">
        <f t="shared" si="66"/>
        <v>0.1</v>
      </c>
      <c r="P354" s="16">
        <f t="shared" si="67"/>
        <v>1026.0984072065573</v>
      </c>
      <c r="Q354" s="66">
        <v>22400</v>
      </c>
      <c r="R354" s="16">
        <f t="shared" si="68"/>
        <v>0.3</v>
      </c>
      <c r="S354" s="16">
        <f t="shared" si="69"/>
        <v>1572.8287035654707</v>
      </c>
    </row>
    <row r="355" spans="1:19" x14ac:dyDescent="0.3">
      <c r="A355" s="65">
        <v>20190611</v>
      </c>
      <c r="B355" s="65" t="s">
        <v>88</v>
      </c>
      <c r="C355" s="158">
        <f t="shared" si="70"/>
        <v>108955883.29486689</v>
      </c>
      <c r="D355" s="158">
        <f t="shared" si="71"/>
        <v>1.6237553543738362E-2</v>
      </c>
      <c r="E355" s="66">
        <v>44850</v>
      </c>
      <c r="F355" s="16">
        <f t="shared" si="60"/>
        <v>0.3</v>
      </c>
      <c r="G355" s="16">
        <f t="shared" si="61"/>
        <v>798.60682235301033</v>
      </c>
      <c r="H355" s="66">
        <v>202000</v>
      </c>
      <c r="I355" s="16">
        <f t="shared" si="62"/>
        <v>0.15</v>
      </c>
      <c r="J355" s="16">
        <f t="shared" si="63"/>
        <v>69.451874213621352</v>
      </c>
      <c r="K355" s="66">
        <v>193721</v>
      </c>
      <c r="L355" s="16">
        <f t="shared" si="64"/>
        <v>0.15</v>
      </c>
      <c r="M355" s="16">
        <f t="shared" si="65"/>
        <v>61.993934265389122</v>
      </c>
      <c r="N355" s="66">
        <v>10570</v>
      </c>
      <c r="O355" s="16">
        <f t="shared" si="66"/>
        <v>0.1</v>
      </c>
      <c r="P355" s="16">
        <f t="shared" si="67"/>
        <v>1026.0984072065573</v>
      </c>
      <c r="Q355" s="66">
        <v>23050</v>
      </c>
      <c r="R355" s="16">
        <f t="shared" si="68"/>
        <v>0.3</v>
      </c>
      <c r="S355" s="16">
        <f t="shared" si="69"/>
        <v>1572.8287035654707</v>
      </c>
    </row>
    <row r="356" spans="1:19" x14ac:dyDescent="0.3">
      <c r="A356" s="65">
        <v>20190612</v>
      </c>
      <c r="B356" s="65" t="s">
        <v>88</v>
      </c>
      <c r="C356" s="158">
        <f t="shared" si="70"/>
        <v>108211019.80303222</v>
      </c>
      <c r="D356" s="158">
        <f t="shared" si="71"/>
        <v>-6.836376974879356E-3</v>
      </c>
      <c r="E356" s="66">
        <v>44600</v>
      </c>
      <c r="F356" s="16">
        <f t="shared" si="60"/>
        <v>0.3</v>
      </c>
      <c r="G356" s="16">
        <f t="shared" si="61"/>
        <v>798.60682235301033</v>
      </c>
      <c r="H356" s="66">
        <v>204000</v>
      </c>
      <c r="I356" s="16">
        <f t="shared" si="62"/>
        <v>0.15</v>
      </c>
      <c r="J356" s="16">
        <f t="shared" si="63"/>
        <v>69.451874213621352</v>
      </c>
      <c r="K356" s="66">
        <v>188422</v>
      </c>
      <c r="L356" s="16">
        <f t="shared" si="64"/>
        <v>0.15</v>
      </c>
      <c r="M356" s="16">
        <f t="shared" si="65"/>
        <v>61.993934265389122</v>
      </c>
      <c r="N356" s="66">
        <v>10530</v>
      </c>
      <c r="O356" s="16">
        <f t="shared" si="66"/>
        <v>0.1</v>
      </c>
      <c r="P356" s="16">
        <f t="shared" si="67"/>
        <v>1026.0984072065573</v>
      </c>
      <c r="Q356" s="66">
        <v>22850</v>
      </c>
      <c r="R356" s="16">
        <f t="shared" si="68"/>
        <v>0.3</v>
      </c>
      <c r="S356" s="16">
        <f t="shared" si="69"/>
        <v>1572.8287035654707</v>
      </c>
    </row>
    <row r="357" spans="1:19" x14ac:dyDescent="0.3">
      <c r="A357" s="65">
        <v>20190613</v>
      </c>
      <c r="B357" s="65" t="s">
        <v>88</v>
      </c>
      <c r="C357" s="158">
        <f t="shared" si="70"/>
        <v>110069501.81838265</v>
      </c>
      <c r="D357" s="158">
        <f t="shared" si="71"/>
        <v>1.7174609561330038E-2</v>
      </c>
      <c r="E357" s="66">
        <v>43750</v>
      </c>
      <c r="F357" s="16">
        <f t="shared" si="60"/>
        <v>0.3</v>
      </c>
      <c r="G357" s="16">
        <f t="shared" si="61"/>
        <v>798.60682235301033</v>
      </c>
      <c r="H357" s="66">
        <v>207000</v>
      </c>
      <c r="I357" s="16">
        <f t="shared" si="62"/>
        <v>0.15</v>
      </c>
      <c r="J357" s="16">
        <f t="shared" si="63"/>
        <v>69.451874213621352</v>
      </c>
      <c r="K357" s="66">
        <v>187244</v>
      </c>
      <c r="L357" s="16">
        <f t="shared" si="64"/>
        <v>0.15</v>
      </c>
      <c r="M357" s="16">
        <f t="shared" si="65"/>
        <v>61.993934265389122</v>
      </c>
      <c r="N357" s="66">
        <v>10495</v>
      </c>
      <c r="O357" s="16">
        <f t="shared" si="66"/>
        <v>0.1</v>
      </c>
      <c r="P357" s="16">
        <f t="shared" si="67"/>
        <v>1026.0984072065573</v>
      </c>
      <c r="Q357" s="66">
        <v>24400</v>
      </c>
      <c r="R357" s="16">
        <f t="shared" si="68"/>
        <v>0.3</v>
      </c>
      <c r="S357" s="16">
        <f t="shared" si="69"/>
        <v>1572.8287035654707</v>
      </c>
    </row>
    <row r="358" spans="1:19" x14ac:dyDescent="0.3">
      <c r="A358" s="65">
        <v>20190614</v>
      </c>
      <c r="B358" s="65" t="s">
        <v>88</v>
      </c>
      <c r="C358" s="158">
        <f t="shared" si="70"/>
        <v>110099366.70941186</v>
      </c>
      <c r="D358" s="158">
        <f t="shared" si="71"/>
        <v>2.7132757517597101E-4</v>
      </c>
      <c r="E358" s="66">
        <v>44000</v>
      </c>
      <c r="F358" s="16">
        <f t="shared" si="60"/>
        <v>0.3</v>
      </c>
      <c r="G358" s="16">
        <f t="shared" si="61"/>
        <v>798.60682235301033</v>
      </c>
      <c r="H358" s="66">
        <v>201000</v>
      </c>
      <c r="I358" s="16">
        <f t="shared" si="62"/>
        <v>0.15</v>
      </c>
      <c r="J358" s="16">
        <f t="shared" si="63"/>
        <v>69.451874213621352</v>
      </c>
      <c r="K358" s="66">
        <v>187146</v>
      </c>
      <c r="L358" s="16">
        <f t="shared" si="64"/>
        <v>0.15</v>
      </c>
      <c r="M358" s="16">
        <f t="shared" si="65"/>
        <v>61.993934265389122</v>
      </c>
      <c r="N358" s="66">
        <v>10435</v>
      </c>
      <c r="O358" s="16">
        <f t="shared" si="66"/>
        <v>0.1</v>
      </c>
      <c r="P358" s="16">
        <f t="shared" si="67"/>
        <v>1026.0984072065573</v>
      </c>
      <c r="Q358" s="66">
        <v>24600</v>
      </c>
      <c r="R358" s="16">
        <f t="shared" si="68"/>
        <v>0.3</v>
      </c>
      <c r="S358" s="16">
        <f t="shared" si="69"/>
        <v>1572.8287035654707</v>
      </c>
    </row>
    <row r="359" spans="1:19" x14ac:dyDescent="0.3">
      <c r="A359" s="65">
        <v>20190617</v>
      </c>
      <c r="B359" s="65" t="s">
        <v>88</v>
      </c>
      <c r="C359" s="158">
        <f t="shared" si="70"/>
        <v>109151509.84115905</v>
      </c>
      <c r="D359" s="158">
        <f t="shared" si="71"/>
        <v>-8.6091037267681768E-3</v>
      </c>
      <c r="E359" s="66">
        <v>43900</v>
      </c>
      <c r="F359" s="16">
        <f t="shared" si="60"/>
        <v>0.3</v>
      </c>
      <c r="G359" s="16">
        <f t="shared" si="61"/>
        <v>798.60682235301033</v>
      </c>
      <c r="H359" s="66">
        <v>205000</v>
      </c>
      <c r="I359" s="16">
        <f t="shared" si="62"/>
        <v>0.15</v>
      </c>
      <c r="J359" s="16">
        <f t="shared" si="63"/>
        <v>69.451874213621352</v>
      </c>
      <c r="K359" s="66">
        <v>186754</v>
      </c>
      <c r="L359" s="16">
        <f t="shared" si="64"/>
        <v>0.15</v>
      </c>
      <c r="M359" s="16">
        <f t="shared" si="65"/>
        <v>61.993934265389122</v>
      </c>
      <c r="N359" s="66">
        <v>10415</v>
      </c>
      <c r="O359" s="16">
        <f t="shared" si="66"/>
        <v>0.1</v>
      </c>
      <c r="P359" s="16">
        <f t="shared" si="67"/>
        <v>1026.0984072065573</v>
      </c>
      <c r="Q359" s="66">
        <v>23900</v>
      </c>
      <c r="R359" s="16">
        <f t="shared" si="68"/>
        <v>0.3</v>
      </c>
      <c r="S359" s="16">
        <f t="shared" si="69"/>
        <v>1572.8287035654707</v>
      </c>
    </row>
    <row r="360" spans="1:19" x14ac:dyDescent="0.3">
      <c r="A360" s="65">
        <v>20190618</v>
      </c>
      <c r="B360" s="65" t="s">
        <v>88</v>
      </c>
      <c r="C360" s="158">
        <f t="shared" si="70"/>
        <v>107647325.22560647</v>
      </c>
      <c r="D360" s="158">
        <f t="shared" si="71"/>
        <v>-1.3780703700219214E-2</v>
      </c>
      <c r="E360" s="66">
        <v>44350</v>
      </c>
      <c r="F360" s="16">
        <f t="shared" si="60"/>
        <v>0.3</v>
      </c>
      <c r="G360" s="16">
        <f t="shared" si="61"/>
        <v>798.60682235301033</v>
      </c>
      <c r="H360" s="66">
        <v>208000</v>
      </c>
      <c r="I360" s="16">
        <f t="shared" si="62"/>
        <v>0.15</v>
      </c>
      <c r="J360" s="16">
        <f t="shared" si="63"/>
        <v>69.451874213621352</v>
      </c>
      <c r="K360" s="66">
        <v>181847</v>
      </c>
      <c r="L360" s="16">
        <f t="shared" si="64"/>
        <v>0.15</v>
      </c>
      <c r="M360" s="16">
        <f t="shared" si="65"/>
        <v>61.993934265389122</v>
      </c>
      <c r="N360" s="66">
        <v>10455</v>
      </c>
      <c r="O360" s="16">
        <f t="shared" si="66"/>
        <v>0.1</v>
      </c>
      <c r="P360" s="16">
        <f t="shared" si="67"/>
        <v>1026.0984072065573</v>
      </c>
      <c r="Q360" s="66">
        <v>22750</v>
      </c>
      <c r="R360" s="16">
        <f t="shared" si="68"/>
        <v>0.3</v>
      </c>
      <c r="S360" s="16">
        <f t="shared" si="69"/>
        <v>1572.8287035654707</v>
      </c>
    </row>
    <row r="361" spans="1:19" x14ac:dyDescent="0.3">
      <c r="A361" s="65">
        <v>20190619</v>
      </c>
      <c r="B361" s="65" t="s">
        <v>88</v>
      </c>
      <c r="C361" s="158">
        <f t="shared" si="70"/>
        <v>109628698.11685824</v>
      </c>
      <c r="D361" s="158">
        <f t="shared" si="71"/>
        <v>1.8406150706478084E-2</v>
      </c>
      <c r="E361" s="66">
        <v>45350</v>
      </c>
      <c r="F361" s="16">
        <f t="shared" si="60"/>
        <v>0.3</v>
      </c>
      <c r="G361" s="16">
        <f t="shared" si="61"/>
        <v>798.60682235301033</v>
      </c>
      <c r="H361" s="66">
        <v>211500</v>
      </c>
      <c r="I361" s="16">
        <f t="shared" si="62"/>
        <v>0.15</v>
      </c>
      <c r="J361" s="16">
        <f t="shared" si="63"/>
        <v>69.451874213621352</v>
      </c>
      <c r="K361" s="66">
        <v>187931</v>
      </c>
      <c r="L361" s="16">
        <f t="shared" si="64"/>
        <v>0.15</v>
      </c>
      <c r="M361" s="16">
        <f t="shared" si="65"/>
        <v>61.993934265389122</v>
      </c>
      <c r="N361" s="66">
        <v>10620</v>
      </c>
      <c r="O361" s="16">
        <f t="shared" si="66"/>
        <v>0.1</v>
      </c>
      <c r="P361" s="16">
        <f t="shared" si="67"/>
        <v>1026.0984072065573</v>
      </c>
      <c r="Q361" s="66">
        <v>23000</v>
      </c>
      <c r="R361" s="16">
        <f t="shared" si="68"/>
        <v>0.3</v>
      </c>
      <c r="S361" s="16">
        <f t="shared" si="69"/>
        <v>1572.8287035654707</v>
      </c>
    </row>
    <row r="362" spans="1:19" x14ac:dyDescent="0.3">
      <c r="A362" s="65">
        <v>20190620</v>
      </c>
      <c r="B362" s="65" t="s">
        <v>88</v>
      </c>
      <c r="C362" s="158">
        <f t="shared" si="70"/>
        <v>111510720.57279566</v>
      </c>
      <c r="D362" s="158">
        <f t="shared" si="71"/>
        <v>1.7167242594920553E-2</v>
      </c>
      <c r="E362" s="66">
        <v>45500</v>
      </c>
      <c r="F362" s="16">
        <f t="shared" si="60"/>
        <v>0.3</v>
      </c>
      <c r="G362" s="16">
        <f t="shared" si="61"/>
        <v>798.60682235301033</v>
      </c>
      <c r="H362" s="66">
        <v>214000</v>
      </c>
      <c r="I362" s="16">
        <f t="shared" si="62"/>
        <v>0.15</v>
      </c>
      <c r="J362" s="16">
        <f t="shared" si="63"/>
        <v>69.451874213621352</v>
      </c>
      <c r="K362" s="66">
        <v>191660</v>
      </c>
      <c r="L362" s="16">
        <f t="shared" si="64"/>
        <v>0.15</v>
      </c>
      <c r="M362" s="16">
        <f t="shared" si="65"/>
        <v>61.993934265389122</v>
      </c>
      <c r="N362" s="66">
        <v>10640</v>
      </c>
      <c r="O362" s="16">
        <f t="shared" si="66"/>
        <v>0.1</v>
      </c>
      <c r="P362" s="16">
        <f t="shared" si="67"/>
        <v>1026.0984072065573</v>
      </c>
      <c r="Q362" s="66">
        <v>23850</v>
      </c>
      <c r="R362" s="16">
        <f t="shared" si="68"/>
        <v>0.3</v>
      </c>
      <c r="S362" s="16">
        <f t="shared" si="69"/>
        <v>1572.8287035654707</v>
      </c>
    </row>
    <row r="363" spans="1:19" x14ac:dyDescent="0.3">
      <c r="A363" s="65">
        <v>20190621</v>
      </c>
      <c r="B363" s="65" t="s">
        <v>88</v>
      </c>
      <c r="C363" s="158">
        <f t="shared" si="70"/>
        <v>110891789.3286809</v>
      </c>
      <c r="D363" s="158">
        <f t="shared" si="71"/>
        <v>-5.550419196786646E-3</v>
      </c>
      <c r="E363" s="66">
        <v>45700</v>
      </c>
      <c r="F363" s="16">
        <f t="shared" si="60"/>
        <v>0.3</v>
      </c>
      <c r="G363" s="16">
        <f t="shared" si="61"/>
        <v>798.60682235301033</v>
      </c>
      <c r="H363" s="66">
        <v>212500</v>
      </c>
      <c r="I363" s="16">
        <f t="shared" si="62"/>
        <v>0.15</v>
      </c>
      <c r="J363" s="16">
        <f t="shared" si="63"/>
        <v>69.451874213621352</v>
      </c>
      <c r="K363" s="66">
        <v>188226</v>
      </c>
      <c r="L363" s="16">
        <f t="shared" si="64"/>
        <v>0.15</v>
      </c>
      <c r="M363" s="16">
        <f t="shared" si="65"/>
        <v>61.993934265389122</v>
      </c>
      <c r="N363" s="66">
        <v>10650</v>
      </c>
      <c r="O363" s="16">
        <f t="shared" si="66"/>
        <v>0.1</v>
      </c>
      <c r="P363" s="16">
        <f t="shared" si="67"/>
        <v>1026.0984072065573</v>
      </c>
      <c r="Q363" s="66">
        <v>23550</v>
      </c>
      <c r="R363" s="16">
        <f t="shared" si="68"/>
        <v>0.3</v>
      </c>
      <c r="S363" s="16">
        <f t="shared" si="69"/>
        <v>1572.8287035654707</v>
      </c>
    </row>
    <row r="364" spans="1:19" x14ac:dyDescent="0.3">
      <c r="A364" s="65">
        <v>20190624</v>
      </c>
      <c r="B364" s="65" t="s">
        <v>88</v>
      </c>
      <c r="C364" s="158">
        <f t="shared" si="70"/>
        <v>109559629.31462497</v>
      </c>
      <c r="D364" s="158">
        <f t="shared" si="71"/>
        <v>-1.2013152841347375E-2</v>
      </c>
      <c r="E364" s="66">
        <v>45500</v>
      </c>
      <c r="F364" s="16">
        <f t="shared" si="60"/>
        <v>0.3</v>
      </c>
      <c r="G364" s="16">
        <f t="shared" si="61"/>
        <v>798.60682235301033</v>
      </c>
      <c r="H364" s="66">
        <v>208500</v>
      </c>
      <c r="I364" s="16">
        <f t="shared" si="62"/>
        <v>0.15</v>
      </c>
      <c r="J364" s="16">
        <f t="shared" si="63"/>
        <v>69.451874213621352</v>
      </c>
      <c r="K364" s="66">
        <v>190286</v>
      </c>
      <c r="L364" s="16">
        <f t="shared" si="64"/>
        <v>0.15</v>
      </c>
      <c r="M364" s="16">
        <f t="shared" si="65"/>
        <v>61.993934265389122</v>
      </c>
      <c r="N364" s="66">
        <v>10650</v>
      </c>
      <c r="O364" s="16">
        <f t="shared" si="66"/>
        <v>0.1</v>
      </c>
      <c r="P364" s="16">
        <f t="shared" si="67"/>
        <v>1026.0984072065573</v>
      </c>
      <c r="Q364" s="66">
        <v>22900</v>
      </c>
      <c r="R364" s="16">
        <f t="shared" si="68"/>
        <v>0.3</v>
      </c>
      <c r="S364" s="16">
        <f t="shared" si="69"/>
        <v>1572.8287035654707</v>
      </c>
    </row>
    <row r="365" spans="1:19" x14ac:dyDescent="0.3">
      <c r="A365" s="65">
        <v>20190625</v>
      </c>
      <c r="B365" s="65" t="s">
        <v>88</v>
      </c>
      <c r="C365" s="158">
        <f t="shared" si="70"/>
        <v>109986283.24947318</v>
      </c>
      <c r="D365" s="158">
        <f t="shared" si="71"/>
        <v>3.8942623073594655E-3</v>
      </c>
      <c r="E365" s="66">
        <v>45600</v>
      </c>
      <c r="F365" s="16">
        <f t="shared" si="60"/>
        <v>0.3</v>
      </c>
      <c r="G365" s="16">
        <f t="shared" si="61"/>
        <v>798.60682235301033</v>
      </c>
      <c r="H365" s="66">
        <v>208000</v>
      </c>
      <c r="I365" s="16">
        <f t="shared" si="62"/>
        <v>0.15</v>
      </c>
      <c r="J365" s="16">
        <f t="shared" si="63"/>
        <v>69.451874213621352</v>
      </c>
      <c r="K365" s="66">
        <v>191366</v>
      </c>
      <c r="L365" s="16">
        <f t="shared" si="64"/>
        <v>0.15</v>
      </c>
      <c r="M365" s="16">
        <f t="shared" si="65"/>
        <v>61.993934265389122</v>
      </c>
      <c r="N365" s="66">
        <v>10650</v>
      </c>
      <c r="O365" s="16">
        <f t="shared" si="66"/>
        <v>0.1</v>
      </c>
      <c r="P365" s="16">
        <f t="shared" si="67"/>
        <v>1026.0984072065573</v>
      </c>
      <c r="Q365" s="66">
        <v>23100</v>
      </c>
      <c r="R365" s="16">
        <f t="shared" si="68"/>
        <v>0.3</v>
      </c>
      <c r="S365" s="16">
        <f t="shared" si="69"/>
        <v>1572.8287035654707</v>
      </c>
    </row>
    <row r="366" spans="1:19" x14ac:dyDescent="0.3">
      <c r="A366" s="65">
        <v>20190626</v>
      </c>
      <c r="B366" s="65" t="s">
        <v>88</v>
      </c>
      <c r="C366" s="158">
        <f t="shared" si="70"/>
        <v>111070485.85014126</v>
      </c>
      <c r="D366" s="158">
        <f t="shared" si="71"/>
        <v>9.8576165012219004E-3</v>
      </c>
      <c r="E366" s="66">
        <v>45700</v>
      </c>
      <c r="F366" s="16">
        <f t="shared" si="60"/>
        <v>0.3</v>
      </c>
      <c r="G366" s="16">
        <f t="shared" si="61"/>
        <v>798.60682235301033</v>
      </c>
      <c r="H366" s="66">
        <v>210500</v>
      </c>
      <c r="I366" s="16">
        <f t="shared" si="62"/>
        <v>0.15</v>
      </c>
      <c r="J366" s="16">
        <f t="shared" si="63"/>
        <v>69.451874213621352</v>
      </c>
      <c r="K366" s="66">
        <v>199609</v>
      </c>
      <c r="L366" s="16">
        <f t="shared" si="64"/>
        <v>0.15</v>
      </c>
      <c r="M366" s="16">
        <f t="shared" si="65"/>
        <v>61.993934265389122</v>
      </c>
      <c r="N366" s="66">
        <v>10655</v>
      </c>
      <c r="O366" s="16">
        <f t="shared" si="66"/>
        <v>0.1</v>
      </c>
      <c r="P366" s="16">
        <f t="shared" si="67"/>
        <v>1026.0984072065573</v>
      </c>
      <c r="Q366" s="66">
        <v>23300</v>
      </c>
      <c r="R366" s="16">
        <f t="shared" si="68"/>
        <v>0.3</v>
      </c>
      <c r="S366" s="16">
        <f t="shared" si="69"/>
        <v>1572.8287035654707</v>
      </c>
    </row>
    <row r="367" spans="1:19" x14ac:dyDescent="0.3">
      <c r="A367" s="65">
        <v>20190627</v>
      </c>
      <c r="B367" s="65" t="s">
        <v>88</v>
      </c>
      <c r="C367" s="158">
        <f t="shared" si="70"/>
        <v>109974154.29465491</v>
      </c>
      <c r="D367" s="158">
        <f t="shared" si="71"/>
        <v>-9.8705929581108156E-3</v>
      </c>
      <c r="E367" s="66">
        <v>46500</v>
      </c>
      <c r="F367" s="16">
        <f t="shared" si="60"/>
        <v>0.3</v>
      </c>
      <c r="G367" s="16">
        <f t="shared" si="61"/>
        <v>798.60682235301033</v>
      </c>
      <c r="H367" s="66">
        <v>204000</v>
      </c>
      <c r="I367" s="16">
        <f t="shared" si="62"/>
        <v>0.15</v>
      </c>
      <c r="J367" s="16">
        <f t="shared" si="63"/>
        <v>69.451874213621352</v>
      </c>
      <c r="K367" s="66">
        <v>189600</v>
      </c>
      <c r="L367" s="16">
        <f t="shared" si="64"/>
        <v>0.15</v>
      </c>
      <c r="M367" s="16">
        <f t="shared" si="65"/>
        <v>61.993934265389122</v>
      </c>
      <c r="N367" s="66">
        <v>10775</v>
      </c>
      <c r="O367" s="16">
        <f t="shared" si="66"/>
        <v>0.1</v>
      </c>
      <c r="P367" s="16">
        <f t="shared" si="67"/>
        <v>1026.0984072065573</v>
      </c>
      <c r="Q367" s="66">
        <v>22800</v>
      </c>
      <c r="R367" s="16">
        <f t="shared" si="68"/>
        <v>0.3</v>
      </c>
      <c r="S367" s="16">
        <f t="shared" si="69"/>
        <v>1572.8287035654707</v>
      </c>
    </row>
    <row r="368" spans="1:19" x14ac:dyDescent="0.3">
      <c r="A368" s="65">
        <v>20190628</v>
      </c>
      <c r="B368" s="65" t="s">
        <v>88</v>
      </c>
      <c r="C368" s="158">
        <f t="shared" si="70"/>
        <v>109127904.41461658</v>
      </c>
      <c r="D368" s="158">
        <f t="shared" si="71"/>
        <v>-7.694988749547051E-3</v>
      </c>
      <c r="E368" s="66">
        <v>47000</v>
      </c>
      <c r="F368" s="16">
        <f t="shared" si="60"/>
        <v>0.3</v>
      </c>
      <c r="G368" s="16">
        <f t="shared" si="61"/>
        <v>798.60682235301033</v>
      </c>
      <c r="H368" s="66">
        <v>205500</v>
      </c>
      <c r="I368" s="16">
        <f t="shared" si="62"/>
        <v>0.15</v>
      </c>
      <c r="J368" s="16">
        <f t="shared" si="63"/>
        <v>69.451874213621352</v>
      </c>
      <c r="K368" s="153">
        <v>168600</v>
      </c>
      <c r="L368" s="16">
        <f t="shared" si="64"/>
        <v>0.15</v>
      </c>
      <c r="M368" s="16">
        <f t="shared" si="65"/>
        <v>61.993934265389122</v>
      </c>
      <c r="N368" s="66">
        <v>10805</v>
      </c>
      <c r="O368" s="16">
        <f t="shared" si="66"/>
        <v>0.1</v>
      </c>
      <c r="P368" s="16">
        <f t="shared" si="67"/>
        <v>1026.0984072065573</v>
      </c>
      <c r="Q368" s="66">
        <v>22750</v>
      </c>
      <c r="R368" s="16">
        <f t="shared" si="68"/>
        <v>0.3</v>
      </c>
      <c r="S368" s="16">
        <f t="shared" si="69"/>
        <v>1572.8287035654707</v>
      </c>
    </row>
    <row r="369" spans="1:19" x14ac:dyDescent="0.3">
      <c r="A369" s="139">
        <v>20190701</v>
      </c>
      <c r="B369" s="139" t="s">
        <v>89</v>
      </c>
      <c r="C369" s="154">
        <f t="shared" si="70"/>
        <v>110429129.19308777</v>
      </c>
      <c r="D369" s="154">
        <f t="shared" si="71"/>
        <v>1.1923850141274232E-2</v>
      </c>
      <c r="E369" s="155">
        <v>46600</v>
      </c>
      <c r="F369" s="156">
        <v>0.2</v>
      </c>
      <c r="G369" s="156">
        <f>C368*F369/E368</f>
        <v>464.37406133879404</v>
      </c>
      <c r="H369" s="155">
        <v>208000</v>
      </c>
      <c r="I369" s="156">
        <v>0.2</v>
      </c>
      <c r="J369" s="156">
        <f>C368*I369/H368</f>
        <v>106.20720624293587</v>
      </c>
      <c r="K369" s="155">
        <v>181000</v>
      </c>
      <c r="L369" s="156">
        <v>0.2</v>
      </c>
      <c r="M369" s="156">
        <f>C368*L369/K368</f>
        <v>129.45184390820475</v>
      </c>
      <c r="N369" s="155">
        <v>10805</v>
      </c>
      <c r="O369" s="156">
        <v>0.2</v>
      </c>
      <c r="P369" s="156">
        <f>C368*O369/N368</f>
        <v>2019.9519558466748</v>
      </c>
      <c r="Q369" s="155">
        <v>22350</v>
      </c>
      <c r="R369" s="156">
        <v>0.2</v>
      </c>
      <c r="S369" s="156">
        <f>C368*R369/Q368</f>
        <v>959.36619265597005</v>
      </c>
    </row>
    <row r="370" spans="1:19" x14ac:dyDescent="0.3">
      <c r="A370" s="65">
        <v>20190702</v>
      </c>
      <c r="B370" s="65" t="s">
        <v>88</v>
      </c>
      <c r="C370" s="158">
        <f t="shared" si="70"/>
        <v>109323254.86830981</v>
      </c>
      <c r="D370" s="158">
        <f t="shared" si="71"/>
        <v>-1.0014335283259502E-2</v>
      </c>
      <c r="E370" s="66">
        <v>46250</v>
      </c>
      <c r="F370" s="16">
        <f>$F$369</f>
        <v>0.2</v>
      </c>
      <c r="G370" s="16">
        <f>$G$369</f>
        <v>464.37406133879404</v>
      </c>
      <c r="H370" s="66">
        <v>205000</v>
      </c>
      <c r="I370" s="16">
        <f>$I$369</f>
        <v>0.2</v>
      </c>
      <c r="J370" s="16">
        <f>$J$369</f>
        <v>106.20720624293587</v>
      </c>
      <c r="K370" s="66">
        <v>178300</v>
      </c>
      <c r="L370" s="16">
        <f>$L$369</f>
        <v>0.2</v>
      </c>
      <c r="M370" s="16">
        <f>$M$369</f>
        <v>129.45184390820475</v>
      </c>
      <c r="N370" s="66">
        <v>10740</v>
      </c>
      <c r="O370" s="16">
        <f>$O$369</f>
        <v>0.2</v>
      </c>
      <c r="P370" s="16">
        <f>$P$369</f>
        <v>2019.9519558466748</v>
      </c>
      <c r="Q370" s="66">
        <v>22200</v>
      </c>
      <c r="R370" s="16">
        <f>$R$369</f>
        <v>0.2</v>
      </c>
      <c r="S370" s="16">
        <f>$S$369</f>
        <v>959.36619265597005</v>
      </c>
    </row>
    <row r="371" spans="1:19" x14ac:dyDescent="0.3">
      <c r="A371" s="65">
        <v>20190703</v>
      </c>
      <c r="B371" s="65" t="s">
        <v>88</v>
      </c>
      <c r="C371" s="158">
        <f t="shared" si="70"/>
        <v>109177148.72095856</v>
      </c>
      <c r="D371" s="158">
        <f t="shared" si="71"/>
        <v>-1.336459909899762E-3</v>
      </c>
      <c r="E371" s="66">
        <v>45400</v>
      </c>
      <c r="F371" s="16">
        <f t="shared" ref="F371:F381" si="72">$F$369</f>
        <v>0.2</v>
      </c>
      <c r="G371" s="16">
        <f t="shared" ref="G371:G381" si="73">$G$369</f>
        <v>464.37406133879404</v>
      </c>
      <c r="H371" s="66">
        <v>206000</v>
      </c>
      <c r="I371" s="16">
        <f t="shared" ref="I371:I381" si="74">$I$369</f>
        <v>0.2</v>
      </c>
      <c r="J371" s="16">
        <f t="shared" ref="J371:J381" si="75">$J$369</f>
        <v>106.20720624293587</v>
      </c>
      <c r="K371" s="66">
        <v>184900</v>
      </c>
      <c r="L371" s="16">
        <f t="shared" ref="L371:L381" si="76">$L$369</f>
        <v>0.2</v>
      </c>
      <c r="M371" s="16">
        <f t="shared" ref="M371:M381" si="77">$M$369</f>
        <v>129.45184390820475</v>
      </c>
      <c r="N371" s="66">
        <v>10625</v>
      </c>
      <c r="O371" s="16">
        <f t="shared" ref="O371:O381" si="78">$O$369</f>
        <v>0.2</v>
      </c>
      <c r="P371" s="16">
        <f t="shared" ref="P371:P381" si="79">$P$369</f>
        <v>2019.9519558466748</v>
      </c>
      <c r="Q371" s="66">
        <v>21700</v>
      </c>
      <c r="R371" s="16">
        <f t="shared" ref="R371:R381" si="80">$R$369</f>
        <v>0.2</v>
      </c>
      <c r="S371" s="16">
        <f t="shared" ref="S371:S381" si="81">$S$369</f>
        <v>959.36619265597005</v>
      </c>
    </row>
    <row r="372" spans="1:19" x14ac:dyDescent="0.3">
      <c r="A372" s="65">
        <v>20190704</v>
      </c>
      <c r="B372" s="65" t="s">
        <v>88</v>
      </c>
      <c r="C372" s="158">
        <f t="shared" si="70"/>
        <v>108460801.11447044</v>
      </c>
      <c r="D372" s="158">
        <f t="shared" si="71"/>
        <v>-6.561332796105596E-3</v>
      </c>
      <c r="E372" s="66">
        <v>46000</v>
      </c>
      <c r="F372" s="16">
        <f t="shared" si="72"/>
        <v>0.2</v>
      </c>
      <c r="G372" s="16">
        <f t="shared" si="73"/>
        <v>464.37406133879404</v>
      </c>
      <c r="H372" s="66">
        <v>203500</v>
      </c>
      <c r="I372" s="16">
        <f t="shared" si="74"/>
        <v>0.2</v>
      </c>
      <c r="J372" s="16">
        <f t="shared" si="75"/>
        <v>106.20720624293587</v>
      </c>
      <c r="K372" s="66">
        <v>182600</v>
      </c>
      <c r="L372" s="16">
        <f t="shared" si="76"/>
        <v>0.2</v>
      </c>
      <c r="M372" s="16">
        <f t="shared" si="77"/>
        <v>129.45184390820475</v>
      </c>
      <c r="N372" s="66">
        <v>10625</v>
      </c>
      <c r="O372" s="16">
        <f t="shared" si="78"/>
        <v>0.2</v>
      </c>
      <c r="P372" s="16">
        <f t="shared" si="79"/>
        <v>2019.9519558466748</v>
      </c>
      <c r="Q372" s="66">
        <v>21250</v>
      </c>
      <c r="R372" s="16">
        <f t="shared" si="80"/>
        <v>0.2</v>
      </c>
      <c r="S372" s="16">
        <f t="shared" si="81"/>
        <v>959.36619265597005</v>
      </c>
    </row>
    <row r="373" spans="1:19" x14ac:dyDescent="0.3">
      <c r="A373" s="65">
        <v>20190705</v>
      </c>
      <c r="B373" s="65" t="s">
        <v>88</v>
      </c>
      <c r="C373" s="158">
        <f t="shared" si="70"/>
        <v>109884453.318005</v>
      </c>
      <c r="D373" s="158">
        <f t="shared" si="71"/>
        <v>1.3125960613475682E-2</v>
      </c>
      <c r="E373" s="66">
        <v>45650</v>
      </c>
      <c r="F373" s="16">
        <f t="shared" si="72"/>
        <v>0.2</v>
      </c>
      <c r="G373" s="16">
        <f t="shared" si="73"/>
        <v>464.37406133879404</v>
      </c>
      <c r="H373" s="66">
        <v>208000</v>
      </c>
      <c r="I373" s="16">
        <f t="shared" si="74"/>
        <v>0.2</v>
      </c>
      <c r="J373" s="16">
        <f t="shared" si="75"/>
        <v>106.20720624293587</v>
      </c>
      <c r="K373" s="66">
        <v>186500</v>
      </c>
      <c r="L373" s="16">
        <f t="shared" si="76"/>
        <v>0.2</v>
      </c>
      <c r="M373" s="16">
        <f t="shared" si="77"/>
        <v>129.45184390820475</v>
      </c>
      <c r="N373" s="66">
        <v>10615</v>
      </c>
      <c r="O373" s="16">
        <f t="shared" si="78"/>
        <v>0.2</v>
      </c>
      <c r="P373" s="16">
        <f t="shared" si="79"/>
        <v>2019.9519558466748</v>
      </c>
      <c r="Q373" s="66">
        <v>21900</v>
      </c>
      <c r="R373" s="16">
        <f t="shared" si="80"/>
        <v>0.2</v>
      </c>
      <c r="S373" s="16">
        <f t="shared" si="81"/>
        <v>959.36619265597005</v>
      </c>
    </row>
    <row r="374" spans="1:19" x14ac:dyDescent="0.3">
      <c r="A374" s="65">
        <v>20190708</v>
      </c>
      <c r="B374" s="65" t="s">
        <v>88</v>
      </c>
      <c r="C374" s="158">
        <f t="shared" si="70"/>
        <v>106967149.73181243</v>
      </c>
      <c r="D374" s="158">
        <f t="shared" si="71"/>
        <v>-2.6548829230190578E-2</v>
      </c>
      <c r="E374" s="66">
        <v>44400</v>
      </c>
      <c r="F374" s="16">
        <f t="shared" si="72"/>
        <v>0.2</v>
      </c>
      <c r="G374" s="16">
        <f t="shared" si="73"/>
        <v>464.37406133879404</v>
      </c>
      <c r="H374" s="66">
        <v>206000</v>
      </c>
      <c r="I374" s="16">
        <f t="shared" si="74"/>
        <v>0.2</v>
      </c>
      <c r="J374" s="16">
        <f t="shared" si="75"/>
        <v>106.20720624293587</v>
      </c>
      <c r="K374" s="66">
        <v>178300</v>
      </c>
      <c r="L374" s="16">
        <f t="shared" si="76"/>
        <v>0.2</v>
      </c>
      <c r="M374" s="16">
        <f t="shared" si="77"/>
        <v>129.45184390820475</v>
      </c>
      <c r="N374" s="66">
        <v>10445</v>
      </c>
      <c r="O374" s="16">
        <f t="shared" si="78"/>
        <v>0.2</v>
      </c>
      <c r="P374" s="16">
        <f t="shared" si="79"/>
        <v>2019.9519558466748</v>
      </c>
      <c r="Q374" s="66">
        <v>21150</v>
      </c>
      <c r="R374" s="16">
        <f t="shared" si="80"/>
        <v>0.2</v>
      </c>
      <c r="S374" s="16">
        <f t="shared" si="81"/>
        <v>959.36619265597005</v>
      </c>
    </row>
    <row r="375" spans="1:19" x14ac:dyDescent="0.3">
      <c r="A375" s="65">
        <v>20190709</v>
      </c>
      <c r="B375" s="65" t="s">
        <v>88</v>
      </c>
      <c r="C375" s="158">
        <f t="shared" si="70"/>
        <v>104944400.5653193</v>
      </c>
      <c r="D375" s="158">
        <f t="shared" si="71"/>
        <v>-1.8910003412866104E-2</v>
      </c>
      <c r="E375" s="66">
        <v>45100</v>
      </c>
      <c r="F375" s="16">
        <f t="shared" si="72"/>
        <v>0.2</v>
      </c>
      <c r="G375" s="16">
        <f t="shared" si="73"/>
        <v>464.37406133879404</v>
      </c>
      <c r="H375" s="66">
        <v>192500</v>
      </c>
      <c r="I375" s="16">
        <f t="shared" si="74"/>
        <v>0.2</v>
      </c>
      <c r="J375" s="16">
        <f t="shared" si="75"/>
        <v>106.20720624293587</v>
      </c>
      <c r="K375" s="66">
        <v>172000</v>
      </c>
      <c r="L375" s="16">
        <f t="shared" si="76"/>
        <v>0.2</v>
      </c>
      <c r="M375" s="16">
        <f t="shared" si="77"/>
        <v>129.45184390820475</v>
      </c>
      <c r="N375" s="66">
        <v>10420</v>
      </c>
      <c r="O375" s="16">
        <f t="shared" si="78"/>
        <v>0.2</v>
      </c>
      <c r="P375" s="16">
        <f t="shared" si="79"/>
        <v>2019.9519558466748</v>
      </c>
      <c r="Q375" s="66">
        <v>21100</v>
      </c>
      <c r="R375" s="16">
        <f t="shared" si="80"/>
        <v>0.2</v>
      </c>
      <c r="S375" s="16">
        <f t="shared" si="81"/>
        <v>959.36619265597005</v>
      </c>
    </row>
    <row r="376" spans="1:19" x14ac:dyDescent="0.3">
      <c r="A376" s="65">
        <v>20190710</v>
      </c>
      <c r="B376" s="65" t="s">
        <v>88</v>
      </c>
      <c r="C376" s="158">
        <f t="shared" si="70"/>
        <v>105466256.36101168</v>
      </c>
      <c r="D376" s="158">
        <f t="shared" si="71"/>
        <v>4.9726883271639802E-3</v>
      </c>
      <c r="E376" s="66">
        <v>45550</v>
      </c>
      <c r="F376" s="16">
        <f t="shared" si="72"/>
        <v>0.2</v>
      </c>
      <c r="G376" s="16">
        <f t="shared" si="73"/>
        <v>464.37406133879404</v>
      </c>
      <c r="H376" s="66">
        <v>189000</v>
      </c>
      <c r="I376" s="16">
        <f t="shared" si="74"/>
        <v>0.2</v>
      </c>
      <c r="J376" s="16">
        <f t="shared" si="75"/>
        <v>106.20720624293587</v>
      </c>
      <c r="K376" s="66">
        <v>173700</v>
      </c>
      <c r="L376" s="16">
        <f t="shared" si="76"/>
        <v>0.2</v>
      </c>
      <c r="M376" s="16">
        <f t="shared" si="77"/>
        <v>129.45184390820475</v>
      </c>
      <c r="N376" s="66">
        <v>10460</v>
      </c>
      <c r="O376" s="16">
        <f t="shared" si="78"/>
        <v>0.2</v>
      </c>
      <c r="P376" s="16">
        <f t="shared" si="79"/>
        <v>2019.9519558466748</v>
      </c>
      <c r="Q376" s="66">
        <v>21500</v>
      </c>
      <c r="R376" s="16">
        <f t="shared" si="80"/>
        <v>0.2</v>
      </c>
      <c r="S376" s="16">
        <f t="shared" si="81"/>
        <v>959.36619265597005</v>
      </c>
    </row>
    <row r="377" spans="1:19" x14ac:dyDescent="0.3">
      <c r="A377" s="65">
        <v>20190711</v>
      </c>
      <c r="B377" s="65" t="s">
        <v>88</v>
      </c>
      <c r="C377" s="158">
        <f t="shared" si="70"/>
        <v>106116260.62794493</v>
      </c>
      <c r="D377" s="158">
        <f t="shared" si="71"/>
        <v>6.1631491375618627E-3</v>
      </c>
      <c r="E377" s="66">
        <v>46200</v>
      </c>
      <c r="F377" s="16">
        <f t="shared" si="72"/>
        <v>0.2</v>
      </c>
      <c r="G377" s="16">
        <f t="shared" si="73"/>
        <v>464.37406133879404</v>
      </c>
      <c r="H377" s="66">
        <v>191500</v>
      </c>
      <c r="I377" s="16">
        <f t="shared" si="74"/>
        <v>0.2</v>
      </c>
      <c r="J377" s="16">
        <f t="shared" si="75"/>
        <v>106.20720624293587</v>
      </c>
      <c r="K377" s="66">
        <v>172700</v>
      </c>
      <c r="L377" s="16">
        <f t="shared" si="76"/>
        <v>0.2</v>
      </c>
      <c r="M377" s="16">
        <f t="shared" si="77"/>
        <v>129.45184390820475</v>
      </c>
      <c r="N377" s="66">
        <v>10565</v>
      </c>
      <c r="O377" s="16">
        <f t="shared" si="78"/>
        <v>0.2</v>
      </c>
      <c r="P377" s="16">
        <f t="shared" si="79"/>
        <v>2019.9519558466748</v>
      </c>
      <c r="Q377" s="66">
        <v>21500</v>
      </c>
      <c r="R377" s="16">
        <f t="shared" si="80"/>
        <v>0.2</v>
      </c>
      <c r="S377" s="16">
        <f t="shared" si="81"/>
        <v>959.36619265597005</v>
      </c>
    </row>
    <row r="378" spans="1:19" x14ac:dyDescent="0.3">
      <c r="A378" s="65">
        <v>20190712</v>
      </c>
      <c r="B378" s="65" t="s">
        <v>88</v>
      </c>
      <c r="C378" s="158">
        <f t="shared" si="70"/>
        <v>105546933.65698671</v>
      </c>
      <c r="D378" s="158">
        <f t="shared" si="71"/>
        <v>-5.3651246999207765E-3</v>
      </c>
      <c r="E378" s="66">
        <v>46300</v>
      </c>
      <c r="F378" s="16">
        <f t="shared" si="72"/>
        <v>0.2</v>
      </c>
      <c r="G378" s="16">
        <f t="shared" si="73"/>
        <v>464.37406133879404</v>
      </c>
      <c r="H378" s="66">
        <v>188500</v>
      </c>
      <c r="I378" s="16">
        <f t="shared" si="74"/>
        <v>0.2</v>
      </c>
      <c r="J378" s="16">
        <f t="shared" si="75"/>
        <v>106.20720624293587</v>
      </c>
      <c r="K378" s="66">
        <v>169800</v>
      </c>
      <c r="L378" s="16">
        <f t="shared" si="76"/>
        <v>0.2</v>
      </c>
      <c r="M378" s="16">
        <f t="shared" si="77"/>
        <v>129.45184390820475</v>
      </c>
      <c r="N378" s="66">
        <v>10580</v>
      </c>
      <c r="O378" s="16">
        <f t="shared" si="78"/>
        <v>0.2</v>
      </c>
      <c r="P378" s="16">
        <f t="shared" si="79"/>
        <v>2019.9519558466748</v>
      </c>
      <c r="Q378" s="66">
        <v>21550</v>
      </c>
      <c r="R378" s="16">
        <f t="shared" si="80"/>
        <v>0.2</v>
      </c>
      <c r="S378" s="16">
        <f t="shared" si="81"/>
        <v>959.36619265597005</v>
      </c>
    </row>
    <row r="379" spans="1:19" x14ac:dyDescent="0.3">
      <c r="A379" s="65">
        <v>20190715</v>
      </c>
      <c r="B379" s="65" t="s">
        <v>88</v>
      </c>
      <c r="C379" s="158">
        <f t="shared" si="70"/>
        <v>104955020.0965037</v>
      </c>
      <c r="D379" s="158">
        <f t="shared" si="71"/>
        <v>-5.6080602247209552E-3</v>
      </c>
      <c r="E379" s="66">
        <v>46450</v>
      </c>
      <c r="F379" s="16">
        <f t="shared" si="72"/>
        <v>0.2</v>
      </c>
      <c r="G379" s="16">
        <f t="shared" si="73"/>
        <v>464.37406133879404</v>
      </c>
      <c r="H379" s="66">
        <v>183500</v>
      </c>
      <c r="I379" s="16">
        <f t="shared" si="74"/>
        <v>0.2</v>
      </c>
      <c r="J379" s="16">
        <f t="shared" si="75"/>
        <v>106.20720624293587</v>
      </c>
      <c r="K379" s="66">
        <v>171600</v>
      </c>
      <c r="L379" s="16">
        <f t="shared" si="76"/>
        <v>0.2</v>
      </c>
      <c r="M379" s="16">
        <f t="shared" si="77"/>
        <v>129.45184390820475</v>
      </c>
      <c r="N379" s="66">
        <v>10590</v>
      </c>
      <c r="O379" s="16">
        <f t="shared" si="78"/>
        <v>0.2</v>
      </c>
      <c r="P379" s="16">
        <f t="shared" si="79"/>
        <v>2019.9519558466748</v>
      </c>
      <c r="Q379" s="66">
        <v>21150</v>
      </c>
      <c r="R379" s="16">
        <f t="shared" si="80"/>
        <v>0.2</v>
      </c>
      <c r="S379" s="16">
        <f t="shared" si="81"/>
        <v>959.36619265597005</v>
      </c>
    </row>
    <row r="380" spans="1:19" x14ac:dyDescent="0.3">
      <c r="A380" s="65">
        <v>20190716</v>
      </c>
      <c r="B380" s="65" t="s">
        <v>88</v>
      </c>
      <c r="C380" s="158">
        <f t="shared" si="70"/>
        <v>106188386.77456471</v>
      </c>
      <c r="D380" s="158">
        <f t="shared" si="71"/>
        <v>1.1751383372867314E-2</v>
      </c>
      <c r="E380" s="66">
        <v>46850</v>
      </c>
      <c r="F380" s="16">
        <f t="shared" si="72"/>
        <v>0.2</v>
      </c>
      <c r="G380" s="16">
        <f t="shared" si="73"/>
        <v>464.37406133879404</v>
      </c>
      <c r="H380" s="66">
        <v>188500</v>
      </c>
      <c r="I380" s="16">
        <f t="shared" si="74"/>
        <v>0.2</v>
      </c>
      <c r="J380" s="16">
        <f t="shared" si="75"/>
        <v>106.20720624293587</v>
      </c>
      <c r="K380" s="66">
        <v>176000</v>
      </c>
      <c r="L380" s="16">
        <f t="shared" si="76"/>
        <v>0.2</v>
      </c>
      <c r="M380" s="16">
        <f t="shared" si="77"/>
        <v>129.45184390820475</v>
      </c>
      <c r="N380" s="66">
        <v>10635</v>
      </c>
      <c r="O380" s="16">
        <f t="shared" si="78"/>
        <v>0.2</v>
      </c>
      <c r="P380" s="16">
        <f t="shared" si="79"/>
        <v>2019.9519558466748</v>
      </c>
      <c r="Q380" s="66">
        <v>21000</v>
      </c>
      <c r="R380" s="16">
        <f t="shared" si="80"/>
        <v>0.2</v>
      </c>
      <c r="S380" s="16">
        <f t="shared" si="81"/>
        <v>959.36619265597005</v>
      </c>
    </row>
    <row r="381" spans="1:19" x14ac:dyDescent="0.3">
      <c r="A381" s="65">
        <v>20190717</v>
      </c>
      <c r="B381" s="65" t="s">
        <v>88</v>
      </c>
      <c r="C381" s="158">
        <f t="shared" si="70"/>
        <v>105053894.60259002</v>
      </c>
      <c r="D381" s="158">
        <f t="shared" si="71"/>
        <v>-1.068376878521742E-2</v>
      </c>
      <c r="E381" s="66">
        <v>46050</v>
      </c>
      <c r="F381" s="16">
        <f t="shared" si="72"/>
        <v>0.2</v>
      </c>
      <c r="G381" s="16">
        <f t="shared" si="73"/>
        <v>464.37406133879404</v>
      </c>
      <c r="H381" s="66">
        <v>184500</v>
      </c>
      <c r="I381" s="16">
        <f t="shared" si="74"/>
        <v>0.2</v>
      </c>
      <c r="J381" s="16">
        <f t="shared" si="75"/>
        <v>106.20720624293587</v>
      </c>
      <c r="K381" s="66">
        <v>178400</v>
      </c>
      <c r="L381" s="16">
        <f t="shared" si="76"/>
        <v>0.2</v>
      </c>
      <c r="M381" s="16">
        <f t="shared" si="77"/>
        <v>129.45184390820475</v>
      </c>
      <c r="N381" s="66">
        <v>10575</v>
      </c>
      <c r="O381" s="16">
        <f t="shared" si="78"/>
        <v>0.2</v>
      </c>
      <c r="P381" s="16">
        <f t="shared" si="79"/>
        <v>2019.9519558466748</v>
      </c>
      <c r="Q381" s="66">
        <v>20450</v>
      </c>
      <c r="R381" s="16">
        <f t="shared" si="80"/>
        <v>0.2</v>
      </c>
      <c r="S381" s="16">
        <f t="shared" si="81"/>
        <v>959.36619265597005</v>
      </c>
    </row>
    <row r="382" spans="1:19" x14ac:dyDescent="0.3">
      <c r="Q382" s="66"/>
    </row>
    <row r="383" spans="1:19" x14ac:dyDescent="0.3">
      <c r="Q383" s="66"/>
    </row>
  </sheetData>
  <mergeCells count="5">
    <mergeCell ref="E2:G2"/>
    <mergeCell ref="H2:J2"/>
    <mergeCell ref="K2:M2"/>
    <mergeCell ref="N2:P2"/>
    <mergeCell ref="Q2:S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60" sqref="E760:E1137"/>
    </sheetView>
  </sheetViews>
  <sheetFormatPr defaultColWidth="8.875" defaultRowHeight="16.5" x14ac:dyDescent="0.3"/>
  <cols>
    <col min="1" max="1" width="9.5" bestFit="1" customWidth="1"/>
    <col min="2" max="2" width="9" bestFit="1" customWidth="1"/>
    <col min="3" max="3" width="8.875" style="8"/>
    <col min="4" max="4" width="8.5" style="8" bestFit="1" customWidth="1"/>
    <col min="5" max="5" width="13" bestFit="1" customWidth="1"/>
    <col min="6" max="6" width="11.625" style="8" bestFit="1" customWidth="1"/>
    <col min="7" max="7" width="17.875" style="1" bestFit="1" customWidth="1"/>
    <col min="8" max="8" width="17.875" bestFit="1" customWidth="1"/>
    <col min="10" max="10" width="18.625" bestFit="1" customWidth="1"/>
  </cols>
  <sheetData>
    <row r="1" spans="1:10" x14ac:dyDescent="0.3">
      <c r="A1" s="3" t="s">
        <v>12</v>
      </c>
      <c r="B1" s="3" t="s">
        <v>13</v>
      </c>
      <c r="C1" s="40" t="s">
        <v>14</v>
      </c>
      <c r="D1" s="40" t="s">
        <v>15</v>
      </c>
      <c r="E1" s="3" t="s">
        <v>16</v>
      </c>
      <c r="F1" s="40" t="s">
        <v>17</v>
      </c>
      <c r="G1" s="4" t="s">
        <v>18</v>
      </c>
      <c r="H1" s="3" t="s">
        <v>19</v>
      </c>
      <c r="I1" s="3" t="s">
        <v>20</v>
      </c>
      <c r="J1" s="3" t="s">
        <v>21</v>
      </c>
    </row>
    <row r="2" spans="1:10" x14ac:dyDescent="0.3">
      <c r="A2">
        <v>20141201</v>
      </c>
      <c r="B2" s="2" t="s">
        <v>22</v>
      </c>
      <c r="C2" s="8">
        <v>1287000</v>
      </c>
      <c r="D2" s="8">
        <v>1295000</v>
      </c>
      <c r="E2">
        <v>25900</v>
      </c>
      <c r="F2" s="8">
        <v>147299337</v>
      </c>
      <c r="G2" s="1">
        <v>190752641415000</v>
      </c>
      <c r="H2" s="1">
        <v>143064480090000</v>
      </c>
      <c r="I2" t="e">
        <f>IF(C2*F2=D1*F1,0,1)</f>
        <v>#VALUE!</v>
      </c>
    </row>
    <row r="3" spans="1:10" x14ac:dyDescent="0.3">
      <c r="A3">
        <v>20141202</v>
      </c>
      <c r="B3" s="2" t="s">
        <v>23</v>
      </c>
      <c r="C3" s="8">
        <v>1295000</v>
      </c>
      <c r="D3" s="8">
        <v>1295000</v>
      </c>
      <c r="E3">
        <v>25900</v>
      </c>
      <c r="F3" s="8">
        <v>147299337</v>
      </c>
      <c r="G3" s="1">
        <v>190752641415000</v>
      </c>
      <c r="H3" s="1">
        <v>143064480090000</v>
      </c>
      <c r="I3">
        <f>IF(C3*F3=D2*F2,0,1)</f>
        <v>0</v>
      </c>
    </row>
    <row r="4" spans="1:10" x14ac:dyDescent="0.3">
      <c r="A4">
        <v>20141203</v>
      </c>
      <c r="B4" s="2" t="s">
        <v>4</v>
      </c>
      <c r="C4" s="8">
        <v>1295000</v>
      </c>
      <c r="D4" s="8">
        <v>1298000</v>
      </c>
      <c r="E4">
        <v>25960</v>
      </c>
      <c r="F4" s="8">
        <v>147299337</v>
      </c>
      <c r="G4" s="1">
        <v>191194539426000</v>
      </c>
      <c r="H4" s="1">
        <v>143395903596000</v>
      </c>
      <c r="I4">
        <f t="shared" ref="I4:I67" si="0">IF(C4*F4=D3*F3,0,1)</f>
        <v>0</v>
      </c>
    </row>
    <row r="5" spans="1:10" x14ac:dyDescent="0.3">
      <c r="A5">
        <v>20141204</v>
      </c>
      <c r="B5" s="2" t="s">
        <v>4</v>
      </c>
      <c r="C5" s="8">
        <v>1298000</v>
      </c>
      <c r="D5" s="8">
        <v>1300000</v>
      </c>
      <c r="E5">
        <v>26000</v>
      </c>
      <c r="F5" s="8">
        <v>147299337</v>
      </c>
      <c r="G5" s="1">
        <v>191489138100000</v>
      </c>
      <c r="H5" s="1">
        <v>143616853900000</v>
      </c>
      <c r="I5">
        <f t="shared" si="0"/>
        <v>0</v>
      </c>
    </row>
    <row r="6" spans="1:10" x14ac:dyDescent="0.3">
      <c r="A6">
        <v>20141205</v>
      </c>
      <c r="B6" s="2" t="s">
        <v>4</v>
      </c>
      <c r="C6" s="8">
        <v>1300000</v>
      </c>
      <c r="D6" s="8">
        <v>1302000</v>
      </c>
      <c r="E6">
        <v>26040</v>
      </c>
      <c r="F6" s="8">
        <v>147299337</v>
      </c>
      <c r="G6" s="1">
        <v>191783736774000</v>
      </c>
      <c r="H6" s="1">
        <v>143837801604000</v>
      </c>
      <c r="I6">
        <f t="shared" si="0"/>
        <v>0</v>
      </c>
    </row>
    <row r="7" spans="1:10" x14ac:dyDescent="0.3">
      <c r="A7">
        <v>20141208</v>
      </c>
      <c r="B7" s="2" t="s">
        <v>4</v>
      </c>
      <c r="C7" s="8">
        <v>1302000</v>
      </c>
      <c r="D7" s="8">
        <v>1319000</v>
      </c>
      <c r="E7">
        <v>26380</v>
      </c>
      <c r="F7" s="8">
        <v>147299337</v>
      </c>
      <c r="G7" s="1">
        <v>194287825503000</v>
      </c>
      <c r="H7" s="1">
        <v>145715868138000</v>
      </c>
      <c r="I7">
        <f t="shared" si="0"/>
        <v>0</v>
      </c>
    </row>
    <row r="8" spans="1:10" x14ac:dyDescent="0.3">
      <c r="A8">
        <v>20141209</v>
      </c>
      <c r="B8" s="2" t="s">
        <v>4</v>
      </c>
      <c r="C8" s="8">
        <v>1319000</v>
      </c>
      <c r="D8" s="8">
        <v>1349000</v>
      </c>
      <c r="E8">
        <v>26980</v>
      </c>
      <c r="F8" s="8">
        <v>147299337</v>
      </c>
      <c r="G8" s="1">
        <v>198706805613000</v>
      </c>
      <c r="H8" s="1">
        <v>149030103198000</v>
      </c>
      <c r="I8">
        <f t="shared" si="0"/>
        <v>0</v>
      </c>
    </row>
    <row r="9" spans="1:10" x14ac:dyDescent="0.3">
      <c r="A9">
        <v>20141210</v>
      </c>
      <c r="B9" s="2" t="s">
        <v>4</v>
      </c>
      <c r="C9" s="8">
        <v>1349000</v>
      </c>
      <c r="D9" s="8">
        <v>1317000</v>
      </c>
      <c r="E9">
        <v>26340</v>
      </c>
      <c r="F9" s="8">
        <v>147299337</v>
      </c>
      <c r="G9" s="1">
        <v>193993226829000</v>
      </c>
      <c r="H9" s="1">
        <v>145494919134000</v>
      </c>
      <c r="I9">
        <f t="shared" si="0"/>
        <v>0</v>
      </c>
    </row>
    <row r="10" spans="1:10" x14ac:dyDescent="0.3">
      <c r="A10">
        <v>20141211</v>
      </c>
      <c r="B10" s="2" t="s">
        <v>4</v>
      </c>
      <c r="C10" s="8">
        <v>1317000</v>
      </c>
      <c r="D10" s="8">
        <v>1305000</v>
      </c>
      <c r="E10">
        <v>26100</v>
      </c>
      <c r="F10" s="8">
        <v>147299337</v>
      </c>
      <c r="G10" s="1">
        <v>192225634785000</v>
      </c>
      <c r="H10" s="1">
        <v>144169225110000</v>
      </c>
      <c r="I10">
        <f t="shared" si="0"/>
        <v>0</v>
      </c>
    </row>
    <row r="11" spans="1:10" x14ac:dyDescent="0.3">
      <c r="A11">
        <v>20141212</v>
      </c>
      <c r="B11" s="2" t="s">
        <v>4</v>
      </c>
      <c r="C11" s="8">
        <v>1305000</v>
      </c>
      <c r="D11" s="8">
        <v>1286000</v>
      </c>
      <c r="E11">
        <v>25720</v>
      </c>
      <c r="F11" s="8">
        <v>147299337</v>
      </c>
      <c r="G11" s="1">
        <v>189426947382000</v>
      </c>
      <c r="H11" s="1">
        <v>142070209572000</v>
      </c>
      <c r="I11">
        <f t="shared" si="0"/>
        <v>0</v>
      </c>
    </row>
    <row r="12" spans="1:10" x14ac:dyDescent="0.3">
      <c r="A12">
        <v>20141215</v>
      </c>
      <c r="B12" s="2" t="s">
        <v>4</v>
      </c>
      <c r="C12" s="8">
        <v>1286000</v>
      </c>
      <c r="D12" s="8">
        <v>1273000</v>
      </c>
      <c r="E12">
        <v>25460</v>
      </c>
      <c r="F12" s="8">
        <v>147299337</v>
      </c>
      <c r="G12" s="1">
        <v>187512056001000</v>
      </c>
      <c r="H12" s="1">
        <v>140634041046000</v>
      </c>
      <c r="I12">
        <f t="shared" si="0"/>
        <v>0</v>
      </c>
    </row>
    <row r="13" spans="1:10" x14ac:dyDescent="0.3">
      <c r="A13">
        <v>20141216</v>
      </c>
      <c r="B13" s="2" t="s">
        <v>4</v>
      </c>
      <c r="C13" s="8">
        <v>1273000</v>
      </c>
      <c r="D13" s="8">
        <v>1279000</v>
      </c>
      <c r="E13">
        <v>25580</v>
      </c>
      <c r="F13" s="8">
        <v>147299337</v>
      </c>
      <c r="G13" s="1">
        <v>188395852023000</v>
      </c>
      <c r="H13" s="1">
        <v>141296888058000</v>
      </c>
      <c r="I13">
        <f t="shared" si="0"/>
        <v>0</v>
      </c>
    </row>
    <row r="14" spans="1:10" x14ac:dyDescent="0.3">
      <c r="A14">
        <v>20141217</v>
      </c>
      <c r="B14" s="2" t="s">
        <v>4</v>
      </c>
      <c r="C14" s="8">
        <v>1279000</v>
      </c>
      <c r="D14" s="8">
        <v>1266000</v>
      </c>
      <c r="E14">
        <v>25320</v>
      </c>
      <c r="F14" s="8">
        <v>147299337</v>
      </c>
      <c r="G14" s="1">
        <v>186480960642000</v>
      </c>
      <c r="H14" s="1">
        <v>139860719532000</v>
      </c>
      <c r="I14">
        <f t="shared" si="0"/>
        <v>0</v>
      </c>
    </row>
    <row r="15" spans="1:10" x14ac:dyDescent="0.3">
      <c r="A15">
        <v>20141218</v>
      </c>
      <c r="B15" s="2" t="s">
        <v>4</v>
      </c>
      <c r="C15" s="8">
        <v>1266000</v>
      </c>
      <c r="D15" s="8">
        <v>1266000</v>
      </c>
      <c r="E15">
        <v>25320</v>
      </c>
      <c r="F15" s="8">
        <v>147299337</v>
      </c>
      <c r="G15" s="1">
        <v>186480960642000</v>
      </c>
      <c r="H15" s="1">
        <v>139860719532000</v>
      </c>
      <c r="I15">
        <f t="shared" si="0"/>
        <v>0</v>
      </c>
    </row>
    <row r="16" spans="1:10" x14ac:dyDescent="0.3">
      <c r="A16">
        <v>20141219</v>
      </c>
      <c r="B16" s="2" t="s">
        <v>4</v>
      </c>
      <c r="C16" s="8">
        <v>1266000</v>
      </c>
      <c r="D16" s="8">
        <v>1328000</v>
      </c>
      <c r="E16">
        <v>26560</v>
      </c>
      <c r="F16" s="8">
        <v>147299337</v>
      </c>
      <c r="G16" s="1">
        <v>195613519536000</v>
      </c>
      <c r="H16" s="1">
        <v>146710138656000</v>
      </c>
      <c r="I16">
        <f t="shared" si="0"/>
        <v>0</v>
      </c>
    </row>
    <row r="17" spans="1:9" x14ac:dyDescent="0.3">
      <c r="A17">
        <v>20141222</v>
      </c>
      <c r="B17" s="2" t="s">
        <v>4</v>
      </c>
      <c r="C17" s="8">
        <v>1328000</v>
      </c>
      <c r="D17" s="8">
        <v>1345000</v>
      </c>
      <c r="E17">
        <v>26900</v>
      </c>
      <c r="F17" s="8">
        <v>147299337</v>
      </c>
      <c r="G17" s="1">
        <v>198117608265000</v>
      </c>
      <c r="H17" s="1">
        <v>148588205190000</v>
      </c>
      <c r="I17">
        <f t="shared" si="0"/>
        <v>0</v>
      </c>
    </row>
    <row r="18" spans="1:9" x14ac:dyDescent="0.3">
      <c r="A18">
        <v>20141223</v>
      </c>
      <c r="B18" s="2" t="s">
        <v>4</v>
      </c>
      <c r="C18" s="8">
        <v>1345000</v>
      </c>
      <c r="D18" s="8">
        <v>1339000</v>
      </c>
      <c r="E18">
        <v>26780</v>
      </c>
      <c r="F18" s="8">
        <v>147299337</v>
      </c>
      <c r="G18" s="1">
        <v>197233812243000</v>
      </c>
      <c r="H18" s="1">
        <v>147925358178000</v>
      </c>
      <c r="I18">
        <f t="shared" si="0"/>
        <v>0</v>
      </c>
    </row>
    <row r="19" spans="1:9" x14ac:dyDescent="0.3">
      <c r="A19">
        <v>20141224</v>
      </c>
      <c r="B19" s="2" t="s">
        <v>4</v>
      </c>
      <c r="C19" s="8">
        <v>1339000</v>
      </c>
      <c r="D19" s="8">
        <v>1343000</v>
      </c>
      <c r="E19">
        <v>26860</v>
      </c>
      <c r="F19" s="8">
        <v>147299337</v>
      </c>
      <c r="G19" s="1">
        <v>197823009591000</v>
      </c>
      <c r="H19" s="1">
        <v>148367256186000</v>
      </c>
      <c r="I19">
        <f t="shared" si="0"/>
        <v>0</v>
      </c>
    </row>
    <row r="20" spans="1:9" x14ac:dyDescent="0.3">
      <c r="A20">
        <v>20141226</v>
      </c>
      <c r="B20" s="2" t="s">
        <v>4</v>
      </c>
      <c r="C20" s="8">
        <v>1343000</v>
      </c>
      <c r="D20" s="8">
        <v>1352000</v>
      </c>
      <c r="E20">
        <v>27040</v>
      </c>
      <c r="F20" s="8">
        <v>147299337</v>
      </c>
      <c r="G20" s="1">
        <v>199148703624000</v>
      </c>
      <c r="H20" s="1">
        <v>149361526704000</v>
      </c>
      <c r="I20">
        <f t="shared" si="0"/>
        <v>0</v>
      </c>
    </row>
    <row r="21" spans="1:9" x14ac:dyDescent="0.3">
      <c r="A21">
        <v>20141229</v>
      </c>
      <c r="B21" s="2" t="s">
        <v>4</v>
      </c>
      <c r="C21" s="8">
        <v>1352000</v>
      </c>
      <c r="D21" s="8">
        <v>1329000</v>
      </c>
      <c r="E21">
        <v>26580</v>
      </c>
      <c r="F21" s="8">
        <v>147299337</v>
      </c>
      <c r="G21" s="1">
        <v>195760818873000</v>
      </c>
      <c r="H21" s="1">
        <v>146820613158000</v>
      </c>
      <c r="I21">
        <f t="shared" si="0"/>
        <v>0</v>
      </c>
    </row>
    <row r="22" spans="1:9" x14ac:dyDescent="0.3">
      <c r="A22">
        <v>20141230</v>
      </c>
      <c r="B22" s="2" t="s">
        <v>4</v>
      </c>
      <c r="C22" s="8">
        <v>1329000</v>
      </c>
      <c r="D22" s="8">
        <v>1327000</v>
      </c>
      <c r="E22">
        <v>26540</v>
      </c>
      <c r="F22" s="8">
        <v>147299337</v>
      </c>
      <c r="G22" s="1">
        <v>195466220199000</v>
      </c>
      <c r="H22" s="1">
        <v>146599664154000</v>
      </c>
      <c r="I22">
        <f t="shared" si="0"/>
        <v>0</v>
      </c>
    </row>
    <row r="23" spans="1:9" x14ac:dyDescent="0.3">
      <c r="A23">
        <v>20150102</v>
      </c>
      <c r="B23" s="2" t="s">
        <v>4</v>
      </c>
      <c r="C23" s="8">
        <v>1327000</v>
      </c>
      <c r="D23" s="8">
        <v>1330000</v>
      </c>
      <c r="E23">
        <v>26600</v>
      </c>
      <c r="F23" s="8">
        <v>147299337</v>
      </c>
      <c r="G23" s="1">
        <v>195908118210000</v>
      </c>
      <c r="H23" s="1">
        <v>146931087660000</v>
      </c>
      <c r="I23">
        <f t="shared" si="0"/>
        <v>0</v>
      </c>
    </row>
    <row r="24" spans="1:9" x14ac:dyDescent="0.3">
      <c r="A24">
        <v>20150105</v>
      </c>
      <c r="B24" s="2" t="s">
        <v>4</v>
      </c>
      <c r="C24" s="8">
        <v>1330000</v>
      </c>
      <c r="D24" s="8">
        <v>1333000</v>
      </c>
      <c r="E24">
        <v>26660</v>
      </c>
      <c r="F24" s="8">
        <v>147299337</v>
      </c>
      <c r="G24" s="1">
        <v>196350016221000</v>
      </c>
      <c r="H24" s="1">
        <v>147262511166000</v>
      </c>
      <c r="I24">
        <f t="shared" si="0"/>
        <v>0</v>
      </c>
    </row>
    <row r="25" spans="1:9" x14ac:dyDescent="0.3">
      <c r="A25">
        <v>20150106</v>
      </c>
      <c r="B25" s="2" t="s">
        <v>4</v>
      </c>
      <c r="C25" s="8">
        <v>1333000</v>
      </c>
      <c r="D25" s="8">
        <v>1295000</v>
      </c>
      <c r="E25">
        <v>25900</v>
      </c>
      <c r="F25" s="8">
        <v>147299337</v>
      </c>
      <c r="G25" s="1">
        <v>190752641415000</v>
      </c>
      <c r="H25" s="1">
        <v>143064480090000</v>
      </c>
      <c r="I25">
        <f t="shared" si="0"/>
        <v>0</v>
      </c>
    </row>
    <row r="26" spans="1:9" x14ac:dyDescent="0.3">
      <c r="A26">
        <v>20150107</v>
      </c>
      <c r="B26" s="2" t="s">
        <v>4</v>
      </c>
      <c r="C26" s="8">
        <v>1295000</v>
      </c>
      <c r="D26" s="8">
        <v>1307000</v>
      </c>
      <c r="E26">
        <v>26140</v>
      </c>
      <c r="F26" s="8">
        <v>147299337</v>
      </c>
      <c r="G26" s="1">
        <v>192520233459000</v>
      </c>
      <c r="H26" s="1">
        <v>144390174114000</v>
      </c>
      <c r="I26">
        <f t="shared" si="0"/>
        <v>0</v>
      </c>
    </row>
    <row r="27" spans="1:9" x14ac:dyDescent="0.3">
      <c r="A27">
        <v>20150108</v>
      </c>
      <c r="B27" s="2" t="s">
        <v>4</v>
      </c>
      <c r="C27" s="8">
        <v>1307000</v>
      </c>
      <c r="D27" s="8">
        <v>1314000</v>
      </c>
      <c r="E27">
        <v>26280</v>
      </c>
      <c r="F27" s="8">
        <v>147299337</v>
      </c>
      <c r="G27" s="1">
        <v>193551328818000</v>
      </c>
      <c r="H27" s="1">
        <v>145163495628000</v>
      </c>
      <c r="I27">
        <f t="shared" si="0"/>
        <v>0</v>
      </c>
    </row>
    <row r="28" spans="1:9" x14ac:dyDescent="0.3">
      <c r="A28">
        <v>20150109</v>
      </c>
      <c r="B28" s="2" t="s">
        <v>4</v>
      </c>
      <c r="C28" s="8">
        <v>1314000</v>
      </c>
      <c r="D28" s="8">
        <v>1314000</v>
      </c>
      <c r="E28">
        <v>26280</v>
      </c>
      <c r="F28" s="8">
        <v>147299337</v>
      </c>
      <c r="G28" s="1">
        <v>193551328818000</v>
      </c>
      <c r="H28" s="1">
        <v>145163495628000</v>
      </c>
      <c r="I28">
        <f t="shared" si="0"/>
        <v>0</v>
      </c>
    </row>
    <row r="29" spans="1:9" x14ac:dyDescent="0.3">
      <c r="A29">
        <v>20150112</v>
      </c>
      <c r="B29" s="2" t="s">
        <v>4</v>
      </c>
      <c r="C29" s="8">
        <v>1314000</v>
      </c>
      <c r="D29" s="8">
        <v>1316000</v>
      </c>
      <c r="E29">
        <v>26320</v>
      </c>
      <c r="F29" s="8">
        <v>147299337</v>
      </c>
      <c r="G29" s="1">
        <v>193845927492000</v>
      </c>
      <c r="H29" s="1">
        <v>145384444632000</v>
      </c>
      <c r="I29">
        <f t="shared" si="0"/>
        <v>0</v>
      </c>
    </row>
    <row r="30" spans="1:9" x14ac:dyDescent="0.3">
      <c r="A30">
        <v>20150113</v>
      </c>
      <c r="B30" s="2" t="s">
        <v>4</v>
      </c>
      <c r="C30" s="8">
        <v>1316000</v>
      </c>
      <c r="D30" s="8">
        <v>1339000</v>
      </c>
      <c r="E30">
        <v>26780</v>
      </c>
      <c r="F30" s="8">
        <v>147299337</v>
      </c>
      <c r="G30" s="1">
        <v>197233812243000</v>
      </c>
      <c r="H30" s="1">
        <v>147925358178000</v>
      </c>
      <c r="I30">
        <f t="shared" si="0"/>
        <v>0</v>
      </c>
    </row>
    <row r="31" spans="1:9" x14ac:dyDescent="0.3">
      <c r="A31">
        <v>20150114</v>
      </c>
      <c r="B31" s="2" t="s">
        <v>4</v>
      </c>
      <c r="C31" s="8">
        <v>1339000</v>
      </c>
      <c r="D31" s="8">
        <v>1345000</v>
      </c>
      <c r="E31">
        <v>26900</v>
      </c>
      <c r="F31" s="8">
        <v>147299337</v>
      </c>
      <c r="G31" s="1">
        <v>198117608265000</v>
      </c>
      <c r="H31" s="1">
        <v>148588205190000</v>
      </c>
      <c r="I31">
        <f t="shared" si="0"/>
        <v>0</v>
      </c>
    </row>
    <row r="32" spans="1:9" x14ac:dyDescent="0.3">
      <c r="A32">
        <v>20150115</v>
      </c>
      <c r="B32" s="2" t="s">
        <v>4</v>
      </c>
      <c r="C32" s="8">
        <v>1345000</v>
      </c>
      <c r="D32" s="8">
        <v>1334000</v>
      </c>
      <c r="E32">
        <v>26680</v>
      </c>
      <c r="F32" s="8">
        <v>147299337</v>
      </c>
      <c r="G32" s="1">
        <v>196497315558000</v>
      </c>
      <c r="H32" s="1">
        <v>147372985668000</v>
      </c>
      <c r="I32">
        <f t="shared" si="0"/>
        <v>0</v>
      </c>
    </row>
    <row r="33" spans="1:9" x14ac:dyDescent="0.3">
      <c r="A33">
        <v>20150116</v>
      </c>
      <c r="B33" s="2" t="s">
        <v>4</v>
      </c>
      <c r="C33" s="8">
        <v>1334000</v>
      </c>
      <c r="D33" s="8">
        <v>1316000</v>
      </c>
      <c r="E33">
        <v>26320</v>
      </c>
      <c r="F33" s="8">
        <v>147299337</v>
      </c>
      <c r="G33" s="1">
        <v>193845927492000</v>
      </c>
      <c r="H33" s="1">
        <v>145384444632000</v>
      </c>
      <c r="I33">
        <f t="shared" si="0"/>
        <v>0</v>
      </c>
    </row>
    <row r="34" spans="1:9" x14ac:dyDescent="0.3">
      <c r="A34">
        <v>20150119</v>
      </c>
      <c r="B34" s="2" t="s">
        <v>4</v>
      </c>
      <c r="C34" s="8">
        <v>1316000</v>
      </c>
      <c r="D34" s="8">
        <v>1343000</v>
      </c>
      <c r="E34">
        <v>26860</v>
      </c>
      <c r="F34" s="8">
        <v>147299337</v>
      </c>
      <c r="G34" s="1">
        <v>197823009591000</v>
      </c>
      <c r="H34" s="1">
        <v>148367256186000</v>
      </c>
      <c r="I34">
        <f t="shared" si="0"/>
        <v>0</v>
      </c>
    </row>
    <row r="35" spans="1:9" x14ac:dyDescent="0.3">
      <c r="A35">
        <v>20150120</v>
      </c>
      <c r="B35" s="2" t="s">
        <v>4</v>
      </c>
      <c r="C35" s="8">
        <v>1343000</v>
      </c>
      <c r="D35" s="8">
        <v>1372000</v>
      </c>
      <c r="E35">
        <v>27440</v>
      </c>
      <c r="F35" s="8">
        <v>147299337</v>
      </c>
      <c r="G35" s="1">
        <v>202094690364000</v>
      </c>
      <c r="H35" s="1">
        <v>151571016744000</v>
      </c>
      <c r="I35">
        <f t="shared" si="0"/>
        <v>0</v>
      </c>
    </row>
    <row r="36" spans="1:9" x14ac:dyDescent="0.3">
      <c r="A36">
        <v>20150121</v>
      </c>
      <c r="B36" s="2" t="s">
        <v>4</v>
      </c>
      <c r="C36" s="8">
        <v>1372000</v>
      </c>
      <c r="D36" s="8">
        <v>1395000</v>
      </c>
      <c r="E36">
        <v>27900</v>
      </c>
      <c r="F36" s="8">
        <v>147299337</v>
      </c>
      <c r="G36" s="1">
        <v>205482575115000</v>
      </c>
      <c r="H36" s="1">
        <v>154111930290000</v>
      </c>
      <c r="I36">
        <f t="shared" si="0"/>
        <v>0</v>
      </c>
    </row>
    <row r="37" spans="1:9" x14ac:dyDescent="0.3">
      <c r="A37">
        <v>20150122</v>
      </c>
      <c r="B37" s="2" t="s">
        <v>4</v>
      </c>
      <c r="C37" s="8">
        <v>1395000</v>
      </c>
      <c r="D37" s="8">
        <v>1378000</v>
      </c>
      <c r="E37">
        <v>27560</v>
      </c>
      <c r="F37" s="8">
        <v>147299337</v>
      </c>
      <c r="G37" s="1">
        <v>202978486386000</v>
      </c>
      <c r="H37" s="1">
        <v>152233863756000</v>
      </c>
      <c r="I37">
        <f t="shared" si="0"/>
        <v>0</v>
      </c>
    </row>
    <row r="38" spans="1:9" x14ac:dyDescent="0.3">
      <c r="A38">
        <v>20150123</v>
      </c>
      <c r="B38" s="2" t="s">
        <v>4</v>
      </c>
      <c r="C38" s="8">
        <v>1378000</v>
      </c>
      <c r="D38" s="8">
        <v>1386000</v>
      </c>
      <c r="E38">
        <v>27720</v>
      </c>
      <c r="F38" s="8">
        <v>147299337</v>
      </c>
      <c r="G38" s="1">
        <v>204156881082000</v>
      </c>
      <c r="H38" s="1">
        <v>153117659772000</v>
      </c>
      <c r="I38">
        <f t="shared" si="0"/>
        <v>0</v>
      </c>
    </row>
    <row r="39" spans="1:9" x14ac:dyDescent="0.3">
      <c r="A39">
        <v>20150126</v>
      </c>
      <c r="B39" s="2" t="s">
        <v>4</v>
      </c>
      <c r="C39" s="8">
        <v>1386000</v>
      </c>
      <c r="D39" s="8">
        <v>1389000</v>
      </c>
      <c r="E39">
        <v>27780</v>
      </c>
      <c r="F39" s="8">
        <v>147299337</v>
      </c>
      <c r="G39" s="1">
        <v>204598779093000</v>
      </c>
      <c r="H39" s="1">
        <v>153449083278000</v>
      </c>
      <c r="I39">
        <f t="shared" si="0"/>
        <v>0</v>
      </c>
    </row>
    <row r="40" spans="1:9" x14ac:dyDescent="0.3">
      <c r="A40">
        <v>20150127</v>
      </c>
      <c r="B40" s="2" t="s">
        <v>4</v>
      </c>
      <c r="C40" s="8">
        <v>1389000</v>
      </c>
      <c r="D40" s="8">
        <v>1400000</v>
      </c>
      <c r="E40">
        <v>28000</v>
      </c>
      <c r="F40" s="8">
        <v>147299337</v>
      </c>
      <c r="G40" s="1">
        <v>206219071800000</v>
      </c>
      <c r="H40" s="1">
        <v>154664302800000</v>
      </c>
      <c r="I40">
        <f t="shared" si="0"/>
        <v>0</v>
      </c>
    </row>
    <row r="41" spans="1:9" x14ac:dyDescent="0.3">
      <c r="A41">
        <v>20150128</v>
      </c>
      <c r="B41" s="2" t="s">
        <v>4</v>
      </c>
      <c r="C41" s="8">
        <v>1400000</v>
      </c>
      <c r="D41" s="8">
        <v>1378000</v>
      </c>
      <c r="E41">
        <v>27560</v>
      </c>
      <c r="F41" s="8">
        <v>147299337</v>
      </c>
      <c r="G41" s="1">
        <v>202978486386000</v>
      </c>
      <c r="H41" s="1">
        <v>152233863756000</v>
      </c>
      <c r="I41">
        <f t="shared" si="0"/>
        <v>0</v>
      </c>
    </row>
    <row r="42" spans="1:9" x14ac:dyDescent="0.3">
      <c r="A42">
        <v>20150129</v>
      </c>
      <c r="B42" s="2" t="s">
        <v>4</v>
      </c>
      <c r="C42" s="8">
        <v>1378000</v>
      </c>
      <c r="D42" s="8">
        <v>1360000</v>
      </c>
      <c r="E42">
        <v>27200</v>
      </c>
      <c r="F42" s="8">
        <v>147299337</v>
      </c>
      <c r="G42" s="1">
        <v>200327098320000</v>
      </c>
      <c r="H42" s="1">
        <v>150245322720000</v>
      </c>
      <c r="I42">
        <f t="shared" si="0"/>
        <v>0</v>
      </c>
    </row>
    <row r="43" spans="1:9" x14ac:dyDescent="0.3">
      <c r="A43">
        <v>20150130</v>
      </c>
      <c r="B43" s="2" t="s">
        <v>4</v>
      </c>
      <c r="C43" s="8">
        <v>1360000</v>
      </c>
      <c r="D43" s="8">
        <v>1365000</v>
      </c>
      <c r="E43">
        <v>27300</v>
      </c>
      <c r="F43" s="8">
        <v>147299337</v>
      </c>
      <c r="G43" s="1">
        <v>201063595005000</v>
      </c>
      <c r="H43" s="1">
        <v>150797695230000</v>
      </c>
      <c r="I43">
        <f t="shared" si="0"/>
        <v>0</v>
      </c>
    </row>
    <row r="44" spans="1:9" x14ac:dyDescent="0.3">
      <c r="A44">
        <v>20150202</v>
      </c>
      <c r="B44" s="2" t="s">
        <v>4</v>
      </c>
      <c r="C44" s="8">
        <v>1365000</v>
      </c>
      <c r="D44" s="8">
        <v>1368000</v>
      </c>
      <c r="E44">
        <v>27360</v>
      </c>
      <c r="F44" s="8">
        <v>147299337</v>
      </c>
      <c r="G44" s="1">
        <v>201505493016000</v>
      </c>
      <c r="H44" s="1">
        <v>151129118736000</v>
      </c>
      <c r="I44">
        <f t="shared" si="0"/>
        <v>0</v>
      </c>
    </row>
    <row r="45" spans="1:9" x14ac:dyDescent="0.3">
      <c r="A45">
        <v>20150203</v>
      </c>
      <c r="B45" s="2" t="s">
        <v>4</v>
      </c>
      <c r="C45" s="8">
        <v>1368000</v>
      </c>
      <c r="D45" s="8">
        <v>1366000</v>
      </c>
      <c r="E45">
        <v>27320</v>
      </c>
      <c r="F45" s="8">
        <v>147299337</v>
      </c>
      <c r="G45" s="1">
        <v>201210894342000</v>
      </c>
      <c r="H45" s="1">
        <v>150908169732000</v>
      </c>
      <c r="I45">
        <f t="shared" si="0"/>
        <v>0</v>
      </c>
    </row>
    <row r="46" spans="1:9" x14ac:dyDescent="0.3">
      <c r="A46">
        <v>20150204</v>
      </c>
      <c r="B46" s="2" t="s">
        <v>4</v>
      </c>
      <c r="C46" s="8">
        <v>1366000</v>
      </c>
      <c r="D46" s="8">
        <v>1359000</v>
      </c>
      <c r="E46">
        <v>27180</v>
      </c>
      <c r="F46" s="8">
        <v>147299337</v>
      </c>
      <c r="G46" s="1">
        <v>200179798983000</v>
      </c>
      <c r="H46" s="1">
        <v>150134848218000</v>
      </c>
      <c r="I46">
        <f t="shared" si="0"/>
        <v>0</v>
      </c>
    </row>
    <row r="47" spans="1:9" x14ac:dyDescent="0.3">
      <c r="A47">
        <v>20150205</v>
      </c>
      <c r="B47" s="2" t="s">
        <v>4</v>
      </c>
      <c r="C47" s="8">
        <v>1359000</v>
      </c>
      <c r="D47" s="8">
        <v>1358000</v>
      </c>
      <c r="E47">
        <v>27160</v>
      </c>
      <c r="F47" s="8">
        <v>147299337</v>
      </c>
      <c r="G47" s="1">
        <v>200032499646000</v>
      </c>
      <c r="H47" s="1">
        <v>150024373716000</v>
      </c>
      <c r="I47">
        <f t="shared" si="0"/>
        <v>0</v>
      </c>
    </row>
    <row r="48" spans="1:9" x14ac:dyDescent="0.3">
      <c r="A48">
        <v>20150206</v>
      </c>
      <c r="B48" s="2" t="s">
        <v>4</v>
      </c>
      <c r="C48" s="8">
        <v>1358000</v>
      </c>
      <c r="D48" s="8">
        <v>1372000</v>
      </c>
      <c r="E48">
        <v>27440</v>
      </c>
      <c r="F48" s="8">
        <v>147299337</v>
      </c>
      <c r="G48" s="1">
        <v>202094690364000</v>
      </c>
      <c r="H48" s="1">
        <v>151571016744000</v>
      </c>
      <c r="I48">
        <f t="shared" si="0"/>
        <v>0</v>
      </c>
    </row>
    <row r="49" spans="1:9" x14ac:dyDescent="0.3">
      <c r="A49">
        <v>20150209</v>
      </c>
      <c r="B49" s="2" t="s">
        <v>4</v>
      </c>
      <c r="C49" s="8">
        <v>1372000</v>
      </c>
      <c r="D49" s="8">
        <v>1395000</v>
      </c>
      <c r="E49">
        <v>27900</v>
      </c>
      <c r="F49" s="8">
        <v>147299337</v>
      </c>
      <c r="G49" s="1">
        <v>205482575115000</v>
      </c>
      <c r="H49" s="1">
        <v>154111930290000</v>
      </c>
      <c r="I49">
        <f t="shared" si="0"/>
        <v>0</v>
      </c>
    </row>
    <row r="50" spans="1:9" x14ac:dyDescent="0.3">
      <c r="A50">
        <v>20150210</v>
      </c>
      <c r="B50" s="2" t="s">
        <v>4</v>
      </c>
      <c r="C50" s="8">
        <v>1395000</v>
      </c>
      <c r="D50" s="8">
        <v>1378000</v>
      </c>
      <c r="E50">
        <v>27560</v>
      </c>
      <c r="F50" s="8">
        <v>147299337</v>
      </c>
      <c r="G50" s="1">
        <v>202978486386000</v>
      </c>
      <c r="H50" s="1">
        <v>152233863756000</v>
      </c>
      <c r="I50">
        <f t="shared" si="0"/>
        <v>0</v>
      </c>
    </row>
    <row r="51" spans="1:9" x14ac:dyDescent="0.3">
      <c r="A51">
        <v>20150211</v>
      </c>
      <c r="B51" s="2" t="s">
        <v>4</v>
      </c>
      <c r="C51" s="8">
        <v>1378000</v>
      </c>
      <c r="D51" s="8">
        <v>1355000</v>
      </c>
      <c r="E51">
        <v>27100</v>
      </c>
      <c r="F51" s="8">
        <v>147299337</v>
      </c>
      <c r="G51" s="1">
        <v>199590601635000</v>
      </c>
      <c r="H51" s="1">
        <v>149692950210000</v>
      </c>
      <c r="I51">
        <f t="shared" si="0"/>
        <v>0</v>
      </c>
    </row>
    <row r="52" spans="1:9" x14ac:dyDescent="0.3">
      <c r="A52">
        <v>20150212</v>
      </c>
      <c r="B52" s="2" t="s">
        <v>4</v>
      </c>
      <c r="C52" s="8">
        <v>1355000</v>
      </c>
      <c r="D52" s="8">
        <v>1344000</v>
      </c>
      <c r="E52">
        <v>26880</v>
      </c>
      <c r="F52" s="8">
        <v>147299337</v>
      </c>
      <c r="G52" s="1">
        <v>197970308928000</v>
      </c>
      <c r="H52" s="1">
        <v>148477730688000</v>
      </c>
      <c r="I52">
        <f t="shared" si="0"/>
        <v>0</v>
      </c>
    </row>
    <row r="53" spans="1:9" x14ac:dyDescent="0.3">
      <c r="A53">
        <v>20150213</v>
      </c>
      <c r="B53" s="2" t="s">
        <v>4</v>
      </c>
      <c r="C53" s="8">
        <v>1344000</v>
      </c>
      <c r="D53" s="8">
        <v>1361000</v>
      </c>
      <c r="E53">
        <v>27220</v>
      </c>
      <c r="F53" s="8">
        <v>147299337</v>
      </c>
      <c r="G53" s="1">
        <v>200474397657000</v>
      </c>
      <c r="H53" s="1">
        <v>150355797222000</v>
      </c>
      <c r="I53">
        <f t="shared" si="0"/>
        <v>0</v>
      </c>
    </row>
    <row r="54" spans="1:9" x14ac:dyDescent="0.3">
      <c r="A54">
        <v>20150216</v>
      </c>
      <c r="B54" s="2" t="s">
        <v>4</v>
      </c>
      <c r="C54" s="8">
        <v>1361000</v>
      </c>
      <c r="D54" s="8">
        <v>1374000</v>
      </c>
      <c r="E54">
        <v>27480</v>
      </c>
      <c r="F54" s="8">
        <v>147299337</v>
      </c>
      <c r="G54" s="1">
        <v>202389289038000</v>
      </c>
      <c r="H54" s="1">
        <v>151791965748000</v>
      </c>
      <c r="I54">
        <f t="shared" si="0"/>
        <v>0</v>
      </c>
    </row>
    <row r="55" spans="1:9" x14ac:dyDescent="0.3">
      <c r="A55">
        <v>20150217</v>
      </c>
      <c r="B55" s="2" t="s">
        <v>4</v>
      </c>
      <c r="C55" s="8">
        <v>1374000</v>
      </c>
      <c r="D55" s="8">
        <v>1377000</v>
      </c>
      <c r="E55">
        <v>27540</v>
      </c>
      <c r="F55" s="8">
        <v>147299337</v>
      </c>
      <c r="G55" s="1">
        <v>202831187049000</v>
      </c>
      <c r="H55" s="1">
        <v>152123389254000</v>
      </c>
      <c r="I55">
        <f t="shared" si="0"/>
        <v>0</v>
      </c>
    </row>
    <row r="56" spans="1:9" x14ac:dyDescent="0.3">
      <c r="A56">
        <v>20150223</v>
      </c>
      <c r="B56" s="2" t="s">
        <v>4</v>
      </c>
      <c r="C56" s="8">
        <v>1377000</v>
      </c>
      <c r="D56" s="8">
        <v>1367000</v>
      </c>
      <c r="E56">
        <v>27340</v>
      </c>
      <c r="F56" s="8">
        <v>147299337</v>
      </c>
      <c r="G56" s="1">
        <v>201358193679000</v>
      </c>
      <c r="H56" s="1">
        <v>151018644234000</v>
      </c>
      <c r="I56">
        <f t="shared" si="0"/>
        <v>0</v>
      </c>
    </row>
    <row r="57" spans="1:9" x14ac:dyDescent="0.3">
      <c r="A57">
        <v>20150224</v>
      </c>
      <c r="B57" s="2" t="s">
        <v>4</v>
      </c>
      <c r="C57" s="8">
        <v>1367000</v>
      </c>
      <c r="D57" s="8">
        <v>1367000</v>
      </c>
      <c r="E57">
        <v>27340</v>
      </c>
      <c r="F57" s="8">
        <v>147299337</v>
      </c>
      <c r="G57" s="1">
        <v>201358193679000</v>
      </c>
      <c r="H57" s="1">
        <v>151018644234000</v>
      </c>
      <c r="I57">
        <f t="shared" si="0"/>
        <v>0</v>
      </c>
    </row>
    <row r="58" spans="1:9" x14ac:dyDescent="0.3">
      <c r="A58">
        <v>20150225</v>
      </c>
      <c r="B58" s="2" t="s">
        <v>4</v>
      </c>
      <c r="C58" s="8">
        <v>1367000</v>
      </c>
      <c r="D58" s="8">
        <v>1379000</v>
      </c>
      <c r="E58">
        <v>27580</v>
      </c>
      <c r="F58" s="8">
        <v>147299337</v>
      </c>
      <c r="G58" s="1">
        <v>203125785723000</v>
      </c>
      <c r="H58" s="1">
        <v>152344338258000</v>
      </c>
      <c r="I58">
        <f t="shared" si="0"/>
        <v>0</v>
      </c>
    </row>
    <row r="59" spans="1:9" x14ac:dyDescent="0.3">
      <c r="A59">
        <v>20150226</v>
      </c>
      <c r="B59" s="2" t="s">
        <v>4</v>
      </c>
      <c r="C59" s="8">
        <v>1379000</v>
      </c>
      <c r="D59" s="8">
        <v>1375000</v>
      </c>
      <c r="E59">
        <v>27500</v>
      </c>
      <c r="F59" s="8">
        <v>147299337</v>
      </c>
      <c r="G59" s="1">
        <v>202536588375000</v>
      </c>
      <c r="H59" s="1">
        <v>151902440250000</v>
      </c>
      <c r="I59">
        <f t="shared" si="0"/>
        <v>0</v>
      </c>
    </row>
    <row r="60" spans="1:9" x14ac:dyDescent="0.3">
      <c r="A60">
        <v>20150227</v>
      </c>
      <c r="B60" s="2" t="s">
        <v>4</v>
      </c>
      <c r="C60" s="8">
        <v>1375000</v>
      </c>
      <c r="D60" s="8">
        <v>1357000</v>
      </c>
      <c r="E60">
        <v>27140</v>
      </c>
      <c r="F60" s="8">
        <v>147299337</v>
      </c>
      <c r="G60" s="1">
        <v>199885200309000</v>
      </c>
      <c r="H60" s="1">
        <v>149913899214000</v>
      </c>
      <c r="I60">
        <f t="shared" si="0"/>
        <v>0</v>
      </c>
    </row>
    <row r="61" spans="1:9" x14ac:dyDescent="0.3">
      <c r="A61">
        <v>20150302</v>
      </c>
      <c r="B61" s="2" t="s">
        <v>4</v>
      </c>
      <c r="C61" s="8">
        <v>1357000</v>
      </c>
      <c r="D61" s="8">
        <v>1423000</v>
      </c>
      <c r="E61">
        <v>28460</v>
      </c>
      <c r="F61" s="8">
        <v>147299337</v>
      </c>
      <c r="G61" s="1">
        <v>209606956551000</v>
      </c>
      <c r="H61" s="1">
        <v>157205216346000</v>
      </c>
      <c r="I61">
        <f t="shared" si="0"/>
        <v>0</v>
      </c>
    </row>
    <row r="62" spans="1:9" x14ac:dyDescent="0.3">
      <c r="A62">
        <v>20150303</v>
      </c>
      <c r="B62" s="2" t="s">
        <v>4</v>
      </c>
      <c r="C62" s="8">
        <v>1423000</v>
      </c>
      <c r="D62" s="8">
        <v>1418000</v>
      </c>
      <c r="E62">
        <v>28360</v>
      </c>
      <c r="F62" s="8">
        <v>147299337</v>
      </c>
      <c r="G62" s="1">
        <v>208870459866000</v>
      </c>
      <c r="H62" s="1">
        <v>156652843836000</v>
      </c>
      <c r="I62">
        <f t="shared" si="0"/>
        <v>0</v>
      </c>
    </row>
    <row r="63" spans="1:9" x14ac:dyDescent="0.3">
      <c r="A63">
        <v>20150304</v>
      </c>
      <c r="B63" s="2" t="s">
        <v>4</v>
      </c>
      <c r="C63" s="8">
        <v>1418000</v>
      </c>
      <c r="D63" s="8">
        <v>1437000</v>
      </c>
      <c r="E63">
        <v>28740</v>
      </c>
      <c r="F63" s="8">
        <v>147299337</v>
      </c>
      <c r="G63" s="1">
        <v>211669147269000</v>
      </c>
      <c r="H63" s="1">
        <v>158751859374000</v>
      </c>
      <c r="I63">
        <f t="shared" si="0"/>
        <v>0</v>
      </c>
    </row>
    <row r="64" spans="1:9" x14ac:dyDescent="0.3">
      <c r="A64">
        <v>20150305</v>
      </c>
      <c r="B64" s="2" t="s">
        <v>4</v>
      </c>
      <c r="C64" s="8">
        <v>1437000</v>
      </c>
      <c r="D64" s="8">
        <v>1422000</v>
      </c>
      <c r="E64">
        <v>28440</v>
      </c>
      <c r="F64" s="8">
        <v>147299337</v>
      </c>
      <c r="G64" s="1">
        <v>209459657214000</v>
      </c>
      <c r="H64" s="1">
        <v>157094741844000</v>
      </c>
      <c r="I64">
        <f t="shared" si="0"/>
        <v>0</v>
      </c>
    </row>
    <row r="65" spans="1:9" x14ac:dyDescent="0.3">
      <c r="A65">
        <v>20150306</v>
      </c>
      <c r="B65" s="2" t="s">
        <v>4</v>
      </c>
      <c r="C65" s="8">
        <v>1422000</v>
      </c>
      <c r="D65" s="8">
        <v>1442000</v>
      </c>
      <c r="E65">
        <v>28840</v>
      </c>
      <c r="F65" s="8">
        <v>147299337</v>
      </c>
      <c r="G65" s="1">
        <v>212405643954000</v>
      </c>
      <c r="H65" s="1">
        <v>159304231884000</v>
      </c>
      <c r="I65">
        <f t="shared" si="0"/>
        <v>0</v>
      </c>
    </row>
    <row r="66" spans="1:9" x14ac:dyDescent="0.3">
      <c r="A66">
        <v>20150309</v>
      </c>
      <c r="B66" s="2" t="s">
        <v>4</v>
      </c>
      <c r="C66" s="8">
        <v>1442000</v>
      </c>
      <c r="D66" s="8">
        <v>1420000</v>
      </c>
      <c r="E66">
        <v>28400</v>
      </c>
      <c r="F66" s="8">
        <v>147299337</v>
      </c>
      <c r="G66" s="1">
        <v>209165058540000</v>
      </c>
      <c r="H66" s="1">
        <v>156873792840000</v>
      </c>
      <c r="I66">
        <f t="shared" si="0"/>
        <v>0</v>
      </c>
    </row>
    <row r="67" spans="1:9" x14ac:dyDescent="0.3">
      <c r="A67">
        <v>20150310</v>
      </c>
      <c r="B67" s="2" t="s">
        <v>4</v>
      </c>
      <c r="C67" s="8">
        <v>1420000</v>
      </c>
      <c r="D67" s="8">
        <v>1421000</v>
      </c>
      <c r="E67">
        <v>28420</v>
      </c>
      <c r="F67" s="8">
        <v>147299337</v>
      </c>
      <c r="G67" s="1">
        <v>209312357877000</v>
      </c>
      <c r="H67" s="1">
        <v>156984267342000</v>
      </c>
      <c r="I67">
        <f t="shared" si="0"/>
        <v>0</v>
      </c>
    </row>
    <row r="68" spans="1:9" x14ac:dyDescent="0.3">
      <c r="A68">
        <v>20150311</v>
      </c>
      <c r="B68" s="2" t="s">
        <v>4</v>
      </c>
      <c r="C68" s="8">
        <v>1421000</v>
      </c>
      <c r="D68" s="8">
        <v>1474000</v>
      </c>
      <c r="E68">
        <v>29480</v>
      </c>
      <c r="F68" s="8">
        <v>147299337</v>
      </c>
      <c r="G68" s="1">
        <v>217119222738000</v>
      </c>
      <c r="H68" s="1">
        <v>162839415948000</v>
      </c>
      <c r="I68">
        <f t="shared" ref="I68:I131" si="1">IF(C68*F68=D67*F67,0,1)</f>
        <v>0</v>
      </c>
    </row>
    <row r="69" spans="1:9" x14ac:dyDescent="0.3">
      <c r="A69">
        <v>20150312</v>
      </c>
      <c r="B69" s="2" t="s">
        <v>4</v>
      </c>
      <c r="C69" s="8">
        <v>1474000</v>
      </c>
      <c r="D69" s="8">
        <v>1447000</v>
      </c>
      <c r="E69">
        <v>28940</v>
      </c>
      <c r="F69" s="8">
        <v>147299337</v>
      </c>
      <c r="G69" s="1">
        <v>213142140639000</v>
      </c>
      <c r="H69" s="1">
        <v>159856604394000</v>
      </c>
      <c r="I69">
        <f t="shared" si="1"/>
        <v>0</v>
      </c>
    </row>
    <row r="70" spans="1:9" x14ac:dyDescent="0.3">
      <c r="A70">
        <v>20150313</v>
      </c>
      <c r="B70" s="2" t="s">
        <v>4</v>
      </c>
      <c r="C70" s="8">
        <v>1447000</v>
      </c>
      <c r="D70" s="8">
        <v>1457000</v>
      </c>
      <c r="E70">
        <v>29140</v>
      </c>
      <c r="F70" s="8">
        <v>147299337</v>
      </c>
      <c r="G70" s="1">
        <v>214615134009000</v>
      </c>
      <c r="H70" s="1">
        <v>160961349414000</v>
      </c>
      <c r="I70">
        <f t="shared" si="1"/>
        <v>0</v>
      </c>
    </row>
    <row r="71" spans="1:9" x14ac:dyDescent="0.3">
      <c r="A71">
        <v>20150316</v>
      </c>
      <c r="B71" s="2" t="s">
        <v>4</v>
      </c>
      <c r="C71" s="8">
        <v>1457000</v>
      </c>
      <c r="D71" s="8">
        <v>1470000</v>
      </c>
      <c r="E71">
        <v>29400</v>
      </c>
      <c r="F71" s="8">
        <v>147299337</v>
      </c>
      <c r="G71" s="1">
        <v>216530025390000</v>
      </c>
      <c r="H71" s="1">
        <v>162397517940000</v>
      </c>
      <c r="I71">
        <f t="shared" si="1"/>
        <v>0</v>
      </c>
    </row>
    <row r="72" spans="1:9" x14ac:dyDescent="0.3">
      <c r="A72">
        <v>20150317</v>
      </c>
      <c r="B72" s="2" t="s">
        <v>4</v>
      </c>
      <c r="C72" s="8">
        <v>1470000</v>
      </c>
      <c r="D72" s="8">
        <v>1497000</v>
      </c>
      <c r="E72">
        <v>29940</v>
      </c>
      <c r="F72" s="8">
        <v>147299337</v>
      </c>
      <c r="G72" s="1">
        <v>220507107489000</v>
      </c>
      <c r="H72" s="1">
        <v>165380329494000</v>
      </c>
      <c r="I72">
        <f t="shared" si="1"/>
        <v>0</v>
      </c>
    </row>
    <row r="73" spans="1:9" x14ac:dyDescent="0.3">
      <c r="A73">
        <v>20150318</v>
      </c>
      <c r="B73" s="2" t="s">
        <v>4</v>
      </c>
      <c r="C73" s="8">
        <v>1497000</v>
      </c>
      <c r="D73" s="8">
        <v>1503000</v>
      </c>
      <c r="E73">
        <v>30060</v>
      </c>
      <c r="F73" s="8">
        <v>147299337</v>
      </c>
      <c r="G73" s="1">
        <v>221390903511000</v>
      </c>
      <c r="H73" s="1">
        <v>166043176506000</v>
      </c>
      <c r="I73">
        <f t="shared" si="1"/>
        <v>0</v>
      </c>
    </row>
    <row r="74" spans="1:9" x14ac:dyDescent="0.3">
      <c r="A74">
        <v>20150319</v>
      </c>
      <c r="B74" s="2" t="s">
        <v>4</v>
      </c>
      <c r="C74" s="8">
        <v>1503000</v>
      </c>
      <c r="D74" s="8">
        <v>1470000</v>
      </c>
      <c r="E74">
        <v>29400</v>
      </c>
      <c r="F74" s="8">
        <v>147299337</v>
      </c>
      <c r="G74" s="1">
        <v>216530025390000</v>
      </c>
      <c r="H74" s="1">
        <v>162397517940000</v>
      </c>
      <c r="I74">
        <f t="shared" si="1"/>
        <v>0</v>
      </c>
    </row>
    <row r="75" spans="1:9" x14ac:dyDescent="0.3">
      <c r="A75">
        <v>20150320</v>
      </c>
      <c r="B75" s="2" t="s">
        <v>4</v>
      </c>
      <c r="C75" s="8">
        <v>1470000</v>
      </c>
      <c r="D75" s="8">
        <v>1464000</v>
      </c>
      <c r="E75">
        <v>29280</v>
      </c>
      <c r="F75" s="8">
        <v>147299337</v>
      </c>
      <c r="G75" s="1">
        <v>215646229368000</v>
      </c>
      <c r="H75" s="1">
        <v>161734670928000</v>
      </c>
      <c r="I75">
        <f t="shared" si="1"/>
        <v>0</v>
      </c>
    </row>
    <row r="76" spans="1:9" x14ac:dyDescent="0.3">
      <c r="A76">
        <v>20150323</v>
      </c>
      <c r="B76" s="2" t="s">
        <v>4</v>
      </c>
      <c r="C76" s="8">
        <v>1464000</v>
      </c>
      <c r="D76" s="8">
        <v>1467000</v>
      </c>
      <c r="E76">
        <v>29340</v>
      </c>
      <c r="F76" s="8">
        <v>147299337</v>
      </c>
      <c r="G76" s="1">
        <v>216088127379000</v>
      </c>
      <c r="H76" s="1">
        <v>162066094434000</v>
      </c>
      <c r="I76">
        <f t="shared" si="1"/>
        <v>0</v>
      </c>
    </row>
    <row r="77" spans="1:9" x14ac:dyDescent="0.3">
      <c r="A77">
        <v>20150324</v>
      </c>
      <c r="B77" s="2" t="s">
        <v>4</v>
      </c>
      <c r="C77" s="8">
        <v>1467000</v>
      </c>
      <c r="D77" s="8">
        <v>1476000</v>
      </c>
      <c r="E77">
        <v>29520</v>
      </c>
      <c r="F77" s="8">
        <v>147299337</v>
      </c>
      <c r="G77" s="1">
        <v>217413821412000</v>
      </c>
      <c r="H77" s="1">
        <v>163060364952000</v>
      </c>
      <c r="I77">
        <f t="shared" si="1"/>
        <v>0</v>
      </c>
    </row>
    <row r="78" spans="1:9" x14ac:dyDescent="0.3">
      <c r="A78">
        <v>20150325</v>
      </c>
      <c r="B78" s="2" t="s">
        <v>4</v>
      </c>
      <c r="C78" s="8">
        <v>1476000</v>
      </c>
      <c r="D78" s="8">
        <v>1485000</v>
      </c>
      <c r="E78">
        <v>29700</v>
      </c>
      <c r="F78" s="8">
        <v>147299337</v>
      </c>
      <c r="G78" s="1">
        <v>218739515445000</v>
      </c>
      <c r="H78" s="1">
        <v>164054635470000</v>
      </c>
      <c r="I78">
        <f t="shared" si="1"/>
        <v>0</v>
      </c>
    </row>
    <row r="79" spans="1:9" x14ac:dyDescent="0.3">
      <c r="A79">
        <v>20150326</v>
      </c>
      <c r="B79" s="2" t="s">
        <v>4</v>
      </c>
      <c r="C79" s="8">
        <v>1485000</v>
      </c>
      <c r="D79" s="8">
        <v>1421000</v>
      </c>
      <c r="E79">
        <v>28420</v>
      </c>
      <c r="F79" s="8">
        <v>147299337</v>
      </c>
      <c r="G79" s="1">
        <v>209312357877000</v>
      </c>
      <c r="H79" s="1">
        <v>156984267342000</v>
      </c>
      <c r="I79">
        <f t="shared" si="1"/>
        <v>0</v>
      </c>
    </row>
    <row r="80" spans="1:9" x14ac:dyDescent="0.3">
      <c r="A80">
        <v>20150327</v>
      </c>
      <c r="B80" s="2" t="s">
        <v>4</v>
      </c>
      <c r="C80" s="8">
        <v>1421000</v>
      </c>
      <c r="D80" s="8">
        <v>1421000</v>
      </c>
      <c r="E80">
        <v>28420</v>
      </c>
      <c r="F80" s="8">
        <v>147299337</v>
      </c>
      <c r="G80" s="1">
        <v>209312357877000</v>
      </c>
      <c r="H80" s="1">
        <v>156984267342000</v>
      </c>
      <c r="I80">
        <f t="shared" si="1"/>
        <v>0</v>
      </c>
    </row>
    <row r="81" spans="1:9" x14ac:dyDescent="0.3">
      <c r="A81">
        <v>20150330</v>
      </c>
      <c r="B81" s="2" t="s">
        <v>4</v>
      </c>
      <c r="C81" s="8">
        <v>1421000</v>
      </c>
      <c r="D81" s="8">
        <v>1428000</v>
      </c>
      <c r="E81">
        <v>28560</v>
      </c>
      <c r="F81" s="8">
        <v>147299337</v>
      </c>
      <c r="G81" s="1">
        <v>210343453236000</v>
      </c>
      <c r="H81" s="1">
        <v>157757588856000</v>
      </c>
      <c r="I81">
        <f t="shared" si="1"/>
        <v>0</v>
      </c>
    </row>
    <row r="82" spans="1:9" x14ac:dyDescent="0.3">
      <c r="A82">
        <v>20150331</v>
      </c>
      <c r="B82" s="2" t="s">
        <v>4</v>
      </c>
      <c r="C82" s="8">
        <v>1428000</v>
      </c>
      <c r="D82" s="8">
        <v>1441000</v>
      </c>
      <c r="E82">
        <v>28820</v>
      </c>
      <c r="F82" s="8">
        <v>147299337</v>
      </c>
      <c r="G82" s="1">
        <v>212258344617000</v>
      </c>
      <c r="H82" s="1">
        <v>159193757382000</v>
      </c>
      <c r="I82">
        <f t="shared" si="1"/>
        <v>0</v>
      </c>
    </row>
    <row r="83" spans="1:9" x14ac:dyDescent="0.3">
      <c r="A83">
        <v>20150401</v>
      </c>
      <c r="B83" s="2" t="s">
        <v>4</v>
      </c>
      <c r="C83" s="8">
        <v>1441000</v>
      </c>
      <c r="D83" s="8">
        <v>1423000</v>
      </c>
      <c r="E83">
        <v>28460</v>
      </c>
      <c r="F83" s="8">
        <v>147299337</v>
      </c>
      <c r="G83" s="1">
        <v>209606956551000</v>
      </c>
      <c r="H83" s="1">
        <v>157205216346000</v>
      </c>
      <c r="I83">
        <f t="shared" si="1"/>
        <v>0</v>
      </c>
    </row>
    <row r="84" spans="1:9" x14ac:dyDescent="0.3">
      <c r="A84">
        <v>20150402</v>
      </c>
      <c r="B84" s="2" t="s">
        <v>4</v>
      </c>
      <c r="C84" s="8">
        <v>1423000</v>
      </c>
      <c r="D84" s="8">
        <v>1434000</v>
      </c>
      <c r="E84">
        <v>28680</v>
      </c>
      <c r="F84" s="8">
        <v>147299337</v>
      </c>
      <c r="G84" s="1">
        <v>211227249258000</v>
      </c>
      <c r="H84" s="1">
        <v>158420435868000</v>
      </c>
      <c r="I84">
        <f t="shared" si="1"/>
        <v>0</v>
      </c>
    </row>
    <row r="85" spans="1:9" x14ac:dyDescent="0.3">
      <c r="A85">
        <v>20150403</v>
      </c>
      <c r="B85" s="2" t="s">
        <v>4</v>
      </c>
      <c r="C85" s="8">
        <v>1434000</v>
      </c>
      <c r="D85" s="8">
        <v>1434000</v>
      </c>
      <c r="E85">
        <v>28680</v>
      </c>
      <c r="F85" s="8">
        <v>147299337</v>
      </c>
      <c r="G85" s="1">
        <v>211227249258000</v>
      </c>
      <c r="H85" s="1">
        <v>158420435868000</v>
      </c>
      <c r="I85">
        <f t="shared" si="1"/>
        <v>0</v>
      </c>
    </row>
    <row r="86" spans="1:9" x14ac:dyDescent="0.3">
      <c r="A86">
        <v>20150406</v>
      </c>
      <c r="B86" s="2" t="s">
        <v>4</v>
      </c>
      <c r="C86" s="8">
        <v>1434000</v>
      </c>
      <c r="D86" s="8">
        <v>1470000</v>
      </c>
      <c r="E86">
        <v>29400</v>
      </c>
      <c r="F86" s="8">
        <v>147299337</v>
      </c>
      <c r="G86" s="1">
        <v>216530025390000</v>
      </c>
      <c r="H86" s="1">
        <v>162397517940000</v>
      </c>
      <c r="I86">
        <f t="shared" si="1"/>
        <v>0</v>
      </c>
    </row>
    <row r="87" spans="1:9" x14ac:dyDescent="0.3">
      <c r="A87">
        <v>20150407</v>
      </c>
      <c r="B87" s="2" t="s">
        <v>4</v>
      </c>
      <c r="C87" s="8">
        <v>1470000</v>
      </c>
      <c r="D87" s="8">
        <v>1462000</v>
      </c>
      <c r="E87">
        <v>29240</v>
      </c>
      <c r="F87" s="8">
        <v>147299337</v>
      </c>
      <c r="G87" s="1">
        <v>215351630694000</v>
      </c>
      <c r="H87" s="1">
        <v>161513721924000</v>
      </c>
      <c r="I87">
        <f t="shared" si="1"/>
        <v>0</v>
      </c>
    </row>
    <row r="88" spans="1:9" x14ac:dyDescent="0.3">
      <c r="A88">
        <v>20150408</v>
      </c>
      <c r="B88" s="2" t="s">
        <v>4</v>
      </c>
      <c r="C88" s="8">
        <v>1462000</v>
      </c>
      <c r="D88" s="8">
        <v>1479000</v>
      </c>
      <c r="E88">
        <v>29580</v>
      </c>
      <c r="F88" s="8">
        <v>147299337</v>
      </c>
      <c r="G88" s="1">
        <v>217855719423000</v>
      </c>
      <c r="H88" s="1">
        <v>163391788458000</v>
      </c>
      <c r="I88">
        <f t="shared" si="1"/>
        <v>0</v>
      </c>
    </row>
    <row r="89" spans="1:9" x14ac:dyDescent="0.3">
      <c r="A89">
        <v>20150409</v>
      </c>
      <c r="B89" s="2" t="s">
        <v>4</v>
      </c>
      <c r="C89" s="8">
        <v>1479000</v>
      </c>
      <c r="D89" s="8">
        <v>1483000</v>
      </c>
      <c r="E89">
        <v>29660</v>
      </c>
      <c r="F89" s="8">
        <v>147299337</v>
      </c>
      <c r="G89" s="1">
        <v>218444916771000</v>
      </c>
      <c r="H89" s="1">
        <v>163833686466000</v>
      </c>
      <c r="I89">
        <f t="shared" si="1"/>
        <v>0</v>
      </c>
    </row>
    <row r="90" spans="1:9" x14ac:dyDescent="0.3">
      <c r="A90">
        <v>20150410</v>
      </c>
      <c r="B90" s="2" t="s">
        <v>4</v>
      </c>
      <c r="C90" s="8">
        <v>1483000</v>
      </c>
      <c r="D90" s="8">
        <v>1490000</v>
      </c>
      <c r="E90">
        <v>29800</v>
      </c>
      <c r="F90" s="8">
        <v>147299337</v>
      </c>
      <c r="G90" s="1">
        <v>219476012130000</v>
      </c>
      <c r="H90" s="1">
        <v>164607007980000</v>
      </c>
      <c r="I90">
        <f t="shared" si="1"/>
        <v>0</v>
      </c>
    </row>
    <row r="91" spans="1:9" x14ac:dyDescent="0.3">
      <c r="A91">
        <v>20150413</v>
      </c>
      <c r="B91" s="2" t="s">
        <v>4</v>
      </c>
      <c r="C91" s="8">
        <v>1490000</v>
      </c>
      <c r="D91" s="8">
        <v>1479000</v>
      </c>
      <c r="E91">
        <v>29580</v>
      </c>
      <c r="F91" s="8">
        <v>147299337</v>
      </c>
      <c r="G91" s="1">
        <v>217855719423000</v>
      </c>
      <c r="H91" s="1">
        <v>163391788458000</v>
      </c>
      <c r="I91">
        <f t="shared" si="1"/>
        <v>0</v>
      </c>
    </row>
    <row r="92" spans="1:9" x14ac:dyDescent="0.3">
      <c r="A92">
        <v>20150414</v>
      </c>
      <c r="B92" s="2" t="s">
        <v>4</v>
      </c>
      <c r="C92" s="8">
        <v>1479000</v>
      </c>
      <c r="D92" s="8">
        <v>1474000</v>
      </c>
      <c r="E92">
        <v>29480</v>
      </c>
      <c r="F92" s="8">
        <v>147299337</v>
      </c>
      <c r="G92" s="1">
        <v>217119222738000</v>
      </c>
      <c r="H92" s="1">
        <v>162839415948000</v>
      </c>
      <c r="I92">
        <f t="shared" si="1"/>
        <v>0</v>
      </c>
    </row>
    <row r="93" spans="1:9" x14ac:dyDescent="0.3">
      <c r="A93">
        <v>20150415</v>
      </c>
      <c r="B93" s="2" t="s">
        <v>4</v>
      </c>
      <c r="C93" s="8">
        <v>1474000</v>
      </c>
      <c r="D93" s="8">
        <v>1446000</v>
      </c>
      <c r="E93">
        <v>28920</v>
      </c>
      <c r="F93" s="8">
        <v>147299337</v>
      </c>
      <c r="G93" s="1">
        <v>212994841302000</v>
      </c>
      <c r="H93" s="1">
        <v>159746129892000</v>
      </c>
      <c r="I93">
        <f t="shared" si="1"/>
        <v>0</v>
      </c>
    </row>
    <row r="94" spans="1:9" x14ac:dyDescent="0.3">
      <c r="A94">
        <v>20150416</v>
      </c>
      <c r="B94" s="2" t="s">
        <v>4</v>
      </c>
      <c r="C94" s="8">
        <v>1446000</v>
      </c>
      <c r="D94" s="8">
        <v>1477000</v>
      </c>
      <c r="E94">
        <v>29540</v>
      </c>
      <c r="F94" s="8">
        <v>147299337</v>
      </c>
      <c r="G94" s="1">
        <v>217561120749000</v>
      </c>
      <c r="H94" s="1">
        <v>163170839454000</v>
      </c>
      <c r="I94">
        <f t="shared" si="1"/>
        <v>0</v>
      </c>
    </row>
    <row r="95" spans="1:9" x14ac:dyDescent="0.3">
      <c r="A95">
        <v>20150417</v>
      </c>
      <c r="B95" s="2" t="s">
        <v>4</v>
      </c>
      <c r="C95" s="8">
        <v>1477000</v>
      </c>
      <c r="D95" s="8">
        <v>1450000</v>
      </c>
      <c r="E95">
        <v>29000</v>
      </c>
      <c r="F95" s="8">
        <v>147299337</v>
      </c>
      <c r="G95" s="1">
        <v>213584038650000</v>
      </c>
      <c r="H95" s="1">
        <v>160188027900000</v>
      </c>
      <c r="I95">
        <f t="shared" si="1"/>
        <v>0</v>
      </c>
    </row>
    <row r="96" spans="1:9" x14ac:dyDescent="0.3">
      <c r="A96">
        <v>20150420</v>
      </c>
      <c r="B96" s="2" t="s">
        <v>4</v>
      </c>
      <c r="C96" s="8">
        <v>1450000</v>
      </c>
      <c r="D96" s="8">
        <v>1430000</v>
      </c>
      <c r="E96">
        <v>28600</v>
      </c>
      <c r="F96" s="8">
        <v>147299337</v>
      </c>
      <c r="G96" s="1">
        <v>210638051910000</v>
      </c>
      <c r="H96" s="1">
        <v>157978537860000</v>
      </c>
      <c r="I96">
        <f t="shared" si="1"/>
        <v>0</v>
      </c>
    </row>
    <row r="97" spans="1:9" x14ac:dyDescent="0.3">
      <c r="A97">
        <v>20150421</v>
      </c>
      <c r="B97" s="2" t="s">
        <v>4</v>
      </c>
      <c r="C97" s="8">
        <v>1430000</v>
      </c>
      <c r="D97" s="8">
        <v>1444000</v>
      </c>
      <c r="E97">
        <v>28880</v>
      </c>
      <c r="F97" s="8">
        <v>147299337</v>
      </c>
      <c r="G97" s="1">
        <v>212700242628000</v>
      </c>
      <c r="H97" s="1">
        <v>159525180888000</v>
      </c>
      <c r="I97">
        <f t="shared" si="1"/>
        <v>0</v>
      </c>
    </row>
    <row r="98" spans="1:9" x14ac:dyDescent="0.3">
      <c r="A98">
        <v>20150422</v>
      </c>
      <c r="B98" s="2" t="s">
        <v>4</v>
      </c>
      <c r="C98" s="8">
        <v>1444000</v>
      </c>
      <c r="D98" s="8">
        <v>1461000</v>
      </c>
      <c r="E98">
        <v>29220</v>
      </c>
      <c r="F98" s="8">
        <v>147299337</v>
      </c>
      <c r="G98" s="1">
        <v>215204331357000</v>
      </c>
      <c r="H98" s="1">
        <v>161403247422000</v>
      </c>
      <c r="I98">
        <f t="shared" si="1"/>
        <v>0</v>
      </c>
    </row>
    <row r="99" spans="1:9" x14ac:dyDescent="0.3">
      <c r="A99">
        <v>20150423</v>
      </c>
      <c r="B99" s="2" t="s">
        <v>4</v>
      </c>
      <c r="C99" s="8">
        <v>1461000</v>
      </c>
      <c r="D99" s="8">
        <v>1451000</v>
      </c>
      <c r="E99">
        <v>29020</v>
      </c>
      <c r="F99" s="8">
        <v>147299337</v>
      </c>
      <c r="G99" s="1">
        <v>213731337987000</v>
      </c>
      <c r="H99" s="1">
        <v>160298502402000</v>
      </c>
      <c r="I99">
        <f t="shared" si="1"/>
        <v>0</v>
      </c>
    </row>
    <row r="100" spans="1:9" x14ac:dyDescent="0.3">
      <c r="A100">
        <v>20150424</v>
      </c>
      <c r="B100" s="2" t="s">
        <v>4</v>
      </c>
      <c r="C100" s="8">
        <v>1451000</v>
      </c>
      <c r="D100" s="8">
        <v>1410000</v>
      </c>
      <c r="E100">
        <v>28200</v>
      </c>
      <c r="F100" s="8">
        <v>147299337</v>
      </c>
      <c r="G100" s="1">
        <v>207692065170000</v>
      </c>
      <c r="H100" s="1">
        <v>155769047820000</v>
      </c>
      <c r="I100">
        <f t="shared" si="1"/>
        <v>0</v>
      </c>
    </row>
    <row r="101" spans="1:9" x14ac:dyDescent="0.3">
      <c r="A101">
        <v>20150427</v>
      </c>
      <c r="B101" s="2" t="s">
        <v>4</v>
      </c>
      <c r="C101" s="8">
        <v>1410000</v>
      </c>
      <c r="D101" s="8">
        <v>1395000</v>
      </c>
      <c r="E101">
        <v>27900</v>
      </c>
      <c r="F101" s="8">
        <v>147299337</v>
      </c>
      <c r="G101" s="1">
        <v>205482575115000</v>
      </c>
      <c r="H101" s="1">
        <v>154111930290000</v>
      </c>
      <c r="I101">
        <f t="shared" si="1"/>
        <v>0</v>
      </c>
    </row>
    <row r="102" spans="1:9" x14ac:dyDescent="0.3">
      <c r="A102">
        <v>20150428</v>
      </c>
      <c r="B102" s="2" t="s">
        <v>4</v>
      </c>
      <c r="C102" s="8">
        <v>1395000</v>
      </c>
      <c r="D102" s="8">
        <v>1366000</v>
      </c>
      <c r="E102">
        <v>27320</v>
      </c>
      <c r="F102" s="8">
        <v>147299337</v>
      </c>
      <c r="G102" s="1">
        <v>201210894342000</v>
      </c>
      <c r="H102" s="1">
        <v>150908169732000</v>
      </c>
      <c r="I102">
        <f t="shared" si="1"/>
        <v>0</v>
      </c>
    </row>
    <row r="103" spans="1:9" x14ac:dyDescent="0.3">
      <c r="A103">
        <v>20150429</v>
      </c>
      <c r="B103" s="2" t="s">
        <v>4</v>
      </c>
      <c r="C103" s="8">
        <v>1366000</v>
      </c>
      <c r="D103" s="8">
        <v>1385000</v>
      </c>
      <c r="E103">
        <v>27700</v>
      </c>
      <c r="F103" s="8">
        <v>147299337</v>
      </c>
      <c r="G103" s="1">
        <v>204009581745000</v>
      </c>
      <c r="H103" s="1">
        <v>153007185270000</v>
      </c>
      <c r="I103">
        <f t="shared" si="1"/>
        <v>0</v>
      </c>
    </row>
    <row r="104" spans="1:9" x14ac:dyDescent="0.3">
      <c r="A104">
        <v>20150430</v>
      </c>
      <c r="B104" s="2" t="s">
        <v>4</v>
      </c>
      <c r="C104" s="8">
        <v>1385000</v>
      </c>
      <c r="D104" s="8">
        <v>1410000</v>
      </c>
      <c r="E104">
        <v>28200</v>
      </c>
      <c r="F104" s="8">
        <v>147299337</v>
      </c>
      <c r="G104" s="1">
        <v>207692065170000</v>
      </c>
      <c r="H104" s="1">
        <v>155769047820000</v>
      </c>
      <c r="I104">
        <f t="shared" si="1"/>
        <v>0</v>
      </c>
    </row>
    <row r="105" spans="1:9" x14ac:dyDescent="0.3">
      <c r="A105">
        <v>20150504</v>
      </c>
      <c r="B105" s="2" t="s">
        <v>4</v>
      </c>
      <c r="C105" s="8">
        <v>1410000</v>
      </c>
      <c r="D105" s="8">
        <v>1400000</v>
      </c>
      <c r="E105">
        <v>28000</v>
      </c>
      <c r="F105" s="8">
        <v>147299337</v>
      </c>
      <c r="G105" s="1">
        <v>206219071800000</v>
      </c>
      <c r="H105" s="1">
        <v>154664302800000</v>
      </c>
      <c r="I105">
        <f t="shared" si="1"/>
        <v>0</v>
      </c>
    </row>
    <row r="106" spans="1:9" x14ac:dyDescent="0.3">
      <c r="A106">
        <v>20150506</v>
      </c>
      <c r="B106" s="2" t="s">
        <v>4</v>
      </c>
      <c r="C106" s="8">
        <v>1400000</v>
      </c>
      <c r="D106" s="8">
        <v>1362000</v>
      </c>
      <c r="E106">
        <v>27240</v>
      </c>
      <c r="F106" s="8">
        <v>147299337</v>
      </c>
      <c r="G106" s="1">
        <v>200621696994000</v>
      </c>
      <c r="H106" s="1">
        <v>150466271724000</v>
      </c>
      <c r="I106">
        <f t="shared" si="1"/>
        <v>0</v>
      </c>
    </row>
    <row r="107" spans="1:9" x14ac:dyDescent="0.3">
      <c r="A107">
        <v>20150507</v>
      </c>
      <c r="B107" s="2" t="s">
        <v>4</v>
      </c>
      <c r="C107" s="8">
        <v>1362000</v>
      </c>
      <c r="D107" s="8">
        <v>1370000</v>
      </c>
      <c r="E107">
        <v>27400</v>
      </c>
      <c r="F107" s="8">
        <v>147299337</v>
      </c>
      <c r="G107" s="1">
        <v>201800091690000</v>
      </c>
      <c r="H107" s="1">
        <v>151350067740000</v>
      </c>
      <c r="I107">
        <f t="shared" si="1"/>
        <v>0</v>
      </c>
    </row>
    <row r="108" spans="1:9" x14ac:dyDescent="0.3">
      <c r="A108">
        <v>20150508</v>
      </c>
      <c r="B108" s="2" t="s">
        <v>4</v>
      </c>
      <c r="C108" s="8">
        <v>1370000</v>
      </c>
      <c r="D108" s="8">
        <v>1338000</v>
      </c>
      <c r="E108">
        <v>26760</v>
      </c>
      <c r="F108" s="8">
        <v>147299337</v>
      </c>
      <c r="G108" s="1">
        <v>197086512906000</v>
      </c>
      <c r="H108" s="1">
        <v>147814883676000</v>
      </c>
      <c r="I108">
        <f t="shared" si="1"/>
        <v>0</v>
      </c>
    </row>
    <row r="109" spans="1:9" x14ac:dyDescent="0.3">
      <c r="A109">
        <v>20150511</v>
      </c>
      <c r="B109" s="2" t="s">
        <v>4</v>
      </c>
      <c r="C109" s="8">
        <v>1338000</v>
      </c>
      <c r="D109" s="8">
        <v>1336000</v>
      </c>
      <c r="E109">
        <v>26720</v>
      </c>
      <c r="F109" s="8">
        <v>147299337</v>
      </c>
      <c r="G109" s="1">
        <v>196791914232000</v>
      </c>
      <c r="H109" s="1">
        <v>147593934672000</v>
      </c>
      <c r="I109">
        <f t="shared" si="1"/>
        <v>0</v>
      </c>
    </row>
    <row r="110" spans="1:9" x14ac:dyDescent="0.3">
      <c r="A110">
        <v>20150512</v>
      </c>
      <c r="B110" s="2" t="s">
        <v>4</v>
      </c>
      <c r="C110" s="8">
        <v>1336000</v>
      </c>
      <c r="D110" s="8">
        <v>1331000</v>
      </c>
      <c r="E110">
        <v>26620</v>
      </c>
      <c r="F110" s="8">
        <v>147299337</v>
      </c>
      <c r="G110" s="1">
        <v>196055417547000</v>
      </c>
      <c r="H110" s="1">
        <v>147041562162000</v>
      </c>
      <c r="I110">
        <f t="shared" si="1"/>
        <v>0</v>
      </c>
    </row>
    <row r="111" spans="1:9" x14ac:dyDescent="0.3">
      <c r="A111">
        <v>20150513</v>
      </c>
      <c r="B111" s="2" t="s">
        <v>4</v>
      </c>
      <c r="C111" s="8">
        <v>1331000</v>
      </c>
      <c r="D111" s="8">
        <v>1333000</v>
      </c>
      <c r="E111">
        <v>26660</v>
      </c>
      <c r="F111" s="8">
        <v>147299337</v>
      </c>
      <c r="G111" s="1">
        <v>196350016221000</v>
      </c>
      <c r="H111" s="1">
        <v>147262511166000</v>
      </c>
      <c r="I111">
        <f t="shared" si="1"/>
        <v>0</v>
      </c>
    </row>
    <row r="112" spans="1:9" x14ac:dyDescent="0.3">
      <c r="A112">
        <v>20150514</v>
      </c>
      <c r="B112" s="2" t="s">
        <v>4</v>
      </c>
      <c r="C112" s="8">
        <v>1333000</v>
      </c>
      <c r="D112" s="8">
        <v>1340000</v>
      </c>
      <c r="E112">
        <v>26800</v>
      </c>
      <c r="F112" s="8">
        <v>147299337</v>
      </c>
      <c r="G112" s="1">
        <v>197381111580000</v>
      </c>
      <c r="H112" s="1">
        <v>148035832680000</v>
      </c>
      <c r="I112">
        <f t="shared" si="1"/>
        <v>0</v>
      </c>
    </row>
    <row r="113" spans="1:9" x14ac:dyDescent="0.3">
      <c r="A113">
        <v>20150515</v>
      </c>
      <c r="B113" s="2" t="s">
        <v>4</v>
      </c>
      <c r="C113" s="8">
        <v>1340000</v>
      </c>
      <c r="D113" s="8">
        <v>1326000</v>
      </c>
      <c r="E113">
        <v>26520</v>
      </c>
      <c r="F113" s="8">
        <v>147299337</v>
      </c>
      <c r="G113" s="1">
        <v>195318920862000</v>
      </c>
      <c r="H113" s="1">
        <v>146489189652000</v>
      </c>
      <c r="I113">
        <f t="shared" si="1"/>
        <v>0</v>
      </c>
    </row>
    <row r="114" spans="1:9" x14ac:dyDescent="0.3">
      <c r="A114">
        <v>20150518</v>
      </c>
      <c r="B114" s="2" t="s">
        <v>4</v>
      </c>
      <c r="C114" s="8">
        <v>1326000</v>
      </c>
      <c r="D114" s="8">
        <v>1320000</v>
      </c>
      <c r="E114">
        <v>26400</v>
      </c>
      <c r="F114" s="8">
        <v>147299337</v>
      </c>
      <c r="G114" s="1">
        <v>194435124840000</v>
      </c>
      <c r="H114" s="1">
        <v>145826342640000</v>
      </c>
      <c r="I114">
        <f t="shared" si="1"/>
        <v>0</v>
      </c>
    </row>
    <row r="115" spans="1:9" x14ac:dyDescent="0.3">
      <c r="A115">
        <v>20150519</v>
      </c>
      <c r="B115" s="2" t="s">
        <v>4</v>
      </c>
      <c r="C115" s="8">
        <v>1320000</v>
      </c>
      <c r="D115" s="8">
        <v>1338000</v>
      </c>
      <c r="E115">
        <v>26760</v>
      </c>
      <c r="F115" s="8">
        <v>147299337</v>
      </c>
      <c r="G115" s="1">
        <v>197086512906000</v>
      </c>
      <c r="H115" s="1">
        <v>147814883676000</v>
      </c>
      <c r="I115">
        <f t="shared" si="1"/>
        <v>0</v>
      </c>
    </row>
    <row r="116" spans="1:9" x14ac:dyDescent="0.3">
      <c r="A116">
        <v>20150520</v>
      </c>
      <c r="B116" s="2" t="s">
        <v>4</v>
      </c>
      <c r="C116" s="8">
        <v>1338000</v>
      </c>
      <c r="D116" s="8">
        <v>1366000</v>
      </c>
      <c r="E116">
        <v>27320</v>
      </c>
      <c r="F116" s="8">
        <v>147299337</v>
      </c>
      <c r="G116" s="1">
        <v>201210894342000</v>
      </c>
      <c r="H116" s="1">
        <v>150908169732000</v>
      </c>
      <c r="I116">
        <f t="shared" si="1"/>
        <v>0</v>
      </c>
    </row>
    <row r="117" spans="1:9" x14ac:dyDescent="0.3">
      <c r="A117">
        <v>20150521</v>
      </c>
      <c r="B117" s="2" t="s">
        <v>4</v>
      </c>
      <c r="C117" s="8">
        <v>1366000</v>
      </c>
      <c r="D117" s="8">
        <v>1352000</v>
      </c>
      <c r="E117">
        <v>27040</v>
      </c>
      <c r="F117" s="8">
        <v>147299337</v>
      </c>
      <c r="G117" s="1">
        <v>199148703624000</v>
      </c>
      <c r="H117" s="1">
        <v>149361526704000</v>
      </c>
      <c r="I117">
        <f t="shared" si="1"/>
        <v>0</v>
      </c>
    </row>
    <row r="118" spans="1:9" x14ac:dyDescent="0.3">
      <c r="A118">
        <v>20150522</v>
      </c>
      <c r="B118" s="2" t="s">
        <v>4</v>
      </c>
      <c r="C118" s="8">
        <v>1352000</v>
      </c>
      <c r="D118" s="8">
        <v>1350000</v>
      </c>
      <c r="E118">
        <v>27000</v>
      </c>
      <c r="F118" s="8">
        <v>147299337</v>
      </c>
      <c r="G118" s="1">
        <v>198854104950000</v>
      </c>
      <c r="H118" s="1">
        <v>149140577700000</v>
      </c>
      <c r="I118">
        <f t="shared" si="1"/>
        <v>0</v>
      </c>
    </row>
    <row r="119" spans="1:9" x14ac:dyDescent="0.3">
      <c r="A119">
        <v>20150526</v>
      </c>
      <c r="B119" s="2" t="s">
        <v>4</v>
      </c>
      <c r="C119" s="8">
        <v>1350000</v>
      </c>
      <c r="D119" s="8">
        <v>1362000</v>
      </c>
      <c r="E119">
        <v>27240</v>
      </c>
      <c r="F119" s="8">
        <v>147299337</v>
      </c>
      <c r="G119" s="1">
        <v>200621696994000</v>
      </c>
      <c r="H119" s="1">
        <v>150466271724000</v>
      </c>
      <c r="I119">
        <f t="shared" si="1"/>
        <v>0</v>
      </c>
    </row>
    <row r="120" spans="1:9" x14ac:dyDescent="0.3">
      <c r="A120">
        <v>20150527</v>
      </c>
      <c r="B120" s="2" t="s">
        <v>4</v>
      </c>
      <c r="C120" s="8">
        <v>1362000</v>
      </c>
      <c r="D120" s="8">
        <v>1314000</v>
      </c>
      <c r="E120">
        <v>26280</v>
      </c>
      <c r="F120" s="8">
        <v>147299337</v>
      </c>
      <c r="G120" s="1">
        <v>193551328818000</v>
      </c>
      <c r="H120" s="1">
        <v>145163495628000</v>
      </c>
      <c r="I120">
        <f t="shared" si="1"/>
        <v>0</v>
      </c>
    </row>
    <row r="121" spans="1:9" x14ac:dyDescent="0.3">
      <c r="A121">
        <v>20150528</v>
      </c>
      <c r="B121" s="2" t="s">
        <v>4</v>
      </c>
      <c r="C121" s="8">
        <v>1314000</v>
      </c>
      <c r="D121" s="8">
        <v>1309000</v>
      </c>
      <c r="E121">
        <v>26180</v>
      </c>
      <c r="F121" s="8">
        <v>147299337</v>
      </c>
      <c r="G121" s="1">
        <v>192814832133000</v>
      </c>
      <c r="H121" s="1">
        <v>144611123118000</v>
      </c>
      <c r="I121">
        <f t="shared" si="1"/>
        <v>0</v>
      </c>
    </row>
    <row r="122" spans="1:9" x14ac:dyDescent="0.3">
      <c r="A122">
        <v>20150529</v>
      </c>
      <c r="B122" s="2" t="s">
        <v>4</v>
      </c>
      <c r="C122" s="8">
        <v>1309000</v>
      </c>
      <c r="D122" s="8">
        <v>1307000</v>
      </c>
      <c r="E122">
        <v>26140</v>
      </c>
      <c r="F122" s="8">
        <v>147299337</v>
      </c>
      <c r="G122" s="1">
        <v>192520233459000</v>
      </c>
      <c r="H122" s="1">
        <v>144390174114000</v>
      </c>
      <c r="I122">
        <f t="shared" si="1"/>
        <v>0</v>
      </c>
    </row>
    <row r="123" spans="1:9" x14ac:dyDescent="0.3">
      <c r="A123">
        <v>20150601</v>
      </c>
      <c r="B123" s="2" t="s">
        <v>4</v>
      </c>
      <c r="C123" s="8">
        <v>1307000</v>
      </c>
      <c r="D123" s="8">
        <v>1291000</v>
      </c>
      <c r="E123">
        <v>25820</v>
      </c>
      <c r="F123" s="8">
        <v>147299337</v>
      </c>
      <c r="G123" s="1">
        <v>190163444067000</v>
      </c>
      <c r="H123" s="1">
        <v>142622582082000</v>
      </c>
      <c r="I123">
        <f t="shared" si="1"/>
        <v>0</v>
      </c>
    </row>
    <row r="124" spans="1:9" x14ac:dyDescent="0.3">
      <c r="A124">
        <v>20150602</v>
      </c>
      <c r="B124" s="2" t="s">
        <v>4</v>
      </c>
      <c r="C124" s="8">
        <v>1291000</v>
      </c>
      <c r="D124" s="8">
        <v>1303000</v>
      </c>
      <c r="E124">
        <v>26060</v>
      </c>
      <c r="F124" s="8">
        <v>147299337</v>
      </c>
      <c r="G124" s="1">
        <v>191931036111000</v>
      </c>
      <c r="H124" s="1">
        <v>143948276106000</v>
      </c>
      <c r="I124">
        <f t="shared" si="1"/>
        <v>0</v>
      </c>
    </row>
    <row r="125" spans="1:9" x14ac:dyDescent="0.3">
      <c r="A125">
        <v>20150603</v>
      </c>
      <c r="B125" s="2" t="s">
        <v>4</v>
      </c>
      <c r="C125" s="8">
        <v>1303000</v>
      </c>
      <c r="D125" s="8">
        <v>1273000</v>
      </c>
      <c r="E125">
        <v>25460</v>
      </c>
      <c r="F125" s="8">
        <v>147299337</v>
      </c>
      <c r="G125" s="1">
        <v>187512056001000</v>
      </c>
      <c r="H125" s="1">
        <v>140634041046000</v>
      </c>
      <c r="I125">
        <f t="shared" si="1"/>
        <v>0</v>
      </c>
    </row>
    <row r="126" spans="1:9" x14ac:dyDescent="0.3">
      <c r="A126">
        <v>20150604</v>
      </c>
      <c r="B126" s="2" t="s">
        <v>4</v>
      </c>
      <c r="C126" s="8">
        <v>1273000</v>
      </c>
      <c r="D126" s="8">
        <v>1337000</v>
      </c>
      <c r="E126">
        <v>26740</v>
      </c>
      <c r="F126" s="8">
        <v>147299337</v>
      </c>
      <c r="G126" s="1">
        <v>196939213569000</v>
      </c>
      <c r="H126" s="1">
        <v>147704409174000</v>
      </c>
      <c r="I126">
        <f t="shared" si="1"/>
        <v>0</v>
      </c>
    </row>
    <row r="127" spans="1:9" x14ac:dyDescent="0.3">
      <c r="A127">
        <v>20150605</v>
      </c>
      <c r="B127" s="2" t="s">
        <v>4</v>
      </c>
      <c r="C127" s="8">
        <v>1337000</v>
      </c>
      <c r="D127" s="8">
        <v>1341000</v>
      </c>
      <c r="E127">
        <v>26820</v>
      </c>
      <c r="F127" s="8">
        <v>147299337</v>
      </c>
      <c r="G127" s="1">
        <v>197528410917000</v>
      </c>
      <c r="H127" s="1">
        <v>148146307182000</v>
      </c>
      <c r="I127">
        <f t="shared" si="1"/>
        <v>0</v>
      </c>
    </row>
    <row r="128" spans="1:9" x14ac:dyDescent="0.3">
      <c r="A128">
        <v>20150608</v>
      </c>
      <c r="B128" s="2" t="s">
        <v>4</v>
      </c>
      <c r="C128" s="8">
        <v>1341000</v>
      </c>
      <c r="D128" s="8">
        <v>1314000</v>
      </c>
      <c r="E128">
        <v>26280</v>
      </c>
      <c r="F128" s="8">
        <v>147299337</v>
      </c>
      <c r="G128" s="1">
        <v>193551328818000</v>
      </c>
      <c r="H128" s="1">
        <v>145163495628000</v>
      </c>
      <c r="I128">
        <f t="shared" si="1"/>
        <v>0</v>
      </c>
    </row>
    <row r="129" spans="1:9" x14ac:dyDescent="0.3">
      <c r="A129">
        <v>20150609</v>
      </c>
      <c r="B129" s="2" t="s">
        <v>4</v>
      </c>
      <c r="C129" s="8">
        <v>1314000</v>
      </c>
      <c r="D129" s="8">
        <v>1282000</v>
      </c>
      <c r="E129">
        <v>25640</v>
      </c>
      <c r="F129" s="8">
        <v>147299337</v>
      </c>
      <c r="G129" s="1">
        <v>188837750034000</v>
      </c>
      <c r="H129" s="1">
        <v>141628311564000</v>
      </c>
      <c r="I129">
        <f t="shared" si="1"/>
        <v>0</v>
      </c>
    </row>
    <row r="130" spans="1:9" x14ac:dyDescent="0.3">
      <c r="A130">
        <v>20150610</v>
      </c>
      <c r="B130" s="2" t="s">
        <v>4</v>
      </c>
      <c r="C130" s="8">
        <v>1282000</v>
      </c>
      <c r="D130" s="8">
        <v>1262000</v>
      </c>
      <c r="E130">
        <v>25240</v>
      </c>
      <c r="F130" s="8">
        <v>147299337</v>
      </c>
      <c r="G130" s="1">
        <v>185891763294000</v>
      </c>
      <c r="H130" s="1">
        <v>139418821524000</v>
      </c>
      <c r="I130">
        <f t="shared" si="1"/>
        <v>0</v>
      </c>
    </row>
    <row r="131" spans="1:9" x14ac:dyDescent="0.3">
      <c r="A131">
        <v>20150611</v>
      </c>
      <c r="B131" s="2" t="s">
        <v>4</v>
      </c>
      <c r="C131" s="8">
        <v>1262000</v>
      </c>
      <c r="D131" s="8">
        <v>1257000</v>
      </c>
      <c r="E131">
        <v>25140</v>
      </c>
      <c r="F131" s="8">
        <v>147299337</v>
      </c>
      <c r="G131" s="1">
        <v>185155266609000</v>
      </c>
      <c r="H131" s="1">
        <v>138866449014000</v>
      </c>
      <c r="I131">
        <f t="shared" si="1"/>
        <v>0</v>
      </c>
    </row>
    <row r="132" spans="1:9" x14ac:dyDescent="0.3">
      <c r="A132">
        <v>20150612</v>
      </c>
      <c r="B132" s="2" t="s">
        <v>4</v>
      </c>
      <c r="C132" s="8">
        <v>1257000</v>
      </c>
      <c r="D132" s="8">
        <v>1277000</v>
      </c>
      <c r="E132">
        <v>25540</v>
      </c>
      <c r="F132" s="8">
        <v>147299337</v>
      </c>
      <c r="G132" s="1">
        <v>188101253349000</v>
      </c>
      <c r="H132" s="1">
        <v>141075939054000</v>
      </c>
      <c r="I132">
        <f t="shared" ref="I132:I195" si="2">IF(C132*F132=D131*F131,0,1)</f>
        <v>0</v>
      </c>
    </row>
    <row r="133" spans="1:9" x14ac:dyDescent="0.3">
      <c r="A133">
        <v>20150615</v>
      </c>
      <c r="B133" s="2" t="s">
        <v>4</v>
      </c>
      <c r="C133" s="8">
        <v>1277000</v>
      </c>
      <c r="D133" s="8">
        <v>1270000</v>
      </c>
      <c r="E133">
        <v>25400</v>
      </c>
      <c r="F133" s="8">
        <v>147299337</v>
      </c>
      <c r="G133" s="1">
        <v>187070157990000</v>
      </c>
      <c r="H133" s="1">
        <v>140302617540000</v>
      </c>
      <c r="I133">
        <f t="shared" si="2"/>
        <v>0</v>
      </c>
    </row>
    <row r="134" spans="1:9" x14ac:dyDescent="0.3">
      <c r="A134">
        <v>20150616</v>
      </c>
      <c r="B134" s="2" t="s">
        <v>4</v>
      </c>
      <c r="C134" s="8">
        <v>1270000</v>
      </c>
      <c r="D134" s="8">
        <v>1255000</v>
      </c>
      <c r="E134">
        <v>25100</v>
      </c>
      <c r="F134" s="8">
        <v>147299337</v>
      </c>
      <c r="G134" s="1">
        <v>184860667935000</v>
      </c>
      <c r="H134" s="1">
        <v>138645500010000</v>
      </c>
      <c r="I134">
        <f t="shared" si="2"/>
        <v>0</v>
      </c>
    </row>
    <row r="135" spans="1:9" x14ac:dyDescent="0.3">
      <c r="A135">
        <v>20150617</v>
      </c>
      <c r="B135" s="2" t="s">
        <v>4</v>
      </c>
      <c r="C135" s="8">
        <v>1255000</v>
      </c>
      <c r="D135" s="8">
        <v>1254000</v>
      </c>
      <c r="E135">
        <v>25080</v>
      </c>
      <c r="F135" s="8">
        <v>147299337</v>
      </c>
      <c r="G135" s="1">
        <v>184713368598000</v>
      </c>
      <c r="H135" s="1">
        <v>138535025508000</v>
      </c>
      <c r="I135">
        <f t="shared" si="2"/>
        <v>0</v>
      </c>
    </row>
    <row r="136" spans="1:9" x14ac:dyDescent="0.3">
      <c r="A136">
        <v>20150618</v>
      </c>
      <c r="B136" s="2" t="s">
        <v>4</v>
      </c>
      <c r="C136" s="8">
        <v>1254000</v>
      </c>
      <c r="D136" s="8">
        <v>1265000</v>
      </c>
      <c r="E136">
        <v>25300</v>
      </c>
      <c r="F136" s="8">
        <v>147299337</v>
      </c>
      <c r="G136" s="1">
        <v>186333661305000</v>
      </c>
      <c r="H136" s="1">
        <v>139750245030000</v>
      </c>
      <c r="I136">
        <f t="shared" si="2"/>
        <v>0</v>
      </c>
    </row>
    <row r="137" spans="1:9" x14ac:dyDescent="0.3">
      <c r="A137">
        <v>20150619</v>
      </c>
      <c r="B137" s="2" t="s">
        <v>4</v>
      </c>
      <c r="C137" s="8">
        <v>1265000</v>
      </c>
      <c r="D137" s="8">
        <v>1266000</v>
      </c>
      <c r="E137">
        <v>25320</v>
      </c>
      <c r="F137" s="8">
        <v>147299337</v>
      </c>
      <c r="G137" s="1">
        <v>186480960642000</v>
      </c>
      <c r="H137" s="1">
        <v>139860719532000</v>
      </c>
      <c r="I137">
        <f t="shared" si="2"/>
        <v>0</v>
      </c>
    </row>
    <row r="138" spans="1:9" x14ac:dyDescent="0.3">
      <c r="A138">
        <v>20150622</v>
      </c>
      <c r="B138" s="2" t="s">
        <v>4</v>
      </c>
      <c r="C138" s="8">
        <v>1266000</v>
      </c>
      <c r="D138" s="8">
        <v>1281000</v>
      </c>
      <c r="E138">
        <v>25620</v>
      </c>
      <c r="F138" s="8">
        <v>147299337</v>
      </c>
      <c r="G138" s="1">
        <v>188690450697000</v>
      </c>
      <c r="H138" s="1">
        <v>141517837062000</v>
      </c>
      <c r="I138">
        <f t="shared" si="2"/>
        <v>0</v>
      </c>
    </row>
    <row r="139" spans="1:9" x14ac:dyDescent="0.3">
      <c r="A139">
        <v>20150623</v>
      </c>
      <c r="B139" s="2" t="s">
        <v>4</v>
      </c>
      <c r="C139" s="8">
        <v>1281000</v>
      </c>
      <c r="D139" s="8">
        <v>1321000</v>
      </c>
      <c r="E139">
        <v>26420</v>
      </c>
      <c r="F139" s="8">
        <v>147299337</v>
      </c>
      <c r="G139" s="1">
        <v>194582424177000</v>
      </c>
      <c r="H139" s="1">
        <v>145936817142000</v>
      </c>
      <c r="I139">
        <f t="shared" si="2"/>
        <v>0</v>
      </c>
    </row>
    <row r="140" spans="1:9" x14ac:dyDescent="0.3">
      <c r="A140">
        <v>20150624</v>
      </c>
      <c r="B140" s="2" t="s">
        <v>4</v>
      </c>
      <c r="C140" s="8">
        <v>1321000</v>
      </c>
      <c r="D140" s="8">
        <v>1302000</v>
      </c>
      <c r="E140">
        <v>26040</v>
      </c>
      <c r="F140" s="8">
        <v>147299337</v>
      </c>
      <c r="G140" s="1">
        <v>191783736774000</v>
      </c>
      <c r="H140" s="1">
        <v>143837801604000</v>
      </c>
      <c r="I140">
        <f t="shared" si="2"/>
        <v>0</v>
      </c>
    </row>
    <row r="141" spans="1:9" x14ac:dyDescent="0.3">
      <c r="A141">
        <v>20150625</v>
      </c>
      <c r="B141" s="2" t="s">
        <v>4</v>
      </c>
      <c r="C141" s="8">
        <v>1302000</v>
      </c>
      <c r="D141" s="8">
        <v>1269000</v>
      </c>
      <c r="E141">
        <v>25380</v>
      </c>
      <c r="F141" s="8">
        <v>147299337</v>
      </c>
      <c r="G141" s="1">
        <v>186922858653000</v>
      </c>
      <c r="H141" s="1">
        <v>140192143038000</v>
      </c>
      <c r="I141">
        <f t="shared" si="2"/>
        <v>0</v>
      </c>
    </row>
    <row r="142" spans="1:9" x14ac:dyDescent="0.3">
      <c r="A142">
        <v>20150626</v>
      </c>
      <c r="B142" s="2" t="s">
        <v>4</v>
      </c>
      <c r="C142" s="8">
        <v>1269000</v>
      </c>
      <c r="D142" s="8">
        <v>1278000</v>
      </c>
      <c r="E142">
        <v>25560</v>
      </c>
      <c r="F142" s="8">
        <v>147299337</v>
      </c>
      <c r="G142" s="1">
        <v>188248552686000</v>
      </c>
      <c r="H142" s="1">
        <v>141186413556000</v>
      </c>
      <c r="I142">
        <f t="shared" si="2"/>
        <v>0</v>
      </c>
    </row>
    <row r="143" spans="1:9" x14ac:dyDescent="0.3">
      <c r="A143">
        <v>20150629</v>
      </c>
      <c r="B143" s="2" t="s">
        <v>4</v>
      </c>
      <c r="C143" s="8">
        <v>1278000</v>
      </c>
      <c r="D143" s="8">
        <v>1281000</v>
      </c>
      <c r="E143">
        <v>25620</v>
      </c>
      <c r="F143" s="8">
        <v>147299337</v>
      </c>
      <c r="G143" s="1">
        <v>188690450697000</v>
      </c>
      <c r="H143" s="1">
        <v>141517837062000</v>
      </c>
      <c r="I143">
        <f t="shared" si="2"/>
        <v>0</v>
      </c>
    </row>
    <row r="144" spans="1:9" x14ac:dyDescent="0.3">
      <c r="A144">
        <v>20150630</v>
      </c>
      <c r="B144" s="2" t="s">
        <v>4</v>
      </c>
      <c r="C144" s="8">
        <v>1281000</v>
      </c>
      <c r="D144" s="8">
        <v>1268000</v>
      </c>
      <c r="E144">
        <v>25360</v>
      </c>
      <c r="F144" s="8">
        <v>147299337</v>
      </c>
      <c r="G144" s="1">
        <v>186775559316000</v>
      </c>
      <c r="H144" s="1">
        <v>140081668536000</v>
      </c>
      <c r="I144">
        <f t="shared" si="2"/>
        <v>0</v>
      </c>
    </row>
    <row r="145" spans="1:9" x14ac:dyDescent="0.3">
      <c r="A145">
        <v>20150701</v>
      </c>
      <c r="B145" s="2" t="s">
        <v>4</v>
      </c>
      <c r="C145" s="8">
        <v>1268000</v>
      </c>
      <c r="D145" s="8">
        <v>1295000</v>
      </c>
      <c r="E145">
        <v>25900</v>
      </c>
      <c r="F145" s="8">
        <v>147299337</v>
      </c>
      <c r="G145" s="1">
        <v>190752641415000</v>
      </c>
      <c r="H145" s="1">
        <v>143064480090000</v>
      </c>
      <c r="I145">
        <f t="shared" si="2"/>
        <v>0</v>
      </c>
    </row>
    <row r="146" spans="1:9" x14ac:dyDescent="0.3">
      <c r="A146">
        <v>20150702</v>
      </c>
      <c r="B146" s="2" t="s">
        <v>4</v>
      </c>
      <c r="C146" s="8">
        <v>1295000</v>
      </c>
      <c r="D146" s="8">
        <v>1299000</v>
      </c>
      <c r="E146">
        <v>25980</v>
      </c>
      <c r="F146" s="8">
        <v>147299337</v>
      </c>
      <c r="G146" s="1">
        <v>191341838763000</v>
      </c>
      <c r="H146" s="1">
        <v>143506378098000</v>
      </c>
      <c r="I146">
        <f t="shared" si="2"/>
        <v>0</v>
      </c>
    </row>
    <row r="147" spans="1:9" x14ac:dyDescent="0.3">
      <c r="A147">
        <v>20150703</v>
      </c>
      <c r="B147" s="2" t="s">
        <v>4</v>
      </c>
      <c r="C147" s="8">
        <v>1299000</v>
      </c>
      <c r="D147" s="8">
        <v>1268000</v>
      </c>
      <c r="E147">
        <v>25360</v>
      </c>
      <c r="F147" s="8">
        <v>147299337</v>
      </c>
      <c r="G147" s="1">
        <v>186775559316000</v>
      </c>
      <c r="H147" s="1">
        <v>140081668536000</v>
      </c>
      <c r="I147">
        <f t="shared" si="2"/>
        <v>0</v>
      </c>
    </row>
    <row r="148" spans="1:9" x14ac:dyDescent="0.3">
      <c r="A148">
        <v>20150706</v>
      </c>
      <c r="B148" s="2" t="s">
        <v>4</v>
      </c>
      <c r="C148" s="8">
        <v>1268000</v>
      </c>
      <c r="D148" s="8">
        <v>1230000</v>
      </c>
      <c r="E148">
        <v>24600</v>
      </c>
      <c r="F148" s="8">
        <v>147299337</v>
      </c>
      <c r="G148" s="1">
        <v>181178184510000</v>
      </c>
      <c r="H148" s="1">
        <v>135883637460000</v>
      </c>
      <c r="I148">
        <f t="shared" si="2"/>
        <v>0</v>
      </c>
    </row>
    <row r="149" spans="1:9" x14ac:dyDescent="0.3">
      <c r="A149">
        <v>20150707</v>
      </c>
      <c r="B149" s="2" t="s">
        <v>4</v>
      </c>
      <c r="C149" s="8">
        <v>1230000</v>
      </c>
      <c r="D149" s="8">
        <v>1240000</v>
      </c>
      <c r="E149">
        <v>24800</v>
      </c>
      <c r="F149" s="8">
        <v>147299337</v>
      </c>
      <c r="G149" s="1">
        <v>182651177880000</v>
      </c>
      <c r="H149" s="1">
        <v>136988382480000</v>
      </c>
      <c r="I149">
        <f t="shared" si="2"/>
        <v>0</v>
      </c>
    </row>
    <row r="150" spans="1:9" x14ac:dyDescent="0.3">
      <c r="A150">
        <v>20150708</v>
      </c>
      <c r="B150" s="2" t="s">
        <v>4</v>
      </c>
      <c r="C150" s="8">
        <v>1240000</v>
      </c>
      <c r="D150" s="8">
        <v>1239000</v>
      </c>
      <c r="E150">
        <v>24780</v>
      </c>
      <c r="F150" s="8">
        <v>147299337</v>
      </c>
      <c r="G150" s="1">
        <v>182503878543000</v>
      </c>
      <c r="H150" s="1">
        <v>136877907978000</v>
      </c>
      <c r="I150">
        <f t="shared" si="2"/>
        <v>0</v>
      </c>
    </row>
    <row r="151" spans="1:9" x14ac:dyDescent="0.3">
      <c r="A151">
        <v>20150709</v>
      </c>
      <c r="B151" s="2" t="s">
        <v>4</v>
      </c>
      <c r="C151" s="8">
        <v>1239000</v>
      </c>
      <c r="D151" s="8">
        <v>1265000</v>
      </c>
      <c r="E151">
        <v>25300</v>
      </c>
      <c r="F151" s="8">
        <v>147299337</v>
      </c>
      <c r="G151" s="1">
        <v>186333661305000</v>
      </c>
      <c r="H151" s="1">
        <v>139750245030000</v>
      </c>
      <c r="I151">
        <f t="shared" si="2"/>
        <v>0</v>
      </c>
    </row>
    <row r="152" spans="1:9" x14ac:dyDescent="0.3">
      <c r="A152">
        <v>20150710</v>
      </c>
      <c r="B152" s="2" t="s">
        <v>4</v>
      </c>
      <c r="C152" s="8">
        <v>1265000</v>
      </c>
      <c r="D152" s="8">
        <v>1259000</v>
      </c>
      <c r="E152">
        <v>25180</v>
      </c>
      <c r="F152" s="8">
        <v>147299337</v>
      </c>
      <c r="G152" s="1">
        <v>185449865283000</v>
      </c>
      <c r="H152" s="1">
        <v>139087398018000</v>
      </c>
      <c r="I152">
        <f t="shared" si="2"/>
        <v>0</v>
      </c>
    </row>
    <row r="153" spans="1:9" x14ac:dyDescent="0.3">
      <c r="A153">
        <v>20150713</v>
      </c>
      <c r="B153" s="2" t="s">
        <v>4</v>
      </c>
      <c r="C153" s="8">
        <v>1259000</v>
      </c>
      <c r="D153" s="8">
        <v>1266000</v>
      </c>
      <c r="E153">
        <v>25320</v>
      </c>
      <c r="F153" s="8">
        <v>147299337</v>
      </c>
      <c r="G153" s="1">
        <v>186480960642000</v>
      </c>
      <c r="H153" s="1">
        <v>139860719532000</v>
      </c>
      <c r="I153">
        <f t="shared" si="2"/>
        <v>0</v>
      </c>
    </row>
    <row r="154" spans="1:9" x14ac:dyDescent="0.3">
      <c r="A154">
        <v>20150714</v>
      </c>
      <c r="B154" s="2" t="s">
        <v>4</v>
      </c>
      <c r="C154" s="8">
        <v>1266000</v>
      </c>
      <c r="D154" s="8">
        <v>1225000</v>
      </c>
      <c r="E154">
        <v>24500</v>
      </c>
      <c r="F154" s="8">
        <v>147299337</v>
      </c>
      <c r="G154" s="1">
        <v>180441687825000</v>
      </c>
      <c r="H154" s="1">
        <v>135331264950000</v>
      </c>
      <c r="I154">
        <f t="shared" si="2"/>
        <v>0</v>
      </c>
    </row>
    <row r="155" spans="1:9" x14ac:dyDescent="0.3">
      <c r="A155">
        <v>20150715</v>
      </c>
      <c r="B155" s="2" t="s">
        <v>4</v>
      </c>
      <c r="C155" s="8">
        <v>1225000</v>
      </c>
      <c r="D155" s="8">
        <v>1235000</v>
      </c>
      <c r="E155">
        <v>24700</v>
      </c>
      <c r="F155" s="8">
        <v>147299337</v>
      </c>
      <c r="G155" s="1">
        <v>181914681195000</v>
      </c>
      <c r="H155" s="1">
        <v>136436009970000</v>
      </c>
      <c r="I155">
        <f t="shared" si="2"/>
        <v>0</v>
      </c>
    </row>
    <row r="156" spans="1:9" x14ac:dyDescent="0.3">
      <c r="A156">
        <v>20150716</v>
      </c>
      <c r="B156" s="2" t="s">
        <v>4</v>
      </c>
      <c r="C156" s="8">
        <v>1235000</v>
      </c>
      <c r="D156" s="8">
        <v>1282000</v>
      </c>
      <c r="E156">
        <v>25640</v>
      </c>
      <c r="F156" s="8">
        <v>147299337</v>
      </c>
      <c r="G156" s="1">
        <v>188837750034000</v>
      </c>
      <c r="H156" s="1">
        <v>141628311564000</v>
      </c>
      <c r="I156">
        <f t="shared" si="2"/>
        <v>0</v>
      </c>
    </row>
    <row r="157" spans="1:9" x14ac:dyDescent="0.3">
      <c r="A157">
        <v>20150717</v>
      </c>
      <c r="B157" s="2" t="s">
        <v>4</v>
      </c>
      <c r="C157" s="8">
        <v>1282000</v>
      </c>
      <c r="D157" s="8">
        <v>1305000</v>
      </c>
      <c r="E157">
        <v>26100</v>
      </c>
      <c r="F157" s="8">
        <v>147299337</v>
      </c>
      <c r="G157" s="1">
        <v>192225634785000</v>
      </c>
      <c r="H157" s="1">
        <v>144169225110000</v>
      </c>
      <c r="I157">
        <f t="shared" si="2"/>
        <v>0</v>
      </c>
    </row>
    <row r="158" spans="1:9" x14ac:dyDescent="0.3">
      <c r="A158">
        <v>20150720</v>
      </c>
      <c r="B158" s="2" t="s">
        <v>4</v>
      </c>
      <c r="C158" s="8">
        <v>1305000</v>
      </c>
      <c r="D158" s="8">
        <v>1275000</v>
      </c>
      <c r="E158">
        <v>25500</v>
      </c>
      <c r="F158" s="8">
        <v>147299337</v>
      </c>
      <c r="G158" s="1">
        <v>187806654675000</v>
      </c>
      <c r="H158" s="1">
        <v>140854990050000</v>
      </c>
      <c r="I158">
        <f t="shared" si="2"/>
        <v>0</v>
      </c>
    </row>
    <row r="159" spans="1:9" x14ac:dyDescent="0.3">
      <c r="A159">
        <v>20150721</v>
      </c>
      <c r="B159" s="2" t="s">
        <v>4</v>
      </c>
      <c r="C159" s="8">
        <v>1275000</v>
      </c>
      <c r="D159" s="8">
        <v>1263000</v>
      </c>
      <c r="E159">
        <v>25260</v>
      </c>
      <c r="F159" s="8">
        <v>147299337</v>
      </c>
      <c r="G159" s="1">
        <v>186039062631000</v>
      </c>
      <c r="H159" s="1">
        <v>139529296026000</v>
      </c>
      <c r="I159">
        <f t="shared" si="2"/>
        <v>0</v>
      </c>
    </row>
    <row r="160" spans="1:9" x14ac:dyDescent="0.3">
      <c r="A160">
        <v>20150722</v>
      </c>
      <c r="B160" s="2" t="s">
        <v>4</v>
      </c>
      <c r="C160" s="8">
        <v>1263000</v>
      </c>
      <c r="D160" s="8">
        <v>1253000</v>
      </c>
      <c r="E160">
        <v>25060</v>
      </c>
      <c r="F160" s="8">
        <v>147299337</v>
      </c>
      <c r="G160" s="1">
        <v>184566069261000</v>
      </c>
      <c r="H160" s="1">
        <v>138424551006000</v>
      </c>
      <c r="I160">
        <f t="shared" si="2"/>
        <v>0</v>
      </c>
    </row>
    <row r="161" spans="1:9" x14ac:dyDescent="0.3">
      <c r="A161">
        <v>20150723</v>
      </c>
      <c r="B161" s="2" t="s">
        <v>4</v>
      </c>
      <c r="C161" s="8">
        <v>1253000</v>
      </c>
      <c r="D161" s="8">
        <v>1234000</v>
      </c>
      <c r="E161">
        <v>24680</v>
      </c>
      <c r="F161" s="8">
        <v>147299337</v>
      </c>
      <c r="G161" s="1">
        <v>181767381858000</v>
      </c>
      <c r="H161" s="1">
        <v>136325535468000</v>
      </c>
      <c r="I161">
        <f t="shared" si="2"/>
        <v>0</v>
      </c>
    </row>
    <row r="162" spans="1:9" x14ac:dyDescent="0.3">
      <c r="A162">
        <v>20150724</v>
      </c>
      <c r="B162" s="2" t="s">
        <v>4</v>
      </c>
      <c r="C162" s="8">
        <v>1234000</v>
      </c>
      <c r="D162" s="8">
        <v>1229000</v>
      </c>
      <c r="E162">
        <v>24580</v>
      </c>
      <c r="F162" s="8">
        <v>147299337</v>
      </c>
      <c r="G162" s="1">
        <v>181030885173000</v>
      </c>
      <c r="H162" s="1">
        <v>135773162958000</v>
      </c>
      <c r="I162">
        <f t="shared" si="2"/>
        <v>0</v>
      </c>
    </row>
    <row r="163" spans="1:9" x14ac:dyDescent="0.3">
      <c r="A163">
        <v>20150727</v>
      </c>
      <c r="B163" s="2" t="s">
        <v>4</v>
      </c>
      <c r="C163" s="8">
        <v>1229000</v>
      </c>
      <c r="D163" s="8">
        <v>1230000</v>
      </c>
      <c r="E163">
        <v>24600</v>
      </c>
      <c r="F163" s="8">
        <v>147299337</v>
      </c>
      <c r="G163" s="1">
        <v>181178184510000</v>
      </c>
      <c r="H163" s="1">
        <v>135883637460000</v>
      </c>
      <c r="I163">
        <f t="shared" si="2"/>
        <v>0</v>
      </c>
    </row>
    <row r="164" spans="1:9" x14ac:dyDescent="0.3">
      <c r="A164">
        <v>20150728</v>
      </c>
      <c r="B164" s="2" t="s">
        <v>4</v>
      </c>
      <c r="C164" s="8">
        <v>1230000</v>
      </c>
      <c r="D164" s="8">
        <v>1230000</v>
      </c>
      <c r="E164">
        <v>24600</v>
      </c>
      <c r="F164" s="8">
        <v>147299337</v>
      </c>
      <c r="G164" s="1">
        <v>181178184510000</v>
      </c>
      <c r="H164" s="1">
        <v>135883637460000</v>
      </c>
      <c r="I164">
        <f t="shared" si="2"/>
        <v>0</v>
      </c>
    </row>
    <row r="165" spans="1:9" x14ac:dyDescent="0.3">
      <c r="A165">
        <v>20150729</v>
      </c>
      <c r="B165" s="2" t="s">
        <v>4</v>
      </c>
      <c r="C165" s="8">
        <v>1230000</v>
      </c>
      <c r="D165" s="8">
        <v>1263000</v>
      </c>
      <c r="E165">
        <v>25260</v>
      </c>
      <c r="F165" s="8">
        <v>147299337</v>
      </c>
      <c r="G165" s="1">
        <v>186039062631000</v>
      </c>
      <c r="H165" s="1">
        <v>139529296026000</v>
      </c>
      <c r="I165">
        <f t="shared" si="2"/>
        <v>0</v>
      </c>
    </row>
    <row r="166" spans="1:9" x14ac:dyDescent="0.3">
      <c r="A166">
        <v>20150730</v>
      </c>
      <c r="B166" s="2" t="s">
        <v>4</v>
      </c>
      <c r="C166" s="8">
        <v>1263000</v>
      </c>
      <c r="D166" s="8">
        <v>1215000</v>
      </c>
      <c r="E166">
        <v>24300</v>
      </c>
      <c r="F166" s="8">
        <v>147299337</v>
      </c>
      <c r="G166" s="1">
        <v>178968694455000</v>
      </c>
      <c r="H166" s="1">
        <v>134226519930000</v>
      </c>
      <c r="I166">
        <f t="shared" si="2"/>
        <v>0</v>
      </c>
    </row>
    <row r="167" spans="1:9" x14ac:dyDescent="0.3">
      <c r="A167">
        <v>20150731</v>
      </c>
      <c r="B167" s="2" t="s">
        <v>4</v>
      </c>
      <c r="C167" s="8">
        <v>1215000</v>
      </c>
      <c r="D167" s="8">
        <v>1185000</v>
      </c>
      <c r="E167">
        <v>23700</v>
      </c>
      <c r="F167" s="8">
        <v>147299337</v>
      </c>
      <c r="G167" s="1">
        <v>174549714345000</v>
      </c>
      <c r="H167" s="1">
        <v>130912284870000</v>
      </c>
      <c r="I167">
        <f t="shared" si="2"/>
        <v>0</v>
      </c>
    </row>
    <row r="168" spans="1:9" x14ac:dyDescent="0.3">
      <c r="A168">
        <v>20150803</v>
      </c>
      <c r="B168" s="2" t="s">
        <v>4</v>
      </c>
      <c r="C168" s="8">
        <v>1185000</v>
      </c>
      <c r="D168" s="8">
        <v>1175000</v>
      </c>
      <c r="E168">
        <v>23500</v>
      </c>
      <c r="F168" s="8">
        <v>147299337</v>
      </c>
      <c r="G168" s="1">
        <v>173076720975000</v>
      </c>
      <c r="H168" s="1">
        <v>129807539850000</v>
      </c>
      <c r="I168">
        <f t="shared" si="2"/>
        <v>0</v>
      </c>
    </row>
    <row r="169" spans="1:9" x14ac:dyDescent="0.3">
      <c r="A169">
        <v>20150804</v>
      </c>
      <c r="B169" s="2" t="s">
        <v>4</v>
      </c>
      <c r="C169" s="8">
        <v>1175000</v>
      </c>
      <c r="D169" s="8">
        <v>1182000</v>
      </c>
      <c r="E169">
        <v>23640</v>
      </c>
      <c r="F169" s="8">
        <v>147299337</v>
      </c>
      <c r="G169" s="1">
        <v>174107816334000</v>
      </c>
      <c r="H169" s="1">
        <v>130580861364000</v>
      </c>
      <c r="I169">
        <f t="shared" si="2"/>
        <v>0</v>
      </c>
    </row>
    <row r="170" spans="1:9" x14ac:dyDescent="0.3">
      <c r="A170">
        <v>20150805</v>
      </c>
      <c r="B170" s="2" t="s">
        <v>4</v>
      </c>
      <c r="C170" s="8">
        <v>1182000</v>
      </c>
      <c r="D170" s="8">
        <v>1159000</v>
      </c>
      <c r="E170">
        <v>23180</v>
      </c>
      <c r="F170" s="8">
        <v>147299337</v>
      </c>
      <c r="G170" s="1">
        <v>170719931583000</v>
      </c>
      <c r="H170" s="1">
        <v>128039947818000</v>
      </c>
      <c r="I170">
        <f t="shared" si="2"/>
        <v>0</v>
      </c>
    </row>
    <row r="171" spans="1:9" x14ac:dyDescent="0.3">
      <c r="A171">
        <v>20150806</v>
      </c>
      <c r="B171" s="2" t="s">
        <v>4</v>
      </c>
      <c r="C171" s="8">
        <v>1159000</v>
      </c>
      <c r="D171" s="8">
        <v>1115000</v>
      </c>
      <c r="E171">
        <v>22300</v>
      </c>
      <c r="F171" s="8">
        <v>147299337</v>
      </c>
      <c r="G171" s="1">
        <v>164238760755000</v>
      </c>
      <c r="H171" s="1">
        <v>123179069730000</v>
      </c>
      <c r="I171">
        <f t="shared" si="2"/>
        <v>0</v>
      </c>
    </row>
    <row r="172" spans="1:9" x14ac:dyDescent="0.3">
      <c r="A172">
        <v>20150807</v>
      </c>
      <c r="B172" s="2" t="s">
        <v>4</v>
      </c>
      <c r="C172" s="8">
        <v>1115000</v>
      </c>
      <c r="D172" s="8">
        <v>1136000</v>
      </c>
      <c r="E172">
        <v>22720</v>
      </c>
      <c r="F172" s="8">
        <v>147299337</v>
      </c>
      <c r="G172" s="1">
        <v>167332046832000</v>
      </c>
      <c r="H172" s="1">
        <v>125499034272000</v>
      </c>
      <c r="I172">
        <f t="shared" si="2"/>
        <v>0</v>
      </c>
    </row>
    <row r="173" spans="1:9" x14ac:dyDescent="0.3">
      <c r="A173">
        <v>20150810</v>
      </c>
      <c r="B173" s="2" t="s">
        <v>4</v>
      </c>
      <c r="C173" s="8">
        <v>1136000</v>
      </c>
      <c r="D173" s="8">
        <v>1141000</v>
      </c>
      <c r="E173">
        <v>22820</v>
      </c>
      <c r="F173" s="8">
        <v>147299337</v>
      </c>
      <c r="G173" s="1">
        <v>168068543517000</v>
      </c>
      <c r="H173" s="1">
        <v>126051406782000</v>
      </c>
      <c r="I173">
        <f t="shared" si="2"/>
        <v>0</v>
      </c>
    </row>
    <row r="174" spans="1:9" x14ac:dyDescent="0.3">
      <c r="A174">
        <v>20150811</v>
      </c>
      <c r="B174" s="2" t="s">
        <v>4</v>
      </c>
      <c r="C174" s="8">
        <v>1141000</v>
      </c>
      <c r="D174" s="8">
        <v>1157000</v>
      </c>
      <c r="E174">
        <v>23140</v>
      </c>
      <c r="F174" s="8">
        <v>147299337</v>
      </c>
      <c r="G174" s="1">
        <v>170425332909000</v>
      </c>
      <c r="H174" s="1">
        <v>127818998814000</v>
      </c>
      <c r="I174">
        <f t="shared" si="2"/>
        <v>0</v>
      </c>
    </row>
    <row r="175" spans="1:9" x14ac:dyDescent="0.3">
      <c r="A175">
        <v>20150812</v>
      </c>
      <c r="B175" s="2" t="s">
        <v>4</v>
      </c>
      <c r="C175" s="8">
        <v>1157000</v>
      </c>
      <c r="D175" s="8">
        <v>1154000</v>
      </c>
      <c r="E175">
        <v>23080</v>
      </c>
      <c r="F175" s="8">
        <v>147299337</v>
      </c>
      <c r="G175" s="1">
        <v>169983434898000</v>
      </c>
      <c r="H175" s="1">
        <v>127487575308000</v>
      </c>
      <c r="I175">
        <f t="shared" si="2"/>
        <v>0</v>
      </c>
    </row>
    <row r="176" spans="1:9" x14ac:dyDescent="0.3">
      <c r="A176">
        <v>20150813</v>
      </c>
      <c r="B176" s="2" t="s">
        <v>4</v>
      </c>
      <c r="C176" s="8">
        <v>1154000</v>
      </c>
      <c r="D176" s="8">
        <v>1140000</v>
      </c>
      <c r="E176">
        <v>22800</v>
      </c>
      <c r="F176" s="8">
        <v>147299337</v>
      </c>
      <c r="G176" s="1">
        <v>167921244180000</v>
      </c>
      <c r="H176" s="1">
        <v>125940932280000</v>
      </c>
      <c r="I176">
        <f t="shared" si="2"/>
        <v>0</v>
      </c>
    </row>
    <row r="177" spans="1:9" x14ac:dyDescent="0.3">
      <c r="A177">
        <v>20150817</v>
      </c>
      <c r="B177" s="2" t="s">
        <v>4</v>
      </c>
      <c r="C177" s="8">
        <v>1140000</v>
      </c>
      <c r="D177" s="8">
        <v>1104000</v>
      </c>
      <c r="E177">
        <v>22080</v>
      </c>
      <c r="F177" s="8">
        <v>147299337</v>
      </c>
      <c r="G177" s="1">
        <v>162618468048000</v>
      </c>
      <c r="H177" s="1">
        <v>121963850208000</v>
      </c>
      <c r="I177">
        <f t="shared" si="2"/>
        <v>0</v>
      </c>
    </row>
    <row r="178" spans="1:9" x14ac:dyDescent="0.3">
      <c r="A178">
        <v>20150818</v>
      </c>
      <c r="B178" s="2" t="s">
        <v>4</v>
      </c>
      <c r="C178" s="8">
        <v>1104000</v>
      </c>
      <c r="D178" s="8">
        <v>1131000</v>
      </c>
      <c r="E178">
        <v>22620</v>
      </c>
      <c r="F178" s="8">
        <v>147299337</v>
      </c>
      <c r="G178" s="1">
        <v>166595550147000</v>
      </c>
      <c r="H178" s="1">
        <v>124946661762000</v>
      </c>
      <c r="I178">
        <f t="shared" si="2"/>
        <v>0</v>
      </c>
    </row>
    <row r="179" spans="1:9" x14ac:dyDescent="0.3">
      <c r="A179">
        <v>20150819</v>
      </c>
      <c r="B179" s="2" t="s">
        <v>4</v>
      </c>
      <c r="C179" s="8">
        <v>1131000</v>
      </c>
      <c r="D179" s="8">
        <v>1154000</v>
      </c>
      <c r="E179">
        <v>23080</v>
      </c>
      <c r="F179" s="8">
        <v>147299337</v>
      </c>
      <c r="G179" s="1">
        <v>169983434898000</v>
      </c>
      <c r="H179" s="1">
        <v>127487575308000</v>
      </c>
      <c r="I179">
        <f t="shared" si="2"/>
        <v>0</v>
      </c>
    </row>
    <row r="180" spans="1:9" x14ac:dyDescent="0.3">
      <c r="A180">
        <v>20150820</v>
      </c>
      <c r="B180" s="2" t="s">
        <v>4</v>
      </c>
      <c r="C180" s="8">
        <v>1154000</v>
      </c>
      <c r="D180" s="8">
        <v>1139000</v>
      </c>
      <c r="E180">
        <v>22780</v>
      </c>
      <c r="F180" s="8">
        <v>147299337</v>
      </c>
      <c r="G180" s="1">
        <v>167773944843000</v>
      </c>
      <c r="H180" s="1">
        <v>125830457778000</v>
      </c>
      <c r="I180">
        <f t="shared" si="2"/>
        <v>0</v>
      </c>
    </row>
    <row r="181" spans="1:9" x14ac:dyDescent="0.3">
      <c r="A181">
        <v>20150821</v>
      </c>
      <c r="B181" s="2" t="s">
        <v>4</v>
      </c>
      <c r="C181" s="8">
        <v>1139000</v>
      </c>
      <c r="D181" s="8">
        <v>1101000</v>
      </c>
      <c r="E181">
        <v>22020</v>
      </c>
      <c r="F181" s="8">
        <v>147299337</v>
      </c>
      <c r="G181" s="1">
        <v>162176570037000</v>
      </c>
      <c r="H181" s="1">
        <v>121632426702000</v>
      </c>
      <c r="I181">
        <f t="shared" si="2"/>
        <v>0</v>
      </c>
    </row>
    <row r="182" spans="1:9" x14ac:dyDescent="0.3">
      <c r="A182">
        <v>20150824</v>
      </c>
      <c r="B182" s="2" t="s">
        <v>4</v>
      </c>
      <c r="C182" s="8">
        <v>1101000</v>
      </c>
      <c r="D182" s="8">
        <v>1079000</v>
      </c>
      <c r="E182">
        <v>21580</v>
      </c>
      <c r="F182" s="8">
        <v>147299337</v>
      </c>
      <c r="G182" s="1">
        <v>158935984623000</v>
      </c>
      <c r="H182" s="1">
        <v>119201987658000</v>
      </c>
      <c r="I182">
        <f t="shared" si="2"/>
        <v>0</v>
      </c>
    </row>
    <row r="183" spans="1:9" x14ac:dyDescent="0.3">
      <c r="A183">
        <v>20150825</v>
      </c>
      <c r="B183" s="2" t="s">
        <v>4</v>
      </c>
      <c r="C183" s="8">
        <v>1079000</v>
      </c>
      <c r="D183" s="8">
        <v>1079000</v>
      </c>
      <c r="E183">
        <v>21580</v>
      </c>
      <c r="F183" s="8">
        <v>147299337</v>
      </c>
      <c r="G183" s="1">
        <v>158935984623000</v>
      </c>
      <c r="H183" s="1">
        <v>119201987658000</v>
      </c>
      <c r="I183">
        <f t="shared" si="2"/>
        <v>0</v>
      </c>
    </row>
    <row r="184" spans="1:9" x14ac:dyDescent="0.3">
      <c r="A184">
        <v>20150826</v>
      </c>
      <c r="B184" s="2" t="s">
        <v>4</v>
      </c>
      <c r="C184" s="8">
        <v>1079000</v>
      </c>
      <c r="D184" s="8">
        <v>1067000</v>
      </c>
      <c r="E184">
        <v>21340</v>
      </c>
      <c r="F184" s="8">
        <v>147299337</v>
      </c>
      <c r="G184" s="1">
        <v>157168392579000</v>
      </c>
      <c r="H184" s="1">
        <v>117876293634000</v>
      </c>
      <c r="I184">
        <f t="shared" si="2"/>
        <v>0</v>
      </c>
    </row>
    <row r="185" spans="1:9" x14ac:dyDescent="0.3">
      <c r="A185">
        <v>20150827</v>
      </c>
      <c r="B185" s="2" t="s">
        <v>4</v>
      </c>
      <c r="C185" s="8">
        <v>1067000</v>
      </c>
      <c r="D185" s="8">
        <v>1067000</v>
      </c>
      <c r="E185">
        <v>21340</v>
      </c>
      <c r="F185" s="8">
        <v>147299337</v>
      </c>
      <c r="G185" s="1">
        <v>157168392579000</v>
      </c>
      <c r="H185" s="1">
        <v>117876293634000</v>
      </c>
      <c r="I185">
        <f t="shared" si="2"/>
        <v>0</v>
      </c>
    </row>
    <row r="186" spans="1:9" x14ac:dyDescent="0.3">
      <c r="A186">
        <v>20150828</v>
      </c>
      <c r="B186" s="2" t="s">
        <v>4</v>
      </c>
      <c r="C186" s="8">
        <v>1067000</v>
      </c>
      <c r="D186" s="8">
        <v>1081000</v>
      </c>
      <c r="E186">
        <v>21620</v>
      </c>
      <c r="F186" s="8">
        <v>147299337</v>
      </c>
      <c r="G186" s="1">
        <v>159230583297000</v>
      </c>
      <c r="H186" s="1">
        <v>119422936662000</v>
      </c>
      <c r="I186">
        <f t="shared" si="2"/>
        <v>0</v>
      </c>
    </row>
    <row r="187" spans="1:9" x14ac:dyDescent="0.3">
      <c r="A187">
        <v>20150831</v>
      </c>
      <c r="B187" s="2" t="s">
        <v>4</v>
      </c>
      <c r="C187" s="8">
        <v>1081000</v>
      </c>
      <c r="D187" s="8">
        <v>1089000</v>
      </c>
      <c r="E187">
        <v>21780</v>
      </c>
      <c r="F187" s="8">
        <v>147299337</v>
      </c>
      <c r="G187" s="1">
        <v>160408977993000</v>
      </c>
      <c r="H187" s="1">
        <v>120306732678000</v>
      </c>
      <c r="I187">
        <f t="shared" si="2"/>
        <v>0</v>
      </c>
    </row>
    <row r="188" spans="1:9" x14ac:dyDescent="0.3">
      <c r="A188">
        <v>20150901</v>
      </c>
      <c r="B188" s="2" t="s">
        <v>4</v>
      </c>
      <c r="C188" s="8">
        <v>1089000</v>
      </c>
      <c r="D188" s="8">
        <v>1085000</v>
      </c>
      <c r="E188">
        <v>21700</v>
      </c>
      <c r="F188" s="8">
        <v>147299337</v>
      </c>
      <c r="G188" s="1">
        <v>159819780645000</v>
      </c>
      <c r="H188" s="1">
        <v>119864834670000</v>
      </c>
      <c r="I188">
        <f t="shared" si="2"/>
        <v>0</v>
      </c>
    </row>
    <row r="189" spans="1:9" x14ac:dyDescent="0.3">
      <c r="A189">
        <v>20150902</v>
      </c>
      <c r="B189" s="2" t="s">
        <v>4</v>
      </c>
      <c r="C189" s="8">
        <v>1085000</v>
      </c>
      <c r="D189" s="8">
        <v>1090000</v>
      </c>
      <c r="E189">
        <v>21800</v>
      </c>
      <c r="F189" s="8">
        <v>147299337</v>
      </c>
      <c r="G189" s="1">
        <v>160556277330000</v>
      </c>
      <c r="H189" s="1">
        <v>120417207180000</v>
      </c>
      <c r="I189">
        <f t="shared" si="2"/>
        <v>0</v>
      </c>
    </row>
    <row r="190" spans="1:9" x14ac:dyDescent="0.3">
      <c r="A190">
        <v>20150903</v>
      </c>
      <c r="B190" s="2" t="s">
        <v>4</v>
      </c>
      <c r="C190" s="8">
        <v>1090000</v>
      </c>
      <c r="D190" s="8">
        <v>1122000</v>
      </c>
      <c r="E190">
        <v>22440</v>
      </c>
      <c r="F190" s="8">
        <v>147299337</v>
      </c>
      <c r="G190" s="1">
        <v>165269856114000</v>
      </c>
      <c r="H190" s="1">
        <v>123952391244000</v>
      </c>
      <c r="I190">
        <f t="shared" si="2"/>
        <v>0</v>
      </c>
    </row>
    <row r="191" spans="1:9" x14ac:dyDescent="0.3">
      <c r="A191">
        <v>20150904</v>
      </c>
      <c r="B191" s="2" t="s">
        <v>4</v>
      </c>
      <c r="C191" s="8">
        <v>1122000</v>
      </c>
      <c r="D191" s="8">
        <v>1129000</v>
      </c>
      <c r="E191">
        <v>22580</v>
      </c>
      <c r="F191" s="8">
        <v>147299337</v>
      </c>
      <c r="G191" s="1">
        <v>166300951473000</v>
      </c>
      <c r="H191" s="1">
        <v>124725712758000</v>
      </c>
      <c r="I191">
        <f t="shared" si="2"/>
        <v>0</v>
      </c>
    </row>
    <row r="192" spans="1:9" x14ac:dyDescent="0.3">
      <c r="A192">
        <v>20150907</v>
      </c>
      <c r="B192" s="2" t="s">
        <v>4</v>
      </c>
      <c r="C192" s="8">
        <v>1129000</v>
      </c>
      <c r="D192" s="8">
        <v>1112000</v>
      </c>
      <c r="E192">
        <v>22240</v>
      </c>
      <c r="F192" s="8">
        <v>147299337</v>
      </c>
      <c r="G192" s="1">
        <v>163796862744000</v>
      </c>
      <c r="H192" s="1">
        <v>122847646224000</v>
      </c>
      <c r="I192">
        <f t="shared" si="2"/>
        <v>0</v>
      </c>
    </row>
    <row r="193" spans="1:9" x14ac:dyDescent="0.3">
      <c r="A193">
        <v>20150908</v>
      </c>
      <c r="B193" s="2" t="s">
        <v>4</v>
      </c>
      <c r="C193" s="8">
        <v>1112000</v>
      </c>
      <c r="D193" s="8">
        <v>1131000</v>
      </c>
      <c r="E193">
        <v>22620</v>
      </c>
      <c r="F193" s="8">
        <v>147299337</v>
      </c>
      <c r="G193" s="1">
        <v>166595550147000</v>
      </c>
      <c r="H193" s="1">
        <v>124946661762000</v>
      </c>
      <c r="I193">
        <f t="shared" si="2"/>
        <v>0</v>
      </c>
    </row>
    <row r="194" spans="1:9" x14ac:dyDescent="0.3">
      <c r="A194">
        <v>20150909</v>
      </c>
      <c r="B194" s="2" t="s">
        <v>4</v>
      </c>
      <c r="C194" s="8">
        <v>1131000</v>
      </c>
      <c r="D194" s="8">
        <v>1147000</v>
      </c>
      <c r="E194">
        <v>22940</v>
      </c>
      <c r="F194" s="8">
        <v>147299337</v>
      </c>
      <c r="G194" s="1">
        <v>168952339539000</v>
      </c>
      <c r="H194" s="1">
        <v>126714253794000</v>
      </c>
      <c r="I194">
        <f t="shared" si="2"/>
        <v>0</v>
      </c>
    </row>
    <row r="195" spans="1:9" x14ac:dyDescent="0.3">
      <c r="A195">
        <v>20150910</v>
      </c>
      <c r="B195" s="2" t="s">
        <v>4</v>
      </c>
      <c r="C195" s="8">
        <v>1147000</v>
      </c>
      <c r="D195" s="8">
        <v>1134000</v>
      </c>
      <c r="E195">
        <v>22680</v>
      </c>
      <c r="F195" s="8">
        <v>147299337</v>
      </c>
      <c r="G195" s="1">
        <v>167037448158000</v>
      </c>
      <c r="H195" s="1">
        <v>125278085268000</v>
      </c>
      <c r="I195">
        <f t="shared" si="2"/>
        <v>0</v>
      </c>
    </row>
    <row r="196" spans="1:9" x14ac:dyDescent="0.3">
      <c r="A196">
        <v>20150911</v>
      </c>
      <c r="B196" s="2" t="s">
        <v>4</v>
      </c>
      <c r="C196" s="8">
        <v>1134000</v>
      </c>
      <c r="D196" s="8">
        <v>1115000</v>
      </c>
      <c r="E196">
        <v>22300</v>
      </c>
      <c r="F196" s="8">
        <v>147299337</v>
      </c>
      <c r="G196" s="1">
        <v>164238760755000</v>
      </c>
      <c r="H196" s="1">
        <v>123179069730000</v>
      </c>
      <c r="I196">
        <f t="shared" ref="I196:I259" si="3">IF(C196*F196=D195*F195,0,1)</f>
        <v>0</v>
      </c>
    </row>
    <row r="197" spans="1:9" x14ac:dyDescent="0.3">
      <c r="A197">
        <v>20150914</v>
      </c>
      <c r="B197" s="2" t="s">
        <v>4</v>
      </c>
      <c r="C197" s="8">
        <v>1115000</v>
      </c>
      <c r="D197" s="8">
        <v>1124000</v>
      </c>
      <c r="E197">
        <v>22480</v>
      </c>
      <c r="F197" s="8">
        <v>147299337</v>
      </c>
      <c r="G197" s="1">
        <v>165564454788000</v>
      </c>
      <c r="H197" s="1">
        <v>124173340248000</v>
      </c>
      <c r="I197">
        <f t="shared" si="3"/>
        <v>0</v>
      </c>
    </row>
    <row r="198" spans="1:9" x14ac:dyDescent="0.3">
      <c r="A198">
        <v>20150915</v>
      </c>
      <c r="B198" s="2" t="s">
        <v>4</v>
      </c>
      <c r="C198" s="8">
        <v>1124000</v>
      </c>
      <c r="D198" s="8">
        <v>1123000</v>
      </c>
      <c r="E198">
        <v>22460</v>
      </c>
      <c r="F198" s="8">
        <v>147299337</v>
      </c>
      <c r="G198" s="1">
        <v>165417155451000</v>
      </c>
      <c r="H198" s="1">
        <v>124062865746000</v>
      </c>
      <c r="I198">
        <f t="shared" si="3"/>
        <v>0</v>
      </c>
    </row>
    <row r="199" spans="1:9" x14ac:dyDescent="0.3">
      <c r="A199">
        <v>20150916</v>
      </c>
      <c r="B199" s="2" t="s">
        <v>4</v>
      </c>
      <c r="C199" s="8">
        <v>1123000</v>
      </c>
      <c r="D199" s="8">
        <v>1152000</v>
      </c>
      <c r="E199">
        <v>23040</v>
      </c>
      <c r="F199" s="8">
        <v>147299337</v>
      </c>
      <c r="G199" s="1">
        <v>169688836224000</v>
      </c>
      <c r="H199" s="1">
        <v>127266626304000</v>
      </c>
      <c r="I199">
        <f t="shared" si="3"/>
        <v>0</v>
      </c>
    </row>
    <row r="200" spans="1:9" x14ac:dyDescent="0.3">
      <c r="A200">
        <v>20150917</v>
      </c>
      <c r="B200" s="2" t="s">
        <v>4</v>
      </c>
      <c r="C200" s="8">
        <v>1152000</v>
      </c>
      <c r="D200" s="8">
        <v>1157000</v>
      </c>
      <c r="E200">
        <v>23140</v>
      </c>
      <c r="F200" s="8">
        <v>147299337</v>
      </c>
      <c r="G200" s="1">
        <v>170425332909000</v>
      </c>
      <c r="H200" s="1">
        <v>127818998814000</v>
      </c>
      <c r="I200">
        <f t="shared" si="3"/>
        <v>0</v>
      </c>
    </row>
    <row r="201" spans="1:9" x14ac:dyDescent="0.3">
      <c r="A201">
        <v>20150918</v>
      </c>
      <c r="B201" s="2" t="s">
        <v>4</v>
      </c>
      <c r="C201" s="8">
        <v>1157000</v>
      </c>
      <c r="D201" s="8">
        <v>1190000</v>
      </c>
      <c r="E201">
        <v>23800</v>
      </c>
      <c r="F201" s="8">
        <v>147299337</v>
      </c>
      <c r="G201" s="1">
        <v>175286211030000</v>
      </c>
      <c r="H201" s="1">
        <v>131464657380000</v>
      </c>
      <c r="I201">
        <f t="shared" si="3"/>
        <v>0</v>
      </c>
    </row>
    <row r="202" spans="1:9" x14ac:dyDescent="0.3">
      <c r="A202">
        <v>20150921</v>
      </c>
      <c r="B202" s="2" t="s">
        <v>4</v>
      </c>
      <c r="C202" s="8">
        <v>1190000</v>
      </c>
      <c r="D202" s="8">
        <v>1150000</v>
      </c>
      <c r="E202">
        <v>23000</v>
      </c>
      <c r="F202" s="8">
        <v>147299337</v>
      </c>
      <c r="G202" s="1">
        <v>169394237550000</v>
      </c>
      <c r="H202" s="1">
        <v>127045677300000</v>
      </c>
      <c r="I202">
        <f t="shared" si="3"/>
        <v>0</v>
      </c>
    </row>
    <row r="203" spans="1:9" x14ac:dyDescent="0.3">
      <c r="A203">
        <v>20150922</v>
      </c>
      <c r="B203" s="2" t="s">
        <v>4</v>
      </c>
      <c r="C203" s="8">
        <v>1150000</v>
      </c>
      <c r="D203" s="8">
        <v>1145000</v>
      </c>
      <c r="E203">
        <v>22900</v>
      </c>
      <c r="F203" s="8">
        <v>147299337</v>
      </c>
      <c r="G203" s="1">
        <v>168657740865000</v>
      </c>
      <c r="H203" s="1">
        <v>126493304790000</v>
      </c>
      <c r="I203">
        <f t="shared" si="3"/>
        <v>0</v>
      </c>
    </row>
    <row r="204" spans="1:9" x14ac:dyDescent="0.3">
      <c r="A204">
        <v>20150923</v>
      </c>
      <c r="B204" s="2" t="s">
        <v>4</v>
      </c>
      <c r="C204" s="8">
        <v>1145000</v>
      </c>
      <c r="D204" s="8">
        <v>1131000</v>
      </c>
      <c r="E204">
        <v>22620</v>
      </c>
      <c r="F204" s="8">
        <v>147299337</v>
      </c>
      <c r="G204" s="1">
        <v>166595550147000</v>
      </c>
      <c r="H204" s="1">
        <v>124946661762000</v>
      </c>
      <c r="I204">
        <f t="shared" si="3"/>
        <v>0</v>
      </c>
    </row>
    <row r="205" spans="1:9" x14ac:dyDescent="0.3">
      <c r="A205">
        <v>20150924</v>
      </c>
      <c r="B205" s="2" t="s">
        <v>4</v>
      </c>
      <c r="C205" s="8">
        <v>1131000</v>
      </c>
      <c r="D205" s="8">
        <v>1126000</v>
      </c>
      <c r="E205">
        <v>22520</v>
      </c>
      <c r="F205" s="8">
        <v>147299337</v>
      </c>
      <c r="G205" s="1">
        <v>165859053462000</v>
      </c>
      <c r="H205" s="1">
        <v>124394289252000</v>
      </c>
      <c r="I205">
        <f t="shared" si="3"/>
        <v>0</v>
      </c>
    </row>
    <row r="206" spans="1:9" x14ac:dyDescent="0.3">
      <c r="A206">
        <v>20150925</v>
      </c>
      <c r="B206" s="2" t="s">
        <v>4</v>
      </c>
      <c r="C206" s="8">
        <v>1126000</v>
      </c>
      <c r="D206" s="8">
        <v>1112000</v>
      </c>
      <c r="E206">
        <v>22240</v>
      </c>
      <c r="F206" s="8">
        <v>147299337</v>
      </c>
      <c r="G206" s="1">
        <v>163796862744000</v>
      </c>
      <c r="H206" s="1">
        <v>122847646224000</v>
      </c>
      <c r="I206">
        <f t="shared" si="3"/>
        <v>0</v>
      </c>
    </row>
    <row r="207" spans="1:9" x14ac:dyDescent="0.3">
      <c r="A207">
        <v>20150930</v>
      </c>
      <c r="B207" s="2" t="s">
        <v>4</v>
      </c>
      <c r="C207" s="8">
        <v>1112000</v>
      </c>
      <c r="D207" s="8">
        <v>1134000</v>
      </c>
      <c r="E207">
        <v>22680</v>
      </c>
      <c r="F207" s="8">
        <v>147299337</v>
      </c>
      <c r="G207" s="1">
        <v>167037448158000</v>
      </c>
      <c r="H207" s="1">
        <v>125278085268000</v>
      </c>
      <c r="I207">
        <f t="shared" si="3"/>
        <v>0</v>
      </c>
    </row>
    <row r="208" spans="1:9" x14ac:dyDescent="0.3">
      <c r="A208">
        <v>20151001</v>
      </c>
      <c r="B208" s="2" t="s">
        <v>4</v>
      </c>
      <c r="C208" s="8">
        <v>1134000</v>
      </c>
      <c r="D208" s="8">
        <v>1134000</v>
      </c>
      <c r="E208">
        <v>22680</v>
      </c>
      <c r="F208" s="8">
        <v>147299337</v>
      </c>
      <c r="G208" s="1">
        <v>167037448158000</v>
      </c>
      <c r="H208" s="1">
        <v>125278085268000</v>
      </c>
      <c r="I208">
        <f t="shared" si="3"/>
        <v>0</v>
      </c>
    </row>
    <row r="209" spans="1:9" x14ac:dyDescent="0.3">
      <c r="A209">
        <v>20151002</v>
      </c>
      <c r="B209" s="2" t="s">
        <v>4</v>
      </c>
      <c r="C209" s="8">
        <v>1134000</v>
      </c>
      <c r="D209" s="8">
        <v>1119000</v>
      </c>
      <c r="E209">
        <v>22380</v>
      </c>
      <c r="F209" s="8">
        <v>147299337</v>
      </c>
      <c r="G209" s="1">
        <v>164827958103000</v>
      </c>
      <c r="H209" s="1">
        <v>123620967738000</v>
      </c>
      <c r="I209">
        <f t="shared" si="3"/>
        <v>0</v>
      </c>
    </row>
    <row r="210" spans="1:9" x14ac:dyDescent="0.3">
      <c r="A210">
        <v>20151005</v>
      </c>
      <c r="B210" s="2" t="s">
        <v>4</v>
      </c>
      <c r="C210" s="8">
        <v>1119000</v>
      </c>
      <c r="D210" s="8">
        <v>1115000</v>
      </c>
      <c r="E210">
        <v>22300</v>
      </c>
      <c r="F210" s="8">
        <v>147299337</v>
      </c>
      <c r="G210" s="1">
        <v>164238760755000</v>
      </c>
      <c r="H210" s="1">
        <v>123179069730000</v>
      </c>
      <c r="I210">
        <f t="shared" si="3"/>
        <v>0</v>
      </c>
    </row>
    <row r="211" spans="1:9" x14ac:dyDescent="0.3">
      <c r="A211">
        <v>20151006</v>
      </c>
      <c r="B211" s="2" t="s">
        <v>4</v>
      </c>
      <c r="C211" s="8">
        <v>1115000</v>
      </c>
      <c r="D211" s="8">
        <v>1151000</v>
      </c>
      <c r="E211">
        <v>23020</v>
      </c>
      <c r="F211" s="8">
        <v>147299337</v>
      </c>
      <c r="G211" s="1">
        <v>169541536887000</v>
      </c>
      <c r="H211" s="1">
        <v>127156151802000</v>
      </c>
      <c r="I211">
        <f t="shared" si="3"/>
        <v>0</v>
      </c>
    </row>
    <row r="212" spans="1:9" x14ac:dyDescent="0.3">
      <c r="A212">
        <v>20151007</v>
      </c>
      <c r="B212" s="2" t="s">
        <v>4</v>
      </c>
      <c r="C212" s="8">
        <v>1151000</v>
      </c>
      <c r="D212" s="8">
        <v>1251000</v>
      </c>
      <c r="E212">
        <v>25020</v>
      </c>
      <c r="F212" s="8">
        <v>147299337</v>
      </c>
      <c r="G212" s="1">
        <v>184271470587000</v>
      </c>
      <c r="H212" s="1">
        <v>138203602002000</v>
      </c>
      <c r="I212">
        <f t="shared" si="3"/>
        <v>0</v>
      </c>
    </row>
    <row r="213" spans="1:9" x14ac:dyDescent="0.3">
      <c r="A213">
        <v>20151008</v>
      </c>
      <c r="B213" s="2" t="s">
        <v>4</v>
      </c>
      <c r="C213" s="8">
        <v>1251000</v>
      </c>
      <c r="D213" s="8">
        <v>1270000</v>
      </c>
      <c r="E213">
        <v>25400</v>
      </c>
      <c r="F213" s="8">
        <v>147299337</v>
      </c>
      <c r="G213" s="1">
        <v>187070157990000</v>
      </c>
      <c r="H213" s="1">
        <v>140302617540000</v>
      </c>
      <c r="I213">
        <f t="shared" si="3"/>
        <v>0</v>
      </c>
    </row>
    <row r="214" spans="1:9" x14ac:dyDescent="0.3">
      <c r="A214">
        <v>20151012</v>
      </c>
      <c r="B214" s="2" t="s">
        <v>4</v>
      </c>
      <c r="C214" s="8">
        <v>1270000</v>
      </c>
      <c r="D214" s="8">
        <v>1260000</v>
      </c>
      <c r="E214">
        <v>25200</v>
      </c>
      <c r="F214" s="8">
        <v>147299337</v>
      </c>
      <c r="G214" s="1">
        <v>185597164620000</v>
      </c>
      <c r="H214" s="1">
        <v>139197872520000</v>
      </c>
      <c r="I214">
        <f t="shared" si="3"/>
        <v>0</v>
      </c>
    </row>
    <row r="215" spans="1:9" x14ac:dyDescent="0.3">
      <c r="A215">
        <v>20151013</v>
      </c>
      <c r="B215" s="2" t="s">
        <v>4</v>
      </c>
      <c r="C215" s="8">
        <v>1260000</v>
      </c>
      <c r="D215" s="8">
        <v>1252000</v>
      </c>
      <c r="E215">
        <v>25040</v>
      </c>
      <c r="F215" s="8">
        <v>147299337</v>
      </c>
      <c r="G215" s="1">
        <v>184418769924000</v>
      </c>
      <c r="H215" s="1">
        <v>138314076504000</v>
      </c>
      <c r="I215">
        <f t="shared" si="3"/>
        <v>0</v>
      </c>
    </row>
    <row r="216" spans="1:9" x14ac:dyDescent="0.3">
      <c r="A216">
        <v>20151014</v>
      </c>
      <c r="B216" s="2" t="s">
        <v>4</v>
      </c>
      <c r="C216" s="8">
        <v>1252000</v>
      </c>
      <c r="D216" s="8">
        <v>1254000</v>
      </c>
      <c r="E216">
        <v>25080</v>
      </c>
      <c r="F216" s="8">
        <v>147299337</v>
      </c>
      <c r="G216" s="1">
        <v>184713368598000</v>
      </c>
      <c r="H216" s="1">
        <v>138535025508000</v>
      </c>
      <c r="I216">
        <f t="shared" si="3"/>
        <v>0</v>
      </c>
    </row>
    <row r="217" spans="1:9" x14ac:dyDescent="0.3">
      <c r="A217">
        <v>20151015</v>
      </c>
      <c r="B217" s="2" t="s">
        <v>4</v>
      </c>
      <c r="C217" s="8">
        <v>1254000</v>
      </c>
      <c r="D217" s="8">
        <v>1269000</v>
      </c>
      <c r="E217">
        <v>25380</v>
      </c>
      <c r="F217" s="8">
        <v>147299337</v>
      </c>
      <c r="G217" s="1">
        <v>186922858653000</v>
      </c>
      <c r="H217" s="1">
        <v>140192143038000</v>
      </c>
      <c r="I217">
        <f t="shared" si="3"/>
        <v>0</v>
      </c>
    </row>
    <row r="218" spans="1:9" x14ac:dyDescent="0.3">
      <c r="A218">
        <v>20151016</v>
      </c>
      <c r="B218" s="2" t="s">
        <v>4</v>
      </c>
      <c r="C218" s="8">
        <v>1269000</v>
      </c>
      <c r="D218" s="8">
        <v>1265000</v>
      </c>
      <c r="E218">
        <v>25300</v>
      </c>
      <c r="F218" s="8">
        <v>147299337</v>
      </c>
      <c r="G218" s="1">
        <v>186333661305000</v>
      </c>
      <c r="H218" s="1">
        <v>139750245030000</v>
      </c>
      <c r="I218">
        <f t="shared" si="3"/>
        <v>0</v>
      </c>
    </row>
    <row r="219" spans="1:9" x14ac:dyDescent="0.3">
      <c r="A219">
        <v>20151019</v>
      </c>
      <c r="B219" s="2" t="s">
        <v>4</v>
      </c>
      <c r="C219" s="8">
        <v>1265000</v>
      </c>
      <c r="D219" s="8">
        <v>1256000</v>
      </c>
      <c r="E219">
        <v>25120</v>
      </c>
      <c r="F219" s="8">
        <v>147299337</v>
      </c>
      <c r="G219" s="1">
        <v>185007967272000</v>
      </c>
      <c r="H219" s="1">
        <v>138755974512000</v>
      </c>
      <c r="I219">
        <f t="shared" si="3"/>
        <v>0</v>
      </c>
    </row>
    <row r="220" spans="1:9" x14ac:dyDescent="0.3">
      <c r="A220">
        <v>20151020</v>
      </c>
      <c r="B220" s="2" t="s">
        <v>4</v>
      </c>
      <c r="C220" s="8">
        <v>1256000</v>
      </c>
      <c r="D220" s="8">
        <v>1266000</v>
      </c>
      <c r="E220">
        <v>25320</v>
      </c>
      <c r="F220" s="8">
        <v>147299337</v>
      </c>
      <c r="G220" s="1">
        <v>186480960642000</v>
      </c>
      <c r="H220" s="1">
        <v>139860719532000</v>
      </c>
      <c r="I220">
        <f t="shared" si="3"/>
        <v>0</v>
      </c>
    </row>
    <row r="221" spans="1:9" x14ac:dyDescent="0.3">
      <c r="A221">
        <v>20151021</v>
      </c>
      <c r="B221" s="2" t="s">
        <v>4</v>
      </c>
      <c r="C221" s="8">
        <v>1266000</v>
      </c>
      <c r="D221" s="8">
        <v>1270000</v>
      </c>
      <c r="E221">
        <v>25400</v>
      </c>
      <c r="F221" s="8">
        <v>147299337</v>
      </c>
      <c r="G221" s="1">
        <v>187070157990000</v>
      </c>
      <c r="H221" s="1">
        <v>140302617540000</v>
      </c>
      <c r="I221">
        <f t="shared" si="3"/>
        <v>0</v>
      </c>
    </row>
    <row r="222" spans="1:9" x14ac:dyDescent="0.3">
      <c r="A222">
        <v>20151022</v>
      </c>
      <c r="B222" s="2" t="s">
        <v>4</v>
      </c>
      <c r="C222" s="8">
        <v>1270000</v>
      </c>
      <c r="D222" s="8">
        <v>1280000</v>
      </c>
      <c r="E222">
        <v>25600</v>
      </c>
      <c r="F222" s="8">
        <v>147299337</v>
      </c>
      <c r="G222" s="1">
        <v>188543151360000</v>
      </c>
      <c r="H222" s="1">
        <v>141407362560000</v>
      </c>
      <c r="I222">
        <f t="shared" si="3"/>
        <v>0</v>
      </c>
    </row>
    <row r="223" spans="1:9" x14ac:dyDescent="0.3">
      <c r="A223">
        <v>20151023</v>
      </c>
      <c r="B223" s="2" t="s">
        <v>4</v>
      </c>
      <c r="C223" s="8">
        <v>1280000</v>
      </c>
      <c r="D223" s="8">
        <v>1289000</v>
      </c>
      <c r="E223">
        <v>25780</v>
      </c>
      <c r="F223" s="8">
        <v>147299337</v>
      </c>
      <c r="G223" s="1">
        <v>189868845393000</v>
      </c>
      <c r="H223" s="1">
        <v>142401633078000</v>
      </c>
      <c r="I223">
        <f t="shared" si="3"/>
        <v>0</v>
      </c>
    </row>
    <row r="224" spans="1:9" x14ac:dyDescent="0.3">
      <c r="A224">
        <v>20151026</v>
      </c>
      <c r="B224" s="2" t="s">
        <v>4</v>
      </c>
      <c r="C224" s="8">
        <v>1289000</v>
      </c>
      <c r="D224" s="8">
        <v>1292000</v>
      </c>
      <c r="E224">
        <v>25840</v>
      </c>
      <c r="F224" s="8">
        <v>147299337</v>
      </c>
      <c r="G224" s="1">
        <v>190310743404000</v>
      </c>
      <c r="H224" s="1">
        <v>142733056584000</v>
      </c>
      <c r="I224">
        <f t="shared" si="3"/>
        <v>0</v>
      </c>
    </row>
    <row r="225" spans="1:9" x14ac:dyDescent="0.3">
      <c r="A225">
        <v>20151027</v>
      </c>
      <c r="B225" s="2" t="s">
        <v>4</v>
      </c>
      <c r="C225" s="8">
        <v>1292000</v>
      </c>
      <c r="D225" s="8">
        <v>1298000</v>
      </c>
      <c r="E225">
        <v>25960</v>
      </c>
      <c r="F225" s="8">
        <v>147299337</v>
      </c>
      <c r="G225" s="1">
        <v>191194539426000</v>
      </c>
      <c r="H225" s="1">
        <v>143395903596000</v>
      </c>
      <c r="I225">
        <f t="shared" si="3"/>
        <v>0</v>
      </c>
    </row>
    <row r="226" spans="1:9" x14ac:dyDescent="0.3">
      <c r="A226">
        <v>20151028</v>
      </c>
      <c r="B226" s="2" t="s">
        <v>4</v>
      </c>
      <c r="C226" s="8">
        <v>1298000</v>
      </c>
      <c r="D226" s="8">
        <v>1308000</v>
      </c>
      <c r="E226">
        <v>26160</v>
      </c>
      <c r="F226" s="8">
        <v>147299337</v>
      </c>
      <c r="G226" s="1">
        <v>192667532796000</v>
      </c>
      <c r="H226" s="1">
        <v>144500648616000</v>
      </c>
      <c r="I226">
        <f t="shared" si="3"/>
        <v>0</v>
      </c>
    </row>
    <row r="227" spans="1:9" x14ac:dyDescent="0.3">
      <c r="A227">
        <v>20151029</v>
      </c>
      <c r="B227" s="2" t="s">
        <v>4</v>
      </c>
      <c r="C227" s="8">
        <v>1308000</v>
      </c>
      <c r="D227" s="8">
        <v>1325000</v>
      </c>
      <c r="E227">
        <v>26500</v>
      </c>
      <c r="F227" s="8">
        <v>147299337</v>
      </c>
      <c r="G227" s="1">
        <v>195171621525000</v>
      </c>
      <c r="H227" s="1">
        <v>146378715150000</v>
      </c>
      <c r="I227">
        <f t="shared" si="3"/>
        <v>0</v>
      </c>
    </row>
    <row r="228" spans="1:9" x14ac:dyDescent="0.3">
      <c r="A228">
        <v>20151030</v>
      </c>
      <c r="B228" s="2" t="s">
        <v>4</v>
      </c>
      <c r="C228" s="8">
        <v>1325000</v>
      </c>
      <c r="D228" s="8">
        <v>1372000</v>
      </c>
      <c r="E228">
        <v>27440</v>
      </c>
      <c r="F228" s="8">
        <v>147299337</v>
      </c>
      <c r="G228" s="1">
        <v>202094690364000</v>
      </c>
      <c r="H228" s="1">
        <v>151571016744000</v>
      </c>
      <c r="I228">
        <f t="shared" si="3"/>
        <v>0</v>
      </c>
    </row>
    <row r="229" spans="1:9" x14ac:dyDescent="0.3">
      <c r="A229">
        <v>20151102</v>
      </c>
      <c r="B229" s="2" t="s">
        <v>4</v>
      </c>
      <c r="C229" s="8">
        <v>1372000</v>
      </c>
      <c r="D229" s="8">
        <v>1383000</v>
      </c>
      <c r="E229">
        <v>27660</v>
      </c>
      <c r="F229" s="8">
        <v>147299337</v>
      </c>
      <c r="G229" s="1">
        <v>203714983071000</v>
      </c>
      <c r="H229" s="1">
        <v>152786236266000</v>
      </c>
      <c r="I229">
        <f t="shared" si="3"/>
        <v>0</v>
      </c>
    </row>
    <row r="230" spans="1:9" x14ac:dyDescent="0.3">
      <c r="A230">
        <v>20151103</v>
      </c>
      <c r="B230" s="2" t="s">
        <v>4</v>
      </c>
      <c r="C230" s="8">
        <v>1383000</v>
      </c>
      <c r="D230" s="8">
        <v>1352000</v>
      </c>
      <c r="E230">
        <v>27040</v>
      </c>
      <c r="F230" s="8">
        <v>147299337</v>
      </c>
      <c r="G230" s="1">
        <v>199148703624000</v>
      </c>
      <c r="H230" s="1">
        <v>149361526704000</v>
      </c>
      <c r="I230">
        <f t="shared" si="3"/>
        <v>0</v>
      </c>
    </row>
    <row r="231" spans="1:9" x14ac:dyDescent="0.3">
      <c r="A231">
        <v>20151104</v>
      </c>
      <c r="B231" s="2" t="s">
        <v>4</v>
      </c>
      <c r="C231" s="8">
        <v>1352000</v>
      </c>
      <c r="D231" s="8">
        <v>1330000</v>
      </c>
      <c r="E231">
        <v>26600</v>
      </c>
      <c r="F231" s="8">
        <v>147299337</v>
      </c>
      <c r="G231" s="1">
        <v>195908118210000</v>
      </c>
      <c r="H231" s="1">
        <v>146931087660000</v>
      </c>
      <c r="I231">
        <f t="shared" si="3"/>
        <v>0</v>
      </c>
    </row>
    <row r="232" spans="1:9" x14ac:dyDescent="0.3">
      <c r="A232">
        <v>20151105</v>
      </c>
      <c r="B232" s="2" t="s">
        <v>4</v>
      </c>
      <c r="C232" s="8">
        <v>1330000</v>
      </c>
      <c r="D232" s="8">
        <v>1342000</v>
      </c>
      <c r="E232">
        <v>26840</v>
      </c>
      <c r="F232" s="8">
        <v>147299337</v>
      </c>
      <c r="G232" s="1">
        <v>197675710254000</v>
      </c>
      <c r="H232" s="1">
        <v>148256781684000</v>
      </c>
      <c r="I232">
        <f t="shared" si="3"/>
        <v>0</v>
      </c>
    </row>
    <row r="233" spans="1:9" x14ac:dyDescent="0.3">
      <c r="A233">
        <v>20151106</v>
      </c>
      <c r="B233" s="2" t="s">
        <v>4</v>
      </c>
      <c r="C233" s="8">
        <v>1342000</v>
      </c>
      <c r="D233" s="8">
        <v>1338000</v>
      </c>
      <c r="E233">
        <v>26760</v>
      </c>
      <c r="F233" s="8">
        <v>147299337</v>
      </c>
      <c r="G233" s="1">
        <v>197086512906000</v>
      </c>
      <c r="H233" s="1">
        <v>147814883676000</v>
      </c>
      <c r="I233">
        <f t="shared" si="3"/>
        <v>0</v>
      </c>
    </row>
    <row r="234" spans="1:9" x14ac:dyDescent="0.3">
      <c r="A234">
        <v>20151109</v>
      </c>
      <c r="B234" s="2" t="s">
        <v>4</v>
      </c>
      <c r="C234" s="8">
        <v>1338000</v>
      </c>
      <c r="D234" s="8">
        <v>1344000</v>
      </c>
      <c r="E234">
        <v>26880</v>
      </c>
      <c r="F234" s="8">
        <v>147299337</v>
      </c>
      <c r="G234" s="1">
        <v>197970308928000</v>
      </c>
      <c r="H234" s="1">
        <v>148477730688000</v>
      </c>
      <c r="I234">
        <f t="shared" si="3"/>
        <v>0</v>
      </c>
    </row>
    <row r="235" spans="1:9" x14ac:dyDescent="0.3">
      <c r="A235">
        <v>20151110</v>
      </c>
      <c r="B235" s="2" t="s">
        <v>4</v>
      </c>
      <c r="C235" s="8">
        <v>1344000</v>
      </c>
      <c r="D235" s="8">
        <v>1321000</v>
      </c>
      <c r="E235">
        <v>26420</v>
      </c>
      <c r="F235" s="8">
        <v>147299337</v>
      </c>
      <c r="G235" s="1">
        <v>194582424177000</v>
      </c>
      <c r="H235" s="1">
        <v>145936817142000</v>
      </c>
      <c r="I235">
        <f t="shared" si="3"/>
        <v>0</v>
      </c>
    </row>
    <row r="236" spans="1:9" x14ac:dyDescent="0.3">
      <c r="A236">
        <v>20151111</v>
      </c>
      <c r="B236" s="2" t="s">
        <v>4</v>
      </c>
      <c r="C236" s="8">
        <v>1321000</v>
      </c>
      <c r="D236" s="8">
        <v>1333000</v>
      </c>
      <c r="E236">
        <v>26660</v>
      </c>
      <c r="F236" s="8">
        <v>147299337</v>
      </c>
      <c r="G236" s="1">
        <v>196350016221000</v>
      </c>
      <c r="H236" s="1">
        <v>147262511166000</v>
      </c>
      <c r="I236">
        <f t="shared" si="3"/>
        <v>0</v>
      </c>
    </row>
    <row r="237" spans="1:9" x14ac:dyDescent="0.3">
      <c r="A237">
        <v>20151112</v>
      </c>
      <c r="B237" s="2" t="s">
        <v>4</v>
      </c>
      <c r="C237" s="8">
        <v>1333000</v>
      </c>
      <c r="D237" s="8">
        <v>1317000</v>
      </c>
      <c r="E237">
        <v>26340</v>
      </c>
      <c r="F237" s="8">
        <v>147299337</v>
      </c>
      <c r="G237" s="1">
        <v>193993226829000</v>
      </c>
      <c r="H237" s="1">
        <v>145494919134000</v>
      </c>
      <c r="I237">
        <f t="shared" si="3"/>
        <v>0</v>
      </c>
    </row>
    <row r="238" spans="1:9" x14ac:dyDescent="0.3">
      <c r="A238">
        <v>20151113</v>
      </c>
      <c r="B238" s="2" t="s">
        <v>4</v>
      </c>
      <c r="C238" s="8">
        <v>1317000</v>
      </c>
      <c r="D238" s="8">
        <v>1300000</v>
      </c>
      <c r="E238">
        <v>26000</v>
      </c>
      <c r="F238" s="8">
        <v>147299337</v>
      </c>
      <c r="G238" s="1">
        <v>191489138100000</v>
      </c>
      <c r="H238" s="1">
        <v>143616852600000</v>
      </c>
      <c r="I238">
        <f t="shared" si="3"/>
        <v>0</v>
      </c>
    </row>
    <row r="239" spans="1:9" x14ac:dyDescent="0.3">
      <c r="A239">
        <v>20151116</v>
      </c>
      <c r="B239" s="2" t="s">
        <v>4</v>
      </c>
      <c r="C239" s="8">
        <v>1300000</v>
      </c>
      <c r="D239" s="8">
        <v>1263000</v>
      </c>
      <c r="E239">
        <v>25260</v>
      </c>
      <c r="F239" s="8">
        <v>147299337</v>
      </c>
      <c r="G239" s="1">
        <v>186039062631000</v>
      </c>
      <c r="H239" s="1">
        <v>139529296026000</v>
      </c>
      <c r="I239">
        <f t="shared" si="3"/>
        <v>0</v>
      </c>
    </row>
    <row r="240" spans="1:9" x14ac:dyDescent="0.3">
      <c r="A240">
        <v>20151117</v>
      </c>
      <c r="B240" s="2" t="s">
        <v>4</v>
      </c>
      <c r="C240" s="8">
        <v>1263000</v>
      </c>
      <c r="D240" s="8">
        <v>1270000</v>
      </c>
      <c r="E240">
        <v>25400</v>
      </c>
      <c r="F240" s="8">
        <v>147299337</v>
      </c>
      <c r="G240" s="1">
        <v>187070157990000</v>
      </c>
      <c r="H240" s="1">
        <v>140302617540000</v>
      </c>
      <c r="I240">
        <f t="shared" si="3"/>
        <v>0</v>
      </c>
    </row>
    <row r="241" spans="1:9" x14ac:dyDescent="0.3">
      <c r="A241">
        <v>20151118</v>
      </c>
      <c r="B241" s="2" t="s">
        <v>4</v>
      </c>
      <c r="C241" s="8">
        <v>1270000</v>
      </c>
      <c r="D241" s="8">
        <v>1281000</v>
      </c>
      <c r="E241">
        <v>25620</v>
      </c>
      <c r="F241" s="8">
        <v>147299337</v>
      </c>
      <c r="G241" s="1">
        <v>188690450697000</v>
      </c>
      <c r="H241" s="1">
        <v>141517837062000</v>
      </c>
      <c r="I241">
        <f t="shared" si="3"/>
        <v>0</v>
      </c>
    </row>
    <row r="242" spans="1:9" x14ac:dyDescent="0.3">
      <c r="A242">
        <v>20151119</v>
      </c>
      <c r="B242" s="2" t="s">
        <v>4</v>
      </c>
      <c r="C242" s="8">
        <v>1281000</v>
      </c>
      <c r="D242" s="8">
        <v>1289000</v>
      </c>
      <c r="E242">
        <v>25780</v>
      </c>
      <c r="F242" s="8">
        <v>147299337</v>
      </c>
      <c r="G242" s="1">
        <v>189868845393000</v>
      </c>
      <c r="H242" s="1">
        <v>142401633078000</v>
      </c>
      <c r="I242">
        <f t="shared" si="3"/>
        <v>0</v>
      </c>
    </row>
    <row r="243" spans="1:9" x14ac:dyDescent="0.3">
      <c r="A243">
        <v>20151120</v>
      </c>
      <c r="B243" s="2" t="s">
        <v>4</v>
      </c>
      <c r="C243" s="8">
        <v>1289000</v>
      </c>
      <c r="D243" s="8">
        <v>1285000</v>
      </c>
      <c r="E243">
        <v>25700</v>
      </c>
      <c r="F243" s="8">
        <v>147299337</v>
      </c>
      <c r="G243" s="1">
        <v>189279648045000</v>
      </c>
      <c r="H243" s="1">
        <v>141959735070000</v>
      </c>
      <c r="I243">
        <f t="shared" si="3"/>
        <v>0</v>
      </c>
    </row>
    <row r="244" spans="1:9" x14ac:dyDescent="0.3">
      <c r="A244">
        <v>20151123</v>
      </c>
      <c r="B244" s="2" t="s">
        <v>4</v>
      </c>
      <c r="C244" s="8">
        <v>1285000</v>
      </c>
      <c r="D244" s="8">
        <v>1282000</v>
      </c>
      <c r="E244">
        <v>25640</v>
      </c>
      <c r="F244" s="8">
        <v>147299337</v>
      </c>
      <c r="G244" s="1">
        <v>188837750034000</v>
      </c>
      <c r="H244" s="1">
        <v>141628311564000</v>
      </c>
      <c r="I244">
        <f t="shared" si="3"/>
        <v>0</v>
      </c>
    </row>
    <row r="245" spans="1:9" x14ac:dyDescent="0.3">
      <c r="A245">
        <v>20151124</v>
      </c>
      <c r="B245" s="2" t="s">
        <v>4</v>
      </c>
      <c r="C245" s="8">
        <v>1282000</v>
      </c>
      <c r="D245" s="8">
        <v>1299000</v>
      </c>
      <c r="E245">
        <v>25980</v>
      </c>
      <c r="F245" s="8">
        <v>147299337</v>
      </c>
      <c r="G245" s="1">
        <v>191341838763000</v>
      </c>
      <c r="H245" s="1">
        <v>143506378098000</v>
      </c>
      <c r="I245">
        <f t="shared" si="3"/>
        <v>0</v>
      </c>
    </row>
    <row r="246" spans="1:9" x14ac:dyDescent="0.3">
      <c r="A246">
        <v>20151125</v>
      </c>
      <c r="B246" s="2" t="s">
        <v>4</v>
      </c>
      <c r="C246" s="8">
        <v>1299000</v>
      </c>
      <c r="D246" s="8">
        <v>1299000</v>
      </c>
      <c r="E246">
        <v>25980</v>
      </c>
      <c r="F246" s="8">
        <v>147299337</v>
      </c>
      <c r="G246" s="1">
        <v>191341838763000</v>
      </c>
      <c r="H246" s="1">
        <v>143506378098000</v>
      </c>
      <c r="I246">
        <f t="shared" si="3"/>
        <v>0</v>
      </c>
    </row>
    <row r="247" spans="1:9" x14ac:dyDescent="0.3">
      <c r="A247">
        <v>20151126</v>
      </c>
      <c r="B247" s="2" t="s">
        <v>4</v>
      </c>
      <c r="C247" s="8">
        <v>1299000</v>
      </c>
      <c r="D247" s="8">
        <v>1335000</v>
      </c>
      <c r="E247">
        <v>26700</v>
      </c>
      <c r="F247" s="8">
        <v>147299337</v>
      </c>
      <c r="G247" s="1">
        <v>196644614895000</v>
      </c>
      <c r="H247" s="1">
        <v>147483460170000</v>
      </c>
      <c r="I247">
        <f t="shared" si="3"/>
        <v>0</v>
      </c>
    </row>
    <row r="248" spans="1:9" x14ac:dyDescent="0.3">
      <c r="A248">
        <v>20151127</v>
      </c>
      <c r="B248" s="2" t="s">
        <v>4</v>
      </c>
      <c r="C248" s="8">
        <v>1335000</v>
      </c>
      <c r="D248" s="8">
        <v>1327000</v>
      </c>
      <c r="E248">
        <v>26540</v>
      </c>
      <c r="F248" s="8">
        <v>147299337</v>
      </c>
      <c r="G248" s="1">
        <v>195466220199000</v>
      </c>
      <c r="H248" s="1">
        <v>146599664154000</v>
      </c>
      <c r="I248">
        <f t="shared" si="3"/>
        <v>0</v>
      </c>
    </row>
    <row r="249" spans="1:9" x14ac:dyDescent="0.3">
      <c r="A249">
        <v>20151130</v>
      </c>
      <c r="B249" s="2" t="s">
        <v>4</v>
      </c>
      <c r="C249" s="8">
        <v>1327000</v>
      </c>
      <c r="D249" s="8">
        <v>1284000</v>
      </c>
      <c r="E249">
        <v>25680</v>
      </c>
      <c r="F249" s="8">
        <v>147299337</v>
      </c>
      <c r="G249" s="1">
        <v>189132348708000</v>
      </c>
      <c r="H249" s="1">
        <v>141849260568000</v>
      </c>
      <c r="I249">
        <f t="shared" si="3"/>
        <v>0</v>
      </c>
    </row>
    <row r="250" spans="1:9" x14ac:dyDescent="0.3">
      <c r="A250">
        <v>20151201</v>
      </c>
      <c r="B250" s="2" t="s">
        <v>4</v>
      </c>
      <c r="C250" s="8">
        <v>1284000</v>
      </c>
      <c r="D250" s="8">
        <v>1321000</v>
      </c>
      <c r="E250">
        <v>26420</v>
      </c>
      <c r="F250" s="8">
        <v>147299337</v>
      </c>
      <c r="G250" s="1">
        <v>194582424177000</v>
      </c>
      <c r="H250" s="1">
        <v>145936817142000</v>
      </c>
      <c r="I250">
        <f t="shared" si="3"/>
        <v>0</v>
      </c>
    </row>
    <row r="251" spans="1:9" x14ac:dyDescent="0.3">
      <c r="A251">
        <v>20151202</v>
      </c>
      <c r="B251" s="2" t="s">
        <v>4</v>
      </c>
      <c r="C251" s="8">
        <v>1321000</v>
      </c>
      <c r="D251" s="8">
        <v>1300000</v>
      </c>
      <c r="E251">
        <v>26000</v>
      </c>
      <c r="F251" s="8">
        <v>147299337</v>
      </c>
      <c r="G251" s="1">
        <v>191489138100000</v>
      </c>
      <c r="H251" s="1">
        <v>143616852600000</v>
      </c>
      <c r="I251">
        <f t="shared" si="3"/>
        <v>0</v>
      </c>
    </row>
    <row r="252" spans="1:9" x14ac:dyDescent="0.3">
      <c r="A252">
        <v>20151203</v>
      </c>
      <c r="B252" s="2" t="s">
        <v>4</v>
      </c>
      <c r="C252" s="8">
        <v>1300000</v>
      </c>
      <c r="D252" s="8">
        <v>1290000</v>
      </c>
      <c r="E252">
        <v>25800</v>
      </c>
      <c r="F252" s="8">
        <v>147299337</v>
      </c>
      <c r="G252" s="1">
        <v>190016144730000</v>
      </c>
      <c r="H252" s="1">
        <v>142512107580000</v>
      </c>
      <c r="I252">
        <f t="shared" si="3"/>
        <v>0</v>
      </c>
    </row>
    <row r="253" spans="1:9" x14ac:dyDescent="0.3">
      <c r="A253">
        <v>20151204</v>
      </c>
      <c r="B253" s="2" t="s">
        <v>4</v>
      </c>
      <c r="C253" s="8">
        <v>1290000</v>
      </c>
      <c r="D253" s="8">
        <v>1269000</v>
      </c>
      <c r="E253">
        <v>25380</v>
      </c>
      <c r="F253" s="8">
        <v>147299337</v>
      </c>
      <c r="G253" s="1">
        <v>186922858653000</v>
      </c>
      <c r="H253" s="1">
        <v>140192143038000</v>
      </c>
      <c r="I253">
        <f t="shared" si="3"/>
        <v>0</v>
      </c>
    </row>
    <row r="254" spans="1:9" x14ac:dyDescent="0.3">
      <c r="A254">
        <v>20151207</v>
      </c>
      <c r="B254" s="2" t="s">
        <v>4</v>
      </c>
      <c r="C254" s="8">
        <v>1269000</v>
      </c>
      <c r="D254" s="8">
        <v>1262000</v>
      </c>
      <c r="E254">
        <v>25240</v>
      </c>
      <c r="F254" s="8">
        <v>147299337</v>
      </c>
      <c r="G254" s="1">
        <v>185891763294000</v>
      </c>
      <c r="H254" s="1">
        <v>139418821524000</v>
      </c>
      <c r="I254">
        <f t="shared" si="3"/>
        <v>0</v>
      </c>
    </row>
    <row r="255" spans="1:9" x14ac:dyDescent="0.3">
      <c r="A255">
        <v>20151208</v>
      </c>
      <c r="B255" s="2" t="s">
        <v>4</v>
      </c>
      <c r="C255" s="8">
        <v>1262000</v>
      </c>
      <c r="D255" s="8">
        <v>1262000</v>
      </c>
      <c r="E255">
        <v>25240</v>
      </c>
      <c r="F255" s="8">
        <v>147299337</v>
      </c>
      <c r="G255" s="1">
        <v>185891763294000</v>
      </c>
      <c r="H255" s="1">
        <v>139418821524000</v>
      </c>
      <c r="I255">
        <f t="shared" si="3"/>
        <v>0</v>
      </c>
    </row>
    <row r="256" spans="1:9" x14ac:dyDescent="0.3">
      <c r="A256">
        <v>20151209</v>
      </c>
      <c r="B256" s="2" t="s">
        <v>4</v>
      </c>
      <c r="C256" s="8">
        <v>1262000</v>
      </c>
      <c r="D256" s="8">
        <v>1263000</v>
      </c>
      <c r="E256">
        <v>25260</v>
      </c>
      <c r="F256" s="8">
        <v>147299337</v>
      </c>
      <c r="G256" s="1">
        <v>186039062631000</v>
      </c>
      <c r="H256" s="1">
        <v>139529296026000</v>
      </c>
      <c r="I256">
        <f t="shared" si="3"/>
        <v>0</v>
      </c>
    </row>
    <row r="257" spans="1:9" x14ac:dyDescent="0.3">
      <c r="A257">
        <v>20151210</v>
      </c>
      <c r="B257" s="2" t="s">
        <v>4</v>
      </c>
      <c r="C257" s="8">
        <v>1263000</v>
      </c>
      <c r="D257" s="8">
        <v>1283000</v>
      </c>
      <c r="E257">
        <v>25660</v>
      </c>
      <c r="F257" s="8">
        <v>147299337</v>
      </c>
      <c r="G257" s="1">
        <v>188985049371000</v>
      </c>
      <c r="H257" s="1">
        <v>141738786066000</v>
      </c>
      <c r="I257">
        <f t="shared" si="3"/>
        <v>0</v>
      </c>
    </row>
    <row r="258" spans="1:9" x14ac:dyDescent="0.3">
      <c r="A258">
        <v>20151211</v>
      </c>
      <c r="B258" s="2" t="s">
        <v>4</v>
      </c>
      <c r="C258" s="8">
        <v>1283000</v>
      </c>
      <c r="D258" s="8">
        <v>1284000</v>
      </c>
      <c r="E258">
        <v>25680</v>
      </c>
      <c r="F258" s="8">
        <v>147299337</v>
      </c>
      <c r="G258" s="1">
        <v>189132348708000</v>
      </c>
      <c r="H258" s="1">
        <v>141849260568000</v>
      </c>
      <c r="I258">
        <f t="shared" si="3"/>
        <v>0</v>
      </c>
    </row>
    <row r="259" spans="1:9" x14ac:dyDescent="0.3">
      <c r="A259">
        <v>20151214</v>
      </c>
      <c r="B259" s="2" t="s">
        <v>4</v>
      </c>
      <c r="C259" s="8">
        <v>1284000</v>
      </c>
      <c r="D259" s="8">
        <v>1261000</v>
      </c>
      <c r="E259">
        <v>25220</v>
      </c>
      <c r="F259" s="8">
        <v>147299337</v>
      </c>
      <c r="G259" s="1">
        <v>185744463957000</v>
      </c>
      <c r="H259" s="1">
        <v>139308347022000</v>
      </c>
      <c r="I259">
        <f t="shared" si="3"/>
        <v>0</v>
      </c>
    </row>
    <row r="260" spans="1:9" x14ac:dyDescent="0.3">
      <c r="A260">
        <v>20151215</v>
      </c>
      <c r="B260" s="2" t="s">
        <v>4</v>
      </c>
      <c r="C260" s="8">
        <v>1261000</v>
      </c>
      <c r="D260" s="8">
        <v>1277000</v>
      </c>
      <c r="E260">
        <v>25540</v>
      </c>
      <c r="F260" s="8">
        <v>147299337</v>
      </c>
      <c r="G260" s="1">
        <v>188101253349000</v>
      </c>
      <c r="H260" s="1">
        <v>141075939054000</v>
      </c>
      <c r="I260">
        <f t="shared" ref="I260:I323" si="4">IF(C260*F260=D259*F259,0,1)</f>
        <v>0</v>
      </c>
    </row>
    <row r="261" spans="1:9" x14ac:dyDescent="0.3">
      <c r="A261">
        <v>20151216</v>
      </c>
      <c r="B261" s="2" t="s">
        <v>4</v>
      </c>
      <c r="C261" s="8">
        <v>1277000</v>
      </c>
      <c r="D261" s="8">
        <v>1299000</v>
      </c>
      <c r="E261">
        <v>25980</v>
      </c>
      <c r="F261" s="8">
        <v>147299337</v>
      </c>
      <c r="G261" s="1">
        <v>191341838763000</v>
      </c>
      <c r="H261" s="1">
        <v>143506378098000</v>
      </c>
      <c r="I261">
        <f t="shared" si="4"/>
        <v>0</v>
      </c>
    </row>
    <row r="262" spans="1:9" x14ac:dyDescent="0.3">
      <c r="A262">
        <v>20151217</v>
      </c>
      <c r="B262" s="2" t="s">
        <v>4</v>
      </c>
      <c r="C262" s="8">
        <v>1299000</v>
      </c>
      <c r="D262" s="8">
        <v>1290000</v>
      </c>
      <c r="E262">
        <v>25800</v>
      </c>
      <c r="F262" s="8">
        <v>147299337</v>
      </c>
      <c r="G262" s="1">
        <v>190016144730000</v>
      </c>
      <c r="H262" s="1">
        <v>142512107580000</v>
      </c>
      <c r="I262">
        <f t="shared" si="4"/>
        <v>0</v>
      </c>
    </row>
    <row r="263" spans="1:9" x14ac:dyDescent="0.3">
      <c r="A263">
        <v>20151218</v>
      </c>
      <c r="B263" s="2" t="s">
        <v>4</v>
      </c>
      <c r="C263" s="8">
        <v>1290000</v>
      </c>
      <c r="D263" s="8">
        <v>1278000</v>
      </c>
      <c r="E263">
        <v>25560</v>
      </c>
      <c r="F263" s="8">
        <v>147299337</v>
      </c>
      <c r="G263" s="1">
        <v>188248552686000</v>
      </c>
      <c r="H263" s="1">
        <v>141186413556000</v>
      </c>
      <c r="I263">
        <f t="shared" si="4"/>
        <v>0</v>
      </c>
    </row>
    <row r="264" spans="1:9" x14ac:dyDescent="0.3">
      <c r="A264">
        <v>20151221</v>
      </c>
      <c r="B264" s="2" t="s">
        <v>4</v>
      </c>
      <c r="C264" s="8">
        <v>1278000</v>
      </c>
      <c r="D264" s="8">
        <v>1280000</v>
      </c>
      <c r="E264">
        <v>25600</v>
      </c>
      <c r="F264" s="8">
        <v>147299337</v>
      </c>
      <c r="G264" s="1">
        <v>188543151360000</v>
      </c>
      <c r="H264" s="1">
        <v>141407362560000</v>
      </c>
      <c r="I264">
        <f t="shared" si="4"/>
        <v>0</v>
      </c>
    </row>
    <row r="265" spans="1:9" x14ac:dyDescent="0.3">
      <c r="A265">
        <v>20151222</v>
      </c>
      <c r="B265" s="2" t="s">
        <v>4</v>
      </c>
      <c r="C265" s="8">
        <v>1280000</v>
      </c>
      <c r="D265" s="8">
        <v>1292000</v>
      </c>
      <c r="E265">
        <v>25840</v>
      </c>
      <c r="F265" s="8">
        <v>147299337</v>
      </c>
      <c r="G265" s="1">
        <v>190310743404000</v>
      </c>
      <c r="H265" s="1">
        <v>142733056584000</v>
      </c>
      <c r="I265">
        <f t="shared" si="4"/>
        <v>0</v>
      </c>
    </row>
    <row r="266" spans="1:9" x14ac:dyDescent="0.3">
      <c r="A266">
        <v>20151223</v>
      </c>
      <c r="B266" s="2" t="s">
        <v>4</v>
      </c>
      <c r="C266" s="8">
        <v>1292000</v>
      </c>
      <c r="D266" s="8">
        <v>1295000</v>
      </c>
      <c r="E266">
        <v>25900</v>
      </c>
      <c r="F266" s="8">
        <v>147299337</v>
      </c>
      <c r="G266" s="1">
        <v>190752641415000</v>
      </c>
      <c r="H266" s="1">
        <v>143064480090000</v>
      </c>
      <c r="I266">
        <f t="shared" si="4"/>
        <v>0</v>
      </c>
    </row>
    <row r="267" spans="1:9" x14ac:dyDescent="0.3">
      <c r="A267">
        <v>20151224</v>
      </c>
      <c r="B267" s="2" t="s">
        <v>4</v>
      </c>
      <c r="C267" s="8">
        <v>1295000</v>
      </c>
      <c r="D267" s="8">
        <v>1285000</v>
      </c>
      <c r="E267">
        <v>25700</v>
      </c>
      <c r="F267" s="8">
        <v>147299337</v>
      </c>
      <c r="G267" s="1">
        <v>189279648045000</v>
      </c>
      <c r="H267" s="1">
        <v>141959735070000</v>
      </c>
      <c r="I267">
        <f t="shared" si="4"/>
        <v>0</v>
      </c>
    </row>
    <row r="268" spans="1:9" x14ac:dyDescent="0.3">
      <c r="A268">
        <v>20151228</v>
      </c>
      <c r="B268" s="2" t="s">
        <v>4</v>
      </c>
      <c r="C268" s="8">
        <v>1285000</v>
      </c>
      <c r="D268" s="8">
        <v>1266000</v>
      </c>
      <c r="E268">
        <v>25320</v>
      </c>
      <c r="F268" s="8">
        <v>147299337</v>
      </c>
      <c r="G268" s="1">
        <v>186480960642000</v>
      </c>
      <c r="H268" s="1">
        <v>139860719532000</v>
      </c>
      <c r="I268">
        <f t="shared" si="4"/>
        <v>0</v>
      </c>
    </row>
    <row r="269" spans="1:9" x14ac:dyDescent="0.3">
      <c r="A269">
        <v>20151229</v>
      </c>
      <c r="B269" s="2" t="s">
        <v>4</v>
      </c>
      <c r="C269" s="8">
        <v>1266000</v>
      </c>
      <c r="D269" s="8">
        <v>1254000</v>
      </c>
      <c r="E269">
        <v>25080</v>
      </c>
      <c r="F269" s="8">
        <v>147299337</v>
      </c>
      <c r="G269" s="1">
        <v>184713368598000</v>
      </c>
      <c r="H269" s="1">
        <v>138535025508000</v>
      </c>
      <c r="I269">
        <f t="shared" si="4"/>
        <v>0</v>
      </c>
    </row>
    <row r="270" spans="1:9" x14ac:dyDescent="0.3">
      <c r="A270">
        <v>20151230</v>
      </c>
      <c r="B270" s="2" t="s">
        <v>4</v>
      </c>
      <c r="C270" s="8">
        <v>1254000</v>
      </c>
      <c r="D270" s="8">
        <v>1260000</v>
      </c>
      <c r="E270">
        <v>25200</v>
      </c>
      <c r="F270" s="8">
        <v>147299337</v>
      </c>
      <c r="G270" s="1">
        <v>185597164620000</v>
      </c>
      <c r="H270" s="1">
        <v>139197872520000</v>
      </c>
      <c r="I270">
        <f t="shared" si="4"/>
        <v>0</v>
      </c>
    </row>
    <row r="271" spans="1:9" x14ac:dyDescent="0.3">
      <c r="A271">
        <v>20160104</v>
      </c>
      <c r="B271" s="2" t="s">
        <v>4</v>
      </c>
      <c r="C271" s="8">
        <v>1260000</v>
      </c>
      <c r="D271" s="8">
        <v>1205000</v>
      </c>
      <c r="E271">
        <v>24100</v>
      </c>
      <c r="F271" s="8">
        <v>147299337</v>
      </c>
      <c r="G271" s="1">
        <v>177495701085000</v>
      </c>
      <c r="H271" s="1">
        <v>133121774910000</v>
      </c>
      <c r="I271">
        <f t="shared" si="4"/>
        <v>0</v>
      </c>
    </row>
    <row r="272" spans="1:9" x14ac:dyDescent="0.3">
      <c r="A272">
        <v>20160105</v>
      </c>
      <c r="B272" s="2" t="s">
        <v>4</v>
      </c>
      <c r="C272" s="8">
        <v>1205000</v>
      </c>
      <c r="D272" s="8">
        <v>1208000</v>
      </c>
      <c r="E272">
        <v>24160</v>
      </c>
      <c r="F272" s="8">
        <v>147299337</v>
      </c>
      <c r="G272" s="1">
        <v>177937599096000</v>
      </c>
      <c r="H272" s="1">
        <v>133453198416000</v>
      </c>
      <c r="I272">
        <f t="shared" si="4"/>
        <v>0</v>
      </c>
    </row>
    <row r="273" spans="1:9" x14ac:dyDescent="0.3">
      <c r="A273">
        <v>20160106</v>
      </c>
      <c r="B273" s="2" t="s">
        <v>4</v>
      </c>
      <c r="C273" s="8">
        <v>1208000</v>
      </c>
      <c r="D273" s="8">
        <v>1175000</v>
      </c>
      <c r="E273">
        <v>23500</v>
      </c>
      <c r="F273" s="8">
        <v>147299337</v>
      </c>
      <c r="G273" s="1">
        <v>173076720975000</v>
      </c>
      <c r="H273" s="1">
        <v>129807539850000</v>
      </c>
      <c r="I273">
        <f t="shared" si="4"/>
        <v>0</v>
      </c>
    </row>
    <row r="274" spans="1:9" x14ac:dyDescent="0.3">
      <c r="A274">
        <v>20160107</v>
      </c>
      <c r="B274" s="2" t="s">
        <v>4</v>
      </c>
      <c r="C274" s="8">
        <v>1175000</v>
      </c>
      <c r="D274" s="8">
        <v>1163000</v>
      </c>
      <c r="E274">
        <v>23260</v>
      </c>
      <c r="F274" s="8">
        <v>147299337</v>
      </c>
      <c r="G274" s="1">
        <v>171309128931000</v>
      </c>
      <c r="H274" s="1">
        <v>128481845826000</v>
      </c>
      <c r="I274">
        <f t="shared" si="4"/>
        <v>0</v>
      </c>
    </row>
    <row r="275" spans="1:9" x14ac:dyDescent="0.3">
      <c r="A275">
        <v>20160108</v>
      </c>
      <c r="B275" s="2" t="s">
        <v>4</v>
      </c>
      <c r="C275" s="8">
        <v>1163000</v>
      </c>
      <c r="D275" s="8">
        <v>1171000</v>
      </c>
      <c r="E275">
        <v>23420</v>
      </c>
      <c r="F275" s="8">
        <v>147299337</v>
      </c>
      <c r="G275" s="1">
        <v>172487523627000</v>
      </c>
      <c r="H275" s="1">
        <v>129365641842000</v>
      </c>
      <c r="I275">
        <f t="shared" si="4"/>
        <v>0</v>
      </c>
    </row>
    <row r="276" spans="1:9" x14ac:dyDescent="0.3">
      <c r="A276">
        <v>20160111</v>
      </c>
      <c r="B276" s="2" t="s">
        <v>4</v>
      </c>
      <c r="C276" s="8">
        <v>1171000</v>
      </c>
      <c r="D276" s="8">
        <v>1152000</v>
      </c>
      <c r="E276">
        <v>23040</v>
      </c>
      <c r="F276" s="8">
        <v>147299337</v>
      </c>
      <c r="G276" s="1">
        <v>169688836224000</v>
      </c>
      <c r="H276" s="1">
        <v>127266626304000</v>
      </c>
      <c r="I276">
        <f t="shared" si="4"/>
        <v>0</v>
      </c>
    </row>
    <row r="277" spans="1:9" x14ac:dyDescent="0.3">
      <c r="A277">
        <v>20160112</v>
      </c>
      <c r="B277" s="2" t="s">
        <v>4</v>
      </c>
      <c r="C277" s="8">
        <v>1152000</v>
      </c>
      <c r="D277" s="8">
        <v>1146000</v>
      </c>
      <c r="E277">
        <v>22920</v>
      </c>
      <c r="F277" s="8">
        <v>147299337</v>
      </c>
      <c r="G277" s="1">
        <v>168805040202000</v>
      </c>
      <c r="H277" s="1">
        <v>126603779292000</v>
      </c>
      <c r="I277">
        <f t="shared" si="4"/>
        <v>0</v>
      </c>
    </row>
    <row r="278" spans="1:9" x14ac:dyDescent="0.3">
      <c r="A278">
        <v>20160113</v>
      </c>
      <c r="B278" s="2" t="s">
        <v>4</v>
      </c>
      <c r="C278" s="8">
        <v>1146000</v>
      </c>
      <c r="D278" s="8">
        <v>1148000</v>
      </c>
      <c r="E278">
        <v>22960</v>
      </c>
      <c r="F278" s="8">
        <v>147299337</v>
      </c>
      <c r="G278" s="1">
        <v>169099638876000</v>
      </c>
      <c r="H278" s="1">
        <v>126824728296000</v>
      </c>
      <c r="I278">
        <f t="shared" si="4"/>
        <v>0</v>
      </c>
    </row>
    <row r="279" spans="1:9" x14ac:dyDescent="0.3">
      <c r="A279">
        <v>20160114</v>
      </c>
      <c r="B279" s="2" t="s">
        <v>4</v>
      </c>
      <c r="C279" s="8">
        <v>1148000</v>
      </c>
      <c r="D279" s="8">
        <v>1138000</v>
      </c>
      <c r="E279">
        <v>22760</v>
      </c>
      <c r="F279" s="8">
        <v>147299337</v>
      </c>
      <c r="G279" s="1">
        <v>167626645506000</v>
      </c>
      <c r="H279" s="1">
        <v>125719983276000</v>
      </c>
      <c r="I279">
        <f t="shared" si="4"/>
        <v>0</v>
      </c>
    </row>
    <row r="280" spans="1:9" x14ac:dyDescent="0.3">
      <c r="A280">
        <v>20160115</v>
      </c>
      <c r="B280" s="2" t="s">
        <v>4</v>
      </c>
      <c r="C280" s="8">
        <v>1138000</v>
      </c>
      <c r="D280" s="8">
        <v>1132000</v>
      </c>
      <c r="E280">
        <v>22640</v>
      </c>
      <c r="F280" s="8">
        <v>147299337</v>
      </c>
      <c r="G280" s="1">
        <v>166742849484000</v>
      </c>
      <c r="H280" s="1">
        <v>125057136264000</v>
      </c>
      <c r="I280">
        <f t="shared" si="4"/>
        <v>0</v>
      </c>
    </row>
    <row r="281" spans="1:9" x14ac:dyDescent="0.3">
      <c r="A281">
        <v>20160118</v>
      </c>
      <c r="B281" s="2" t="s">
        <v>4</v>
      </c>
      <c r="C281" s="8">
        <v>1132000</v>
      </c>
      <c r="D281" s="8">
        <v>1126000</v>
      </c>
      <c r="E281">
        <v>22520</v>
      </c>
      <c r="F281" s="8">
        <v>147299337</v>
      </c>
      <c r="G281" s="1">
        <v>165859053462000</v>
      </c>
      <c r="H281" s="1">
        <v>124394289252000</v>
      </c>
      <c r="I281">
        <f t="shared" si="4"/>
        <v>0</v>
      </c>
    </row>
    <row r="282" spans="1:9" x14ac:dyDescent="0.3">
      <c r="A282">
        <v>20160119</v>
      </c>
      <c r="B282" s="2" t="s">
        <v>4</v>
      </c>
      <c r="C282" s="8">
        <v>1126000</v>
      </c>
      <c r="D282" s="8">
        <v>1171000</v>
      </c>
      <c r="E282">
        <v>23420</v>
      </c>
      <c r="F282" s="8">
        <v>147299337</v>
      </c>
      <c r="G282" s="1">
        <v>172487523627000</v>
      </c>
      <c r="H282" s="1">
        <v>129365641842000</v>
      </c>
      <c r="I282">
        <f t="shared" si="4"/>
        <v>0</v>
      </c>
    </row>
    <row r="283" spans="1:9" x14ac:dyDescent="0.3">
      <c r="A283">
        <v>20160120</v>
      </c>
      <c r="B283" s="2" t="s">
        <v>4</v>
      </c>
      <c r="C283" s="8">
        <v>1171000</v>
      </c>
      <c r="D283" s="8">
        <v>1138000</v>
      </c>
      <c r="E283">
        <v>22760</v>
      </c>
      <c r="F283" s="8">
        <v>147299337</v>
      </c>
      <c r="G283" s="1">
        <v>167626645506000</v>
      </c>
      <c r="H283" s="1">
        <v>125719983276000</v>
      </c>
      <c r="I283">
        <f t="shared" si="4"/>
        <v>0</v>
      </c>
    </row>
    <row r="284" spans="1:9" x14ac:dyDescent="0.3">
      <c r="A284">
        <v>20160121</v>
      </c>
      <c r="B284" s="2" t="s">
        <v>4</v>
      </c>
      <c r="C284" s="8">
        <v>1138000</v>
      </c>
      <c r="D284" s="8">
        <v>1131000</v>
      </c>
      <c r="E284">
        <v>22620</v>
      </c>
      <c r="F284" s="8">
        <v>147299337</v>
      </c>
      <c r="G284" s="1">
        <v>166595550147000</v>
      </c>
      <c r="H284" s="1">
        <v>124946661762000</v>
      </c>
      <c r="I284">
        <f t="shared" si="4"/>
        <v>0</v>
      </c>
    </row>
    <row r="285" spans="1:9" x14ac:dyDescent="0.3">
      <c r="A285">
        <v>20160122</v>
      </c>
      <c r="B285" s="2" t="s">
        <v>4</v>
      </c>
      <c r="C285" s="8">
        <v>1131000</v>
      </c>
      <c r="D285" s="8">
        <v>1168000</v>
      </c>
      <c r="E285">
        <v>23360</v>
      </c>
      <c r="F285" s="8">
        <v>147299337</v>
      </c>
      <c r="G285" s="1">
        <v>172045625616000</v>
      </c>
      <c r="H285" s="1">
        <v>129034218336000</v>
      </c>
      <c r="I285">
        <f t="shared" si="4"/>
        <v>0</v>
      </c>
    </row>
    <row r="286" spans="1:9" x14ac:dyDescent="0.3">
      <c r="A286">
        <v>20160125</v>
      </c>
      <c r="B286" s="2" t="s">
        <v>4</v>
      </c>
      <c r="C286" s="8">
        <v>1168000</v>
      </c>
      <c r="D286" s="8">
        <v>1162000</v>
      </c>
      <c r="E286">
        <v>23240</v>
      </c>
      <c r="F286" s="8">
        <v>147299337</v>
      </c>
      <c r="G286" s="1">
        <v>171161829594000</v>
      </c>
      <c r="H286" s="1">
        <v>128371371324000</v>
      </c>
      <c r="I286">
        <f t="shared" si="4"/>
        <v>0</v>
      </c>
    </row>
    <row r="287" spans="1:9" x14ac:dyDescent="0.3">
      <c r="A287">
        <v>20160126</v>
      </c>
      <c r="B287" s="2" t="s">
        <v>4</v>
      </c>
      <c r="C287" s="8">
        <v>1162000</v>
      </c>
      <c r="D287" s="8">
        <v>1137000</v>
      </c>
      <c r="E287">
        <v>22740</v>
      </c>
      <c r="F287" s="8">
        <v>147299337</v>
      </c>
      <c r="G287" s="1">
        <v>167479346169000</v>
      </c>
      <c r="H287" s="1">
        <v>125609508774000</v>
      </c>
      <c r="I287">
        <f t="shared" si="4"/>
        <v>0</v>
      </c>
    </row>
    <row r="288" spans="1:9" x14ac:dyDescent="0.3">
      <c r="A288">
        <v>20160127</v>
      </c>
      <c r="B288" s="2" t="s">
        <v>4</v>
      </c>
      <c r="C288" s="8">
        <v>1137000</v>
      </c>
      <c r="D288" s="8">
        <v>1175000</v>
      </c>
      <c r="E288">
        <v>23500</v>
      </c>
      <c r="F288" s="8">
        <v>147299337</v>
      </c>
      <c r="G288" s="1">
        <v>173076720975000</v>
      </c>
      <c r="H288" s="1">
        <v>129807539850000</v>
      </c>
      <c r="I288">
        <f t="shared" si="4"/>
        <v>0</v>
      </c>
    </row>
    <row r="289" spans="1:10" x14ac:dyDescent="0.3">
      <c r="A289">
        <v>20160128</v>
      </c>
      <c r="B289" s="2" t="s">
        <v>4</v>
      </c>
      <c r="C289" s="8">
        <v>1175000</v>
      </c>
      <c r="D289" s="8">
        <v>1145000</v>
      </c>
      <c r="E289">
        <v>22900</v>
      </c>
      <c r="F289" s="8">
        <v>147299337</v>
      </c>
      <c r="G289" s="1">
        <v>168657740865000</v>
      </c>
      <c r="H289" s="1">
        <v>126493304790000</v>
      </c>
      <c r="I289">
        <f t="shared" si="4"/>
        <v>0</v>
      </c>
    </row>
    <row r="290" spans="1:10" x14ac:dyDescent="0.3">
      <c r="A290" s="5">
        <v>20160129</v>
      </c>
      <c r="B290" s="6" t="s">
        <v>4</v>
      </c>
      <c r="C290" s="8">
        <v>1145000</v>
      </c>
      <c r="D290" s="8">
        <v>1150000</v>
      </c>
      <c r="E290" s="5">
        <v>23000</v>
      </c>
      <c r="F290" s="8">
        <v>145069337</v>
      </c>
      <c r="G290" s="7">
        <v>166829737550000</v>
      </c>
      <c r="H290" s="7">
        <v>125122302300000</v>
      </c>
      <c r="I290" s="5">
        <f t="shared" si="4"/>
        <v>1</v>
      </c>
      <c r="J290" t="s">
        <v>24</v>
      </c>
    </row>
    <row r="291" spans="1:10" x14ac:dyDescent="0.3">
      <c r="A291">
        <v>20160201</v>
      </c>
      <c r="B291" s="2" t="s">
        <v>4</v>
      </c>
      <c r="C291" s="8">
        <v>1150000</v>
      </c>
      <c r="D291" s="8">
        <v>1163000</v>
      </c>
      <c r="E291">
        <v>23260</v>
      </c>
      <c r="F291" s="8">
        <v>145069337</v>
      </c>
      <c r="G291" s="1">
        <v>168715638931000</v>
      </c>
      <c r="H291" s="1">
        <v>126536728326000</v>
      </c>
      <c r="I291">
        <f t="shared" si="4"/>
        <v>0</v>
      </c>
    </row>
    <row r="292" spans="1:10" x14ac:dyDescent="0.3">
      <c r="A292">
        <v>20160202</v>
      </c>
      <c r="B292" s="2" t="s">
        <v>4</v>
      </c>
      <c r="C292" s="8">
        <v>1163000</v>
      </c>
      <c r="D292" s="8">
        <v>1156000</v>
      </c>
      <c r="E292">
        <v>23120</v>
      </c>
      <c r="F292" s="8">
        <v>145069337</v>
      </c>
      <c r="G292" s="1">
        <v>167700153572000</v>
      </c>
      <c r="H292" s="1">
        <v>125775114312000</v>
      </c>
      <c r="I292">
        <f t="shared" si="4"/>
        <v>0</v>
      </c>
    </row>
    <row r="293" spans="1:10" x14ac:dyDescent="0.3">
      <c r="A293">
        <v>20160203</v>
      </c>
      <c r="B293" s="2" t="s">
        <v>4</v>
      </c>
      <c r="C293" s="8">
        <v>1156000</v>
      </c>
      <c r="D293" s="8">
        <v>1146000</v>
      </c>
      <c r="E293">
        <v>22920</v>
      </c>
      <c r="F293" s="8">
        <v>145069337</v>
      </c>
      <c r="G293" s="1">
        <v>166249460202000</v>
      </c>
      <c r="H293" s="1">
        <v>124687094292000</v>
      </c>
      <c r="I293">
        <f t="shared" si="4"/>
        <v>0</v>
      </c>
    </row>
    <row r="294" spans="1:10" x14ac:dyDescent="0.3">
      <c r="A294">
        <v>20160204</v>
      </c>
      <c r="B294" s="2" t="s">
        <v>4</v>
      </c>
      <c r="C294" s="8">
        <v>1146000</v>
      </c>
      <c r="D294" s="8">
        <v>1156000</v>
      </c>
      <c r="E294">
        <v>23120</v>
      </c>
      <c r="F294" s="8">
        <v>145069337</v>
      </c>
      <c r="G294" s="1">
        <v>167700153572000</v>
      </c>
      <c r="H294" s="1">
        <v>125775114312000</v>
      </c>
      <c r="I294">
        <f t="shared" si="4"/>
        <v>0</v>
      </c>
    </row>
    <row r="295" spans="1:10" x14ac:dyDescent="0.3">
      <c r="A295">
        <v>20160205</v>
      </c>
      <c r="B295" s="2" t="s">
        <v>4</v>
      </c>
      <c r="C295" s="8">
        <v>1156000</v>
      </c>
      <c r="D295" s="8">
        <v>1164000</v>
      </c>
      <c r="E295">
        <v>23280</v>
      </c>
      <c r="F295" s="8">
        <v>145069337</v>
      </c>
      <c r="G295" s="1">
        <v>168860708268000</v>
      </c>
      <c r="H295" s="1">
        <v>126645530328000</v>
      </c>
      <c r="I295">
        <f t="shared" si="4"/>
        <v>0</v>
      </c>
    </row>
    <row r="296" spans="1:10" x14ac:dyDescent="0.3">
      <c r="A296">
        <v>20160211</v>
      </c>
      <c r="B296" s="2" t="s">
        <v>4</v>
      </c>
      <c r="C296" s="8">
        <v>1164000</v>
      </c>
      <c r="D296" s="8">
        <v>1130000</v>
      </c>
      <c r="E296">
        <v>22600</v>
      </c>
      <c r="F296" s="8">
        <v>145069337</v>
      </c>
      <c r="G296" s="1">
        <v>163928350810000</v>
      </c>
      <c r="H296" s="1">
        <v>122946262260000</v>
      </c>
      <c r="I296">
        <f t="shared" si="4"/>
        <v>0</v>
      </c>
    </row>
    <row r="297" spans="1:10" x14ac:dyDescent="0.3">
      <c r="A297">
        <v>20160212</v>
      </c>
      <c r="B297" s="2" t="s">
        <v>4</v>
      </c>
      <c r="C297" s="8">
        <v>1130000</v>
      </c>
      <c r="D297" s="8">
        <v>1130000</v>
      </c>
      <c r="E297">
        <v>22600</v>
      </c>
      <c r="F297" s="8">
        <v>145069337</v>
      </c>
      <c r="G297" s="1">
        <v>163928350810000</v>
      </c>
      <c r="H297" s="1">
        <v>122946262260000</v>
      </c>
      <c r="I297">
        <f t="shared" si="4"/>
        <v>0</v>
      </c>
    </row>
    <row r="298" spans="1:10" x14ac:dyDescent="0.3">
      <c r="A298">
        <v>20160215</v>
      </c>
      <c r="B298" s="2" t="s">
        <v>4</v>
      </c>
      <c r="C298" s="8">
        <v>1130000</v>
      </c>
      <c r="D298" s="8">
        <v>1154000</v>
      </c>
      <c r="E298">
        <v>23080</v>
      </c>
      <c r="F298" s="8">
        <v>145069337</v>
      </c>
      <c r="G298" s="1">
        <v>167410014898000</v>
      </c>
      <c r="H298" s="1">
        <v>125557510308000</v>
      </c>
      <c r="I298">
        <f t="shared" si="4"/>
        <v>0</v>
      </c>
    </row>
    <row r="299" spans="1:10" x14ac:dyDescent="0.3">
      <c r="A299">
        <v>20160216</v>
      </c>
      <c r="B299" s="2" t="s">
        <v>4</v>
      </c>
      <c r="C299" s="8">
        <v>1154000</v>
      </c>
      <c r="D299" s="8">
        <v>1168000</v>
      </c>
      <c r="E299">
        <v>23360</v>
      </c>
      <c r="F299" s="8">
        <v>145069337</v>
      </c>
      <c r="G299" s="1">
        <v>169440985616000</v>
      </c>
      <c r="H299" s="1">
        <v>127080738336000</v>
      </c>
      <c r="I299">
        <f t="shared" si="4"/>
        <v>0</v>
      </c>
    </row>
    <row r="300" spans="1:10" x14ac:dyDescent="0.3">
      <c r="A300">
        <v>20160217</v>
      </c>
      <c r="B300" s="2" t="s">
        <v>4</v>
      </c>
      <c r="C300" s="8">
        <v>1168000</v>
      </c>
      <c r="D300" s="8">
        <v>1185000</v>
      </c>
      <c r="E300">
        <v>23700</v>
      </c>
      <c r="F300" s="8">
        <v>145069337</v>
      </c>
      <c r="G300" s="1">
        <v>171907164345000</v>
      </c>
      <c r="H300" s="1">
        <v>128930372370000</v>
      </c>
      <c r="I300">
        <f t="shared" si="4"/>
        <v>0</v>
      </c>
    </row>
    <row r="301" spans="1:10" x14ac:dyDescent="0.3">
      <c r="A301">
        <v>20160218</v>
      </c>
      <c r="B301" s="2" t="s">
        <v>4</v>
      </c>
      <c r="C301" s="8">
        <v>1185000</v>
      </c>
      <c r="D301" s="8">
        <v>1187000</v>
      </c>
      <c r="E301">
        <v>23740</v>
      </c>
      <c r="F301" s="8">
        <v>145069337</v>
      </c>
      <c r="G301" s="1">
        <v>172197303019000</v>
      </c>
      <c r="H301" s="1">
        <v>129147976374000</v>
      </c>
      <c r="I301">
        <f t="shared" si="4"/>
        <v>0</v>
      </c>
    </row>
    <row r="302" spans="1:10" x14ac:dyDescent="0.3">
      <c r="A302">
        <v>20160219</v>
      </c>
      <c r="B302" s="2" t="s">
        <v>4</v>
      </c>
      <c r="C302" s="8">
        <v>1187000</v>
      </c>
      <c r="D302" s="8">
        <v>1190000</v>
      </c>
      <c r="E302">
        <v>23800</v>
      </c>
      <c r="F302" s="8">
        <v>145069337</v>
      </c>
      <c r="G302" s="1">
        <v>172632511030000</v>
      </c>
      <c r="H302" s="1">
        <v>129474382380000</v>
      </c>
      <c r="I302">
        <f t="shared" si="4"/>
        <v>0</v>
      </c>
    </row>
    <row r="303" spans="1:10" x14ac:dyDescent="0.3">
      <c r="A303">
        <v>20160222</v>
      </c>
      <c r="B303" s="2" t="s">
        <v>4</v>
      </c>
      <c r="C303" s="8">
        <v>1190000</v>
      </c>
      <c r="D303" s="8">
        <v>1175000</v>
      </c>
      <c r="E303">
        <v>23500</v>
      </c>
      <c r="F303" s="8">
        <v>145069337</v>
      </c>
      <c r="G303" s="1">
        <v>170456470975000</v>
      </c>
      <c r="H303" s="1">
        <v>127842352350000</v>
      </c>
      <c r="I303">
        <f t="shared" si="4"/>
        <v>0</v>
      </c>
    </row>
    <row r="304" spans="1:10" x14ac:dyDescent="0.3">
      <c r="A304">
        <v>20160223</v>
      </c>
      <c r="B304" s="2" t="s">
        <v>4</v>
      </c>
      <c r="C304" s="8">
        <v>1175000</v>
      </c>
      <c r="D304" s="8">
        <v>1181000</v>
      </c>
      <c r="E304">
        <v>23620</v>
      </c>
      <c r="F304" s="8">
        <v>145069337</v>
      </c>
      <c r="G304" s="1">
        <v>171326886997000</v>
      </c>
      <c r="H304" s="1">
        <v>128495164362000</v>
      </c>
      <c r="I304">
        <f t="shared" si="4"/>
        <v>0</v>
      </c>
    </row>
    <row r="305" spans="1:9" x14ac:dyDescent="0.3">
      <c r="A305">
        <v>20160224</v>
      </c>
      <c r="B305" s="2" t="s">
        <v>4</v>
      </c>
      <c r="C305" s="8">
        <v>1181000</v>
      </c>
      <c r="D305" s="8">
        <v>1172000</v>
      </c>
      <c r="E305">
        <v>23440</v>
      </c>
      <c r="F305" s="8">
        <v>145069337</v>
      </c>
      <c r="G305" s="1">
        <v>170021262964000</v>
      </c>
      <c r="H305" s="1">
        <v>127515946344000</v>
      </c>
      <c r="I305">
        <f t="shared" si="4"/>
        <v>0</v>
      </c>
    </row>
    <row r="306" spans="1:9" x14ac:dyDescent="0.3">
      <c r="A306">
        <v>20160225</v>
      </c>
      <c r="B306" s="2" t="s">
        <v>4</v>
      </c>
      <c r="C306" s="8">
        <v>1172000</v>
      </c>
      <c r="D306" s="8">
        <v>1179000</v>
      </c>
      <c r="E306">
        <v>23580</v>
      </c>
      <c r="F306" s="8">
        <v>145069337</v>
      </c>
      <c r="G306" s="1">
        <v>171036748323000</v>
      </c>
      <c r="H306" s="1">
        <v>128277560358000</v>
      </c>
      <c r="I306">
        <f t="shared" si="4"/>
        <v>0</v>
      </c>
    </row>
    <row r="307" spans="1:9" x14ac:dyDescent="0.3">
      <c r="A307">
        <v>20160226</v>
      </c>
      <c r="B307" s="2" t="s">
        <v>4</v>
      </c>
      <c r="C307" s="8">
        <v>1179000</v>
      </c>
      <c r="D307" s="8">
        <v>1172000</v>
      </c>
      <c r="E307">
        <v>23440</v>
      </c>
      <c r="F307" s="8">
        <v>145069337</v>
      </c>
      <c r="G307" s="1">
        <v>170021262964000</v>
      </c>
      <c r="H307" s="1">
        <v>127515946344000</v>
      </c>
      <c r="I307">
        <f t="shared" si="4"/>
        <v>0</v>
      </c>
    </row>
    <row r="308" spans="1:9" x14ac:dyDescent="0.3">
      <c r="A308">
        <v>20160229</v>
      </c>
      <c r="B308" s="2" t="s">
        <v>4</v>
      </c>
      <c r="C308" s="8">
        <v>1172000</v>
      </c>
      <c r="D308" s="8">
        <v>1178000</v>
      </c>
      <c r="E308">
        <v>23560</v>
      </c>
      <c r="F308" s="8">
        <v>145069337</v>
      </c>
      <c r="G308" s="1">
        <v>170891678986000</v>
      </c>
      <c r="H308" s="1">
        <v>128168758356000</v>
      </c>
      <c r="I308">
        <f t="shared" si="4"/>
        <v>0</v>
      </c>
    </row>
    <row r="309" spans="1:9" x14ac:dyDescent="0.3">
      <c r="A309">
        <v>20160302</v>
      </c>
      <c r="B309" s="2" t="s">
        <v>4</v>
      </c>
      <c r="C309" s="8">
        <v>1178000</v>
      </c>
      <c r="D309" s="8">
        <v>1197000</v>
      </c>
      <c r="E309">
        <v>23940</v>
      </c>
      <c r="F309" s="8">
        <v>145069337</v>
      </c>
      <c r="G309" s="1">
        <v>173647996389000</v>
      </c>
      <c r="H309" s="1">
        <v>130235996394000</v>
      </c>
      <c r="I309">
        <f t="shared" si="4"/>
        <v>0</v>
      </c>
    </row>
    <row r="310" spans="1:9" x14ac:dyDescent="0.3">
      <c r="A310">
        <v>20160303</v>
      </c>
      <c r="B310" s="2" t="s">
        <v>4</v>
      </c>
      <c r="C310" s="8">
        <v>1197000</v>
      </c>
      <c r="D310" s="8">
        <v>1220000</v>
      </c>
      <c r="E310">
        <v>24400</v>
      </c>
      <c r="F310" s="8">
        <v>145069337</v>
      </c>
      <c r="G310" s="1">
        <v>176984591140000</v>
      </c>
      <c r="H310" s="1">
        <v>132738442440000</v>
      </c>
      <c r="I310">
        <f t="shared" si="4"/>
        <v>0</v>
      </c>
    </row>
    <row r="311" spans="1:9" x14ac:dyDescent="0.3">
      <c r="A311">
        <v>20160304</v>
      </c>
      <c r="B311" s="2" t="s">
        <v>4</v>
      </c>
      <c r="C311" s="8">
        <v>1220000</v>
      </c>
      <c r="D311" s="8">
        <v>1215000</v>
      </c>
      <c r="E311">
        <v>24300</v>
      </c>
      <c r="F311" s="8">
        <v>145069337</v>
      </c>
      <c r="G311" s="1">
        <v>176259244455000</v>
      </c>
      <c r="H311" s="1">
        <v>132194432430000</v>
      </c>
      <c r="I311">
        <f t="shared" si="4"/>
        <v>0</v>
      </c>
    </row>
    <row r="312" spans="1:9" x14ac:dyDescent="0.3">
      <c r="A312">
        <v>20160307</v>
      </c>
      <c r="B312" s="2" t="s">
        <v>4</v>
      </c>
      <c r="C312" s="8">
        <v>1215000</v>
      </c>
      <c r="D312" s="8">
        <v>1223000</v>
      </c>
      <c r="E312">
        <v>24460</v>
      </c>
      <c r="F312" s="8">
        <v>145069337</v>
      </c>
      <c r="G312" s="1">
        <v>177419799151000</v>
      </c>
      <c r="H312" s="1">
        <v>133064848446000</v>
      </c>
      <c r="I312">
        <f t="shared" si="4"/>
        <v>0</v>
      </c>
    </row>
    <row r="313" spans="1:9" x14ac:dyDescent="0.3">
      <c r="A313">
        <v>20160308</v>
      </c>
      <c r="B313" s="2" t="s">
        <v>4</v>
      </c>
      <c r="C313" s="8">
        <v>1223000</v>
      </c>
      <c r="D313" s="8">
        <v>1192000</v>
      </c>
      <c r="E313">
        <v>23840</v>
      </c>
      <c r="F313" s="8">
        <v>145069337</v>
      </c>
      <c r="G313" s="1">
        <v>172922649704000</v>
      </c>
      <c r="H313" s="1">
        <v>129691986384000</v>
      </c>
      <c r="I313">
        <f t="shared" si="4"/>
        <v>0</v>
      </c>
    </row>
    <row r="314" spans="1:9" x14ac:dyDescent="0.3">
      <c r="A314">
        <v>20160309</v>
      </c>
      <c r="B314" s="2" t="s">
        <v>4</v>
      </c>
      <c r="C314" s="8">
        <v>1192000</v>
      </c>
      <c r="D314" s="8">
        <v>1194000</v>
      </c>
      <c r="E314">
        <v>23880</v>
      </c>
      <c r="F314" s="8">
        <v>145069337</v>
      </c>
      <c r="G314" s="1">
        <v>173212788378000</v>
      </c>
      <c r="H314" s="1">
        <v>129909590388000</v>
      </c>
      <c r="I314">
        <f t="shared" si="4"/>
        <v>0</v>
      </c>
    </row>
    <row r="315" spans="1:9" x14ac:dyDescent="0.3">
      <c r="A315">
        <v>20160310</v>
      </c>
      <c r="B315" s="2" t="s">
        <v>4</v>
      </c>
      <c r="C315" s="8">
        <v>1194000</v>
      </c>
      <c r="D315" s="8">
        <v>1225000</v>
      </c>
      <c r="E315">
        <v>24500</v>
      </c>
      <c r="F315" s="8">
        <v>145069337</v>
      </c>
      <c r="G315" s="1">
        <v>177709937825000</v>
      </c>
      <c r="H315" s="1">
        <v>133282452450000</v>
      </c>
      <c r="I315">
        <f t="shared" si="4"/>
        <v>0</v>
      </c>
    </row>
    <row r="316" spans="1:9" x14ac:dyDescent="0.3">
      <c r="A316">
        <v>20160311</v>
      </c>
      <c r="B316" s="2" t="s">
        <v>4</v>
      </c>
      <c r="C316" s="8">
        <v>1225000</v>
      </c>
      <c r="D316" s="8">
        <v>1249000</v>
      </c>
      <c r="E316">
        <v>24980</v>
      </c>
      <c r="F316" s="8">
        <v>145069337</v>
      </c>
      <c r="G316" s="1">
        <v>181191601913000</v>
      </c>
      <c r="H316" s="1">
        <v>135893700498000</v>
      </c>
      <c r="I316">
        <f t="shared" si="4"/>
        <v>0</v>
      </c>
    </row>
    <row r="317" spans="1:9" x14ac:dyDescent="0.3">
      <c r="A317">
        <v>20160314</v>
      </c>
      <c r="B317" s="2" t="s">
        <v>4</v>
      </c>
      <c r="C317" s="8">
        <v>1249000</v>
      </c>
      <c r="D317" s="8">
        <v>1255000</v>
      </c>
      <c r="E317">
        <v>25100</v>
      </c>
      <c r="F317" s="8">
        <v>145069337</v>
      </c>
      <c r="G317" s="1">
        <v>182062017935000</v>
      </c>
      <c r="H317" s="1">
        <v>136546512510000</v>
      </c>
      <c r="I317">
        <f t="shared" si="4"/>
        <v>0</v>
      </c>
    </row>
    <row r="318" spans="1:9" x14ac:dyDescent="0.3">
      <c r="A318">
        <v>20160315</v>
      </c>
      <c r="B318" s="2" t="s">
        <v>4</v>
      </c>
      <c r="C318" s="8">
        <v>1255000</v>
      </c>
      <c r="D318" s="8">
        <v>1253000</v>
      </c>
      <c r="E318">
        <v>25060</v>
      </c>
      <c r="F318" s="8">
        <v>145069337</v>
      </c>
      <c r="G318" s="1">
        <v>181771879261000</v>
      </c>
      <c r="H318" s="1">
        <v>136328908506000</v>
      </c>
      <c r="I318">
        <f t="shared" si="4"/>
        <v>0</v>
      </c>
    </row>
    <row r="319" spans="1:9" x14ac:dyDescent="0.3">
      <c r="A319">
        <v>20160316</v>
      </c>
      <c r="B319" s="2" t="s">
        <v>4</v>
      </c>
      <c r="C319" s="8">
        <v>1253000</v>
      </c>
      <c r="D319" s="8">
        <v>1256000</v>
      </c>
      <c r="E319">
        <v>25120</v>
      </c>
      <c r="F319" s="8">
        <v>145069337</v>
      </c>
      <c r="G319" s="1">
        <v>182207087272000</v>
      </c>
      <c r="H319" s="1">
        <v>136655314512000</v>
      </c>
      <c r="I319">
        <f t="shared" si="4"/>
        <v>0</v>
      </c>
    </row>
    <row r="320" spans="1:9" x14ac:dyDescent="0.3">
      <c r="A320">
        <v>20160317</v>
      </c>
      <c r="B320" s="2" t="s">
        <v>4</v>
      </c>
      <c r="C320" s="8">
        <v>1256000</v>
      </c>
      <c r="D320" s="8">
        <v>1263000</v>
      </c>
      <c r="E320">
        <v>25260</v>
      </c>
      <c r="F320" s="8">
        <v>145069337</v>
      </c>
      <c r="G320" s="1">
        <v>183222572631000</v>
      </c>
      <c r="H320" s="1">
        <v>137416928526000</v>
      </c>
      <c r="I320">
        <f t="shared" si="4"/>
        <v>0</v>
      </c>
    </row>
    <row r="321" spans="1:9" x14ac:dyDescent="0.3">
      <c r="A321">
        <v>20160318</v>
      </c>
      <c r="B321" s="2" t="s">
        <v>4</v>
      </c>
      <c r="C321" s="8">
        <v>1263000</v>
      </c>
      <c r="D321" s="8">
        <v>1273000</v>
      </c>
      <c r="E321">
        <v>25460</v>
      </c>
      <c r="F321" s="8">
        <v>145069337</v>
      </c>
      <c r="G321" s="1">
        <v>184673266001000</v>
      </c>
      <c r="H321" s="1">
        <v>138504948546000</v>
      </c>
      <c r="I321">
        <f t="shared" si="4"/>
        <v>0</v>
      </c>
    </row>
    <row r="322" spans="1:9" x14ac:dyDescent="0.3">
      <c r="A322">
        <v>20160321</v>
      </c>
      <c r="B322" s="2" t="s">
        <v>4</v>
      </c>
      <c r="C322" s="8">
        <v>1273000</v>
      </c>
      <c r="D322" s="8">
        <v>1267000</v>
      </c>
      <c r="E322">
        <v>25340</v>
      </c>
      <c r="F322" s="8">
        <v>145069337</v>
      </c>
      <c r="G322" s="1">
        <v>183802849979000</v>
      </c>
      <c r="H322" s="1">
        <v>137852136534000</v>
      </c>
      <c r="I322">
        <f t="shared" si="4"/>
        <v>0</v>
      </c>
    </row>
    <row r="323" spans="1:9" x14ac:dyDescent="0.3">
      <c r="A323">
        <v>20160322</v>
      </c>
      <c r="B323" s="2" t="s">
        <v>4</v>
      </c>
      <c r="C323" s="8">
        <v>1267000</v>
      </c>
      <c r="D323" s="8">
        <v>1269000</v>
      </c>
      <c r="E323">
        <v>25380</v>
      </c>
      <c r="F323" s="8">
        <v>145069337</v>
      </c>
      <c r="G323" s="1">
        <v>184092988653000</v>
      </c>
      <c r="H323" s="1">
        <v>138069740538000</v>
      </c>
      <c r="I323">
        <f t="shared" si="4"/>
        <v>0</v>
      </c>
    </row>
    <row r="324" spans="1:9" x14ac:dyDescent="0.3">
      <c r="A324">
        <v>20160323</v>
      </c>
      <c r="B324" s="2" t="s">
        <v>4</v>
      </c>
      <c r="C324" s="8">
        <v>1269000</v>
      </c>
      <c r="D324" s="8">
        <v>1279000</v>
      </c>
      <c r="E324">
        <v>25580</v>
      </c>
      <c r="F324" s="8">
        <v>145069337</v>
      </c>
      <c r="G324" s="1">
        <v>185543682023000</v>
      </c>
      <c r="H324" s="1">
        <v>139157760558000</v>
      </c>
      <c r="I324">
        <f t="shared" ref="I324:I387" si="5">IF(C324*F324=D323*F323,0,1)</f>
        <v>0</v>
      </c>
    </row>
    <row r="325" spans="1:9" x14ac:dyDescent="0.3">
      <c r="A325">
        <v>20160324</v>
      </c>
      <c r="B325" s="2" t="s">
        <v>4</v>
      </c>
      <c r="C325" s="8">
        <v>1279000</v>
      </c>
      <c r="D325" s="8">
        <v>1282000</v>
      </c>
      <c r="E325">
        <v>25640</v>
      </c>
      <c r="F325" s="8">
        <v>145069337</v>
      </c>
      <c r="G325" s="1">
        <v>185978890034000</v>
      </c>
      <c r="H325" s="1">
        <v>139484166564000</v>
      </c>
      <c r="I325">
        <f t="shared" si="5"/>
        <v>0</v>
      </c>
    </row>
    <row r="326" spans="1:9" x14ac:dyDescent="0.3">
      <c r="A326">
        <v>20160325</v>
      </c>
      <c r="B326" s="2" t="s">
        <v>4</v>
      </c>
      <c r="C326" s="8">
        <v>1282000</v>
      </c>
      <c r="D326" s="8">
        <v>1288000</v>
      </c>
      <c r="E326">
        <v>25760</v>
      </c>
      <c r="F326" s="8">
        <v>145069337</v>
      </c>
      <c r="G326" s="1">
        <v>186849306056000</v>
      </c>
      <c r="H326" s="1">
        <v>140136978576000</v>
      </c>
      <c r="I326">
        <f t="shared" si="5"/>
        <v>0</v>
      </c>
    </row>
    <row r="327" spans="1:9" x14ac:dyDescent="0.3">
      <c r="A327">
        <v>20160328</v>
      </c>
      <c r="B327" s="2" t="s">
        <v>4</v>
      </c>
      <c r="C327" s="8">
        <v>1288000</v>
      </c>
      <c r="D327" s="8">
        <v>1294000</v>
      </c>
      <c r="E327">
        <v>25880</v>
      </c>
      <c r="F327" s="8">
        <v>145069337</v>
      </c>
      <c r="G327" s="1">
        <v>187719722078000</v>
      </c>
      <c r="H327" s="1">
        <v>140789790588000</v>
      </c>
      <c r="I327">
        <f t="shared" si="5"/>
        <v>0</v>
      </c>
    </row>
    <row r="328" spans="1:9" x14ac:dyDescent="0.3">
      <c r="A328">
        <v>20160329</v>
      </c>
      <c r="B328" s="2" t="s">
        <v>4</v>
      </c>
      <c r="C328" s="8">
        <v>1294000</v>
      </c>
      <c r="D328" s="8">
        <v>1290000</v>
      </c>
      <c r="E328">
        <v>25800</v>
      </c>
      <c r="F328" s="8">
        <v>145069337</v>
      </c>
      <c r="G328" s="1">
        <v>187139444730000</v>
      </c>
      <c r="H328" s="1">
        <v>140354582580000</v>
      </c>
      <c r="I328">
        <f t="shared" si="5"/>
        <v>0</v>
      </c>
    </row>
    <row r="329" spans="1:9" x14ac:dyDescent="0.3">
      <c r="A329">
        <v>20160330</v>
      </c>
      <c r="B329" s="2" t="s">
        <v>4</v>
      </c>
      <c r="C329" s="8">
        <v>1290000</v>
      </c>
      <c r="D329" s="8">
        <v>1308000</v>
      </c>
      <c r="E329">
        <v>26160</v>
      </c>
      <c r="F329" s="8">
        <v>145069337</v>
      </c>
      <c r="G329" s="1">
        <v>189750692796000</v>
      </c>
      <c r="H329" s="1">
        <v>142313018616000</v>
      </c>
      <c r="I329">
        <f t="shared" si="5"/>
        <v>0</v>
      </c>
    </row>
    <row r="330" spans="1:9" x14ac:dyDescent="0.3">
      <c r="A330">
        <v>20160331</v>
      </c>
      <c r="B330" s="2" t="s">
        <v>4</v>
      </c>
      <c r="C330" s="8">
        <v>1308000</v>
      </c>
      <c r="D330" s="8">
        <v>1312000</v>
      </c>
      <c r="E330">
        <v>26240</v>
      </c>
      <c r="F330" s="8">
        <v>145069337</v>
      </c>
      <c r="G330" s="1">
        <v>190330970144000</v>
      </c>
      <c r="H330" s="1">
        <v>142748226624000</v>
      </c>
      <c r="I330">
        <f t="shared" si="5"/>
        <v>0</v>
      </c>
    </row>
    <row r="331" spans="1:9" x14ac:dyDescent="0.3">
      <c r="A331">
        <v>20160401</v>
      </c>
      <c r="B331" s="2" t="s">
        <v>4</v>
      </c>
      <c r="C331" s="8">
        <v>1312000</v>
      </c>
      <c r="D331" s="8">
        <v>1279000</v>
      </c>
      <c r="E331">
        <v>25580</v>
      </c>
      <c r="F331" s="8">
        <v>145069337</v>
      </c>
      <c r="G331" s="1">
        <v>185543682023000</v>
      </c>
      <c r="H331" s="1">
        <v>139157760558000</v>
      </c>
      <c r="I331">
        <f t="shared" si="5"/>
        <v>0</v>
      </c>
    </row>
    <row r="332" spans="1:9" x14ac:dyDescent="0.3">
      <c r="A332">
        <v>20160404</v>
      </c>
      <c r="B332" s="2" t="s">
        <v>4</v>
      </c>
      <c r="C332" s="8">
        <v>1279000</v>
      </c>
      <c r="D332" s="8">
        <v>1305000</v>
      </c>
      <c r="E332">
        <v>26100</v>
      </c>
      <c r="F332" s="8">
        <v>145069337</v>
      </c>
      <c r="G332" s="1">
        <v>189315484785000</v>
      </c>
      <c r="H332" s="1">
        <v>141986612610000</v>
      </c>
      <c r="I332">
        <f t="shared" si="5"/>
        <v>0</v>
      </c>
    </row>
    <row r="333" spans="1:9" x14ac:dyDescent="0.3">
      <c r="A333">
        <v>20160405</v>
      </c>
      <c r="B333" s="2" t="s">
        <v>4</v>
      </c>
      <c r="C333" s="8">
        <v>1305000</v>
      </c>
      <c r="D333" s="8">
        <v>1260000</v>
      </c>
      <c r="E333">
        <v>25200</v>
      </c>
      <c r="F333" s="8">
        <v>145069337</v>
      </c>
      <c r="G333" s="1">
        <v>182787364620000</v>
      </c>
      <c r="H333" s="1">
        <v>137090522520000</v>
      </c>
      <c r="I333">
        <f t="shared" si="5"/>
        <v>0</v>
      </c>
    </row>
    <row r="334" spans="1:9" x14ac:dyDescent="0.3">
      <c r="A334">
        <v>20160406</v>
      </c>
      <c r="B334" s="2" t="s">
        <v>4</v>
      </c>
      <c r="C334" s="8">
        <v>1260000</v>
      </c>
      <c r="D334" s="8">
        <v>1285000</v>
      </c>
      <c r="E334">
        <v>25700</v>
      </c>
      <c r="F334" s="8">
        <v>145069337</v>
      </c>
      <c r="G334" s="1">
        <v>186414098045000</v>
      </c>
      <c r="H334" s="1">
        <v>139810572570000</v>
      </c>
      <c r="I334">
        <f t="shared" si="5"/>
        <v>0</v>
      </c>
    </row>
    <row r="335" spans="1:9" x14ac:dyDescent="0.3">
      <c r="A335">
        <v>20160407</v>
      </c>
      <c r="B335" s="2" t="s">
        <v>4</v>
      </c>
      <c r="C335" s="8">
        <v>1285000</v>
      </c>
      <c r="D335" s="8">
        <v>1269000</v>
      </c>
      <c r="E335">
        <v>25380</v>
      </c>
      <c r="F335" s="8">
        <v>145069337</v>
      </c>
      <c r="G335" s="1">
        <v>184092988653000</v>
      </c>
      <c r="H335" s="1">
        <v>138069740538000</v>
      </c>
      <c r="I335">
        <f t="shared" si="5"/>
        <v>0</v>
      </c>
    </row>
    <row r="336" spans="1:9" x14ac:dyDescent="0.3">
      <c r="A336">
        <v>20160408</v>
      </c>
      <c r="B336" s="2" t="s">
        <v>4</v>
      </c>
      <c r="C336" s="8">
        <v>1269000</v>
      </c>
      <c r="D336" s="8">
        <v>1246000</v>
      </c>
      <c r="E336">
        <v>24920</v>
      </c>
      <c r="F336" s="8">
        <v>145069337</v>
      </c>
      <c r="G336" s="1">
        <v>180756393902000</v>
      </c>
      <c r="H336" s="1">
        <v>135567294492000</v>
      </c>
      <c r="I336">
        <f t="shared" si="5"/>
        <v>0</v>
      </c>
    </row>
    <row r="337" spans="1:10" x14ac:dyDescent="0.3">
      <c r="A337">
        <v>20160411</v>
      </c>
      <c r="B337" s="2" t="s">
        <v>4</v>
      </c>
      <c r="C337" s="8">
        <v>1246000</v>
      </c>
      <c r="D337" s="8">
        <v>1266000</v>
      </c>
      <c r="E337">
        <v>25320</v>
      </c>
      <c r="F337" s="8">
        <v>145069337</v>
      </c>
      <c r="G337" s="1">
        <v>183657780642000</v>
      </c>
      <c r="H337" s="1">
        <v>137743334532000</v>
      </c>
      <c r="I337">
        <f t="shared" si="5"/>
        <v>0</v>
      </c>
    </row>
    <row r="338" spans="1:10" x14ac:dyDescent="0.3">
      <c r="A338">
        <v>20160412</v>
      </c>
      <c r="B338" s="2" t="s">
        <v>4</v>
      </c>
      <c r="C338" s="8">
        <v>1266000</v>
      </c>
      <c r="D338" s="8">
        <v>1275000</v>
      </c>
      <c r="E338">
        <v>25500</v>
      </c>
      <c r="F338" s="8">
        <v>145069337</v>
      </c>
      <c r="G338" s="1">
        <v>184963404675000</v>
      </c>
      <c r="H338" s="1">
        <v>138722552550000</v>
      </c>
      <c r="I338">
        <f t="shared" si="5"/>
        <v>0</v>
      </c>
    </row>
    <row r="339" spans="1:10" x14ac:dyDescent="0.3">
      <c r="A339">
        <v>20160414</v>
      </c>
      <c r="B339" s="2" t="s">
        <v>4</v>
      </c>
      <c r="C339" s="8">
        <v>1275000</v>
      </c>
      <c r="D339" s="8">
        <v>1300000</v>
      </c>
      <c r="E339">
        <v>26000</v>
      </c>
      <c r="F339" s="8">
        <v>145069337</v>
      </c>
      <c r="G339" s="1">
        <v>188590138100000</v>
      </c>
      <c r="H339" s="1">
        <v>141442602600000</v>
      </c>
      <c r="I339">
        <f t="shared" si="5"/>
        <v>0</v>
      </c>
    </row>
    <row r="340" spans="1:10" x14ac:dyDescent="0.3">
      <c r="A340">
        <v>20160415</v>
      </c>
      <c r="B340" s="2" t="s">
        <v>4</v>
      </c>
      <c r="C340" s="8">
        <v>1300000</v>
      </c>
      <c r="D340" s="8">
        <v>1300000</v>
      </c>
      <c r="E340">
        <v>26000</v>
      </c>
      <c r="F340" s="8">
        <v>145069337</v>
      </c>
      <c r="G340" s="1">
        <v>188590138100000</v>
      </c>
      <c r="H340" s="1">
        <v>141442602600000</v>
      </c>
      <c r="I340">
        <f t="shared" si="5"/>
        <v>0</v>
      </c>
    </row>
    <row r="341" spans="1:10" x14ac:dyDescent="0.3">
      <c r="A341">
        <v>20160418</v>
      </c>
      <c r="B341" s="2" t="s">
        <v>4</v>
      </c>
      <c r="C341" s="8">
        <v>1300000</v>
      </c>
      <c r="D341" s="8">
        <v>1299000</v>
      </c>
      <c r="E341">
        <v>25980</v>
      </c>
      <c r="F341" s="8">
        <v>145069337</v>
      </c>
      <c r="G341" s="1">
        <v>188445068763000</v>
      </c>
      <c r="H341" s="1">
        <v>141333800598000</v>
      </c>
      <c r="I341">
        <f t="shared" si="5"/>
        <v>0</v>
      </c>
    </row>
    <row r="342" spans="1:10" x14ac:dyDescent="0.3">
      <c r="A342">
        <v>20160419</v>
      </c>
      <c r="B342" s="2" t="s">
        <v>4</v>
      </c>
      <c r="C342" s="8">
        <v>1299000</v>
      </c>
      <c r="D342" s="8">
        <v>1288000</v>
      </c>
      <c r="E342">
        <v>25760</v>
      </c>
      <c r="F342" s="8">
        <v>145069337</v>
      </c>
      <c r="G342" s="1">
        <v>186849306056000</v>
      </c>
      <c r="H342" s="1">
        <v>140136978576000</v>
      </c>
      <c r="I342">
        <f t="shared" si="5"/>
        <v>0</v>
      </c>
    </row>
    <row r="343" spans="1:10" x14ac:dyDescent="0.3">
      <c r="A343">
        <v>20160420</v>
      </c>
      <c r="B343" s="2" t="s">
        <v>4</v>
      </c>
      <c r="C343" s="8">
        <v>1288000</v>
      </c>
      <c r="D343" s="8">
        <v>1299000</v>
      </c>
      <c r="E343">
        <v>25980</v>
      </c>
      <c r="F343" s="8">
        <v>145069337</v>
      </c>
      <c r="G343" s="1">
        <v>188445068763000</v>
      </c>
      <c r="H343" s="1">
        <v>141333800598000</v>
      </c>
      <c r="I343">
        <f t="shared" si="5"/>
        <v>0</v>
      </c>
    </row>
    <row r="344" spans="1:10" x14ac:dyDescent="0.3">
      <c r="A344">
        <v>20160421</v>
      </c>
      <c r="B344" s="2" t="s">
        <v>4</v>
      </c>
      <c r="C344" s="8">
        <v>1299000</v>
      </c>
      <c r="D344" s="8">
        <v>1294000</v>
      </c>
      <c r="E344">
        <v>25880</v>
      </c>
      <c r="F344" s="8">
        <v>145069337</v>
      </c>
      <c r="G344" s="1">
        <v>187719722078000</v>
      </c>
      <c r="H344" s="1">
        <v>140789790588000</v>
      </c>
      <c r="I344">
        <f t="shared" si="5"/>
        <v>0</v>
      </c>
    </row>
    <row r="345" spans="1:10" x14ac:dyDescent="0.3">
      <c r="A345">
        <v>20160422</v>
      </c>
      <c r="B345" s="2" t="s">
        <v>4</v>
      </c>
      <c r="C345" s="8">
        <v>1294000</v>
      </c>
      <c r="D345" s="8">
        <v>1280000</v>
      </c>
      <c r="E345">
        <v>25600</v>
      </c>
      <c r="F345" s="8">
        <v>145069337</v>
      </c>
      <c r="G345" s="1">
        <v>185688751360000</v>
      </c>
      <c r="H345" s="1">
        <v>139266562560000</v>
      </c>
      <c r="I345">
        <f t="shared" si="5"/>
        <v>0</v>
      </c>
    </row>
    <row r="346" spans="1:10" x14ac:dyDescent="0.3">
      <c r="A346">
        <v>20160425</v>
      </c>
      <c r="B346" s="2" t="s">
        <v>4</v>
      </c>
      <c r="C346" s="8">
        <v>1280000</v>
      </c>
      <c r="D346" s="8">
        <v>1281000</v>
      </c>
      <c r="E346">
        <v>25620</v>
      </c>
      <c r="F346" s="8">
        <v>145069337</v>
      </c>
      <c r="G346" s="1">
        <v>185833820697000</v>
      </c>
      <c r="H346" s="1">
        <v>139375364562000</v>
      </c>
      <c r="I346">
        <f t="shared" si="5"/>
        <v>0</v>
      </c>
    </row>
    <row r="347" spans="1:10" x14ac:dyDescent="0.3">
      <c r="A347">
        <v>20160426</v>
      </c>
      <c r="B347" s="2" t="s">
        <v>4</v>
      </c>
      <c r="C347" s="8">
        <v>1281000</v>
      </c>
      <c r="D347" s="8">
        <v>1296000</v>
      </c>
      <c r="E347">
        <v>25920</v>
      </c>
      <c r="F347" s="8">
        <v>145069337</v>
      </c>
      <c r="G347" s="1">
        <v>188009860752000</v>
      </c>
      <c r="H347" s="1">
        <v>127846705104000</v>
      </c>
      <c r="I347">
        <f t="shared" si="5"/>
        <v>0</v>
      </c>
    </row>
    <row r="348" spans="1:10" x14ac:dyDescent="0.3">
      <c r="A348">
        <v>20160427</v>
      </c>
      <c r="B348" s="2" t="s">
        <v>4</v>
      </c>
      <c r="C348" s="8">
        <v>1296000</v>
      </c>
      <c r="D348" s="8">
        <v>1300000</v>
      </c>
      <c r="E348">
        <v>26000</v>
      </c>
      <c r="F348" s="8">
        <v>145069337</v>
      </c>
      <c r="G348" s="1">
        <v>188590138100000</v>
      </c>
      <c r="H348" s="1">
        <v>128241293700000</v>
      </c>
      <c r="I348">
        <f t="shared" si="5"/>
        <v>0</v>
      </c>
    </row>
    <row r="349" spans="1:10" x14ac:dyDescent="0.3">
      <c r="A349">
        <v>20160428</v>
      </c>
      <c r="B349" s="2" t="s">
        <v>4</v>
      </c>
      <c r="C349" s="8">
        <v>1300000</v>
      </c>
      <c r="D349" s="8">
        <v>1265000</v>
      </c>
      <c r="E349">
        <v>25300</v>
      </c>
      <c r="F349" s="8">
        <v>145069337</v>
      </c>
      <c r="G349" s="1">
        <v>183512711305000</v>
      </c>
      <c r="H349" s="1">
        <v>124788643485000</v>
      </c>
      <c r="I349">
        <f t="shared" si="5"/>
        <v>0</v>
      </c>
    </row>
    <row r="350" spans="1:10" x14ac:dyDescent="0.3">
      <c r="A350">
        <v>20160429</v>
      </c>
      <c r="B350" s="2" t="s">
        <v>4</v>
      </c>
      <c r="C350" s="8">
        <v>1265000</v>
      </c>
      <c r="D350" s="8">
        <v>1245000</v>
      </c>
      <c r="E350">
        <v>24900</v>
      </c>
      <c r="F350" s="8">
        <v>145069337</v>
      </c>
      <c r="G350" s="1">
        <v>180611324565000</v>
      </c>
      <c r="H350" s="1">
        <v>122815700505000</v>
      </c>
      <c r="I350">
        <f t="shared" si="5"/>
        <v>0</v>
      </c>
    </row>
    <row r="351" spans="1:10" x14ac:dyDescent="0.3">
      <c r="A351" s="5">
        <v>20160502</v>
      </c>
      <c r="B351" s="6" t="s">
        <v>4</v>
      </c>
      <c r="C351" s="8">
        <v>1245000</v>
      </c>
      <c r="D351" s="8">
        <v>1250000</v>
      </c>
      <c r="E351" s="5">
        <v>25000</v>
      </c>
      <c r="F351" s="8">
        <v>142969337</v>
      </c>
      <c r="G351" s="7">
        <v>178711671250000</v>
      </c>
      <c r="H351" s="7">
        <v>121523936250000</v>
      </c>
      <c r="I351" s="5">
        <f t="shared" si="5"/>
        <v>1</v>
      </c>
      <c r="J351" t="s">
        <v>24</v>
      </c>
    </row>
    <row r="352" spans="1:10" x14ac:dyDescent="0.3">
      <c r="A352">
        <v>20160503</v>
      </c>
      <c r="B352" s="2" t="s">
        <v>4</v>
      </c>
      <c r="C352" s="8">
        <v>1250000</v>
      </c>
      <c r="D352" s="8">
        <v>1261000</v>
      </c>
      <c r="E352">
        <v>25220</v>
      </c>
      <c r="F352" s="8">
        <v>142969337</v>
      </c>
      <c r="G352" s="1">
        <v>180284333957000</v>
      </c>
      <c r="H352" s="1">
        <v>122593346889000</v>
      </c>
      <c r="I352">
        <f t="shared" si="5"/>
        <v>0</v>
      </c>
    </row>
    <row r="353" spans="1:9" x14ac:dyDescent="0.3">
      <c r="A353">
        <v>20160504</v>
      </c>
      <c r="B353" s="2" t="s">
        <v>4</v>
      </c>
      <c r="C353" s="8">
        <v>1261000</v>
      </c>
      <c r="D353" s="8">
        <v>1290000</v>
      </c>
      <c r="E353">
        <v>25800</v>
      </c>
      <c r="F353" s="8">
        <v>142969337</v>
      </c>
      <c r="G353" s="1">
        <v>184430444730000</v>
      </c>
      <c r="H353" s="1">
        <v>125412702210000</v>
      </c>
      <c r="I353">
        <f t="shared" si="5"/>
        <v>0</v>
      </c>
    </row>
    <row r="354" spans="1:9" x14ac:dyDescent="0.3">
      <c r="A354">
        <v>20160509</v>
      </c>
      <c r="B354" s="2" t="s">
        <v>4</v>
      </c>
      <c r="C354" s="8">
        <v>1290000</v>
      </c>
      <c r="D354" s="8">
        <v>1299000</v>
      </c>
      <c r="E354">
        <v>25980</v>
      </c>
      <c r="F354" s="8">
        <v>142969337</v>
      </c>
      <c r="G354" s="1">
        <v>185717168763000</v>
      </c>
      <c r="H354" s="1">
        <v>126287674551000</v>
      </c>
      <c r="I354">
        <f t="shared" si="5"/>
        <v>0</v>
      </c>
    </row>
    <row r="355" spans="1:9" x14ac:dyDescent="0.3">
      <c r="A355">
        <v>20160510</v>
      </c>
      <c r="B355" s="2" t="s">
        <v>4</v>
      </c>
      <c r="C355" s="8">
        <v>1299000</v>
      </c>
      <c r="D355" s="8">
        <v>1296000</v>
      </c>
      <c r="E355">
        <v>25920</v>
      </c>
      <c r="F355" s="8">
        <v>142969337</v>
      </c>
      <c r="G355" s="1">
        <v>185288260752000</v>
      </c>
      <c r="H355" s="1">
        <v>125996017104000</v>
      </c>
      <c r="I355">
        <f t="shared" si="5"/>
        <v>0</v>
      </c>
    </row>
    <row r="356" spans="1:9" x14ac:dyDescent="0.3">
      <c r="A356">
        <v>20160511</v>
      </c>
      <c r="B356" s="2" t="s">
        <v>4</v>
      </c>
      <c r="C356" s="8">
        <v>1296000</v>
      </c>
      <c r="D356" s="8">
        <v>1292000</v>
      </c>
      <c r="E356">
        <v>25840</v>
      </c>
      <c r="F356" s="8">
        <v>142969337</v>
      </c>
      <c r="G356" s="1">
        <v>184716383404000</v>
      </c>
      <c r="H356" s="1">
        <v>125607140508000</v>
      </c>
      <c r="I356">
        <f t="shared" si="5"/>
        <v>0</v>
      </c>
    </row>
    <row r="357" spans="1:9" x14ac:dyDescent="0.3">
      <c r="A357">
        <v>20160512</v>
      </c>
      <c r="B357" s="2" t="s">
        <v>4</v>
      </c>
      <c r="C357" s="8">
        <v>1292000</v>
      </c>
      <c r="D357" s="8">
        <v>1281000</v>
      </c>
      <c r="E357">
        <v>25620</v>
      </c>
      <c r="F357" s="8">
        <v>142969337</v>
      </c>
      <c r="G357" s="1">
        <v>183143720697000</v>
      </c>
      <c r="H357" s="1">
        <v>124537729869000</v>
      </c>
      <c r="I357">
        <f t="shared" si="5"/>
        <v>0</v>
      </c>
    </row>
    <row r="358" spans="1:9" x14ac:dyDescent="0.3">
      <c r="A358">
        <v>20160513</v>
      </c>
      <c r="B358" s="2" t="s">
        <v>4</v>
      </c>
      <c r="C358" s="8">
        <v>1281000</v>
      </c>
      <c r="D358" s="8">
        <v>1253000</v>
      </c>
      <c r="E358">
        <v>25060</v>
      </c>
      <c r="F358" s="8">
        <v>142969337</v>
      </c>
      <c r="G358" s="1">
        <v>179140579261000</v>
      </c>
      <c r="H358" s="1">
        <v>121815593697000</v>
      </c>
      <c r="I358">
        <f t="shared" si="5"/>
        <v>0</v>
      </c>
    </row>
    <row r="359" spans="1:9" x14ac:dyDescent="0.3">
      <c r="A359">
        <v>20160516</v>
      </c>
      <c r="B359" s="2" t="s">
        <v>4</v>
      </c>
      <c r="C359" s="8">
        <v>1253000</v>
      </c>
      <c r="D359" s="8">
        <v>1248000</v>
      </c>
      <c r="E359">
        <v>24960</v>
      </c>
      <c r="F359" s="8">
        <v>142969337</v>
      </c>
      <c r="G359" s="1">
        <v>178425732576000</v>
      </c>
      <c r="H359" s="1">
        <v>121329497952000</v>
      </c>
      <c r="I359">
        <f t="shared" si="5"/>
        <v>0</v>
      </c>
    </row>
    <row r="360" spans="1:9" x14ac:dyDescent="0.3">
      <c r="A360">
        <v>20160517</v>
      </c>
      <c r="B360" s="2" t="s">
        <v>4</v>
      </c>
      <c r="C360" s="8">
        <v>1248000</v>
      </c>
      <c r="D360" s="8">
        <v>1264000</v>
      </c>
      <c r="E360">
        <v>25280</v>
      </c>
      <c r="F360" s="8">
        <v>142969337</v>
      </c>
      <c r="G360" s="1">
        <v>180713241968000</v>
      </c>
      <c r="H360" s="1">
        <v>122885004336000</v>
      </c>
      <c r="I360">
        <f t="shared" si="5"/>
        <v>0</v>
      </c>
    </row>
    <row r="361" spans="1:9" x14ac:dyDescent="0.3">
      <c r="A361">
        <v>20160518</v>
      </c>
      <c r="B361" s="2" t="s">
        <v>4</v>
      </c>
      <c r="C361" s="8">
        <v>1264000</v>
      </c>
      <c r="D361" s="8">
        <v>1268000</v>
      </c>
      <c r="E361">
        <v>25360</v>
      </c>
      <c r="F361" s="8">
        <v>142969337</v>
      </c>
      <c r="G361" s="1">
        <v>181285119316000</v>
      </c>
      <c r="H361" s="1">
        <v>123273880932000</v>
      </c>
      <c r="I361">
        <f t="shared" si="5"/>
        <v>0</v>
      </c>
    </row>
    <row r="362" spans="1:9" x14ac:dyDescent="0.3">
      <c r="A362">
        <v>20160519</v>
      </c>
      <c r="B362" s="2" t="s">
        <v>4</v>
      </c>
      <c r="C362" s="8">
        <v>1268000</v>
      </c>
      <c r="D362" s="8">
        <v>1270000</v>
      </c>
      <c r="E362">
        <v>25400</v>
      </c>
      <c r="F362" s="8">
        <v>142969337</v>
      </c>
      <c r="G362" s="1">
        <v>181571057990000</v>
      </c>
      <c r="H362" s="1">
        <v>123468319230000</v>
      </c>
      <c r="I362">
        <f t="shared" si="5"/>
        <v>0</v>
      </c>
    </row>
    <row r="363" spans="1:9" x14ac:dyDescent="0.3">
      <c r="A363">
        <v>20160520</v>
      </c>
      <c r="B363" s="2" t="s">
        <v>4</v>
      </c>
      <c r="C363" s="8">
        <v>1270000</v>
      </c>
      <c r="D363" s="8">
        <v>1269000</v>
      </c>
      <c r="E363">
        <v>25380</v>
      </c>
      <c r="F363" s="8">
        <v>142969337</v>
      </c>
      <c r="G363" s="1">
        <v>181428088653000</v>
      </c>
      <c r="H363" s="1">
        <v>123371100081000</v>
      </c>
      <c r="I363">
        <f t="shared" si="5"/>
        <v>0</v>
      </c>
    </row>
    <row r="364" spans="1:9" x14ac:dyDescent="0.3">
      <c r="A364">
        <v>20160523</v>
      </c>
      <c r="B364" s="2" t="s">
        <v>4</v>
      </c>
      <c r="C364" s="8">
        <v>1269000</v>
      </c>
      <c r="D364" s="8">
        <v>1286000</v>
      </c>
      <c r="E364">
        <v>25720</v>
      </c>
      <c r="F364" s="8">
        <v>142969337</v>
      </c>
      <c r="G364" s="1">
        <v>183858567382000</v>
      </c>
      <c r="H364" s="1">
        <v>125023825614000</v>
      </c>
      <c r="I364">
        <f t="shared" si="5"/>
        <v>0</v>
      </c>
    </row>
    <row r="365" spans="1:9" x14ac:dyDescent="0.3">
      <c r="A365">
        <v>20160524</v>
      </c>
      <c r="B365" s="2" t="s">
        <v>4</v>
      </c>
      <c r="C365" s="8">
        <v>1286000</v>
      </c>
      <c r="D365" s="8">
        <v>1271000</v>
      </c>
      <c r="E365">
        <v>25420</v>
      </c>
      <c r="F365" s="8">
        <v>142969337</v>
      </c>
      <c r="G365" s="1">
        <v>181714027327000</v>
      </c>
      <c r="H365" s="1">
        <v>123565538379000</v>
      </c>
      <c r="I365">
        <f t="shared" si="5"/>
        <v>0</v>
      </c>
    </row>
    <row r="366" spans="1:9" x14ac:dyDescent="0.3">
      <c r="A366">
        <v>20160525</v>
      </c>
      <c r="B366" s="2" t="s">
        <v>4</v>
      </c>
      <c r="C366" s="8">
        <v>1271000</v>
      </c>
      <c r="D366" s="8">
        <v>1295000</v>
      </c>
      <c r="E366">
        <v>25900</v>
      </c>
      <c r="F366" s="8">
        <v>142969337</v>
      </c>
      <c r="G366" s="1">
        <v>185145291415000</v>
      </c>
      <c r="H366" s="1">
        <v>125898797955000</v>
      </c>
      <c r="I366">
        <f t="shared" si="5"/>
        <v>0</v>
      </c>
    </row>
    <row r="367" spans="1:9" x14ac:dyDescent="0.3">
      <c r="A367">
        <v>20160526</v>
      </c>
      <c r="B367" s="2" t="s">
        <v>4</v>
      </c>
      <c r="C367" s="8">
        <v>1295000</v>
      </c>
      <c r="D367" s="8">
        <v>1296000</v>
      </c>
      <c r="E367">
        <v>25920</v>
      </c>
      <c r="F367" s="8">
        <v>142969337</v>
      </c>
      <c r="G367" s="1">
        <v>185288260752000</v>
      </c>
      <c r="H367" s="1">
        <v>125996017104000</v>
      </c>
      <c r="I367">
        <f t="shared" si="5"/>
        <v>0</v>
      </c>
    </row>
    <row r="368" spans="1:9" x14ac:dyDescent="0.3">
      <c r="A368">
        <v>20160527</v>
      </c>
      <c r="B368" s="2" t="s">
        <v>4</v>
      </c>
      <c r="C368" s="8">
        <v>1296000</v>
      </c>
      <c r="D368" s="8">
        <v>1282000</v>
      </c>
      <c r="E368">
        <v>25640</v>
      </c>
      <c r="F368" s="8">
        <v>142969337</v>
      </c>
      <c r="G368" s="1">
        <v>183286690034000</v>
      </c>
      <c r="H368" s="1">
        <v>124634949018000</v>
      </c>
      <c r="I368">
        <f t="shared" si="5"/>
        <v>0</v>
      </c>
    </row>
    <row r="369" spans="1:9" x14ac:dyDescent="0.3">
      <c r="A369">
        <v>20160530</v>
      </c>
      <c r="B369" s="2" t="s">
        <v>4</v>
      </c>
      <c r="C369" s="8">
        <v>1282000</v>
      </c>
      <c r="D369" s="8">
        <v>1280000</v>
      </c>
      <c r="E369">
        <v>25600</v>
      </c>
      <c r="F369" s="8">
        <v>142969337</v>
      </c>
      <c r="G369" s="1">
        <v>183000751360000</v>
      </c>
      <c r="H369" s="1">
        <v>124440510720000</v>
      </c>
      <c r="I369">
        <f t="shared" si="5"/>
        <v>0</v>
      </c>
    </row>
    <row r="370" spans="1:9" x14ac:dyDescent="0.3">
      <c r="A370">
        <v>20160531</v>
      </c>
      <c r="B370" s="2" t="s">
        <v>4</v>
      </c>
      <c r="C370" s="8">
        <v>1280000</v>
      </c>
      <c r="D370" s="8">
        <v>1292000</v>
      </c>
      <c r="E370">
        <v>25840</v>
      </c>
      <c r="F370" s="8">
        <v>142969337</v>
      </c>
      <c r="G370" s="1">
        <v>184716383404000</v>
      </c>
      <c r="H370" s="1">
        <v>125607140508000</v>
      </c>
      <c r="I370">
        <f t="shared" si="5"/>
        <v>0</v>
      </c>
    </row>
    <row r="371" spans="1:9" x14ac:dyDescent="0.3">
      <c r="A371">
        <v>20160601</v>
      </c>
      <c r="B371" s="2" t="s">
        <v>4</v>
      </c>
      <c r="C371" s="8">
        <v>1292000</v>
      </c>
      <c r="D371" s="8">
        <v>1333000</v>
      </c>
      <c r="E371">
        <v>26660</v>
      </c>
      <c r="F371" s="8">
        <v>142969337</v>
      </c>
      <c r="G371" s="1">
        <v>190578126221000</v>
      </c>
      <c r="H371" s="1">
        <v>129593125617000</v>
      </c>
      <c r="I371">
        <f t="shared" si="5"/>
        <v>0</v>
      </c>
    </row>
    <row r="372" spans="1:9" x14ac:dyDescent="0.3">
      <c r="A372">
        <v>20160602</v>
      </c>
      <c r="B372" s="2" t="s">
        <v>4</v>
      </c>
      <c r="C372" s="8">
        <v>1333000</v>
      </c>
      <c r="D372" s="8">
        <v>1365000</v>
      </c>
      <c r="E372">
        <v>27300</v>
      </c>
      <c r="F372" s="8">
        <v>142969337</v>
      </c>
      <c r="G372" s="1">
        <v>195153145005000</v>
      </c>
      <c r="H372" s="1">
        <v>132704138385000</v>
      </c>
      <c r="I372">
        <f t="shared" si="5"/>
        <v>0</v>
      </c>
    </row>
    <row r="373" spans="1:9" x14ac:dyDescent="0.3">
      <c r="A373">
        <v>20160603</v>
      </c>
      <c r="B373" s="2" t="s">
        <v>4</v>
      </c>
      <c r="C373" s="8">
        <v>1365000</v>
      </c>
      <c r="D373" s="8">
        <v>1377000</v>
      </c>
      <c r="E373">
        <v>27540</v>
      </c>
      <c r="F373" s="8">
        <v>142969337</v>
      </c>
      <c r="G373" s="1">
        <v>196868777049000</v>
      </c>
      <c r="H373" s="1">
        <v>133870768173000</v>
      </c>
      <c r="I373">
        <f t="shared" si="5"/>
        <v>0</v>
      </c>
    </row>
    <row r="374" spans="1:9" x14ac:dyDescent="0.3">
      <c r="A374">
        <v>20160607</v>
      </c>
      <c r="B374" s="2" t="s">
        <v>4</v>
      </c>
      <c r="C374" s="8">
        <v>1377000</v>
      </c>
      <c r="D374" s="8">
        <v>1398000</v>
      </c>
      <c r="E374">
        <v>27960</v>
      </c>
      <c r="F374" s="8">
        <v>142969337</v>
      </c>
      <c r="G374" s="1">
        <v>199871133126000</v>
      </c>
      <c r="H374" s="1">
        <v>135912370302000</v>
      </c>
      <c r="I374">
        <f t="shared" si="5"/>
        <v>0</v>
      </c>
    </row>
    <row r="375" spans="1:9" x14ac:dyDescent="0.3">
      <c r="A375">
        <v>20160608</v>
      </c>
      <c r="B375" s="2" t="s">
        <v>4</v>
      </c>
      <c r="C375" s="8">
        <v>1398000</v>
      </c>
      <c r="D375" s="8">
        <v>1406000</v>
      </c>
      <c r="E375">
        <v>28120</v>
      </c>
      <c r="F375" s="8">
        <v>142969337</v>
      </c>
      <c r="G375" s="1">
        <v>201014887822000</v>
      </c>
      <c r="H375" s="1">
        <v>136690123494000</v>
      </c>
      <c r="I375">
        <f t="shared" si="5"/>
        <v>0</v>
      </c>
    </row>
    <row r="376" spans="1:9" x14ac:dyDescent="0.3">
      <c r="A376">
        <v>20160609</v>
      </c>
      <c r="B376" s="2" t="s">
        <v>4</v>
      </c>
      <c r="C376" s="8">
        <v>1406000</v>
      </c>
      <c r="D376" s="8">
        <v>1430000</v>
      </c>
      <c r="E376">
        <v>28600</v>
      </c>
      <c r="F376" s="8">
        <v>142969337</v>
      </c>
      <c r="G376" s="1">
        <v>204446151910000</v>
      </c>
      <c r="H376" s="1">
        <v>139023383070000</v>
      </c>
      <c r="I376">
        <f t="shared" si="5"/>
        <v>0</v>
      </c>
    </row>
    <row r="377" spans="1:9" x14ac:dyDescent="0.3">
      <c r="A377">
        <v>20160610</v>
      </c>
      <c r="B377" s="2" t="s">
        <v>4</v>
      </c>
      <c r="C377" s="8">
        <v>1430000</v>
      </c>
      <c r="D377" s="8">
        <v>1406000</v>
      </c>
      <c r="E377">
        <v>28120</v>
      </c>
      <c r="F377" s="8">
        <v>142969337</v>
      </c>
      <c r="G377" s="1">
        <v>201014887822000</v>
      </c>
      <c r="H377" s="1">
        <v>136690123494000</v>
      </c>
      <c r="I377">
        <f t="shared" si="5"/>
        <v>0</v>
      </c>
    </row>
    <row r="378" spans="1:9" x14ac:dyDescent="0.3">
      <c r="A378">
        <v>20160613</v>
      </c>
      <c r="B378" s="2" t="s">
        <v>4</v>
      </c>
      <c r="C378" s="8">
        <v>1406000</v>
      </c>
      <c r="D378" s="8">
        <v>1371000</v>
      </c>
      <c r="E378">
        <v>27420</v>
      </c>
      <c r="F378" s="8">
        <v>142969337</v>
      </c>
      <c r="G378" s="1">
        <v>196010961027000</v>
      </c>
      <c r="H378" s="1">
        <v>133287453279000</v>
      </c>
      <c r="I378">
        <f t="shared" si="5"/>
        <v>0</v>
      </c>
    </row>
    <row r="379" spans="1:9" x14ac:dyDescent="0.3">
      <c r="A379">
        <v>20160614</v>
      </c>
      <c r="B379" s="2" t="s">
        <v>4</v>
      </c>
      <c r="C379" s="8">
        <v>1371000</v>
      </c>
      <c r="D379" s="8">
        <v>1380000</v>
      </c>
      <c r="E379">
        <v>27600</v>
      </c>
      <c r="F379" s="8">
        <v>142969337</v>
      </c>
      <c r="G379" s="1">
        <v>197297685060000</v>
      </c>
      <c r="H379" s="1">
        <v>134162425620000</v>
      </c>
      <c r="I379">
        <f t="shared" si="5"/>
        <v>0</v>
      </c>
    </row>
    <row r="380" spans="1:9" x14ac:dyDescent="0.3">
      <c r="A380">
        <v>20160615</v>
      </c>
      <c r="B380" s="2" t="s">
        <v>4</v>
      </c>
      <c r="C380" s="8">
        <v>1380000</v>
      </c>
      <c r="D380" s="8">
        <v>1413000</v>
      </c>
      <c r="E380">
        <v>28260</v>
      </c>
      <c r="F380" s="8">
        <v>142969337</v>
      </c>
      <c r="G380" s="1">
        <v>202015673181000</v>
      </c>
      <c r="H380" s="1">
        <v>137370657537000</v>
      </c>
      <c r="I380">
        <f t="shared" si="5"/>
        <v>0</v>
      </c>
    </row>
    <row r="381" spans="1:9" x14ac:dyDescent="0.3">
      <c r="A381">
        <v>20160616</v>
      </c>
      <c r="B381" s="2" t="s">
        <v>4</v>
      </c>
      <c r="C381" s="8">
        <v>1413000</v>
      </c>
      <c r="D381" s="8">
        <v>1409000</v>
      </c>
      <c r="E381">
        <v>28180</v>
      </c>
      <c r="F381" s="8">
        <v>142969337</v>
      </c>
      <c r="G381" s="1">
        <v>201443795833000</v>
      </c>
      <c r="H381" s="1">
        <v>136981780941000</v>
      </c>
      <c r="I381">
        <f t="shared" si="5"/>
        <v>0</v>
      </c>
    </row>
    <row r="382" spans="1:9" x14ac:dyDescent="0.3">
      <c r="A382">
        <v>20160617</v>
      </c>
      <c r="B382" s="2" t="s">
        <v>4</v>
      </c>
      <c r="C382" s="8">
        <v>1409000</v>
      </c>
      <c r="D382" s="8">
        <v>1426000</v>
      </c>
      <c r="E382">
        <v>28520</v>
      </c>
      <c r="F382" s="8">
        <v>142969337</v>
      </c>
      <c r="G382" s="1">
        <v>203874274562000</v>
      </c>
      <c r="H382" s="1">
        <v>138634506474000</v>
      </c>
      <c r="I382">
        <f t="shared" si="5"/>
        <v>0</v>
      </c>
    </row>
    <row r="383" spans="1:9" x14ac:dyDescent="0.3">
      <c r="A383">
        <v>20160620</v>
      </c>
      <c r="B383" s="2" t="s">
        <v>4</v>
      </c>
      <c r="C383" s="8">
        <v>1426000</v>
      </c>
      <c r="D383" s="8">
        <v>1431000</v>
      </c>
      <c r="E383">
        <v>28620</v>
      </c>
      <c r="F383" s="8">
        <v>142969337</v>
      </c>
      <c r="G383" s="1">
        <v>204589121247000</v>
      </c>
      <c r="H383" s="1">
        <v>139120602219000</v>
      </c>
      <c r="I383">
        <f t="shared" si="5"/>
        <v>0</v>
      </c>
    </row>
    <row r="384" spans="1:9" x14ac:dyDescent="0.3">
      <c r="A384">
        <v>20160621</v>
      </c>
      <c r="B384" s="2" t="s">
        <v>4</v>
      </c>
      <c r="C384" s="8">
        <v>1431000</v>
      </c>
      <c r="D384" s="8">
        <v>1448000</v>
      </c>
      <c r="E384">
        <v>28960</v>
      </c>
      <c r="F384" s="8">
        <v>142969337</v>
      </c>
      <c r="G384" s="1">
        <v>207019599976000</v>
      </c>
      <c r="H384" s="1">
        <v>140773327752000</v>
      </c>
      <c r="I384">
        <f t="shared" si="5"/>
        <v>0</v>
      </c>
    </row>
    <row r="385" spans="1:9" x14ac:dyDescent="0.3">
      <c r="A385">
        <v>20160622</v>
      </c>
      <c r="B385" s="2" t="s">
        <v>4</v>
      </c>
      <c r="C385" s="8">
        <v>1448000</v>
      </c>
      <c r="D385" s="8">
        <v>1445000</v>
      </c>
      <c r="E385">
        <v>28900</v>
      </c>
      <c r="F385" s="8">
        <v>142969337</v>
      </c>
      <c r="G385" s="1">
        <v>206590691965000</v>
      </c>
      <c r="H385" s="1">
        <v>140481670305000</v>
      </c>
      <c r="I385">
        <f t="shared" si="5"/>
        <v>0</v>
      </c>
    </row>
    <row r="386" spans="1:9" x14ac:dyDescent="0.3">
      <c r="A386">
        <v>20160623</v>
      </c>
      <c r="B386" s="2" t="s">
        <v>4</v>
      </c>
      <c r="C386" s="8">
        <v>1445000</v>
      </c>
      <c r="D386" s="8">
        <v>1430000</v>
      </c>
      <c r="E386">
        <v>28600</v>
      </c>
      <c r="F386" s="8">
        <v>142969337</v>
      </c>
      <c r="G386" s="1">
        <v>204446151910000</v>
      </c>
      <c r="H386" s="1">
        <v>139023383070000</v>
      </c>
      <c r="I386">
        <f t="shared" si="5"/>
        <v>0</v>
      </c>
    </row>
    <row r="387" spans="1:9" x14ac:dyDescent="0.3">
      <c r="A387">
        <v>20160624</v>
      </c>
      <c r="B387" s="2" t="s">
        <v>4</v>
      </c>
      <c r="C387" s="8">
        <v>1430000</v>
      </c>
      <c r="D387" s="8">
        <v>1400000</v>
      </c>
      <c r="E387">
        <v>28000</v>
      </c>
      <c r="F387" s="8">
        <v>142969337</v>
      </c>
      <c r="G387" s="1">
        <v>200157071800000</v>
      </c>
      <c r="H387" s="1">
        <v>136106808600000</v>
      </c>
      <c r="I387">
        <f t="shared" si="5"/>
        <v>0</v>
      </c>
    </row>
    <row r="388" spans="1:9" x14ac:dyDescent="0.3">
      <c r="A388">
        <v>20160627</v>
      </c>
      <c r="B388" s="2" t="s">
        <v>4</v>
      </c>
      <c r="C388" s="8">
        <v>1400000</v>
      </c>
      <c r="D388" s="8">
        <v>1398000</v>
      </c>
      <c r="E388">
        <v>27960</v>
      </c>
      <c r="F388" s="8">
        <v>142969337</v>
      </c>
      <c r="G388" s="1">
        <v>199871133126000</v>
      </c>
      <c r="H388" s="1">
        <v>135912370302000</v>
      </c>
      <c r="I388">
        <f t="shared" ref="I388:I451" si="6">IF(C388*F388=D387*F387,0,1)</f>
        <v>0</v>
      </c>
    </row>
    <row r="389" spans="1:9" x14ac:dyDescent="0.3">
      <c r="A389">
        <v>20160628</v>
      </c>
      <c r="B389" s="2" t="s">
        <v>4</v>
      </c>
      <c r="C389" s="8">
        <v>1398000</v>
      </c>
      <c r="D389" s="8">
        <v>1399000</v>
      </c>
      <c r="E389">
        <v>27980</v>
      </c>
      <c r="F389" s="8">
        <v>142969337</v>
      </c>
      <c r="G389" s="1">
        <v>200014102463000</v>
      </c>
      <c r="H389" s="1">
        <v>136009589451000</v>
      </c>
      <c r="I389">
        <f t="shared" si="6"/>
        <v>0</v>
      </c>
    </row>
    <row r="390" spans="1:9" x14ac:dyDescent="0.3">
      <c r="A390">
        <v>20160629</v>
      </c>
      <c r="B390" s="2" t="s">
        <v>4</v>
      </c>
      <c r="C390" s="8">
        <v>1399000</v>
      </c>
      <c r="D390" s="8">
        <v>1396000</v>
      </c>
      <c r="E390">
        <v>27920</v>
      </c>
      <c r="F390" s="8">
        <v>142969337</v>
      </c>
      <c r="G390" s="1">
        <v>199585194452000</v>
      </c>
      <c r="H390" s="1">
        <v>135717932004000</v>
      </c>
      <c r="I390">
        <f t="shared" si="6"/>
        <v>0</v>
      </c>
    </row>
    <row r="391" spans="1:9" x14ac:dyDescent="0.3">
      <c r="A391">
        <v>20160630</v>
      </c>
      <c r="B391" s="2" t="s">
        <v>4</v>
      </c>
      <c r="C391" s="8">
        <v>1396000</v>
      </c>
      <c r="D391" s="8">
        <v>1425000</v>
      </c>
      <c r="E391">
        <v>28500</v>
      </c>
      <c r="F391" s="8">
        <v>142969337</v>
      </c>
      <c r="G391" s="1">
        <v>203731305225000</v>
      </c>
      <c r="H391" s="1">
        <v>138537287325000</v>
      </c>
      <c r="I391">
        <f t="shared" si="6"/>
        <v>0</v>
      </c>
    </row>
    <row r="392" spans="1:9" x14ac:dyDescent="0.3">
      <c r="A392">
        <v>20160701</v>
      </c>
      <c r="B392" s="2" t="s">
        <v>4</v>
      </c>
      <c r="C392" s="8">
        <v>1425000</v>
      </c>
      <c r="D392" s="8">
        <v>1466000</v>
      </c>
      <c r="E392">
        <v>29320</v>
      </c>
      <c r="F392" s="8">
        <v>142969337</v>
      </c>
      <c r="G392" s="1">
        <v>209593048042000</v>
      </c>
      <c r="H392" s="1">
        <v>142523272434000</v>
      </c>
      <c r="I392">
        <f t="shared" si="6"/>
        <v>0</v>
      </c>
    </row>
    <row r="393" spans="1:9" x14ac:dyDescent="0.3">
      <c r="A393">
        <v>20160704</v>
      </c>
      <c r="B393" s="2" t="s">
        <v>4</v>
      </c>
      <c r="C393" s="8">
        <v>1466000</v>
      </c>
      <c r="D393" s="8">
        <v>1466000</v>
      </c>
      <c r="E393">
        <v>29320</v>
      </c>
      <c r="F393" s="8">
        <v>142969337</v>
      </c>
      <c r="G393" s="1">
        <v>209593048042000</v>
      </c>
      <c r="H393" s="1">
        <v>142523272434000</v>
      </c>
      <c r="I393">
        <f t="shared" si="6"/>
        <v>0</v>
      </c>
    </row>
    <row r="394" spans="1:9" x14ac:dyDescent="0.3">
      <c r="A394">
        <v>20160705</v>
      </c>
      <c r="B394" s="2" t="s">
        <v>4</v>
      </c>
      <c r="C394" s="8">
        <v>1466000</v>
      </c>
      <c r="D394" s="8">
        <v>1469000</v>
      </c>
      <c r="E394">
        <v>29380</v>
      </c>
      <c r="F394" s="8">
        <v>142969337</v>
      </c>
      <c r="G394" s="1">
        <v>210021956053000</v>
      </c>
      <c r="H394" s="1">
        <v>142814929881000</v>
      </c>
      <c r="I394">
        <f t="shared" si="6"/>
        <v>0</v>
      </c>
    </row>
    <row r="395" spans="1:9" x14ac:dyDescent="0.3">
      <c r="A395">
        <v>20160706</v>
      </c>
      <c r="B395" s="2" t="s">
        <v>4</v>
      </c>
      <c r="C395" s="8">
        <v>1469000</v>
      </c>
      <c r="D395" s="8">
        <v>1421000</v>
      </c>
      <c r="E395">
        <v>28420</v>
      </c>
      <c r="F395" s="8">
        <v>142969337</v>
      </c>
      <c r="G395" s="1">
        <v>203159427877000</v>
      </c>
      <c r="H395" s="1">
        <v>138148410729000</v>
      </c>
      <c r="I395">
        <f t="shared" si="6"/>
        <v>0</v>
      </c>
    </row>
    <row r="396" spans="1:9" x14ac:dyDescent="0.3">
      <c r="A396">
        <v>20160707</v>
      </c>
      <c r="B396" s="2" t="s">
        <v>4</v>
      </c>
      <c r="C396" s="8">
        <v>1421000</v>
      </c>
      <c r="D396" s="8">
        <v>1450000</v>
      </c>
      <c r="E396">
        <v>29000</v>
      </c>
      <c r="F396" s="8">
        <v>142969337</v>
      </c>
      <c r="G396" s="1">
        <v>207305538650000</v>
      </c>
      <c r="H396" s="1">
        <v>140967766050000</v>
      </c>
      <c r="I396">
        <f t="shared" si="6"/>
        <v>0</v>
      </c>
    </row>
    <row r="397" spans="1:9" x14ac:dyDescent="0.3">
      <c r="A397">
        <v>20160708</v>
      </c>
      <c r="B397" s="2" t="s">
        <v>4</v>
      </c>
      <c r="C397" s="8">
        <v>1450000</v>
      </c>
      <c r="D397" s="8">
        <v>1460000</v>
      </c>
      <c r="E397">
        <v>29200</v>
      </c>
      <c r="F397" s="8">
        <v>142969337</v>
      </c>
      <c r="G397" s="1">
        <v>208735232020000</v>
      </c>
      <c r="H397" s="1">
        <v>141939957540000</v>
      </c>
      <c r="I397">
        <f t="shared" si="6"/>
        <v>0</v>
      </c>
    </row>
    <row r="398" spans="1:9" x14ac:dyDescent="0.3">
      <c r="A398">
        <v>20160711</v>
      </c>
      <c r="B398" s="2" t="s">
        <v>4</v>
      </c>
      <c r="C398" s="8">
        <v>1460000</v>
      </c>
      <c r="D398" s="8">
        <v>1489000</v>
      </c>
      <c r="E398">
        <v>29780</v>
      </c>
      <c r="F398" s="8">
        <v>142969337</v>
      </c>
      <c r="G398" s="1">
        <v>212881342793000</v>
      </c>
      <c r="H398" s="1">
        <v>144759312861000</v>
      </c>
      <c r="I398">
        <f t="shared" si="6"/>
        <v>0</v>
      </c>
    </row>
    <row r="399" spans="1:9" x14ac:dyDescent="0.3">
      <c r="A399">
        <v>20160712</v>
      </c>
      <c r="B399" s="2" t="s">
        <v>4</v>
      </c>
      <c r="C399" s="8">
        <v>1489000</v>
      </c>
      <c r="D399" s="8">
        <v>1464000</v>
      </c>
      <c r="E399">
        <v>29280</v>
      </c>
      <c r="F399" s="8">
        <v>142969337</v>
      </c>
      <c r="G399" s="1">
        <v>209307109368000</v>
      </c>
      <c r="H399" s="1">
        <v>142328834136000</v>
      </c>
      <c r="I399">
        <f t="shared" si="6"/>
        <v>0</v>
      </c>
    </row>
    <row r="400" spans="1:9" x14ac:dyDescent="0.3">
      <c r="A400">
        <v>20160713</v>
      </c>
      <c r="B400" s="2" t="s">
        <v>4</v>
      </c>
      <c r="C400" s="8">
        <v>1464000</v>
      </c>
      <c r="D400" s="8">
        <v>1481000</v>
      </c>
      <c r="E400">
        <v>29620</v>
      </c>
      <c r="F400" s="8">
        <v>142969337</v>
      </c>
      <c r="G400" s="1">
        <v>211737588097000</v>
      </c>
      <c r="H400" s="1">
        <v>143642779438000</v>
      </c>
      <c r="I400">
        <f t="shared" si="6"/>
        <v>0</v>
      </c>
    </row>
    <row r="401" spans="1:10" x14ac:dyDescent="0.3">
      <c r="A401">
        <v>20160714</v>
      </c>
      <c r="B401" s="2" t="s">
        <v>4</v>
      </c>
      <c r="C401" s="8">
        <v>1481000</v>
      </c>
      <c r="D401" s="8">
        <v>1500000</v>
      </c>
      <c r="E401">
        <v>30000</v>
      </c>
      <c r="F401" s="8">
        <v>142969337</v>
      </c>
      <c r="G401" s="1">
        <v>214454005500000</v>
      </c>
      <c r="H401" s="1">
        <v>145442706000000</v>
      </c>
      <c r="I401">
        <f t="shared" si="6"/>
        <v>0</v>
      </c>
    </row>
    <row r="402" spans="1:10" x14ac:dyDescent="0.3">
      <c r="A402">
        <v>20160715</v>
      </c>
      <c r="B402" s="2" t="s">
        <v>4</v>
      </c>
      <c r="C402" s="8">
        <v>1500000</v>
      </c>
      <c r="D402" s="8">
        <v>1518000</v>
      </c>
      <c r="E402">
        <v>30360</v>
      </c>
      <c r="F402" s="8">
        <v>142969337</v>
      </c>
      <c r="G402" s="1">
        <v>217027453566000</v>
      </c>
      <c r="H402" s="1">
        <v>147144612780000</v>
      </c>
      <c r="I402">
        <f t="shared" si="6"/>
        <v>0</v>
      </c>
    </row>
    <row r="403" spans="1:10" x14ac:dyDescent="0.3">
      <c r="A403">
        <v>20160718</v>
      </c>
      <c r="B403" s="2" t="s">
        <v>4</v>
      </c>
      <c r="C403" s="8">
        <v>1518000</v>
      </c>
      <c r="D403" s="8">
        <v>1533000</v>
      </c>
      <c r="E403">
        <v>30660</v>
      </c>
      <c r="F403" s="8">
        <v>142969337</v>
      </c>
      <c r="G403" s="1">
        <v>219171993621000</v>
      </c>
      <c r="H403" s="1">
        <v>148598610930000</v>
      </c>
      <c r="I403">
        <f t="shared" si="6"/>
        <v>0</v>
      </c>
    </row>
    <row r="404" spans="1:10" x14ac:dyDescent="0.3">
      <c r="A404">
        <v>20160719</v>
      </c>
      <c r="B404" s="2" t="s">
        <v>4</v>
      </c>
      <c r="C404" s="8">
        <v>1533000</v>
      </c>
      <c r="D404" s="8">
        <v>1533000</v>
      </c>
      <c r="E404">
        <v>30660</v>
      </c>
      <c r="F404" s="8">
        <v>142969337</v>
      </c>
      <c r="G404" s="1">
        <v>219171993621000</v>
      </c>
      <c r="H404" s="1">
        <v>148598610930000</v>
      </c>
      <c r="I404">
        <f t="shared" si="6"/>
        <v>0</v>
      </c>
    </row>
    <row r="405" spans="1:10" x14ac:dyDescent="0.3">
      <c r="A405">
        <v>20160720</v>
      </c>
      <c r="B405" s="2" t="s">
        <v>4</v>
      </c>
      <c r="C405" s="8">
        <v>1533000</v>
      </c>
      <c r="D405" s="8">
        <v>1540000</v>
      </c>
      <c r="E405">
        <v>30800</v>
      </c>
      <c r="F405" s="8">
        <v>142969337</v>
      </c>
      <c r="G405" s="1">
        <v>220172778980000</v>
      </c>
      <c r="H405" s="1">
        <v>149277143400000</v>
      </c>
      <c r="I405">
        <f t="shared" si="6"/>
        <v>0</v>
      </c>
    </row>
    <row r="406" spans="1:10" x14ac:dyDescent="0.3">
      <c r="A406">
        <v>20160721</v>
      </c>
      <c r="B406" s="2" t="s">
        <v>4</v>
      </c>
      <c r="C406" s="8">
        <v>1540000</v>
      </c>
      <c r="D406" s="8">
        <v>1543000</v>
      </c>
      <c r="E406">
        <v>30860</v>
      </c>
      <c r="F406" s="8">
        <v>142969337</v>
      </c>
      <c r="G406" s="1">
        <v>220601686991000</v>
      </c>
      <c r="H406" s="1">
        <v>149567943030000</v>
      </c>
      <c r="I406">
        <f t="shared" si="6"/>
        <v>0</v>
      </c>
    </row>
    <row r="407" spans="1:10" x14ac:dyDescent="0.3">
      <c r="A407">
        <v>20160722</v>
      </c>
      <c r="B407" s="2" t="s">
        <v>4</v>
      </c>
      <c r="C407" s="8">
        <v>1543000</v>
      </c>
      <c r="D407" s="8">
        <v>1516000</v>
      </c>
      <c r="E407">
        <v>30320</v>
      </c>
      <c r="F407" s="8">
        <v>142969337</v>
      </c>
      <c r="G407" s="1">
        <v>216741514892000</v>
      </c>
      <c r="H407" s="1">
        <v>146950746360000</v>
      </c>
      <c r="I407">
        <f t="shared" si="6"/>
        <v>0</v>
      </c>
    </row>
    <row r="408" spans="1:10" x14ac:dyDescent="0.3">
      <c r="A408">
        <v>20160725</v>
      </c>
      <c r="B408" s="2" t="s">
        <v>4</v>
      </c>
      <c r="C408" s="8">
        <v>1516000</v>
      </c>
      <c r="D408" s="8">
        <v>1502000</v>
      </c>
      <c r="E408">
        <v>30040</v>
      </c>
      <c r="F408" s="8">
        <v>142969337</v>
      </c>
      <c r="G408" s="1">
        <v>214739944174000</v>
      </c>
      <c r="H408" s="1">
        <v>145593681420000</v>
      </c>
      <c r="I408">
        <f t="shared" si="6"/>
        <v>0</v>
      </c>
    </row>
    <row r="409" spans="1:10" x14ac:dyDescent="0.3">
      <c r="A409">
        <v>20160726</v>
      </c>
      <c r="B409" s="2" t="s">
        <v>4</v>
      </c>
      <c r="C409" s="8">
        <v>1502000</v>
      </c>
      <c r="D409" s="8">
        <v>1530000</v>
      </c>
      <c r="E409">
        <v>30600</v>
      </c>
      <c r="F409" s="8">
        <v>142969337</v>
      </c>
      <c r="G409" s="1">
        <v>218743085610000</v>
      </c>
      <c r="H409" s="1">
        <v>149532772140000</v>
      </c>
      <c r="I409">
        <f t="shared" si="6"/>
        <v>0</v>
      </c>
    </row>
    <row r="410" spans="1:10" x14ac:dyDescent="0.3">
      <c r="A410">
        <v>20160727</v>
      </c>
      <c r="B410" s="2" t="s">
        <v>4</v>
      </c>
      <c r="C410" s="8">
        <v>1530000</v>
      </c>
      <c r="D410" s="8">
        <v>1527000</v>
      </c>
      <c r="E410">
        <v>30540</v>
      </c>
      <c r="F410" s="8">
        <v>142969337</v>
      </c>
      <c r="G410" s="1">
        <v>218314177599000</v>
      </c>
      <c r="H410" s="1">
        <v>149239570626000</v>
      </c>
      <c r="I410">
        <f t="shared" si="6"/>
        <v>0</v>
      </c>
    </row>
    <row r="411" spans="1:10" x14ac:dyDescent="0.3">
      <c r="A411">
        <v>20160728</v>
      </c>
      <c r="B411" s="2" t="s">
        <v>4</v>
      </c>
      <c r="C411" s="8">
        <v>1527000</v>
      </c>
      <c r="D411" s="8">
        <v>1507000</v>
      </c>
      <c r="E411">
        <v>30140</v>
      </c>
      <c r="F411" s="8">
        <v>142969337</v>
      </c>
      <c r="G411" s="1">
        <v>215454790859000</v>
      </c>
      <c r="H411" s="1">
        <v>147284893866000</v>
      </c>
      <c r="I411">
        <f t="shared" si="6"/>
        <v>0</v>
      </c>
    </row>
    <row r="412" spans="1:10" x14ac:dyDescent="0.3">
      <c r="A412" s="5">
        <v>20160729</v>
      </c>
      <c r="B412" s="6" t="s">
        <v>4</v>
      </c>
      <c r="C412" s="8">
        <v>1507000</v>
      </c>
      <c r="D412" s="8">
        <v>1539000</v>
      </c>
      <c r="E412" s="5">
        <v>30780</v>
      </c>
      <c r="F412" s="8">
        <v>141669337</v>
      </c>
      <c r="G412" s="7">
        <v>218029109643000</v>
      </c>
      <c r="H412" s="7">
        <v>149044698162000</v>
      </c>
      <c r="I412" s="5">
        <f t="shared" si="6"/>
        <v>1</v>
      </c>
      <c r="J412" t="s">
        <v>25</v>
      </c>
    </row>
    <row r="413" spans="1:10" x14ac:dyDescent="0.3">
      <c r="A413">
        <v>20160801</v>
      </c>
      <c r="B413" s="2" t="s">
        <v>4</v>
      </c>
      <c r="C413" s="8">
        <v>1539000</v>
      </c>
      <c r="D413" s="8">
        <v>1568000</v>
      </c>
      <c r="E413">
        <v>31360</v>
      </c>
      <c r="F413" s="8">
        <v>141669337</v>
      </c>
      <c r="G413" s="1">
        <v>222137520416000</v>
      </c>
      <c r="H413" s="1">
        <v>151209009056000</v>
      </c>
      <c r="I413">
        <f t="shared" si="6"/>
        <v>0</v>
      </c>
    </row>
    <row r="414" spans="1:10" x14ac:dyDescent="0.3">
      <c r="A414">
        <v>20160802</v>
      </c>
      <c r="B414" s="2" t="s">
        <v>4</v>
      </c>
      <c r="C414" s="8">
        <v>1568000</v>
      </c>
      <c r="D414" s="8">
        <v>1548000</v>
      </c>
      <c r="E414">
        <v>30960</v>
      </c>
      <c r="F414" s="8">
        <v>141669337</v>
      </c>
      <c r="G414" s="1">
        <v>219304133676000</v>
      </c>
      <c r="H414" s="1">
        <v>151275990384000</v>
      </c>
      <c r="I414">
        <f t="shared" si="6"/>
        <v>0</v>
      </c>
    </row>
    <row r="415" spans="1:10" x14ac:dyDescent="0.3">
      <c r="A415">
        <v>20160803</v>
      </c>
      <c r="B415" s="2" t="s">
        <v>4</v>
      </c>
      <c r="C415" s="8">
        <v>1548000</v>
      </c>
      <c r="D415" s="8">
        <v>1517000</v>
      </c>
      <c r="E415">
        <v>30340</v>
      </c>
      <c r="F415" s="8">
        <v>141669337</v>
      </c>
      <c r="G415" s="1">
        <v>214912384229000</v>
      </c>
      <c r="H415" s="1">
        <v>148246561636000</v>
      </c>
      <c r="I415">
        <f t="shared" si="6"/>
        <v>0</v>
      </c>
    </row>
    <row r="416" spans="1:10" x14ac:dyDescent="0.3">
      <c r="A416">
        <v>20160804</v>
      </c>
      <c r="B416" s="2" t="s">
        <v>4</v>
      </c>
      <c r="C416" s="8">
        <v>1517000</v>
      </c>
      <c r="D416" s="8">
        <v>1517000</v>
      </c>
      <c r="E416">
        <v>30340</v>
      </c>
      <c r="F416" s="8">
        <v>141669337</v>
      </c>
      <c r="G416" s="1">
        <v>214912384229000</v>
      </c>
      <c r="H416" s="1">
        <v>148203578958000</v>
      </c>
      <c r="I416">
        <f t="shared" si="6"/>
        <v>0</v>
      </c>
    </row>
    <row r="417" spans="1:9" x14ac:dyDescent="0.3">
      <c r="A417">
        <v>20160805</v>
      </c>
      <c r="B417" s="2" t="s">
        <v>4</v>
      </c>
      <c r="C417" s="8">
        <v>1517000</v>
      </c>
      <c r="D417" s="8">
        <v>1561000</v>
      </c>
      <c r="E417">
        <v>31220</v>
      </c>
      <c r="F417" s="8">
        <v>141669337</v>
      </c>
      <c r="G417" s="1">
        <v>221145835057000</v>
      </c>
      <c r="H417" s="1">
        <v>152480051927000</v>
      </c>
      <c r="I417">
        <f t="shared" si="6"/>
        <v>0</v>
      </c>
    </row>
    <row r="418" spans="1:9" x14ac:dyDescent="0.3">
      <c r="A418">
        <v>20160808</v>
      </c>
      <c r="B418" s="2" t="s">
        <v>4</v>
      </c>
      <c r="C418" s="8">
        <v>1561000</v>
      </c>
      <c r="D418" s="8">
        <v>1569000</v>
      </c>
      <c r="E418">
        <v>31380</v>
      </c>
      <c r="F418" s="8">
        <v>141669337</v>
      </c>
      <c r="G418" s="1">
        <v>222279189753000</v>
      </c>
      <c r="H418" s="1">
        <v>153194817483000</v>
      </c>
      <c r="I418">
        <f t="shared" si="6"/>
        <v>0</v>
      </c>
    </row>
    <row r="419" spans="1:9" x14ac:dyDescent="0.3">
      <c r="A419">
        <v>20160809</v>
      </c>
      <c r="B419" s="2" t="s">
        <v>4</v>
      </c>
      <c r="C419" s="8">
        <v>1569000</v>
      </c>
      <c r="D419" s="8">
        <v>1567000</v>
      </c>
      <c r="E419">
        <v>31340</v>
      </c>
      <c r="F419" s="8">
        <v>141669337</v>
      </c>
      <c r="G419" s="1">
        <v>221995851079000</v>
      </c>
      <c r="H419" s="1">
        <v>152977340780000</v>
      </c>
      <c r="I419">
        <f t="shared" si="6"/>
        <v>0</v>
      </c>
    </row>
    <row r="420" spans="1:9" x14ac:dyDescent="0.3">
      <c r="A420">
        <v>20160810</v>
      </c>
      <c r="B420" s="2" t="s">
        <v>4</v>
      </c>
      <c r="C420" s="8">
        <v>1567000</v>
      </c>
      <c r="D420" s="8">
        <v>1541000</v>
      </c>
      <c r="E420">
        <v>30820</v>
      </c>
      <c r="F420" s="8">
        <v>141669337</v>
      </c>
      <c r="G420" s="1">
        <v>218312448317000</v>
      </c>
      <c r="H420" s="1">
        <v>150417276593000</v>
      </c>
      <c r="I420">
        <f t="shared" si="6"/>
        <v>0</v>
      </c>
    </row>
    <row r="421" spans="1:9" x14ac:dyDescent="0.3">
      <c r="A421">
        <v>20160811</v>
      </c>
      <c r="B421" s="2" t="s">
        <v>4</v>
      </c>
      <c r="C421" s="8">
        <v>1541000</v>
      </c>
      <c r="D421" s="8">
        <v>1559000</v>
      </c>
      <c r="E421">
        <v>31180</v>
      </c>
      <c r="F421" s="8">
        <v>141669337</v>
      </c>
      <c r="G421" s="1">
        <v>220862496383000</v>
      </c>
      <c r="H421" s="1">
        <v>152152173354000</v>
      </c>
      <c r="I421">
        <f t="shared" si="6"/>
        <v>0</v>
      </c>
    </row>
    <row r="422" spans="1:9" x14ac:dyDescent="0.3">
      <c r="A422">
        <v>20160812</v>
      </c>
      <c r="B422" s="2" t="s">
        <v>4</v>
      </c>
      <c r="C422" s="8">
        <v>1559000</v>
      </c>
      <c r="D422" s="8">
        <v>1545000</v>
      </c>
      <c r="E422">
        <v>30900</v>
      </c>
      <c r="F422" s="8">
        <v>141669337</v>
      </c>
      <c r="G422" s="1">
        <v>218879125665000</v>
      </c>
      <c r="H422" s="1">
        <v>150742053240000</v>
      </c>
      <c r="I422">
        <f t="shared" si="6"/>
        <v>0</v>
      </c>
    </row>
    <row r="423" spans="1:9" x14ac:dyDescent="0.3">
      <c r="A423">
        <v>20160816</v>
      </c>
      <c r="B423" s="2" t="s">
        <v>4</v>
      </c>
      <c r="C423" s="8">
        <v>1545000</v>
      </c>
      <c r="D423" s="8">
        <v>1568000</v>
      </c>
      <c r="E423">
        <v>31360</v>
      </c>
      <c r="F423" s="8">
        <v>141669337</v>
      </c>
      <c r="G423" s="1">
        <v>222137520416000</v>
      </c>
      <c r="H423" s="1">
        <v>152963895840000</v>
      </c>
      <c r="I423">
        <f t="shared" si="6"/>
        <v>0</v>
      </c>
    </row>
    <row r="424" spans="1:9" x14ac:dyDescent="0.3">
      <c r="A424">
        <v>20160817</v>
      </c>
      <c r="B424" s="2" t="s">
        <v>4</v>
      </c>
      <c r="C424" s="8">
        <v>1568000</v>
      </c>
      <c r="D424" s="8">
        <v>1566000</v>
      </c>
      <c r="E424">
        <v>31320</v>
      </c>
      <c r="F424" s="8">
        <v>141669337</v>
      </c>
      <c r="G424" s="1">
        <v>221854181742000</v>
      </c>
      <c r="H424" s="1">
        <v>152724417786000</v>
      </c>
      <c r="I424">
        <f t="shared" si="6"/>
        <v>0</v>
      </c>
    </row>
    <row r="425" spans="1:9" x14ac:dyDescent="0.3">
      <c r="A425">
        <v>20160818</v>
      </c>
      <c r="B425" s="2" t="s">
        <v>4</v>
      </c>
      <c r="C425" s="8">
        <v>1566000</v>
      </c>
      <c r="D425" s="8">
        <v>1640000</v>
      </c>
      <c r="E425">
        <v>32800</v>
      </c>
      <c r="F425" s="8">
        <v>141669337</v>
      </c>
      <c r="G425" s="1">
        <v>232337712680000</v>
      </c>
      <c r="H425" s="1">
        <v>159918046560000</v>
      </c>
      <c r="I425">
        <f t="shared" si="6"/>
        <v>0</v>
      </c>
    </row>
    <row r="426" spans="1:9" x14ac:dyDescent="0.3">
      <c r="A426">
        <v>20160819</v>
      </c>
      <c r="B426" s="2" t="s">
        <v>4</v>
      </c>
      <c r="C426" s="8">
        <v>1640000</v>
      </c>
      <c r="D426" s="8">
        <v>1675000</v>
      </c>
      <c r="E426">
        <v>33500</v>
      </c>
      <c r="F426" s="8">
        <v>141669337</v>
      </c>
      <c r="G426" s="1">
        <v>237296139475000</v>
      </c>
      <c r="H426" s="1">
        <v>163307201975000</v>
      </c>
      <c r="I426">
        <f t="shared" si="6"/>
        <v>0</v>
      </c>
    </row>
    <row r="427" spans="1:9" x14ac:dyDescent="0.3">
      <c r="A427">
        <v>20160822</v>
      </c>
      <c r="B427" s="2" t="s">
        <v>4</v>
      </c>
      <c r="C427" s="8">
        <v>1675000</v>
      </c>
      <c r="D427" s="8">
        <v>1665000</v>
      </c>
      <c r="E427">
        <v>33300</v>
      </c>
      <c r="F427" s="8">
        <v>141669337</v>
      </c>
      <c r="G427" s="1">
        <v>235879446105000</v>
      </c>
      <c r="H427" s="1">
        <v>162308645550000</v>
      </c>
      <c r="I427">
        <f t="shared" si="6"/>
        <v>0</v>
      </c>
    </row>
    <row r="428" spans="1:9" x14ac:dyDescent="0.3">
      <c r="A428">
        <v>20160823</v>
      </c>
      <c r="B428" s="2" t="s">
        <v>4</v>
      </c>
      <c r="C428" s="8">
        <v>1665000</v>
      </c>
      <c r="D428" s="8">
        <v>1687000</v>
      </c>
      <c r="E428">
        <v>33740</v>
      </c>
      <c r="F428" s="8">
        <v>141669337</v>
      </c>
      <c r="G428" s="1">
        <v>238996171519000</v>
      </c>
      <c r="H428" s="1">
        <v>164357667061000</v>
      </c>
      <c r="I428">
        <f t="shared" si="6"/>
        <v>0</v>
      </c>
    </row>
    <row r="429" spans="1:9" x14ac:dyDescent="0.3">
      <c r="A429">
        <v>20160824</v>
      </c>
      <c r="B429" s="2" t="s">
        <v>4</v>
      </c>
      <c r="C429" s="8">
        <v>1687000</v>
      </c>
      <c r="D429" s="8">
        <v>1653000</v>
      </c>
      <c r="E429">
        <v>33060</v>
      </c>
      <c r="F429" s="8">
        <v>141669337</v>
      </c>
      <c r="G429" s="1">
        <v>234179414061000</v>
      </c>
      <c r="H429" s="1">
        <v>160951510755000</v>
      </c>
      <c r="I429">
        <f t="shared" si="6"/>
        <v>0</v>
      </c>
    </row>
    <row r="430" spans="1:9" x14ac:dyDescent="0.3">
      <c r="A430">
        <v>20160825</v>
      </c>
      <c r="B430" s="2" t="s">
        <v>4</v>
      </c>
      <c r="C430" s="8">
        <v>1653000</v>
      </c>
      <c r="D430" s="8">
        <v>1639000</v>
      </c>
      <c r="E430">
        <v>32780</v>
      </c>
      <c r="F430" s="8">
        <v>141669337</v>
      </c>
      <c r="G430" s="1">
        <v>232196043343000</v>
      </c>
      <c r="H430" s="1">
        <v>159495461213000</v>
      </c>
      <c r="I430">
        <f t="shared" si="6"/>
        <v>0</v>
      </c>
    </row>
    <row r="431" spans="1:9" x14ac:dyDescent="0.3">
      <c r="A431">
        <v>20160826</v>
      </c>
      <c r="B431" s="2" t="s">
        <v>4</v>
      </c>
      <c r="C431" s="8">
        <v>1639000</v>
      </c>
      <c r="D431" s="8">
        <v>1612000</v>
      </c>
      <c r="E431">
        <v>32240</v>
      </c>
      <c r="F431" s="8">
        <v>141669337</v>
      </c>
      <c r="G431" s="1">
        <v>228370971244000</v>
      </c>
      <c r="H431" s="1">
        <v>156753833184000</v>
      </c>
      <c r="I431">
        <f t="shared" si="6"/>
        <v>0</v>
      </c>
    </row>
    <row r="432" spans="1:9" x14ac:dyDescent="0.3">
      <c r="A432">
        <v>20160829</v>
      </c>
      <c r="B432" s="2" t="s">
        <v>4</v>
      </c>
      <c r="C432" s="8">
        <v>1612000</v>
      </c>
      <c r="D432" s="8">
        <v>1640000</v>
      </c>
      <c r="E432">
        <v>32800</v>
      </c>
      <c r="F432" s="8">
        <v>141669337</v>
      </c>
      <c r="G432" s="1">
        <v>232337712680000</v>
      </c>
      <c r="H432" s="1">
        <v>159430138360000</v>
      </c>
      <c r="I432">
        <f t="shared" si="6"/>
        <v>0</v>
      </c>
    </row>
    <row r="433" spans="1:9" x14ac:dyDescent="0.3">
      <c r="A433">
        <v>20160830</v>
      </c>
      <c r="B433" s="2" t="s">
        <v>4</v>
      </c>
      <c r="C433" s="8">
        <v>1640000</v>
      </c>
      <c r="D433" s="8">
        <v>1645000</v>
      </c>
      <c r="E433">
        <v>32900</v>
      </c>
      <c r="F433" s="8">
        <v>141669337</v>
      </c>
      <c r="G433" s="1">
        <v>233046059365000</v>
      </c>
      <c r="H433" s="1">
        <v>159916205855000</v>
      </c>
      <c r="I433">
        <f t="shared" si="6"/>
        <v>0</v>
      </c>
    </row>
    <row r="434" spans="1:9" x14ac:dyDescent="0.3">
      <c r="A434">
        <v>20160831</v>
      </c>
      <c r="B434" s="2" t="s">
        <v>4</v>
      </c>
      <c r="C434" s="8">
        <v>1645000</v>
      </c>
      <c r="D434" s="8">
        <v>1620000</v>
      </c>
      <c r="E434">
        <v>32400</v>
      </c>
      <c r="F434" s="8">
        <v>141669337</v>
      </c>
      <c r="G434" s="1">
        <v>229504325940000</v>
      </c>
      <c r="H434" s="1">
        <v>157485868380000</v>
      </c>
      <c r="I434">
        <f t="shared" si="6"/>
        <v>0</v>
      </c>
    </row>
    <row r="435" spans="1:9" x14ac:dyDescent="0.3">
      <c r="A435">
        <v>20160901</v>
      </c>
      <c r="B435" s="2" t="s">
        <v>4</v>
      </c>
      <c r="C435" s="8">
        <v>1620000</v>
      </c>
      <c r="D435" s="8">
        <v>1587000</v>
      </c>
      <c r="E435">
        <v>31740</v>
      </c>
      <c r="F435" s="8">
        <v>141669337</v>
      </c>
      <c r="G435" s="1">
        <v>224829237819000</v>
      </c>
      <c r="H435" s="1">
        <v>154277822913000</v>
      </c>
      <c r="I435">
        <f t="shared" si="6"/>
        <v>0</v>
      </c>
    </row>
    <row r="436" spans="1:9" x14ac:dyDescent="0.3">
      <c r="A436">
        <v>20160902</v>
      </c>
      <c r="B436" s="2" t="s">
        <v>4</v>
      </c>
      <c r="C436" s="8">
        <v>1587000</v>
      </c>
      <c r="D436" s="8">
        <v>1597000</v>
      </c>
      <c r="E436">
        <v>31940</v>
      </c>
      <c r="F436" s="8">
        <v>141669337</v>
      </c>
      <c r="G436" s="1">
        <v>226245931189000</v>
      </c>
      <c r="H436" s="1">
        <v>155249957903000</v>
      </c>
      <c r="I436">
        <f t="shared" si="6"/>
        <v>0</v>
      </c>
    </row>
    <row r="437" spans="1:9" x14ac:dyDescent="0.3">
      <c r="A437">
        <v>20160905</v>
      </c>
      <c r="B437" s="2" t="s">
        <v>4</v>
      </c>
      <c r="C437" s="8">
        <v>1597000</v>
      </c>
      <c r="D437" s="8">
        <v>1606000</v>
      </c>
      <c r="E437">
        <v>32120</v>
      </c>
      <c r="F437" s="8">
        <v>141669337</v>
      </c>
      <c r="G437" s="1">
        <v>227520955222000</v>
      </c>
      <c r="H437" s="1">
        <v>156124879394000</v>
      </c>
      <c r="I437">
        <f t="shared" si="6"/>
        <v>0</v>
      </c>
    </row>
    <row r="438" spans="1:9" x14ac:dyDescent="0.3">
      <c r="A438">
        <v>20160906</v>
      </c>
      <c r="B438" s="2" t="s">
        <v>4</v>
      </c>
      <c r="C438" s="8">
        <v>1606000</v>
      </c>
      <c r="D438" s="8">
        <v>1643000</v>
      </c>
      <c r="E438">
        <v>32860</v>
      </c>
      <c r="F438" s="8">
        <v>141669337</v>
      </c>
      <c r="G438" s="1">
        <v>232762720691000</v>
      </c>
      <c r="H438" s="1">
        <v>159721778857000</v>
      </c>
      <c r="I438">
        <f t="shared" si="6"/>
        <v>0</v>
      </c>
    </row>
    <row r="439" spans="1:9" x14ac:dyDescent="0.3">
      <c r="A439">
        <v>20160907</v>
      </c>
      <c r="B439" s="2" t="s">
        <v>4</v>
      </c>
      <c r="C439" s="8">
        <v>1643000</v>
      </c>
      <c r="D439" s="8">
        <v>1621000</v>
      </c>
      <c r="E439">
        <v>32420</v>
      </c>
      <c r="F439" s="8">
        <v>141669337</v>
      </c>
      <c r="G439" s="1">
        <v>229645995277000</v>
      </c>
      <c r="H439" s="1">
        <v>157583081879000</v>
      </c>
      <c r="I439">
        <f t="shared" si="6"/>
        <v>0</v>
      </c>
    </row>
    <row r="440" spans="1:9" x14ac:dyDescent="0.3">
      <c r="A440">
        <v>20160908</v>
      </c>
      <c r="B440" s="2" t="s">
        <v>4</v>
      </c>
      <c r="C440" s="8">
        <v>1621000</v>
      </c>
      <c r="D440" s="8">
        <v>1639000</v>
      </c>
      <c r="E440">
        <v>32780</v>
      </c>
      <c r="F440" s="8">
        <v>141669337</v>
      </c>
      <c r="G440" s="1">
        <v>232196043343000</v>
      </c>
      <c r="H440" s="1">
        <v>159332924861000</v>
      </c>
      <c r="I440">
        <f t="shared" si="6"/>
        <v>0</v>
      </c>
    </row>
    <row r="441" spans="1:9" x14ac:dyDescent="0.3">
      <c r="A441">
        <v>20160909</v>
      </c>
      <c r="B441" s="2" t="s">
        <v>4</v>
      </c>
      <c r="C441" s="8">
        <v>1639000</v>
      </c>
      <c r="D441" s="8">
        <v>1575000</v>
      </c>
      <c r="E441">
        <v>31500</v>
      </c>
      <c r="F441" s="8">
        <v>141669337</v>
      </c>
      <c r="G441" s="1">
        <v>223129205775000</v>
      </c>
      <c r="H441" s="1">
        <v>153111260925000</v>
      </c>
      <c r="I441">
        <f t="shared" si="6"/>
        <v>0</v>
      </c>
    </row>
    <row r="442" spans="1:9" x14ac:dyDescent="0.3">
      <c r="A442">
        <v>20160912</v>
      </c>
      <c r="B442" s="2" t="s">
        <v>4</v>
      </c>
      <c r="C442" s="8">
        <v>1575000</v>
      </c>
      <c r="D442" s="8">
        <v>1465000</v>
      </c>
      <c r="E442">
        <v>29300</v>
      </c>
      <c r="F442" s="8">
        <v>141669337</v>
      </c>
      <c r="G442" s="1">
        <v>207545578705000</v>
      </c>
      <c r="H442" s="1">
        <v>142438529225000</v>
      </c>
      <c r="I442">
        <f t="shared" si="6"/>
        <v>0</v>
      </c>
    </row>
    <row r="443" spans="1:9" x14ac:dyDescent="0.3">
      <c r="A443">
        <v>20160913</v>
      </c>
      <c r="B443" s="2" t="s">
        <v>4</v>
      </c>
      <c r="C443" s="8">
        <v>1465000</v>
      </c>
      <c r="D443" s="8">
        <v>1527000</v>
      </c>
      <c r="E443">
        <v>30540</v>
      </c>
      <c r="F443" s="8">
        <v>141669337</v>
      </c>
      <c r="G443" s="1">
        <v>216329077599000</v>
      </c>
      <c r="H443" s="1">
        <v>148466644455000</v>
      </c>
      <c r="I443">
        <f t="shared" si="6"/>
        <v>0</v>
      </c>
    </row>
    <row r="444" spans="1:9" x14ac:dyDescent="0.3">
      <c r="A444">
        <v>20160919</v>
      </c>
      <c r="B444" s="2" t="s">
        <v>4</v>
      </c>
      <c r="C444" s="8">
        <v>1527000</v>
      </c>
      <c r="D444" s="8">
        <v>1558000</v>
      </c>
      <c r="E444">
        <v>31160</v>
      </c>
      <c r="F444" s="8">
        <v>141669337</v>
      </c>
      <c r="G444" s="1">
        <v>220720827046000</v>
      </c>
      <c r="H444" s="1">
        <v>151480702070000</v>
      </c>
      <c r="I444">
        <f t="shared" si="6"/>
        <v>0</v>
      </c>
    </row>
    <row r="445" spans="1:9" x14ac:dyDescent="0.3">
      <c r="A445">
        <v>20160920</v>
      </c>
      <c r="B445" s="2" t="s">
        <v>4</v>
      </c>
      <c r="C445" s="8">
        <v>1558000</v>
      </c>
      <c r="D445" s="8">
        <v>1585000</v>
      </c>
      <c r="E445">
        <v>31700</v>
      </c>
      <c r="F445" s="8">
        <v>141669337</v>
      </c>
      <c r="G445" s="1">
        <v>224545899145000</v>
      </c>
      <c r="H445" s="1">
        <v>154016031830000</v>
      </c>
      <c r="I445">
        <f t="shared" si="6"/>
        <v>0</v>
      </c>
    </row>
    <row r="446" spans="1:9" x14ac:dyDescent="0.3">
      <c r="A446">
        <v>20160921</v>
      </c>
      <c r="B446" s="2" t="s">
        <v>4</v>
      </c>
      <c r="C446" s="8">
        <v>1585000</v>
      </c>
      <c r="D446" s="8">
        <v>1592000</v>
      </c>
      <c r="E446">
        <v>31840</v>
      </c>
      <c r="F446" s="8">
        <v>141669337</v>
      </c>
      <c r="G446" s="1">
        <v>225537584504000</v>
      </c>
      <c r="H446" s="1">
        <v>154583459496000</v>
      </c>
      <c r="I446">
        <f t="shared" si="6"/>
        <v>0</v>
      </c>
    </row>
    <row r="447" spans="1:9" x14ac:dyDescent="0.3">
      <c r="A447">
        <v>20160922</v>
      </c>
      <c r="B447" s="2" t="s">
        <v>4</v>
      </c>
      <c r="C447" s="8">
        <v>1592000</v>
      </c>
      <c r="D447" s="8">
        <v>1618000</v>
      </c>
      <c r="E447">
        <v>32360</v>
      </c>
      <c r="F447" s="8">
        <v>141669337</v>
      </c>
      <c r="G447" s="1">
        <v>229220987266000</v>
      </c>
      <c r="H447" s="1">
        <v>157016374910000</v>
      </c>
      <c r="I447">
        <f t="shared" si="6"/>
        <v>0</v>
      </c>
    </row>
    <row r="448" spans="1:9" x14ac:dyDescent="0.3">
      <c r="A448">
        <v>20160923</v>
      </c>
      <c r="B448" s="2" t="s">
        <v>4</v>
      </c>
      <c r="C448" s="8">
        <v>1618000</v>
      </c>
      <c r="D448" s="8">
        <v>1571000</v>
      </c>
      <c r="E448">
        <v>31420</v>
      </c>
      <c r="F448" s="8">
        <v>141669337</v>
      </c>
      <c r="G448" s="1">
        <v>222562528427000</v>
      </c>
      <c r="H448" s="1">
        <v>152344050431000</v>
      </c>
      <c r="I448">
        <f t="shared" si="6"/>
        <v>0</v>
      </c>
    </row>
    <row r="449" spans="1:10" x14ac:dyDescent="0.3">
      <c r="A449">
        <v>20160926</v>
      </c>
      <c r="B449" s="2" t="s">
        <v>4</v>
      </c>
      <c r="C449" s="8">
        <v>1571000</v>
      </c>
      <c r="D449" s="8">
        <v>1568000</v>
      </c>
      <c r="E449">
        <v>31360</v>
      </c>
      <c r="F449" s="8">
        <v>141669337</v>
      </c>
      <c r="G449" s="1">
        <v>222137520416000</v>
      </c>
      <c r="H449" s="1">
        <v>151942063168000</v>
      </c>
      <c r="I449">
        <f t="shared" si="6"/>
        <v>0</v>
      </c>
    </row>
    <row r="450" spans="1:10" x14ac:dyDescent="0.3">
      <c r="A450">
        <v>20160927</v>
      </c>
      <c r="B450" s="2" t="s">
        <v>4</v>
      </c>
      <c r="C450" s="8">
        <v>1568000</v>
      </c>
      <c r="D450" s="8">
        <v>1569000</v>
      </c>
      <c r="E450">
        <v>31380</v>
      </c>
      <c r="F450" s="8">
        <v>141669337</v>
      </c>
      <c r="G450" s="1">
        <v>222279189753000</v>
      </c>
      <c r="H450" s="1">
        <v>151927824879000</v>
      </c>
      <c r="I450">
        <f t="shared" si="6"/>
        <v>0</v>
      </c>
    </row>
    <row r="451" spans="1:10" x14ac:dyDescent="0.3">
      <c r="A451">
        <v>20160928</v>
      </c>
      <c r="B451" s="2" t="s">
        <v>4</v>
      </c>
      <c r="C451" s="8">
        <v>1569000</v>
      </c>
      <c r="D451" s="8">
        <v>1567000</v>
      </c>
      <c r="E451">
        <v>31340</v>
      </c>
      <c r="F451" s="8">
        <v>141669337</v>
      </c>
      <c r="G451" s="1">
        <v>221995851079000</v>
      </c>
      <c r="H451" s="1">
        <v>151600966330000</v>
      </c>
      <c r="I451">
        <f t="shared" si="6"/>
        <v>0</v>
      </c>
    </row>
    <row r="452" spans="1:10" x14ac:dyDescent="0.3">
      <c r="A452">
        <v>20160929</v>
      </c>
      <c r="B452" s="2" t="s">
        <v>4</v>
      </c>
      <c r="C452" s="8">
        <v>1567000</v>
      </c>
      <c r="D452" s="8">
        <v>1600000</v>
      </c>
      <c r="E452">
        <v>32000</v>
      </c>
      <c r="F452" s="8">
        <v>141669337</v>
      </c>
      <c r="G452" s="1">
        <v>226670939200000</v>
      </c>
      <c r="H452" s="1">
        <v>154793584000000</v>
      </c>
      <c r="I452">
        <f t="shared" ref="I452:I515" si="7">IF(C452*F452=D451*F451,0,1)</f>
        <v>0</v>
      </c>
    </row>
    <row r="453" spans="1:10" x14ac:dyDescent="0.3">
      <c r="A453">
        <v>20160930</v>
      </c>
      <c r="B453" s="2" t="s">
        <v>4</v>
      </c>
      <c r="C453" s="8">
        <v>1600000</v>
      </c>
      <c r="D453" s="8">
        <v>1598000</v>
      </c>
      <c r="E453">
        <v>31960</v>
      </c>
      <c r="F453" s="8">
        <v>141669337</v>
      </c>
      <c r="G453" s="1">
        <v>226387600526000</v>
      </c>
      <c r="H453" s="1">
        <v>154600092020000</v>
      </c>
      <c r="I453">
        <f t="shared" si="7"/>
        <v>0</v>
      </c>
    </row>
    <row r="454" spans="1:10" x14ac:dyDescent="0.3">
      <c r="A454">
        <v>20161004</v>
      </c>
      <c r="B454" s="2" t="s">
        <v>4</v>
      </c>
      <c r="C454" s="8">
        <v>1598000</v>
      </c>
      <c r="D454" s="8">
        <v>1614000</v>
      </c>
      <c r="E454">
        <v>32280</v>
      </c>
      <c r="F454" s="8">
        <v>141669337</v>
      </c>
      <c r="G454" s="1">
        <v>228654309918000</v>
      </c>
      <c r="H454" s="1">
        <v>156148027860000</v>
      </c>
      <c r="I454">
        <f t="shared" si="7"/>
        <v>0</v>
      </c>
    </row>
    <row r="455" spans="1:10" x14ac:dyDescent="0.3">
      <c r="A455">
        <v>20161005</v>
      </c>
      <c r="B455" s="2" t="s">
        <v>4</v>
      </c>
      <c r="C455" s="8">
        <v>1614000</v>
      </c>
      <c r="D455" s="8">
        <v>1619000</v>
      </c>
      <c r="E455">
        <v>32380</v>
      </c>
      <c r="F455" s="8">
        <v>141669337</v>
      </c>
      <c r="G455" s="1">
        <v>229362656603000</v>
      </c>
      <c r="H455" s="1">
        <v>156631757810000</v>
      </c>
      <c r="I455">
        <f t="shared" si="7"/>
        <v>0</v>
      </c>
    </row>
    <row r="456" spans="1:10" x14ac:dyDescent="0.3">
      <c r="A456">
        <v>20161006</v>
      </c>
      <c r="B456" s="2" t="s">
        <v>4</v>
      </c>
      <c r="C456" s="8">
        <v>1619000</v>
      </c>
      <c r="D456" s="8">
        <v>1691000</v>
      </c>
      <c r="E456">
        <v>33820</v>
      </c>
      <c r="F456" s="8">
        <v>141669337</v>
      </c>
      <c r="G456" s="1">
        <v>239562848867000</v>
      </c>
      <c r="H456" s="1">
        <v>163597469090000</v>
      </c>
      <c r="I456">
        <f t="shared" si="7"/>
        <v>0</v>
      </c>
    </row>
    <row r="457" spans="1:10" x14ac:dyDescent="0.3">
      <c r="A457">
        <v>20161007</v>
      </c>
      <c r="B457" s="2" t="s">
        <v>4</v>
      </c>
      <c r="C457" s="8">
        <v>1691000</v>
      </c>
      <c r="D457" s="8">
        <v>1706000</v>
      </c>
      <c r="E457">
        <v>34120</v>
      </c>
      <c r="F457" s="8">
        <v>141669337</v>
      </c>
      <c r="G457" s="1">
        <v>241687888922000</v>
      </c>
      <c r="H457" s="1">
        <v>165048658940000</v>
      </c>
      <c r="I457">
        <f t="shared" si="7"/>
        <v>0</v>
      </c>
    </row>
    <row r="458" spans="1:10" x14ac:dyDescent="0.3">
      <c r="A458" s="5">
        <v>20161010</v>
      </c>
      <c r="B458" s="6" t="s">
        <v>4</v>
      </c>
      <c r="C458" s="8">
        <v>1706000</v>
      </c>
      <c r="D458" s="8">
        <v>1680000</v>
      </c>
      <c r="E458" s="5">
        <v>33600</v>
      </c>
      <c r="F458" s="8">
        <v>140679337</v>
      </c>
      <c r="G458" s="7">
        <v>236341286160000</v>
      </c>
      <c r="H458" s="7">
        <v>161397463920000</v>
      </c>
      <c r="I458" s="5">
        <f t="shared" si="7"/>
        <v>1</v>
      </c>
      <c r="J458" t="s">
        <v>26</v>
      </c>
    </row>
    <row r="459" spans="1:10" x14ac:dyDescent="0.3">
      <c r="A459">
        <v>20161011</v>
      </c>
      <c r="B459" s="2" t="s">
        <v>4</v>
      </c>
      <c r="C459" s="8">
        <v>1680000</v>
      </c>
      <c r="D459" s="8">
        <v>1545000</v>
      </c>
      <c r="E459">
        <v>30900</v>
      </c>
      <c r="F459" s="8">
        <v>140679337</v>
      </c>
      <c r="G459" s="1">
        <v>217349575665000</v>
      </c>
      <c r="H459" s="1">
        <v>149471303100000</v>
      </c>
      <c r="I459">
        <f t="shared" si="7"/>
        <v>0</v>
      </c>
    </row>
    <row r="460" spans="1:10" x14ac:dyDescent="0.3">
      <c r="A460">
        <v>20161012</v>
      </c>
      <c r="B460" s="2" t="s">
        <v>4</v>
      </c>
      <c r="C460" s="8">
        <v>1545000</v>
      </c>
      <c r="D460" s="8">
        <v>1535000</v>
      </c>
      <c r="E460">
        <v>30700</v>
      </c>
      <c r="F460" s="8">
        <v>140679337</v>
      </c>
      <c r="G460" s="1">
        <v>215942782295000</v>
      </c>
      <c r="H460" s="1">
        <v>148503851300000</v>
      </c>
      <c r="I460">
        <f t="shared" si="7"/>
        <v>0</v>
      </c>
    </row>
    <row r="461" spans="1:10" x14ac:dyDescent="0.3">
      <c r="A461">
        <v>20161013</v>
      </c>
      <c r="B461" s="2" t="s">
        <v>4</v>
      </c>
      <c r="C461" s="8">
        <v>1535000</v>
      </c>
      <c r="D461" s="8">
        <v>1557000</v>
      </c>
      <c r="E461">
        <v>31140</v>
      </c>
      <c r="F461" s="8">
        <v>140679337</v>
      </c>
      <c r="G461" s="1">
        <v>219037727709000</v>
      </c>
      <c r="H461" s="1">
        <v>150632245260000</v>
      </c>
      <c r="I461">
        <f t="shared" si="7"/>
        <v>0</v>
      </c>
    </row>
    <row r="462" spans="1:10" x14ac:dyDescent="0.3">
      <c r="A462">
        <v>20161014</v>
      </c>
      <c r="B462" s="2" t="s">
        <v>4</v>
      </c>
      <c r="C462" s="8">
        <v>1557000</v>
      </c>
      <c r="D462" s="8">
        <v>1577000</v>
      </c>
      <c r="E462">
        <v>31540</v>
      </c>
      <c r="F462" s="8">
        <v>140679337</v>
      </c>
      <c r="G462" s="1">
        <v>221851314449000</v>
      </c>
      <c r="H462" s="1">
        <v>152567148860000</v>
      </c>
      <c r="I462">
        <f t="shared" si="7"/>
        <v>0</v>
      </c>
    </row>
    <row r="463" spans="1:10" x14ac:dyDescent="0.3">
      <c r="A463">
        <v>20161017</v>
      </c>
      <c r="B463" s="2" t="s">
        <v>4</v>
      </c>
      <c r="C463" s="8">
        <v>1577000</v>
      </c>
      <c r="D463" s="8">
        <v>1590000</v>
      </c>
      <c r="E463">
        <v>31800</v>
      </c>
      <c r="F463" s="8">
        <v>140679337</v>
      </c>
      <c r="G463" s="1">
        <v>223680145830000</v>
      </c>
      <c r="H463" s="1">
        <v>153847202730000</v>
      </c>
      <c r="I463">
        <f t="shared" si="7"/>
        <v>0</v>
      </c>
    </row>
    <row r="464" spans="1:10" x14ac:dyDescent="0.3">
      <c r="A464">
        <v>20161018</v>
      </c>
      <c r="B464" s="2" t="s">
        <v>4</v>
      </c>
      <c r="C464" s="8">
        <v>1590000</v>
      </c>
      <c r="D464" s="8">
        <v>1589000</v>
      </c>
      <c r="E464">
        <v>31780</v>
      </c>
      <c r="F464" s="8">
        <v>140679337</v>
      </c>
      <c r="G464" s="1">
        <v>223539466493000</v>
      </c>
      <c r="H464" s="1">
        <v>153750443483000</v>
      </c>
      <c r="I464">
        <f t="shared" si="7"/>
        <v>0</v>
      </c>
    </row>
    <row r="465" spans="1:9" x14ac:dyDescent="0.3">
      <c r="A465">
        <v>20161019</v>
      </c>
      <c r="B465" s="2" t="s">
        <v>4</v>
      </c>
      <c r="C465" s="8">
        <v>1589000</v>
      </c>
      <c r="D465" s="8">
        <v>1625000</v>
      </c>
      <c r="E465">
        <v>32500</v>
      </c>
      <c r="F465" s="8">
        <v>140679337</v>
      </c>
      <c r="G465" s="1">
        <v>228603922625000</v>
      </c>
      <c r="H465" s="1">
        <v>157233776375000</v>
      </c>
      <c r="I465">
        <f t="shared" si="7"/>
        <v>0</v>
      </c>
    </row>
    <row r="466" spans="1:9" x14ac:dyDescent="0.3">
      <c r="A466">
        <v>20161020</v>
      </c>
      <c r="B466" s="2" t="s">
        <v>4</v>
      </c>
      <c r="C466" s="8">
        <v>1625000</v>
      </c>
      <c r="D466" s="8">
        <v>1620000</v>
      </c>
      <c r="E466">
        <v>32400</v>
      </c>
      <c r="F466" s="8">
        <v>140679337</v>
      </c>
      <c r="G466" s="1">
        <v>227900525940000</v>
      </c>
      <c r="H466" s="1">
        <v>156749980140000</v>
      </c>
      <c r="I466">
        <f t="shared" si="7"/>
        <v>0</v>
      </c>
    </row>
    <row r="467" spans="1:9" x14ac:dyDescent="0.3">
      <c r="A467">
        <v>20161021</v>
      </c>
      <c r="B467" s="2" t="s">
        <v>4</v>
      </c>
      <c r="C467" s="8">
        <v>1620000</v>
      </c>
      <c r="D467" s="8">
        <v>1589000</v>
      </c>
      <c r="E467">
        <v>31780</v>
      </c>
      <c r="F467" s="8">
        <v>140679337</v>
      </c>
      <c r="G467" s="1">
        <v>223539466493000</v>
      </c>
      <c r="H467" s="1">
        <v>153750443483000</v>
      </c>
      <c r="I467">
        <f t="shared" si="7"/>
        <v>0</v>
      </c>
    </row>
    <row r="468" spans="1:9" x14ac:dyDescent="0.3">
      <c r="A468">
        <v>20161024</v>
      </c>
      <c r="B468" s="2" t="s">
        <v>4</v>
      </c>
      <c r="C468" s="8">
        <v>1589000</v>
      </c>
      <c r="D468" s="8">
        <v>1608000</v>
      </c>
      <c r="E468">
        <v>32160</v>
      </c>
      <c r="F468" s="8">
        <v>140679337</v>
      </c>
      <c r="G468" s="1">
        <v>226212373896000</v>
      </c>
      <c r="H468" s="1">
        <v>155588869176000</v>
      </c>
      <c r="I468">
        <f t="shared" si="7"/>
        <v>0</v>
      </c>
    </row>
    <row r="469" spans="1:9" x14ac:dyDescent="0.3">
      <c r="A469">
        <v>20161025</v>
      </c>
      <c r="B469" s="2" t="s">
        <v>4</v>
      </c>
      <c r="C469" s="8">
        <v>1608000</v>
      </c>
      <c r="D469" s="8">
        <v>1597000</v>
      </c>
      <c r="E469">
        <v>31940</v>
      </c>
      <c r="F469" s="8">
        <v>140679337</v>
      </c>
      <c r="G469" s="1">
        <v>224664901189000</v>
      </c>
      <c r="H469" s="1">
        <v>154524517459000</v>
      </c>
      <c r="I469">
        <f t="shared" si="7"/>
        <v>0</v>
      </c>
    </row>
    <row r="470" spans="1:9" x14ac:dyDescent="0.3">
      <c r="A470">
        <v>20161026</v>
      </c>
      <c r="B470" s="2" t="s">
        <v>4</v>
      </c>
      <c r="C470" s="8">
        <v>1597000</v>
      </c>
      <c r="D470" s="8">
        <v>1567000</v>
      </c>
      <c r="E470">
        <v>31340</v>
      </c>
      <c r="F470" s="8">
        <v>140679337</v>
      </c>
      <c r="G470" s="1">
        <v>220444521079000</v>
      </c>
      <c r="H470" s="1">
        <v>151621740049000</v>
      </c>
      <c r="I470">
        <f t="shared" si="7"/>
        <v>0</v>
      </c>
    </row>
    <row r="471" spans="1:9" x14ac:dyDescent="0.3">
      <c r="A471">
        <v>20161027</v>
      </c>
      <c r="B471" s="2" t="s">
        <v>4</v>
      </c>
      <c r="C471" s="8">
        <v>1567000</v>
      </c>
      <c r="D471" s="8">
        <v>1573000</v>
      </c>
      <c r="E471">
        <v>31460</v>
      </c>
      <c r="F471" s="8">
        <v>140679337</v>
      </c>
      <c r="G471" s="1">
        <v>221288597101000</v>
      </c>
      <c r="H471" s="1">
        <v>152202295531000</v>
      </c>
      <c r="I471">
        <f t="shared" si="7"/>
        <v>0</v>
      </c>
    </row>
    <row r="472" spans="1:9" x14ac:dyDescent="0.3">
      <c r="A472">
        <v>20161028</v>
      </c>
      <c r="B472" s="2" t="s">
        <v>4</v>
      </c>
      <c r="C472" s="8">
        <v>1573000</v>
      </c>
      <c r="D472" s="8">
        <v>1614000</v>
      </c>
      <c r="E472">
        <v>32280</v>
      </c>
      <c r="F472" s="8">
        <v>140679337</v>
      </c>
      <c r="G472" s="1">
        <v>227056449918000</v>
      </c>
      <c r="H472" s="1">
        <v>156169424658000</v>
      </c>
      <c r="I472">
        <f t="shared" si="7"/>
        <v>0</v>
      </c>
    </row>
    <row r="473" spans="1:9" x14ac:dyDescent="0.3">
      <c r="A473">
        <v>20161031</v>
      </c>
      <c r="B473" s="2" t="s">
        <v>4</v>
      </c>
      <c r="C473" s="8">
        <v>1614000</v>
      </c>
      <c r="D473" s="8">
        <v>1639000</v>
      </c>
      <c r="E473">
        <v>32780</v>
      </c>
      <c r="F473" s="8">
        <v>140679337</v>
      </c>
      <c r="G473" s="1">
        <v>230573433343000</v>
      </c>
      <c r="H473" s="1">
        <v>158588405833000</v>
      </c>
      <c r="I473">
        <f t="shared" si="7"/>
        <v>0</v>
      </c>
    </row>
    <row r="474" spans="1:9" x14ac:dyDescent="0.3">
      <c r="A474">
        <v>20161101</v>
      </c>
      <c r="B474" s="2" t="s">
        <v>4</v>
      </c>
      <c r="C474" s="8">
        <v>1639000</v>
      </c>
      <c r="D474" s="8">
        <v>1652000</v>
      </c>
      <c r="E474">
        <v>33040</v>
      </c>
      <c r="F474" s="8">
        <v>140679337</v>
      </c>
      <c r="G474" s="1">
        <v>232402264724000</v>
      </c>
      <c r="H474" s="1">
        <v>159846276044000</v>
      </c>
      <c r="I474">
        <f t="shared" si="7"/>
        <v>0</v>
      </c>
    </row>
    <row r="475" spans="1:9" x14ac:dyDescent="0.3">
      <c r="A475">
        <v>20161102</v>
      </c>
      <c r="B475" s="2" t="s">
        <v>4</v>
      </c>
      <c r="C475" s="8">
        <v>1652000</v>
      </c>
      <c r="D475" s="8">
        <v>1643000</v>
      </c>
      <c r="E475">
        <v>32860</v>
      </c>
      <c r="F475" s="8">
        <v>140679337</v>
      </c>
      <c r="G475" s="1">
        <v>231136150691000</v>
      </c>
      <c r="H475" s="1">
        <v>158975442821000</v>
      </c>
      <c r="I475">
        <f t="shared" si="7"/>
        <v>0</v>
      </c>
    </row>
    <row r="476" spans="1:9" x14ac:dyDescent="0.3">
      <c r="A476">
        <v>20161103</v>
      </c>
      <c r="B476" s="2" t="s">
        <v>4</v>
      </c>
      <c r="C476" s="8">
        <v>1643000</v>
      </c>
      <c r="D476" s="8">
        <v>1616000</v>
      </c>
      <c r="E476">
        <v>32320</v>
      </c>
      <c r="F476" s="8">
        <v>140679337</v>
      </c>
      <c r="G476" s="1">
        <v>227337808592000</v>
      </c>
      <c r="H476" s="1">
        <v>156362943152000</v>
      </c>
      <c r="I476">
        <f t="shared" si="7"/>
        <v>0</v>
      </c>
    </row>
    <row r="477" spans="1:9" x14ac:dyDescent="0.3">
      <c r="A477">
        <v>20161104</v>
      </c>
      <c r="B477" s="2" t="s">
        <v>4</v>
      </c>
      <c r="C477" s="8">
        <v>1616000</v>
      </c>
      <c r="D477" s="8">
        <v>1627000</v>
      </c>
      <c r="E477">
        <v>32540</v>
      </c>
      <c r="F477" s="8">
        <v>140679337</v>
      </c>
      <c r="G477" s="1">
        <v>228885281299000</v>
      </c>
      <c r="H477" s="1">
        <v>157404407860000</v>
      </c>
      <c r="I477">
        <f t="shared" si="7"/>
        <v>0</v>
      </c>
    </row>
    <row r="478" spans="1:9" x14ac:dyDescent="0.3">
      <c r="A478">
        <v>20161107</v>
      </c>
      <c r="B478" s="2" t="s">
        <v>4</v>
      </c>
      <c r="C478" s="8">
        <v>1627000</v>
      </c>
      <c r="D478" s="8">
        <v>1640000</v>
      </c>
      <c r="E478">
        <v>32800</v>
      </c>
      <c r="F478" s="8">
        <v>140679337</v>
      </c>
      <c r="G478" s="1">
        <v>230714112680000</v>
      </c>
      <c r="H478" s="1">
        <v>158662095200000</v>
      </c>
      <c r="I478">
        <f t="shared" si="7"/>
        <v>0</v>
      </c>
    </row>
    <row r="479" spans="1:9" x14ac:dyDescent="0.3">
      <c r="A479">
        <v>20161108</v>
      </c>
      <c r="B479" s="2" t="s">
        <v>4</v>
      </c>
      <c r="C479" s="8">
        <v>1640000</v>
      </c>
      <c r="D479" s="8">
        <v>1644000</v>
      </c>
      <c r="E479">
        <v>32880</v>
      </c>
      <c r="F479" s="8">
        <v>140679337</v>
      </c>
      <c r="G479" s="1">
        <v>231276830028000</v>
      </c>
      <c r="H479" s="1">
        <v>159049075920000</v>
      </c>
      <c r="I479">
        <f t="shared" si="7"/>
        <v>0</v>
      </c>
    </row>
    <row r="480" spans="1:9" x14ac:dyDescent="0.3">
      <c r="A480">
        <v>20161109</v>
      </c>
      <c r="B480" s="2" t="s">
        <v>4</v>
      </c>
      <c r="C480" s="8">
        <v>1644000</v>
      </c>
      <c r="D480" s="8">
        <v>1596000</v>
      </c>
      <c r="E480">
        <v>31920</v>
      </c>
      <c r="F480" s="8">
        <v>140679337</v>
      </c>
      <c r="G480" s="1">
        <v>224524221852000</v>
      </c>
      <c r="H480" s="1">
        <v>154405307280000</v>
      </c>
      <c r="I480">
        <f t="shared" si="7"/>
        <v>0</v>
      </c>
    </row>
    <row r="481" spans="1:9" x14ac:dyDescent="0.3">
      <c r="A481">
        <v>20161110</v>
      </c>
      <c r="B481" s="2" t="s">
        <v>4</v>
      </c>
      <c r="C481" s="8">
        <v>1596000</v>
      </c>
      <c r="D481" s="8">
        <v>1649000</v>
      </c>
      <c r="E481">
        <v>32980</v>
      </c>
      <c r="F481" s="8">
        <v>140679337</v>
      </c>
      <c r="G481" s="1">
        <v>231980226713000</v>
      </c>
      <c r="H481" s="1">
        <v>159532801820000</v>
      </c>
      <c r="I481">
        <f t="shared" si="7"/>
        <v>0</v>
      </c>
    </row>
    <row r="482" spans="1:9" x14ac:dyDescent="0.3">
      <c r="A482">
        <v>20161111</v>
      </c>
      <c r="B482" s="2" t="s">
        <v>4</v>
      </c>
      <c r="C482" s="8">
        <v>1649000</v>
      </c>
      <c r="D482" s="8">
        <v>1598000</v>
      </c>
      <c r="E482">
        <v>31960</v>
      </c>
      <c r="F482" s="8">
        <v>140679337</v>
      </c>
      <c r="G482" s="1">
        <v>224805580526000</v>
      </c>
      <c r="H482" s="1">
        <v>154598797640000</v>
      </c>
      <c r="I482">
        <f t="shared" si="7"/>
        <v>0</v>
      </c>
    </row>
    <row r="483" spans="1:9" x14ac:dyDescent="0.3">
      <c r="A483">
        <v>20161114</v>
      </c>
      <c r="B483" s="2" t="s">
        <v>4</v>
      </c>
      <c r="C483" s="8">
        <v>1598000</v>
      </c>
      <c r="D483" s="8">
        <v>1553000</v>
      </c>
      <c r="E483">
        <v>31060</v>
      </c>
      <c r="F483" s="8">
        <v>140679337</v>
      </c>
      <c r="G483" s="1">
        <v>218475010361000</v>
      </c>
      <c r="H483" s="1">
        <v>150245264540000</v>
      </c>
      <c r="I483">
        <f t="shared" si="7"/>
        <v>0</v>
      </c>
    </row>
    <row r="484" spans="1:9" x14ac:dyDescent="0.3">
      <c r="A484">
        <v>20161115</v>
      </c>
      <c r="B484" s="2" t="s">
        <v>4</v>
      </c>
      <c r="C484" s="8">
        <v>1553000</v>
      </c>
      <c r="D484" s="8">
        <v>1539000</v>
      </c>
      <c r="E484">
        <v>30780</v>
      </c>
      <c r="F484" s="8">
        <v>140679337</v>
      </c>
      <c r="G484" s="1">
        <v>216505499643000</v>
      </c>
      <c r="H484" s="1">
        <v>148890832020000</v>
      </c>
      <c r="I484">
        <f t="shared" si="7"/>
        <v>0</v>
      </c>
    </row>
    <row r="485" spans="1:9" x14ac:dyDescent="0.3">
      <c r="A485">
        <v>20161116</v>
      </c>
      <c r="B485" s="2" t="s">
        <v>4</v>
      </c>
      <c r="C485" s="8">
        <v>1539000</v>
      </c>
      <c r="D485" s="8">
        <v>1558000</v>
      </c>
      <c r="E485">
        <v>31160</v>
      </c>
      <c r="F485" s="8">
        <v>140679337</v>
      </c>
      <c r="G485" s="1">
        <v>219178407046000</v>
      </c>
      <c r="H485" s="1">
        <v>150728990440000</v>
      </c>
      <c r="I485">
        <f t="shared" si="7"/>
        <v>0</v>
      </c>
    </row>
    <row r="486" spans="1:9" x14ac:dyDescent="0.3">
      <c r="A486">
        <v>20161117</v>
      </c>
      <c r="B486" s="2" t="s">
        <v>4</v>
      </c>
      <c r="C486" s="8">
        <v>1558000</v>
      </c>
      <c r="D486" s="8">
        <v>1568000</v>
      </c>
      <c r="E486">
        <v>31360</v>
      </c>
      <c r="F486" s="8">
        <v>140679337</v>
      </c>
      <c r="G486" s="1">
        <v>220585200416000</v>
      </c>
      <c r="H486" s="1">
        <v>151696442240000</v>
      </c>
      <c r="I486">
        <f t="shared" si="7"/>
        <v>0</v>
      </c>
    </row>
    <row r="487" spans="1:9" x14ac:dyDescent="0.3">
      <c r="A487">
        <v>20161118</v>
      </c>
      <c r="B487" s="2" t="s">
        <v>4</v>
      </c>
      <c r="C487" s="8">
        <v>1568000</v>
      </c>
      <c r="D487" s="8">
        <v>1586000</v>
      </c>
      <c r="E487">
        <v>31720</v>
      </c>
      <c r="F487" s="8">
        <v>140679337</v>
      </c>
      <c r="G487" s="1">
        <v>223117428482000</v>
      </c>
      <c r="H487" s="1">
        <v>153437855480000</v>
      </c>
      <c r="I487">
        <f t="shared" si="7"/>
        <v>0</v>
      </c>
    </row>
    <row r="488" spans="1:9" x14ac:dyDescent="0.3">
      <c r="A488">
        <v>20161121</v>
      </c>
      <c r="B488" s="2" t="s">
        <v>4</v>
      </c>
      <c r="C488" s="8">
        <v>1586000</v>
      </c>
      <c r="D488" s="8">
        <v>1593000</v>
      </c>
      <c r="E488">
        <v>31860</v>
      </c>
      <c r="F488" s="8">
        <v>140679337</v>
      </c>
      <c r="G488" s="1">
        <v>224102183841000</v>
      </c>
      <c r="H488" s="1">
        <v>154115071740000</v>
      </c>
      <c r="I488">
        <f t="shared" si="7"/>
        <v>0</v>
      </c>
    </row>
    <row r="489" spans="1:9" x14ac:dyDescent="0.3">
      <c r="A489">
        <v>20161122</v>
      </c>
      <c r="B489" s="2" t="s">
        <v>4</v>
      </c>
      <c r="C489" s="8">
        <v>1593000</v>
      </c>
      <c r="D489" s="8">
        <v>1640000</v>
      </c>
      <c r="E489">
        <v>32800</v>
      </c>
      <c r="F489" s="8">
        <v>140679337</v>
      </c>
      <c r="G489" s="1">
        <v>230714112680000</v>
      </c>
      <c r="H489" s="1">
        <v>158662095200000</v>
      </c>
      <c r="I489">
        <f t="shared" si="7"/>
        <v>0</v>
      </c>
    </row>
    <row r="490" spans="1:9" x14ac:dyDescent="0.3">
      <c r="A490">
        <v>20161123</v>
      </c>
      <c r="B490" s="2" t="s">
        <v>4</v>
      </c>
      <c r="C490" s="8">
        <v>1640000</v>
      </c>
      <c r="D490" s="8">
        <v>1649000</v>
      </c>
      <c r="E490">
        <v>32980</v>
      </c>
      <c r="F490" s="8">
        <v>140679337</v>
      </c>
      <c r="G490" s="1">
        <v>231980226713000</v>
      </c>
      <c r="H490" s="1">
        <v>159532801820000</v>
      </c>
      <c r="I490">
        <f t="shared" si="7"/>
        <v>0</v>
      </c>
    </row>
    <row r="491" spans="1:9" x14ac:dyDescent="0.3">
      <c r="A491">
        <v>20161124</v>
      </c>
      <c r="B491" s="2" t="s">
        <v>4</v>
      </c>
      <c r="C491" s="8">
        <v>1649000</v>
      </c>
      <c r="D491" s="8">
        <v>1650000</v>
      </c>
      <c r="E491">
        <v>33000</v>
      </c>
      <c r="F491" s="8">
        <v>140679337</v>
      </c>
      <c r="G491" s="1">
        <v>232120906050000</v>
      </c>
      <c r="H491" s="1">
        <v>159629547000000</v>
      </c>
      <c r="I491">
        <f t="shared" si="7"/>
        <v>0</v>
      </c>
    </row>
    <row r="492" spans="1:9" x14ac:dyDescent="0.3">
      <c r="A492">
        <v>20161125</v>
      </c>
      <c r="B492" s="2" t="s">
        <v>4</v>
      </c>
      <c r="C492" s="8">
        <v>1650000</v>
      </c>
      <c r="D492" s="8">
        <v>1650000</v>
      </c>
      <c r="E492">
        <v>33000</v>
      </c>
      <c r="F492" s="8">
        <v>140679337</v>
      </c>
      <c r="G492" s="1">
        <v>232120906050000</v>
      </c>
      <c r="H492" s="1">
        <v>159629547000000</v>
      </c>
      <c r="I492">
        <f t="shared" si="7"/>
        <v>0</v>
      </c>
    </row>
    <row r="493" spans="1:9" x14ac:dyDescent="0.3">
      <c r="A493">
        <v>20161128</v>
      </c>
      <c r="B493" s="2" t="s">
        <v>4</v>
      </c>
      <c r="C493" s="8">
        <v>1650000</v>
      </c>
      <c r="D493" s="8">
        <v>1677000</v>
      </c>
      <c r="E493">
        <v>33540</v>
      </c>
      <c r="F493" s="8">
        <v>140679337</v>
      </c>
      <c r="G493" s="1">
        <v>235919248149000</v>
      </c>
      <c r="H493" s="1">
        <v>162241666860000</v>
      </c>
      <c r="I493">
        <f t="shared" si="7"/>
        <v>0</v>
      </c>
    </row>
    <row r="494" spans="1:9" x14ac:dyDescent="0.3">
      <c r="A494">
        <v>20161129</v>
      </c>
      <c r="B494" s="2" t="s">
        <v>4</v>
      </c>
      <c r="C494" s="8">
        <v>1677000</v>
      </c>
      <c r="D494" s="8">
        <v>1677000</v>
      </c>
      <c r="E494">
        <v>33540</v>
      </c>
      <c r="F494" s="8">
        <v>140679337</v>
      </c>
      <c r="G494" s="1">
        <v>235919248149000</v>
      </c>
      <c r="H494" s="1">
        <v>162241666860000</v>
      </c>
      <c r="I494">
        <f t="shared" si="7"/>
        <v>0</v>
      </c>
    </row>
    <row r="495" spans="1:9" x14ac:dyDescent="0.3">
      <c r="A495">
        <v>20161130</v>
      </c>
      <c r="B495" s="2" t="s">
        <v>4</v>
      </c>
      <c r="C495" s="8">
        <v>1677000</v>
      </c>
      <c r="D495" s="8">
        <v>1746000</v>
      </c>
      <c r="E495">
        <v>34920</v>
      </c>
      <c r="F495" s="8">
        <v>140679337</v>
      </c>
      <c r="G495" s="1">
        <v>245626122402000</v>
      </c>
      <c r="H495" s="1">
        <v>168917084280000</v>
      </c>
      <c r="I495">
        <f t="shared" si="7"/>
        <v>0</v>
      </c>
    </row>
    <row r="496" spans="1:9" x14ac:dyDescent="0.3">
      <c r="A496">
        <v>20161201</v>
      </c>
      <c r="B496" s="2" t="s">
        <v>4</v>
      </c>
      <c r="C496" s="8">
        <v>1746000</v>
      </c>
      <c r="D496" s="8">
        <v>1749000</v>
      </c>
      <c r="E496">
        <v>34980</v>
      </c>
      <c r="F496" s="8">
        <v>140679337</v>
      </c>
      <c r="G496" s="1">
        <v>246048160413000</v>
      </c>
      <c r="H496" s="1">
        <v>169207319820000</v>
      </c>
      <c r="I496">
        <f t="shared" si="7"/>
        <v>0</v>
      </c>
    </row>
    <row r="497" spans="1:9" x14ac:dyDescent="0.3">
      <c r="A497">
        <v>20161202</v>
      </c>
      <c r="B497" s="2" t="s">
        <v>4</v>
      </c>
      <c r="C497" s="8">
        <v>1749000</v>
      </c>
      <c r="D497" s="8">
        <v>1727000</v>
      </c>
      <c r="E497">
        <v>34540</v>
      </c>
      <c r="F497" s="8">
        <v>140679337</v>
      </c>
      <c r="G497" s="1">
        <v>242953214999000</v>
      </c>
      <c r="H497" s="1">
        <v>167078925860000</v>
      </c>
      <c r="I497">
        <f t="shared" si="7"/>
        <v>0</v>
      </c>
    </row>
    <row r="498" spans="1:9" x14ac:dyDescent="0.3">
      <c r="A498">
        <v>20161205</v>
      </c>
      <c r="B498" s="2" t="s">
        <v>4</v>
      </c>
      <c r="C498" s="8">
        <v>1727000</v>
      </c>
      <c r="D498" s="8">
        <v>1718000</v>
      </c>
      <c r="E498">
        <v>34360</v>
      </c>
      <c r="F498" s="8">
        <v>140679337</v>
      </c>
      <c r="G498" s="1">
        <v>241687100966000</v>
      </c>
      <c r="H498" s="1">
        <v>166208219240000</v>
      </c>
      <c r="I498">
        <f t="shared" si="7"/>
        <v>0</v>
      </c>
    </row>
    <row r="499" spans="1:9" x14ac:dyDescent="0.3">
      <c r="A499">
        <v>20161206</v>
      </c>
      <c r="B499" s="2" t="s">
        <v>4</v>
      </c>
      <c r="C499" s="8">
        <v>1718000</v>
      </c>
      <c r="D499" s="8">
        <v>1748000</v>
      </c>
      <c r="E499">
        <v>34960</v>
      </c>
      <c r="F499" s="8">
        <v>140679337</v>
      </c>
      <c r="G499" s="1">
        <v>245907481076000</v>
      </c>
      <c r="H499" s="1">
        <v>169110574640000</v>
      </c>
      <c r="I499">
        <f t="shared" si="7"/>
        <v>0</v>
      </c>
    </row>
    <row r="500" spans="1:9" x14ac:dyDescent="0.3">
      <c r="A500">
        <v>20161207</v>
      </c>
      <c r="B500" s="2" t="s">
        <v>4</v>
      </c>
      <c r="C500" s="8">
        <v>1748000</v>
      </c>
      <c r="D500" s="8">
        <v>1772000</v>
      </c>
      <c r="E500">
        <v>35440</v>
      </c>
      <c r="F500" s="8">
        <v>140679337</v>
      </c>
      <c r="G500" s="1">
        <v>249283785164000</v>
      </c>
      <c r="H500" s="1">
        <v>171432458960000</v>
      </c>
      <c r="I500">
        <f t="shared" si="7"/>
        <v>0</v>
      </c>
    </row>
    <row r="501" spans="1:9" x14ac:dyDescent="0.3">
      <c r="A501">
        <v>20161208</v>
      </c>
      <c r="B501" s="2" t="s">
        <v>4</v>
      </c>
      <c r="C501" s="8">
        <v>1772000</v>
      </c>
      <c r="D501" s="8">
        <v>1790000</v>
      </c>
      <c r="E501">
        <v>35800</v>
      </c>
      <c r="F501" s="8">
        <v>140679337</v>
      </c>
      <c r="G501" s="1">
        <v>251816013230000</v>
      </c>
      <c r="H501" s="1">
        <v>173173872200000</v>
      </c>
      <c r="I501">
        <f t="shared" si="7"/>
        <v>0</v>
      </c>
    </row>
    <row r="502" spans="1:9" x14ac:dyDescent="0.3">
      <c r="A502">
        <v>20161209</v>
      </c>
      <c r="B502" s="2" t="s">
        <v>4</v>
      </c>
      <c r="C502" s="8">
        <v>1790000</v>
      </c>
      <c r="D502" s="8">
        <v>1780000</v>
      </c>
      <c r="E502">
        <v>35600</v>
      </c>
      <c r="F502" s="8">
        <v>140679337</v>
      </c>
      <c r="G502" s="1">
        <v>250409219860000</v>
      </c>
      <c r="H502" s="1">
        <v>172206420400000</v>
      </c>
      <c r="I502">
        <f t="shared" si="7"/>
        <v>0</v>
      </c>
    </row>
    <row r="503" spans="1:9" x14ac:dyDescent="0.3">
      <c r="A503">
        <v>20161212</v>
      </c>
      <c r="B503" s="2" t="s">
        <v>4</v>
      </c>
      <c r="C503" s="8">
        <v>1780000</v>
      </c>
      <c r="D503" s="8">
        <v>1752000</v>
      </c>
      <c r="E503">
        <v>35040</v>
      </c>
      <c r="F503" s="8">
        <v>140679337</v>
      </c>
      <c r="G503" s="1">
        <v>246470198424000</v>
      </c>
      <c r="H503" s="1">
        <v>169497555360000</v>
      </c>
      <c r="I503">
        <f t="shared" si="7"/>
        <v>0</v>
      </c>
    </row>
    <row r="504" spans="1:9" x14ac:dyDescent="0.3">
      <c r="A504">
        <v>20161213</v>
      </c>
      <c r="B504" s="2" t="s">
        <v>4</v>
      </c>
      <c r="C504" s="8">
        <v>1752000</v>
      </c>
      <c r="D504" s="8">
        <v>1766000</v>
      </c>
      <c r="E504">
        <v>35320</v>
      </c>
      <c r="F504" s="8">
        <v>140679337</v>
      </c>
      <c r="G504" s="1">
        <v>248439709142000</v>
      </c>
      <c r="H504" s="1">
        <v>170851987880000</v>
      </c>
      <c r="I504">
        <f t="shared" si="7"/>
        <v>0</v>
      </c>
    </row>
    <row r="505" spans="1:9" x14ac:dyDescent="0.3">
      <c r="A505">
        <v>20161214</v>
      </c>
      <c r="B505" s="2" t="s">
        <v>4</v>
      </c>
      <c r="C505" s="8">
        <v>1766000</v>
      </c>
      <c r="D505" s="8">
        <v>1777000</v>
      </c>
      <c r="E505">
        <v>35540</v>
      </c>
      <c r="F505" s="8">
        <v>140679337</v>
      </c>
      <c r="G505" s="1">
        <v>249987181849000</v>
      </c>
      <c r="H505" s="1">
        <v>171916184860000</v>
      </c>
      <c r="I505">
        <f t="shared" si="7"/>
        <v>0</v>
      </c>
    </row>
    <row r="506" spans="1:9" x14ac:dyDescent="0.3">
      <c r="A506">
        <v>20161215</v>
      </c>
      <c r="B506" s="2" t="s">
        <v>4</v>
      </c>
      <c r="C506" s="8">
        <v>1777000</v>
      </c>
      <c r="D506" s="8">
        <v>1759000</v>
      </c>
      <c r="E506">
        <v>35180</v>
      </c>
      <c r="F506" s="8">
        <v>140679337</v>
      </c>
      <c r="G506" s="1">
        <v>247454953783000</v>
      </c>
      <c r="H506" s="1">
        <v>170174771620000</v>
      </c>
      <c r="I506">
        <f t="shared" si="7"/>
        <v>0</v>
      </c>
    </row>
    <row r="507" spans="1:9" x14ac:dyDescent="0.3">
      <c r="A507">
        <v>20161216</v>
      </c>
      <c r="B507" s="2" t="s">
        <v>4</v>
      </c>
      <c r="C507" s="8">
        <v>1759000</v>
      </c>
      <c r="D507" s="8">
        <v>1793000</v>
      </c>
      <c r="E507">
        <v>35860</v>
      </c>
      <c r="F507" s="8">
        <v>140679337</v>
      </c>
      <c r="G507" s="1">
        <v>252238051241000</v>
      </c>
      <c r="H507" s="1">
        <v>173464107740000</v>
      </c>
      <c r="I507">
        <f t="shared" si="7"/>
        <v>0</v>
      </c>
    </row>
    <row r="508" spans="1:9" x14ac:dyDescent="0.3">
      <c r="A508">
        <v>20161219</v>
      </c>
      <c r="B508" s="2" t="s">
        <v>4</v>
      </c>
      <c r="C508" s="8">
        <v>1793000</v>
      </c>
      <c r="D508" s="8">
        <v>1795000</v>
      </c>
      <c r="E508">
        <v>35900</v>
      </c>
      <c r="F508" s="8">
        <v>140679337</v>
      </c>
      <c r="G508" s="1">
        <v>252519409915000</v>
      </c>
      <c r="H508" s="1">
        <v>173657598100000</v>
      </c>
      <c r="I508">
        <f t="shared" si="7"/>
        <v>0</v>
      </c>
    </row>
    <row r="509" spans="1:9" x14ac:dyDescent="0.3">
      <c r="A509">
        <v>20161220</v>
      </c>
      <c r="B509" s="2" t="s">
        <v>4</v>
      </c>
      <c r="C509" s="8">
        <v>1795000</v>
      </c>
      <c r="D509" s="8">
        <v>1812000</v>
      </c>
      <c r="E509">
        <v>36240</v>
      </c>
      <c r="F509" s="8">
        <v>140679337</v>
      </c>
      <c r="G509" s="1">
        <v>254910958644000</v>
      </c>
      <c r="H509" s="1">
        <v>175302266160000</v>
      </c>
      <c r="I509">
        <f t="shared" si="7"/>
        <v>0</v>
      </c>
    </row>
    <row r="510" spans="1:9" x14ac:dyDescent="0.3">
      <c r="A510">
        <v>20161221</v>
      </c>
      <c r="B510" s="2" t="s">
        <v>4</v>
      </c>
      <c r="C510" s="8">
        <v>1812000</v>
      </c>
      <c r="D510" s="8">
        <v>1805000</v>
      </c>
      <c r="E510">
        <v>36100</v>
      </c>
      <c r="F510" s="8">
        <v>140679337</v>
      </c>
      <c r="G510" s="1">
        <v>253926203285000</v>
      </c>
      <c r="H510" s="1">
        <v>174625049900000</v>
      </c>
      <c r="I510">
        <f t="shared" si="7"/>
        <v>0</v>
      </c>
    </row>
    <row r="511" spans="1:9" x14ac:dyDescent="0.3">
      <c r="A511">
        <v>20161222</v>
      </c>
      <c r="B511" s="2" t="s">
        <v>4</v>
      </c>
      <c r="C511" s="8">
        <v>1805000</v>
      </c>
      <c r="D511" s="8">
        <v>1809000</v>
      </c>
      <c r="E511">
        <v>36180</v>
      </c>
      <c r="F511" s="8">
        <v>140679337</v>
      </c>
      <c r="G511" s="1">
        <v>254488920633000</v>
      </c>
      <c r="H511" s="1">
        <v>175012030620000</v>
      </c>
      <c r="I511">
        <f t="shared" si="7"/>
        <v>0</v>
      </c>
    </row>
    <row r="512" spans="1:9" x14ac:dyDescent="0.3">
      <c r="A512">
        <v>20161223</v>
      </c>
      <c r="B512" s="2" t="s">
        <v>4</v>
      </c>
      <c r="C512" s="8">
        <v>1809000</v>
      </c>
      <c r="D512" s="8">
        <v>1782000</v>
      </c>
      <c r="E512">
        <v>35640</v>
      </c>
      <c r="F512" s="8">
        <v>140679337</v>
      </c>
      <c r="G512" s="1">
        <v>250690578534000</v>
      </c>
      <c r="H512" s="1">
        <v>172399910760000</v>
      </c>
      <c r="I512">
        <f t="shared" si="7"/>
        <v>0</v>
      </c>
    </row>
    <row r="513" spans="1:9" x14ac:dyDescent="0.3">
      <c r="A513">
        <v>20161226</v>
      </c>
      <c r="B513" s="2" t="s">
        <v>4</v>
      </c>
      <c r="C513" s="8">
        <v>1782000</v>
      </c>
      <c r="D513" s="8">
        <v>1798000</v>
      </c>
      <c r="E513">
        <v>35960</v>
      </c>
      <c r="F513" s="8">
        <v>140679337</v>
      </c>
      <c r="G513" s="1">
        <v>252941447926000</v>
      </c>
      <c r="H513" s="1">
        <v>173947833640000</v>
      </c>
      <c r="I513">
        <f t="shared" si="7"/>
        <v>0</v>
      </c>
    </row>
    <row r="514" spans="1:9" x14ac:dyDescent="0.3">
      <c r="A514">
        <v>20161227</v>
      </c>
      <c r="B514" s="2" t="s">
        <v>4</v>
      </c>
      <c r="C514" s="8">
        <v>1798000</v>
      </c>
      <c r="D514" s="8">
        <v>1799000</v>
      </c>
      <c r="E514">
        <v>35980</v>
      </c>
      <c r="F514" s="8">
        <v>140679337</v>
      </c>
      <c r="G514" s="1">
        <v>253082127263000</v>
      </c>
      <c r="H514" s="1">
        <v>174044578820000</v>
      </c>
      <c r="I514">
        <f t="shared" si="7"/>
        <v>0</v>
      </c>
    </row>
    <row r="515" spans="1:9" x14ac:dyDescent="0.3">
      <c r="A515">
        <v>20161228</v>
      </c>
      <c r="B515" s="2" t="s">
        <v>4</v>
      </c>
      <c r="C515" s="8">
        <v>1799000</v>
      </c>
      <c r="D515" s="8">
        <v>1788000</v>
      </c>
      <c r="E515">
        <v>35760</v>
      </c>
      <c r="F515" s="8">
        <v>140679337</v>
      </c>
      <c r="G515" s="1">
        <v>251534654556000</v>
      </c>
      <c r="H515" s="1">
        <v>172980381840000</v>
      </c>
      <c r="I515">
        <f t="shared" si="7"/>
        <v>0</v>
      </c>
    </row>
    <row r="516" spans="1:9" x14ac:dyDescent="0.3">
      <c r="A516">
        <v>20161229</v>
      </c>
      <c r="B516" s="2" t="s">
        <v>4</v>
      </c>
      <c r="C516" s="8">
        <v>1788000</v>
      </c>
      <c r="D516" s="8">
        <v>1802000</v>
      </c>
      <c r="E516">
        <v>36040</v>
      </c>
      <c r="F516" s="8">
        <v>140679337</v>
      </c>
      <c r="G516" s="1">
        <v>253504165274000</v>
      </c>
      <c r="H516" s="1">
        <v>174334814360000</v>
      </c>
      <c r="I516">
        <f t="shared" ref="I516:I579" si="8">IF(C516*F516=D515*F515,0,1)</f>
        <v>0</v>
      </c>
    </row>
    <row r="517" spans="1:9" x14ac:dyDescent="0.3">
      <c r="A517">
        <v>20170102</v>
      </c>
      <c r="B517" s="2" t="s">
        <v>4</v>
      </c>
      <c r="C517" s="8">
        <v>1802000</v>
      </c>
      <c r="D517" s="8">
        <v>1805000</v>
      </c>
      <c r="E517">
        <v>36100</v>
      </c>
      <c r="F517" s="8">
        <v>140679337</v>
      </c>
      <c r="G517" s="1">
        <v>253926203285000</v>
      </c>
      <c r="H517" s="1">
        <v>174625049900000</v>
      </c>
      <c r="I517">
        <f t="shared" si="8"/>
        <v>0</v>
      </c>
    </row>
    <row r="518" spans="1:9" x14ac:dyDescent="0.3">
      <c r="A518">
        <v>20170103</v>
      </c>
      <c r="B518" s="2" t="s">
        <v>4</v>
      </c>
      <c r="C518" s="8">
        <v>1805000</v>
      </c>
      <c r="D518" s="8">
        <v>1824000</v>
      </c>
      <c r="E518">
        <v>36480</v>
      </c>
      <c r="F518" s="8">
        <v>140679337</v>
      </c>
      <c r="G518" s="1">
        <v>256599110688000</v>
      </c>
      <c r="H518" s="1">
        <v>176463208320000</v>
      </c>
      <c r="I518">
        <f t="shared" si="8"/>
        <v>0</v>
      </c>
    </row>
    <row r="519" spans="1:9" x14ac:dyDescent="0.3">
      <c r="A519">
        <v>20170104</v>
      </c>
      <c r="B519" s="2" t="s">
        <v>4</v>
      </c>
      <c r="C519" s="8">
        <v>1824000</v>
      </c>
      <c r="D519" s="8">
        <v>1808000</v>
      </c>
      <c r="E519">
        <v>36160</v>
      </c>
      <c r="F519" s="8">
        <v>140679337</v>
      </c>
      <c r="G519" s="1">
        <v>254348241296000</v>
      </c>
      <c r="H519" s="1">
        <v>174915285440000</v>
      </c>
      <c r="I519">
        <f t="shared" si="8"/>
        <v>0</v>
      </c>
    </row>
    <row r="520" spans="1:9" x14ac:dyDescent="0.3">
      <c r="A520">
        <v>20170105</v>
      </c>
      <c r="B520" s="2" t="s">
        <v>4</v>
      </c>
      <c r="C520" s="8">
        <v>1808000</v>
      </c>
      <c r="D520" s="8">
        <v>1778000</v>
      </c>
      <c r="E520">
        <v>35560</v>
      </c>
      <c r="F520" s="8">
        <v>140679337</v>
      </c>
      <c r="G520" s="1">
        <v>250127861186000</v>
      </c>
      <c r="H520" s="1">
        <v>172012930040000</v>
      </c>
      <c r="I520">
        <f t="shared" si="8"/>
        <v>0</v>
      </c>
    </row>
    <row r="521" spans="1:9" x14ac:dyDescent="0.3">
      <c r="A521">
        <v>20170106</v>
      </c>
      <c r="B521" s="2" t="s">
        <v>4</v>
      </c>
      <c r="C521" s="8">
        <v>1778000</v>
      </c>
      <c r="D521" s="8">
        <v>1810000</v>
      </c>
      <c r="E521">
        <v>36200</v>
      </c>
      <c r="F521" s="8">
        <v>140679337</v>
      </c>
      <c r="G521" s="1">
        <v>254629599970000</v>
      </c>
      <c r="H521" s="1">
        <v>175108775800000</v>
      </c>
      <c r="I521">
        <f t="shared" si="8"/>
        <v>0</v>
      </c>
    </row>
    <row r="522" spans="1:9" x14ac:dyDescent="0.3">
      <c r="A522">
        <v>20170109</v>
      </c>
      <c r="B522" s="2" t="s">
        <v>4</v>
      </c>
      <c r="C522" s="8">
        <v>1810000</v>
      </c>
      <c r="D522" s="8">
        <v>1861000</v>
      </c>
      <c r="E522">
        <v>37220</v>
      </c>
      <c r="F522" s="8">
        <v>140679337</v>
      </c>
      <c r="G522" s="1">
        <v>261804246157000</v>
      </c>
      <c r="H522" s="1">
        <v>180016599432000</v>
      </c>
      <c r="I522">
        <f t="shared" si="8"/>
        <v>0</v>
      </c>
    </row>
    <row r="523" spans="1:9" x14ac:dyDescent="0.3">
      <c r="A523">
        <v>20170110</v>
      </c>
      <c r="B523" s="2" t="s">
        <v>4</v>
      </c>
      <c r="C523" s="8">
        <v>1861000</v>
      </c>
      <c r="D523" s="8">
        <v>1862000</v>
      </c>
      <c r="E523">
        <v>37240</v>
      </c>
      <c r="F523" s="8">
        <v>140679337</v>
      </c>
      <c r="G523" s="1">
        <v>261944925494000</v>
      </c>
      <c r="H523" s="1">
        <v>180113330544000</v>
      </c>
      <c r="I523">
        <f t="shared" si="8"/>
        <v>0</v>
      </c>
    </row>
    <row r="524" spans="1:9" x14ac:dyDescent="0.3">
      <c r="A524">
        <v>20170111</v>
      </c>
      <c r="B524" s="2" t="s">
        <v>4</v>
      </c>
      <c r="C524" s="8">
        <v>1862000</v>
      </c>
      <c r="D524" s="8">
        <v>1914000</v>
      </c>
      <c r="E524">
        <v>38280</v>
      </c>
      <c r="F524" s="8">
        <v>140679337</v>
      </c>
      <c r="G524" s="1">
        <v>269260251018000</v>
      </c>
      <c r="H524" s="1">
        <v>185143348368000</v>
      </c>
      <c r="I524">
        <f t="shared" si="8"/>
        <v>0</v>
      </c>
    </row>
    <row r="525" spans="1:9" x14ac:dyDescent="0.3">
      <c r="A525">
        <v>20170112</v>
      </c>
      <c r="B525" s="2" t="s">
        <v>4</v>
      </c>
      <c r="C525" s="8">
        <v>1914000</v>
      </c>
      <c r="D525" s="8">
        <v>1940000</v>
      </c>
      <c r="E525">
        <v>38800</v>
      </c>
      <c r="F525" s="8">
        <v>140679337</v>
      </c>
      <c r="G525" s="1">
        <v>272917913780000</v>
      </c>
      <c r="H525" s="1">
        <v>187658357280000</v>
      </c>
      <c r="I525">
        <f t="shared" si="8"/>
        <v>0</v>
      </c>
    </row>
    <row r="526" spans="1:9" x14ac:dyDescent="0.3">
      <c r="A526">
        <v>20170113</v>
      </c>
      <c r="B526" s="2" t="s">
        <v>4</v>
      </c>
      <c r="C526" s="8">
        <v>1940000</v>
      </c>
      <c r="D526" s="8">
        <v>1873000</v>
      </c>
      <c r="E526">
        <v>37460</v>
      </c>
      <c r="F526" s="8">
        <v>140679337</v>
      </c>
      <c r="G526" s="1">
        <v>263492398201000</v>
      </c>
      <c r="H526" s="1">
        <v>181177372776000</v>
      </c>
      <c r="I526">
        <f t="shared" si="8"/>
        <v>0</v>
      </c>
    </row>
    <row r="527" spans="1:9" x14ac:dyDescent="0.3">
      <c r="A527">
        <v>20170116</v>
      </c>
      <c r="B527" s="2" t="s">
        <v>4</v>
      </c>
      <c r="C527" s="8">
        <v>1873000</v>
      </c>
      <c r="D527" s="8">
        <v>1833000</v>
      </c>
      <c r="E527">
        <v>36660</v>
      </c>
      <c r="F527" s="8">
        <v>140679337</v>
      </c>
      <c r="G527" s="1">
        <v>257865224721000</v>
      </c>
      <c r="H527" s="1">
        <v>193398917166000</v>
      </c>
      <c r="I527">
        <f t="shared" si="8"/>
        <v>0</v>
      </c>
    </row>
    <row r="528" spans="1:9" x14ac:dyDescent="0.3">
      <c r="A528">
        <v>20170117</v>
      </c>
      <c r="B528" s="2" t="s">
        <v>4</v>
      </c>
      <c r="C528" s="8">
        <v>1833000</v>
      </c>
      <c r="D528" s="8">
        <v>1848000</v>
      </c>
      <c r="E528">
        <v>36960</v>
      </c>
      <c r="F528" s="8">
        <v>140679337</v>
      </c>
      <c r="G528" s="1">
        <v>259975414776000</v>
      </c>
      <c r="H528" s="1">
        <v>194981559696000</v>
      </c>
      <c r="I528">
        <f t="shared" si="8"/>
        <v>0</v>
      </c>
    </row>
    <row r="529" spans="1:9" x14ac:dyDescent="0.3">
      <c r="A529">
        <v>20170118</v>
      </c>
      <c r="B529" s="2" t="s">
        <v>4</v>
      </c>
      <c r="C529" s="8">
        <v>1848000</v>
      </c>
      <c r="D529" s="8">
        <v>1847000</v>
      </c>
      <c r="E529">
        <v>36940</v>
      </c>
      <c r="F529" s="8">
        <v>140679337</v>
      </c>
      <c r="G529" s="1">
        <v>259834735439000</v>
      </c>
      <c r="H529" s="1">
        <v>194876050194000</v>
      </c>
      <c r="I529">
        <f t="shared" si="8"/>
        <v>0</v>
      </c>
    </row>
    <row r="530" spans="1:9" x14ac:dyDescent="0.3">
      <c r="A530">
        <v>20170119</v>
      </c>
      <c r="B530" s="2" t="s">
        <v>4</v>
      </c>
      <c r="C530" s="8">
        <v>1847000</v>
      </c>
      <c r="D530" s="8">
        <v>1874000</v>
      </c>
      <c r="E530">
        <v>37480</v>
      </c>
      <c r="F530" s="8">
        <v>140679337</v>
      </c>
      <c r="G530" s="1">
        <v>263633077538000</v>
      </c>
      <c r="H530" s="1">
        <v>197724806748000</v>
      </c>
      <c r="I530">
        <f t="shared" si="8"/>
        <v>0</v>
      </c>
    </row>
    <row r="531" spans="1:9" x14ac:dyDescent="0.3">
      <c r="A531">
        <v>20170120</v>
      </c>
      <c r="B531" s="2" t="s">
        <v>4</v>
      </c>
      <c r="C531" s="8">
        <v>1874000</v>
      </c>
      <c r="D531" s="8">
        <v>1860000</v>
      </c>
      <c r="E531">
        <v>37200</v>
      </c>
      <c r="F531" s="8">
        <v>140679337</v>
      </c>
      <c r="G531" s="1">
        <v>261663566820000</v>
      </c>
      <c r="H531" s="1">
        <v>196247673720000</v>
      </c>
      <c r="I531">
        <f t="shared" si="8"/>
        <v>0</v>
      </c>
    </row>
    <row r="532" spans="1:9" x14ac:dyDescent="0.3">
      <c r="A532">
        <v>20170123</v>
      </c>
      <c r="B532" s="2" t="s">
        <v>4</v>
      </c>
      <c r="C532" s="8">
        <v>1860000</v>
      </c>
      <c r="D532" s="8">
        <v>1903000</v>
      </c>
      <c r="E532">
        <v>38060</v>
      </c>
      <c r="F532" s="8">
        <v>140679337</v>
      </c>
      <c r="G532" s="1">
        <v>267712778311000</v>
      </c>
      <c r="H532" s="1">
        <v>200784584209000</v>
      </c>
      <c r="I532">
        <f t="shared" si="8"/>
        <v>0</v>
      </c>
    </row>
    <row r="533" spans="1:9" x14ac:dyDescent="0.3">
      <c r="A533">
        <v>20170124</v>
      </c>
      <c r="B533" s="2" t="s">
        <v>4</v>
      </c>
      <c r="C533" s="8">
        <v>1903000</v>
      </c>
      <c r="D533" s="8">
        <v>1908000</v>
      </c>
      <c r="E533">
        <v>38160</v>
      </c>
      <c r="F533" s="8">
        <v>140679337</v>
      </c>
      <c r="G533" s="1">
        <v>268416174996000</v>
      </c>
      <c r="H533" s="1">
        <v>201312131724000</v>
      </c>
      <c r="I533">
        <f t="shared" si="8"/>
        <v>0</v>
      </c>
    </row>
    <row r="534" spans="1:9" x14ac:dyDescent="0.3">
      <c r="A534">
        <v>20170125</v>
      </c>
      <c r="B534" s="2" t="s">
        <v>4</v>
      </c>
      <c r="C534" s="8">
        <v>1908000</v>
      </c>
      <c r="D534" s="8">
        <v>1970000</v>
      </c>
      <c r="E534">
        <v>39400</v>
      </c>
      <c r="F534" s="8">
        <v>140679337</v>
      </c>
      <c r="G534" s="1">
        <v>277138293890000</v>
      </c>
      <c r="H534" s="1">
        <v>207853720910000</v>
      </c>
      <c r="I534">
        <f t="shared" si="8"/>
        <v>0</v>
      </c>
    </row>
    <row r="535" spans="1:9" x14ac:dyDescent="0.3">
      <c r="A535">
        <v>20170126</v>
      </c>
      <c r="B535" s="2" t="s">
        <v>4</v>
      </c>
      <c r="C535" s="8">
        <v>1970000</v>
      </c>
      <c r="D535" s="8">
        <v>1995000</v>
      </c>
      <c r="E535">
        <v>39900</v>
      </c>
      <c r="F535" s="8">
        <v>140679337</v>
      </c>
      <c r="G535" s="1">
        <v>280655277315000</v>
      </c>
      <c r="H535" s="1">
        <v>210491458485000</v>
      </c>
      <c r="I535">
        <f t="shared" si="8"/>
        <v>0</v>
      </c>
    </row>
    <row r="536" spans="1:9" x14ac:dyDescent="0.3">
      <c r="A536">
        <v>20170131</v>
      </c>
      <c r="B536" s="2" t="s">
        <v>4</v>
      </c>
      <c r="C536" s="8">
        <v>1995000</v>
      </c>
      <c r="D536" s="8">
        <v>1973000</v>
      </c>
      <c r="E536">
        <v>39460</v>
      </c>
      <c r="F536" s="8">
        <v>140679337</v>
      </c>
      <c r="G536" s="1">
        <v>277560331901000</v>
      </c>
      <c r="H536" s="1">
        <v>208170249419000</v>
      </c>
      <c r="I536">
        <f t="shared" si="8"/>
        <v>0</v>
      </c>
    </row>
    <row r="537" spans="1:9" x14ac:dyDescent="0.3">
      <c r="A537">
        <v>20170201</v>
      </c>
      <c r="B537" s="2" t="s">
        <v>4</v>
      </c>
      <c r="C537" s="8">
        <v>1973000</v>
      </c>
      <c r="D537" s="8">
        <v>1956000</v>
      </c>
      <c r="E537">
        <v>39120</v>
      </c>
      <c r="F537" s="8">
        <v>140679337</v>
      </c>
      <c r="G537" s="1">
        <v>275168783172000</v>
      </c>
      <c r="H537" s="1">
        <v>206376587868000</v>
      </c>
      <c r="I537">
        <f t="shared" si="8"/>
        <v>0</v>
      </c>
    </row>
    <row r="538" spans="1:9" x14ac:dyDescent="0.3">
      <c r="A538">
        <v>20170202</v>
      </c>
      <c r="B538" s="2" t="s">
        <v>4</v>
      </c>
      <c r="C538" s="8">
        <v>1956000</v>
      </c>
      <c r="D538" s="8">
        <v>1968000</v>
      </c>
      <c r="E538">
        <v>39360</v>
      </c>
      <c r="F538" s="8">
        <v>140679337</v>
      </c>
      <c r="G538" s="1">
        <v>276856935216000</v>
      </c>
      <c r="H538" s="1">
        <v>207642701904000</v>
      </c>
      <c r="I538">
        <f t="shared" si="8"/>
        <v>0</v>
      </c>
    </row>
    <row r="539" spans="1:9" x14ac:dyDescent="0.3">
      <c r="A539">
        <v>20170203</v>
      </c>
      <c r="B539" s="2" t="s">
        <v>4</v>
      </c>
      <c r="C539" s="8">
        <v>1968000</v>
      </c>
      <c r="D539" s="8">
        <v>1973000</v>
      </c>
      <c r="E539">
        <v>39460</v>
      </c>
      <c r="F539" s="8">
        <v>140679337</v>
      </c>
      <c r="G539" s="1">
        <v>277560331901000</v>
      </c>
      <c r="H539" s="1">
        <v>208170249419000</v>
      </c>
      <c r="I539">
        <f t="shared" si="8"/>
        <v>0</v>
      </c>
    </row>
    <row r="540" spans="1:9" x14ac:dyDescent="0.3">
      <c r="A540">
        <v>20170206</v>
      </c>
      <c r="B540" s="2" t="s">
        <v>4</v>
      </c>
      <c r="C540" s="8">
        <v>1973000</v>
      </c>
      <c r="D540" s="8">
        <v>1978000</v>
      </c>
      <c r="E540">
        <v>39560</v>
      </c>
      <c r="F540" s="8">
        <v>140679337</v>
      </c>
      <c r="G540" s="1">
        <v>278263728586000</v>
      </c>
      <c r="H540" s="1">
        <v>208697796934000</v>
      </c>
      <c r="I540">
        <f t="shared" si="8"/>
        <v>0</v>
      </c>
    </row>
    <row r="541" spans="1:9" x14ac:dyDescent="0.3">
      <c r="A541">
        <v>20170207</v>
      </c>
      <c r="B541" s="2" t="s">
        <v>4</v>
      </c>
      <c r="C541" s="8">
        <v>1978000</v>
      </c>
      <c r="D541" s="8">
        <v>1941000</v>
      </c>
      <c r="E541">
        <v>38820</v>
      </c>
      <c r="F541" s="8">
        <v>140679337</v>
      </c>
      <c r="G541" s="1">
        <v>273058593117000</v>
      </c>
      <c r="H541" s="1">
        <v>204793945323000</v>
      </c>
      <c r="I541">
        <f t="shared" si="8"/>
        <v>0</v>
      </c>
    </row>
    <row r="542" spans="1:9" x14ac:dyDescent="0.3">
      <c r="A542">
        <v>20170208</v>
      </c>
      <c r="B542" s="2" t="s">
        <v>4</v>
      </c>
      <c r="C542" s="8">
        <v>1941000</v>
      </c>
      <c r="D542" s="8">
        <v>1920000</v>
      </c>
      <c r="E542">
        <v>38400</v>
      </c>
      <c r="F542" s="8">
        <v>140679337</v>
      </c>
      <c r="G542" s="1">
        <v>270104327040000</v>
      </c>
      <c r="H542" s="1">
        <v>202578245760000</v>
      </c>
      <c r="I542">
        <f t="shared" si="8"/>
        <v>0</v>
      </c>
    </row>
    <row r="543" spans="1:9" x14ac:dyDescent="0.3">
      <c r="A543">
        <v>20170209</v>
      </c>
      <c r="B543" s="2" t="s">
        <v>4</v>
      </c>
      <c r="C543" s="8">
        <v>1920000</v>
      </c>
      <c r="D543" s="8">
        <v>1920000</v>
      </c>
      <c r="E543">
        <v>38400</v>
      </c>
      <c r="F543" s="8">
        <v>140679337</v>
      </c>
      <c r="G543" s="1">
        <v>270104327040000</v>
      </c>
      <c r="H543" s="1">
        <v>202578245760000</v>
      </c>
      <c r="I543">
        <f t="shared" si="8"/>
        <v>0</v>
      </c>
    </row>
    <row r="544" spans="1:9" x14ac:dyDescent="0.3">
      <c r="A544">
        <v>20170210</v>
      </c>
      <c r="B544" s="2" t="s">
        <v>4</v>
      </c>
      <c r="C544" s="8">
        <v>1920000</v>
      </c>
      <c r="D544" s="8">
        <v>1918000</v>
      </c>
      <c r="E544">
        <v>38360</v>
      </c>
      <c r="F544" s="8">
        <v>140679337</v>
      </c>
      <c r="G544" s="1">
        <v>269822968366000</v>
      </c>
      <c r="H544" s="1">
        <v>202367226754000</v>
      </c>
      <c r="I544">
        <f t="shared" si="8"/>
        <v>0</v>
      </c>
    </row>
    <row r="545" spans="1:9" x14ac:dyDescent="0.3">
      <c r="A545">
        <v>20170213</v>
      </c>
      <c r="B545" s="2" t="s">
        <v>4</v>
      </c>
      <c r="C545" s="8">
        <v>1918000</v>
      </c>
      <c r="D545" s="8">
        <v>1898000</v>
      </c>
      <c r="E545">
        <v>37960</v>
      </c>
      <c r="F545" s="8">
        <v>140679337</v>
      </c>
      <c r="G545" s="1">
        <v>267009381626000</v>
      </c>
      <c r="H545" s="1">
        <v>200257036694000</v>
      </c>
      <c r="I545">
        <f t="shared" si="8"/>
        <v>0</v>
      </c>
    </row>
    <row r="546" spans="1:9" x14ac:dyDescent="0.3">
      <c r="A546">
        <v>20170214</v>
      </c>
      <c r="B546" s="2" t="s">
        <v>4</v>
      </c>
      <c r="C546" s="8">
        <v>1898000</v>
      </c>
      <c r="D546" s="8">
        <v>1879000</v>
      </c>
      <c r="E546">
        <v>37580</v>
      </c>
      <c r="F546" s="8">
        <v>140679337</v>
      </c>
      <c r="G546" s="1">
        <v>264336474223000</v>
      </c>
      <c r="H546" s="1">
        <v>198252356137000</v>
      </c>
      <c r="I546">
        <f t="shared" si="8"/>
        <v>0</v>
      </c>
    </row>
    <row r="547" spans="1:9" x14ac:dyDescent="0.3">
      <c r="A547">
        <v>20170215</v>
      </c>
      <c r="B547" s="2" t="s">
        <v>4</v>
      </c>
      <c r="C547" s="8">
        <v>1879000</v>
      </c>
      <c r="D547" s="8">
        <v>1886000</v>
      </c>
      <c r="E547">
        <v>37720</v>
      </c>
      <c r="F547" s="8">
        <v>140679337</v>
      </c>
      <c r="G547" s="1">
        <v>265321229582000</v>
      </c>
      <c r="H547" s="1">
        <v>198990922658000</v>
      </c>
      <c r="I547">
        <f t="shared" si="8"/>
        <v>0</v>
      </c>
    </row>
    <row r="548" spans="1:9" x14ac:dyDescent="0.3">
      <c r="A548">
        <v>20170216</v>
      </c>
      <c r="B548" s="2" t="s">
        <v>4</v>
      </c>
      <c r="C548" s="8">
        <v>1886000</v>
      </c>
      <c r="D548" s="8">
        <v>1901000</v>
      </c>
      <c r="E548">
        <v>38020</v>
      </c>
      <c r="F548" s="8">
        <v>140679337</v>
      </c>
      <c r="G548" s="1">
        <v>267431419637000</v>
      </c>
      <c r="H548" s="1">
        <v>200573565203000</v>
      </c>
      <c r="I548">
        <f t="shared" si="8"/>
        <v>0</v>
      </c>
    </row>
    <row r="549" spans="1:9" x14ac:dyDescent="0.3">
      <c r="A549">
        <v>20170217</v>
      </c>
      <c r="B549" s="2" t="s">
        <v>4</v>
      </c>
      <c r="C549" s="8">
        <v>1901000</v>
      </c>
      <c r="D549" s="8">
        <v>1893000</v>
      </c>
      <c r="E549">
        <v>37860</v>
      </c>
      <c r="F549" s="8">
        <v>140679337</v>
      </c>
      <c r="G549" s="1">
        <v>266305984941000</v>
      </c>
      <c r="H549" s="1">
        <v>199729489179000</v>
      </c>
      <c r="I549">
        <f t="shared" si="8"/>
        <v>0</v>
      </c>
    </row>
    <row r="550" spans="1:9" x14ac:dyDescent="0.3">
      <c r="A550">
        <v>20170220</v>
      </c>
      <c r="B550" s="2" t="s">
        <v>4</v>
      </c>
      <c r="C550" s="8">
        <v>1893000</v>
      </c>
      <c r="D550" s="8">
        <v>1933000</v>
      </c>
      <c r="E550">
        <v>38660</v>
      </c>
      <c r="F550" s="8">
        <v>140679337</v>
      </c>
      <c r="G550" s="1">
        <v>271933158421000</v>
      </c>
      <c r="H550" s="1">
        <v>203949869299000</v>
      </c>
      <c r="I550">
        <f t="shared" si="8"/>
        <v>0</v>
      </c>
    </row>
    <row r="551" spans="1:9" x14ac:dyDescent="0.3">
      <c r="A551">
        <v>20170221</v>
      </c>
      <c r="B551" s="2" t="s">
        <v>4</v>
      </c>
      <c r="C551" s="8">
        <v>1933000</v>
      </c>
      <c r="D551" s="8">
        <v>1947000</v>
      </c>
      <c r="E551">
        <v>38940</v>
      </c>
      <c r="F551" s="8">
        <v>140679337</v>
      </c>
      <c r="G551" s="1">
        <v>273902669139000</v>
      </c>
      <c r="H551" s="1">
        <v>205427002341000</v>
      </c>
      <c r="I551">
        <f t="shared" si="8"/>
        <v>0</v>
      </c>
    </row>
    <row r="552" spans="1:9" x14ac:dyDescent="0.3">
      <c r="A552">
        <v>20170222</v>
      </c>
      <c r="B552" s="2" t="s">
        <v>4</v>
      </c>
      <c r="C552" s="8">
        <v>1947000</v>
      </c>
      <c r="D552" s="8">
        <v>1965000</v>
      </c>
      <c r="E552">
        <v>39300</v>
      </c>
      <c r="F552" s="8">
        <v>140679337</v>
      </c>
      <c r="G552" s="1">
        <v>276434897205000</v>
      </c>
      <c r="H552" s="1">
        <v>207326173395000</v>
      </c>
      <c r="I552">
        <f t="shared" si="8"/>
        <v>0</v>
      </c>
    </row>
    <row r="553" spans="1:9" x14ac:dyDescent="0.3">
      <c r="A553">
        <v>20170223</v>
      </c>
      <c r="B553" s="2" t="s">
        <v>4</v>
      </c>
      <c r="C553" s="8">
        <v>1965000</v>
      </c>
      <c r="D553" s="8">
        <v>1959000</v>
      </c>
      <c r="E553">
        <v>39180</v>
      </c>
      <c r="F553" s="8">
        <v>140679337</v>
      </c>
      <c r="G553" s="1">
        <v>275590821183000</v>
      </c>
      <c r="H553" s="1">
        <v>206693116377000</v>
      </c>
      <c r="I553">
        <f t="shared" si="8"/>
        <v>0</v>
      </c>
    </row>
    <row r="554" spans="1:9" x14ac:dyDescent="0.3">
      <c r="A554">
        <v>20170224</v>
      </c>
      <c r="B554" s="2" t="s">
        <v>4</v>
      </c>
      <c r="C554" s="8">
        <v>1959000</v>
      </c>
      <c r="D554" s="8">
        <v>1911000</v>
      </c>
      <c r="E554">
        <v>38220</v>
      </c>
      <c r="F554" s="8">
        <v>140679337</v>
      </c>
      <c r="G554" s="1">
        <v>268838213007000</v>
      </c>
      <c r="H554" s="1">
        <v>201628660233000</v>
      </c>
      <c r="I554">
        <f t="shared" si="8"/>
        <v>0</v>
      </c>
    </row>
    <row r="555" spans="1:9" x14ac:dyDescent="0.3">
      <c r="A555">
        <v>20170227</v>
      </c>
      <c r="B555" s="2" t="s">
        <v>4</v>
      </c>
      <c r="C555" s="8">
        <v>1911000</v>
      </c>
      <c r="D555" s="8">
        <v>1903000</v>
      </c>
      <c r="E555">
        <v>38060</v>
      </c>
      <c r="F555" s="8">
        <v>140679337</v>
      </c>
      <c r="G555" s="1">
        <v>267712778311000</v>
      </c>
      <c r="H555" s="1">
        <v>200784584209000</v>
      </c>
      <c r="I555">
        <f t="shared" si="8"/>
        <v>0</v>
      </c>
    </row>
    <row r="556" spans="1:9" x14ac:dyDescent="0.3">
      <c r="A556">
        <v>20170228</v>
      </c>
      <c r="B556" s="2" t="s">
        <v>4</v>
      </c>
      <c r="C556" s="8">
        <v>1903000</v>
      </c>
      <c r="D556" s="8">
        <v>1922000</v>
      </c>
      <c r="E556">
        <v>38440</v>
      </c>
      <c r="F556" s="8">
        <v>140679337</v>
      </c>
      <c r="G556" s="1">
        <v>270385685714000</v>
      </c>
      <c r="H556" s="1">
        <v>202789264766000</v>
      </c>
      <c r="I556">
        <f t="shared" si="8"/>
        <v>0</v>
      </c>
    </row>
    <row r="557" spans="1:9" x14ac:dyDescent="0.3">
      <c r="A557">
        <v>20170302</v>
      </c>
      <c r="B557" s="2" t="s">
        <v>4</v>
      </c>
      <c r="C557" s="8">
        <v>1922000</v>
      </c>
      <c r="D557" s="8">
        <v>1986000</v>
      </c>
      <c r="E557">
        <v>39720</v>
      </c>
      <c r="F557" s="8">
        <v>140679337</v>
      </c>
      <c r="G557" s="1">
        <v>279389163282000</v>
      </c>
      <c r="H557" s="1">
        <v>209541872958000</v>
      </c>
      <c r="I557">
        <f t="shared" si="8"/>
        <v>0</v>
      </c>
    </row>
    <row r="558" spans="1:9" x14ac:dyDescent="0.3">
      <c r="A558">
        <v>20170303</v>
      </c>
      <c r="B558" s="2" t="s">
        <v>4</v>
      </c>
      <c r="C558" s="8">
        <v>1986000</v>
      </c>
      <c r="D558" s="8">
        <v>1981000</v>
      </c>
      <c r="E558">
        <v>39620</v>
      </c>
      <c r="F558" s="8">
        <v>140679337</v>
      </c>
      <c r="G558" s="1">
        <v>278685766597000</v>
      </c>
      <c r="H558" s="1">
        <v>209014325443000</v>
      </c>
      <c r="I558">
        <f t="shared" si="8"/>
        <v>0</v>
      </c>
    </row>
    <row r="559" spans="1:9" x14ac:dyDescent="0.3">
      <c r="A559">
        <v>20170306</v>
      </c>
      <c r="B559" s="2" t="s">
        <v>4</v>
      </c>
      <c r="C559" s="8">
        <v>1981000</v>
      </c>
      <c r="D559" s="8">
        <v>2004000</v>
      </c>
      <c r="E559">
        <v>40080</v>
      </c>
      <c r="F559" s="8">
        <v>140679337</v>
      </c>
      <c r="G559" s="1">
        <v>281921391348000</v>
      </c>
      <c r="H559" s="1">
        <v>211441044012000</v>
      </c>
      <c r="I559">
        <f t="shared" si="8"/>
        <v>0</v>
      </c>
    </row>
    <row r="560" spans="1:9" x14ac:dyDescent="0.3">
      <c r="A560">
        <v>20170307</v>
      </c>
      <c r="B560" s="2" t="s">
        <v>4</v>
      </c>
      <c r="C560" s="8">
        <v>2004000</v>
      </c>
      <c r="D560" s="8">
        <v>2010000</v>
      </c>
      <c r="E560">
        <v>40200</v>
      </c>
      <c r="F560" s="8">
        <v>140679337</v>
      </c>
      <c r="G560" s="1">
        <v>282765467370000</v>
      </c>
      <c r="H560" s="1">
        <v>212074101030000</v>
      </c>
      <c r="I560">
        <f t="shared" si="8"/>
        <v>0</v>
      </c>
    </row>
    <row r="561" spans="1:9" x14ac:dyDescent="0.3">
      <c r="A561">
        <v>20170308</v>
      </c>
      <c r="B561" s="2" t="s">
        <v>4</v>
      </c>
      <c r="C561" s="8">
        <v>2010000</v>
      </c>
      <c r="D561" s="8">
        <v>2010000</v>
      </c>
      <c r="E561">
        <v>40200</v>
      </c>
      <c r="F561" s="8">
        <v>140679337</v>
      </c>
      <c r="G561" s="1">
        <v>282765467370000</v>
      </c>
      <c r="H561" s="1">
        <v>212074101030000</v>
      </c>
      <c r="I561">
        <f t="shared" si="8"/>
        <v>0</v>
      </c>
    </row>
    <row r="562" spans="1:9" x14ac:dyDescent="0.3">
      <c r="A562">
        <v>20170309</v>
      </c>
      <c r="B562" s="2" t="s">
        <v>4</v>
      </c>
      <c r="C562" s="8">
        <v>2010000</v>
      </c>
      <c r="D562" s="8">
        <v>2010000</v>
      </c>
      <c r="E562">
        <v>40200</v>
      </c>
      <c r="F562" s="8">
        <v>140679337</v>
      </c>
      <c r="G562" s="1">
        <v>282765467370000</v>
      </c>
      <c r="H562" s="1">
        <v>212074101030000</v>
      </c>
      <c r="I562">
        <f t="shared" si="8"/>
        <v>0</v>
      </c>
    </row>
    <row r="563" spans="1:9" x14ac:dyDescent="0.3">
      <c r="A563">
        <v>20170310</v>
      </c>
      <c r="B563" s="2" t="s">
        <v>4</v>
      </c>
      <c r="C563" s="8">
        <v>2010000</v>
      </c>
      <c r="D563" s="8">
        <v>2009000</v>
      </c>
      <c r="E563">
        <v>40180</v>
      </c>
      <c r="F563" s="8">
        <v>140679337</v>
      </c>
      <c r="G563" s="1">
        <v>282624788033000</v>
      </c>
      <c r="H563" s="1">
        <v>211968591527000</v>
      </c>
      <c r="I563">
        <f t="shared" si="8"/>
        <v>0</v>
      </c>
    </row>
    <row r="564" spans="1:9" x14ac:dyDescent="0.3">
      <c r="A564">
        <v>20170313</v>
      </c>
      <c r="B564" s="2" t="s">
        <v>4</v>
      </c>
      <c r="C564" s="8">
        <v>2009000</v>
      </c>
      <c r="D564" s="8">
        <v>2030000</v>
      </c>
      <c r="E564">
        <v>40600</v>
      </c>
      <c r="F564" s="8">
        <v>140679337</v>
      </c>
      <c r="G564" s="1">
        <v>285579054110000</v>
      </c>
      <c r="H564" s="1">
        <v>214184291090000</v>
      </c>
      <c r="I564">
        <f t="shared" si="8"/>
        <v>0</v>
      </c>
    </row>
    <row r="565" spans="1:9" x14ac:dyDescent="0.3">
      <c r="A565">
        <v>20170314</v>
      </c>
      <c r="B565" s="2" t="s">
        <v>4</v>
      </c>
      <c r="C565" s="8">
        <v>2030000</v>
      </c>
      <c r="D565" s="8">
        <v>2068000</v>
      </c>
      <c r="E565">
        <v>41360</v>
      </c>
      <c r="F565" s="8">
        <v>140679337</v>
      </c>
      <c r="G565" s="1">
        <v>290924868916000</v>
      </c>
      <c r="H565" s="1">
        <v>218193652204000</v>
      </c>
      <c r="I565">
        <f t="shared" si="8"/>
        <v>0</v>
      </c>
    </row>
    <row r="566" spans="1:9" x14ac:dyDescent="0.3">
      <c r="A566">
        <v>20170315</v>
      </c>
      <c r="B566" s="2" t="s">
        <v>4</v>
      </c>
      <c r="C566" s="8">
        <v>2068000</v>
      </c>
      <c r="D566" s="8">
        <v>2070000</v>
      </c>
      <c r="E566">
        <v>41400</v>
      </c>
      <c r="F566" s="8">
        <v>140679337</v>
      </c>
      <c r="G566" s="1">
        <v>291206227590000</v>
      </c>
      <c r="H566" s="1">
        <v>218404671210000</v>
      </c>
      <c r="I566">
        <f t="shared" si="8"/>
        <v>0</v>
      </c>
    </row>
    <row r="567" spans="1:9" x14ac:dyDescent="0.3">
      <c r="A567">
        <v>20170316</v>
      </c>
      <c r="B567" s="2" t="s">
        <v>4</v>
      </c>
      <c r="C567" s="8">
        <v>2070000</v>
      </c>
      <c r="D567" s="8">
        <v>2092000</v>
      </c>
      <c r="E567">
        <v>41840</v>
      </c>
      <c r="F567" s="8">
        <v>140679337</v>
      </c>
      <c r="G567" s="1">
        <v>294301173004000</v>
      </c>
      <c r="H567" s="1">
        <v>220725880276000</v>
      </c>
      <c r="I567">
        <f t="shared" si="8"/>
        <v>0</v>
      </c>
    </row>
    <row r="568" spans="1:9" x14ac:dyDescent="0.3">
      <c r="A568">
        <v>20170317</v>
      </c>
      <c r="B568" s="2" t="s">
        <v>4</v>
      </c>
      <c r="C568" s="8">
        <v>2092000</v>
      </c>
      <c r="D568" s="8">
        <v>2120000</v>
      </c>
      <c r="E568">
        <v>42400</v>
      </c>
      <c r="F568" s="8">
        <v>140679337</v>
      </c>
      <c r="G568" s="1">
        <v>298240194440000</v>
      </c>
      <c r="H568" s="1">
        <v>223680146360000</v>
      </c>
      <c r="I568">
        <f t="shared" si="8"/>
        <v>0</v>
      </c>
    </row>
    <row r="569" spans="1:9" x14ac:dyDescent="0.3">
      <c r="A569">
        <v>20170320</v>
      </c>
      <c r="B569" s="2" t="s">
        <v>4</v>
      </c>
      <c r="C569" s="8">
        <v>2120000</v>
      </c>
      <c r="D569" s="8">
        <v>2095000</v>
      </c>
      <c r="E569">
        <v>41900</v>
      </c>
      <c r="F569" s="8">
        <v>140679337</v>
      </c>
      <c r="G569" s="1">
        <v>294723211015000</v>
      </c>
      <c r="H569" s="1">
        <v>221042408785000</v>
      </c>
      <c r="I569">
        <f t="shared" si="8"/>
        <v>0</v>
      </c>
    </row>
    <row r="570" spans="1:9" x14ac:dyDescent="0.3">
      <c r="A570">
        <v>20170321</v>
      </c>
      <c r="B570" s="2" t="s">
        <v>4</v>
      </c>
      <c r="C570" s="8">
        <v>2095000</v>
      </c>
      <c r="D570" s="8">
        <v>2128000</v>
      </c>
      <c r="E570">
        <v>42560</v>
      </c>
      <c r="F570" s="8">
        <v>140679337</v>
      </c>
      <c r="G570" s="1">
        <v>299365629136000</v>
      </c>
      <c r="H570" s="1">
        <v>224524222384000</v>
      </c>
      <c r="I570">
        <f t="shared" si="8"/>
        <v>0</v>
      </c>
    </row>
    <row r="571" spans="1:9" x14ac:dyDescent="0.3">
      <c r="A571">
        <v>20170322</v>
      </c>
      <c r="B571" s="2" t="s">
        <v>4</v>
      </c>
      <c r="C571" s="8">
        <v>2128000</v>
      </c>
      <c r="D571" s="8">
        <v>2123000</v>
      </c>
      <c r="E571">
        <v>42460</v>
      </c>
      <c r="F571" s="8">
        <v>140679337</v>
      </c>
      <c r="G571" s="1">
        <v>298662232451000</v>
      </c>
      <c r="H571" s="1">
        <v>223996674869000</v>
      </c>
      <c r="I571">
        <f t="shared" si="8"/>
        <v>0</v>
      </c>
    </row>
    <row r="572" spans="1:9" x14ac:dyDescent="0.3">
      <c r="A572">
        <v>20170323</v>
      </c>
      <c r="B572" s="2" t="s">
        <v>4</v>
      </c>
      <c r="C572" s="8">
        <v>2123000</v>
      </c>
      <c r="D572" s="8">
        <v>2090000</v>
      </c>
      <c r="E572">
        <v>41800</v>
      </c>
      <c r="F572" s="8">
        <v>140679337</v>
      </c>
      <c r="G572" s="1">
        <v>294019814330000</v>
      </c>
      <c r="H572" s="1">
        <v>220514861270000</v>
      </c>
      <c r="I572">
        <f t="shared" si="8"/>
        <v>0</v>
      </c>
    </row>
    <row r="573" spans="1:9" x14ac:dyDescent="0.3">
      <c r="A573">
        <v>20170324</v>
      </c>
      <c r="B573" s="2" t="s">
        <v>4</v>
      </c>
      <c r="C573" s="8">
        <v>2090000</v>
      </c>
      <c r="D573" s="8">
        <v>2075000</v>
      </c>
      <c r="E573">
        <v>41500</v>
      </c>
      <c r="F573" s="8">
        <v>140679337</v>
      </c>
      <c r="G573" s="1">
        <v>291909624275000</v>
      </c>
      <c r="H573" s="1">
        <v>218932218725000</v>
      </c>
      <c r="I573">
        <f t="shared" si="8"/>
        <v>0</v>
      </c>
    </row>
    <row r="574" spans="1:9" x14ac:dyDescent="0.3">
      <c r="A574">
        <v>20170327</v>
      </c>
      <c r="B574" s="2" t="s">
        <v>4</v>
      </c>
      <c r="C574" s="8">
        <v>2075000</v>
      </c>
      <c r="D574" s="8">
        <v>2060000</v>
      </c>
      <c r="E574">
        <v>41200</v>
      </c>
      <c r="F574" s="8">
        <v>140679337</v>
      </c>
      <c r="G574" s="1">
        <v>289799434220000</v>
      </c>
      <c r="H574" s="1">
        <v>217349576180000</v>
      </c>
      <c r="I574">
        <f t="shared" si="8"/>
        <v>0</v>
      </c>
    </row>
    <row r="575" spans="1:9" x14ac:dyDescent="0.3">
      <c r="A575">
        <v>20170328</v>
      </c>
      <c r="B575" s="2" t="s">
        <v>4</v>
      </c>
      <c r="C575" s="8">
        <v>2060000</v>
      </c>
      <c r="D575" s="8">
        <v>2074000</v>
      </c>
      <c r="E575">
        <v>41480</v>
      </c>
      <c r="F575" s="8">
        <v>140679337</v>
      </c>
      <c r="G575" s="1">
        <v>291768944938000</v>
      </c>
      <c r="H575" s="1">
        <v>218826709222000</v>
      </c>
      <c r="I575">
        <f t="shared" si="8"/>
        <v>0</v>
      </c>
    </row>
    <row r="576" spans="1:9" x14ac:dyDescent="0.3">
      <c r="A576">
        <v>20170329</v>
      </c>
      <c r="B576" s="2" t="s">
        <v>4</v>
      </c>
      <c r="C576" s="8">
        <v>2074000</v>
      </c>
      <c r="D576" s="8">
        <v>2089000</v>
      </c>
      <c r="E576">
        <v>41780</v>
      </c>
      <c r="F576" s="8">
        <v>140679337</v>
      </c>
      <c r="G576" s="1">
        <v>293879134993000</v>
      </c>
      <c r="H576" s="1">
        <v>220409351767000</v>
      </c>
      <c r="I576">
        <f t="shared" si="8"/>
        <v>0</v>
      </c>
    </row>
    <row r="577" spans="1:9" x14ac:dyDescent="0.3">
      <c r="A577">
        <v>20170330</v>
      </c>
      <c r="B577" s="2" t="s">
        <v>4</v>
      </c>
      <c r="C577" s="8">
        <v>2089000</v>
      </c>
      <c r="D577" s="8">
        <v>2099000</v>
      </c>
      <c r="E577">
        <v>41980</v>
      </c>
      <c r="F577" s="8">
        <v>140679337</v>
      </c>
      <c r="G577" s="1">
        <v>295285928363000</v>
      </c>
      <c r="H577" s="1">
        <v>221464446797000</v>
      </c>
      <c r="I577">
        <f t="shared" si="8"/>
        <v>0</v>
      </c>
    </row>
    <row r="578" spans="1:9" x14ac:dyDescent="0.3">
      <c r="A578">
        <v>20170331</v>
      </c>
      <c r="B578" s="2" t="s">
        <v>4</v>
      </c>
      <c r="C578" s="8">
        <v>2099000</v>
      </c>
      <c r="D578" s="8">
        <v>2060000</v>
      </c>
      <c r="E578">
        <v>41200</v>
      </c>
      <c r="F578" s="8">
        <v>140679337</v>
      </c>
      <c r="G578" s="1">
        <v>289799434220000</v>
      </c>
      <c r="H578" s="1">
        <v>217349576180000</v>
      </c>
      <c r="I578">
        <f t="shared" si="8"/>
        <v>0</v>
      </c>
    </row>
    <row r="579" spans="1:9" x14ac:dyDescent="0.3">
      <c r="A579">
        <v>20170403</v>
      </c>
      <c r="B579" s="2" t="s">
        <v>4</v>
      </c>
      <c r="C579" s="8">
        <v>2060000</v>
      </c>
      <c r="D579" s="8">
        <v>2072000</v>
      </c>
      <c r="E579">
        <v>41440</v>
      </c>
      <c r="F579" s="8">
        <v>140679337</v>
      </c>
      <c r="G579" s="1">
        <v>291487586264000</v>
      </c>
      <c r="H579" s="1">
        <v>218615690216000</v>
      </c>
      <c r="I579">
        <f t="shared" si="8"/>
        <v>0</v>
      </c>
    </row>
    <row r="580" spans="1:9" x14ac:dyDescent="0.3">
      <c r="A580">
        <v>20170404</v>
      </c>
      <c r="B580" s="2" t="s">
        <v>4</v>
      </c>
      <c r="C580" s="8">
        <v>2072000</v>
      </c>
      <c r="D580" s="8">
        <v>2104000</v>
      </c>
      <c r="E580">
        <v>42080</v>
      </c>
      <c r="F580" s="8">
        <v>140679337</v>
      </c>
      <c r="G580" s="1">
        <v>295989325048000</v>
      </c>
      <c r="H580" s="1">
        <v>221991994312000</v>
      </c>
      <c r="I580">
        <f t="shared" ref="I580:I643" si="9">IF(C580*F580=D579*F579,0,1)</f>
        <v>0</v>
      </c>
    </row>
    <row r="581" spans="1:9" x14ac:dyDescent="0.3">
      <c r="A581">
        <v>20170405</v>
      </c>
      <c r="B581" s="2" t="s">
        <v>4</v>
      </c>
      <c r="C581" s="8">
        <v>2104000</v>
      </c>
      <c r="D581" s="8">
        <v>2107000</v>
      </c>
      <c r="E581">
        <v>42140</v>
      </c>
      <c r="F581" s="8">
        <v>140679337</v>
      </c>
      <c r="G581" s="1">
        <v>296411363059000</v>
      </c>
      <c r="H581" s="1">
        <v>222308522821000</v>
      </c>
      <c r="I581">
        <f t="shared" si="9"/>
        <v>0</v>
      </c>
    </row>
    <row r="582" spans="1:9" x14ac:dyDescent="0.3">
      <c r="A582">
        <v>20170406</v>
      </c>
      <c r="B582" s="2" t="s">
        <v>4</v>
      </c>
      <c r="C582" s="8">
        <v>2107000</v>
      </c>
      <c r="D582" s="8">
        <v>2092000</v>
      </c>
      <c r="E582">
        <v>41840</v>
      </c>
      <c r="F582" s="8">
        <v>140679337</v>
      </c>
      <c r="G582" s="1">
        <v>294301173004000</v>
      </c>
      <c r="H582" s="1">
        <v>220725880276000</v>
      </c>
      <c r="I582">
        <f t="shared" si="9"/>
        <v>0</v>
      </c>
    </row>
    <row r="583" spans="1:9" x14ac:dyDescent="0.3">
      <c r="A583">
        <v>20170407</v>
      </c>
      <c r="B583" s="2" t="s">
        <v>4</v>
      </c>
      <c r="C583" s="8">
        <v>2092000</v>
      </c>
      <c r="D583" s="8">
        <v>2080000</v>
      </c>
      <c r="E583">
        <v>41600</v>
      </c>
      <c r="F583" s="8">
        <v>140679337</v>
      </c>
      <c r="G583" s="1">
        <v>292613020960000</v>
      </c>
      <c r="H583" s="1">
        <v>219459766240000</v>
      </c>
      <c r="I583">
        <f t="shared" si="9"/>
        <v>0</v>
      </c>
    </row>
    <row r="584" spans="1:9" x14ac:dyDescent="0.3">
      <c r="A584">
        <v>20170410</v>
      </c>
      <c r="B584" s="2" t="s">
        <v>4</v>
      </c>
      <c r="C584" s="8">
        <v>2080000</v>
      </c>
      <c r="D584" s="8">
        <v>2097000</v>
      </c>
      <c r="E584">
        <v>41940</v>
      </c>
      <c r="F584" s="8">
        <v>140679337</v>
      </c>
      <c r="G584" s="1">
        <v>295004569689000</v>
      </c>
      <c r="H584" s="1">
        <v>221253427791000</v>
      </c>
      <c r="I584">
        <f t="shared" si="9"/>
        <v>0</v>
      </c>
    </row>
    <row r="585" spans="1:9" x14ac:dyDescent="0.3">
      <c r="A585">
        <v>20170411</v>
      </c>
      <c r="B585" s="2" t="s">
        <v>4</v>
      </c>
      <c r="C585" s="8">
        <v>2097000</v>
      </c>
      <c r="D585" s="8">
        <v>2080000</v>
      </c>
      <c r="E585">
        <v>41600</v>
      </c>
      <c r="F585" s="8">
        <v>140679337</v>
      </c>
      <c r="G585" s="1">
        <v>292613020960000</v>
      </c>
      <c r="H585" s="1">
        <v>219459766240000</v>
      </c>
      <c r="I585">
        <f t="shared" si="9"/>
        <v>0</v>
      </c>
    </row>
    <row r="586" spans="1:9" x14ac:dyDescent="0.3">
      <c r="A586">
        <v>20170412</v>
      </c>
      <c r="B586" s="2" t="s">
        <v>4</v>
      </c>
      <c r="C586" s="8">
        <v>2080000</v>
      </c>
      <c r="D586" s="8">
        <v>2095000</v>
      </c>
      <c r="E586">
        <v>41900</v>
      </c>
      <c r="F586" s="8">
        <v>140679337</v>
      </c>
      <c r="G586" s="1">
        <v>294723211015000</v>
      </c>
      <c r="H586" s="1">
        <v>221042408785000</v>
      </c>
      <c r="I586">
        <f t="shared" si="9"/>
        <v>0</v>
      </c>
    </row>
    <row r="587" spans="1:9" x14ac:dyDescent="0.3">
      <c r="A587">
        <v>20170413</v>
      </c>
      <c r="B587" s="2" t="s">
        <v>4</v>
      </c>
      <c r="C587" s="8">
        <v>2095000</v>
      </c>
      <c r="D587" s="8">
        <v>2121000</v>
      </c>
      <c r="E587">
        <v>42420</v>
      </c>
      <c r="F587" s="8">
        <v>140679337</v>
      </c>
      <c r="G587" s="1">
        <v>298380873777000</v>
      </c>
      <c r="H587" s="1">
        <v>223785655863000</v>
      </c>
      <c r="I587">
        <f t="shared" si="9"/>
        <v>0</v>
      </c>
    </row>
    <row r="588" spans="1:9" x14ac:dyDescent="0.3">
      <c r="A588">
        <v>20170414</v>
      </c>
      <c r="B588" s="2" t="s">
        <v>4</v>
      </c>
      <c r="C588" s="8">
        <v>2121000</v>
      </c>
      <c r="D588" s="8">
        <v>2101000</v>
      </c>
      <c r="E588">
        <v>42020</v>
      </c>
      <c r="F588" s="8">
        <v>140679337</v>
      </c>
      <c r="G588" s="1">
        <v>295567287037000</v>
      </c>
      <c r="H588" s="1">
        <v>221675465803000</v>
      </c>
      <c r="I588">
        <f t="shared" si="9"/>
        <v>0</v>
      </c>
    </row>
    <row r="589" spans="1:9" x14ac:dyDescent="0.3">
      <c r="A589">
        <v>20170417</v>
      </c>
      <c r="B589" s="2" t="s">
        <v>4</v>
      </c>
      <c r="C589" s="8">
        <v>2101000</v>
      </c>
      <c r="D589" s="8">
        <v>2078000</v>
      </c>
      <c r="E589">
        <v>41560</v>
      </c>
      <c r="F589" s="8">
        <v>140679337</v>
      </c>
      <c r="G589" s="1">
        <v>292331662286000</v>
      </c>
      <c r="H589" s="1">
        <v>219248747234000</v>
      </c>
      <c r="I589">
        <f t="shared" si="9"/>
        <v>0</v>
      </c>
    </row>
    <row r="590" spans="1:9" x14ac:dyDescent="0.3">
      <c r="A590">
        <v>20170418</v>
      </c>
      <c r="B590" s="2" t="s">
        <v>4</v>
      </c>
      <c r="C590" s="8">
        <v>2078000</v>
      </c>
      <c r="D590" s="8">
        <v>2075000</v>
      </c>
      <c r="E590">
        <v>41500</v>
      </c>
      <c r="F590" s="8">
        <v>140679337</v>
      </c>
      <c r="G590" s="1">
        <v>291909624275000</v>
      </c>
      <c r="H590" s="1">
        <v>218932218725000</v>
      </c>
      <c r="I590">
        <f t="shared" si="9"/>
        <v>0</v>
      </c>
    </row>
    <row r="591" spans="1:9" x14ac:dyDescent="0.3">
      <c r="A591">
        <v>20170419</v>
      </c>
      <c r="B591" s="2" t="s">
        <v>4</v>
      </c>
      <c r="C591" s="8">
        <v>2075000</v>
      </c>
      <c r="D591" s="8">
        <v>2045000</v>
      </c>
      <c r="E591">
        <v>40900</v>
      </c>
      <c r="F591" s="8">
        <v>140679337</v>
      </c>
      <c r="G591" s="1">
        <v>287689244165000</v>
      </c>
      <c r="H591" s="1">
        <v>215766933635000</v>
      </c>
      <c r="I591">
        <f t="shared" si="9"/>
        <v>0</v>
      </c>
    </row>
    <row r="592" spans="1:9" x14ac:dyDescent="0.3">
      <c r="A592">
        <v>20170420</v>
      </c>
      <c r="B592" s="2" t="s">
        <v>4</v>
      </c>
      <c r="C592" s="8">
        <v>2045000</v>
      </c>
      <c r="D592" s="8">
        <v>2014000</v>
      </c>
      <c r="E592">
        <v>40280</v>
      </c>
      <c r="F592" s="8">
        <v>140679337</v>
      </c>
      <c r="G592" s="1">
        <v>283328184718000</v>
      </c>
      <c r="H592" s="1">
        <v>212496139042000</v>
      </c>
      <c r="I592">
        <f t="shared" si="9"/>
        <v>0</v>
      </c>
    </row>
    <row r="593" spans="1:10" x14ac:dyDescent="0.3">
      <c r="A593" s="5">
        <v>20170421</v>
      </c>
      <c r="B593" s="6" t="s">
        <v>4</v>
      </c>
      <c r="C593" s="8">
        <v>2014000</v>
      </c>
      <c r="D593" s="8">
        <v>2038000</v>
      </c>
      <c r="E593" s="5">
        <v>40760</v>
      </c>
      <c r="F593" s="8">
        <v>139659337</v>
      </c>
      <c r="G593" s="7">
        <v>284625728806000</v>
      </c>
      <c r="H593" s="7">
        <v>213469297114000</v>
      </c>
      <c r="I593" s="5">
        <f t="shared" si="9"/>
        <v>1</v>
      </c>
      <c r="J593" t="s">
        <v>24</v>
      </c>
    </row>
    <row r="594" spans="1:10" x14ac:dyDescent="0.3">
      <c r="A594">
        <v>20170424</v>
      </c>
      <c r="B594" s="2" t="s">
        <v>4</v>
      </c>
      <c r="C594" s="8">
        <v>2038000</v>
      </c>
      <c r="D594" s="8">
        <v>2062000</v>
      </c>
      <c r="E594">
        <v>41240</v>
      </c>
      <c r="F594" s="8">
        <v>139659337</v>
      </c>
      <c r="G594" s="1">
        <v>287977552894000</v>
      </c>
      <c r="H594" s="1">
        <v>215983165186000</v>
      </c>
      <c r="I594">
        <f t="shared" si="9"/>
        <v>0</v>
      </c>
    </row>
    <row r="595" spans="1:10" x14ac:dyDescent="0.3">
      <c r="A595">
        <v>20170425</v>
      </c>
      <c r="B595" s="2" t="s">
        <v>4</v>
      </c>
      <c r="C595" s="8">
        <v>2062000</v>
      </c>
      <c r="D595" s="8">
        <v>2135000</v>
      </c>
      <c r="E595">
        <v>42700</v>
      </c>
      <c r="F595" s="8">
        <v>139659337</v>
      </c>
      <c r="G595" s="1">
        <v>298172684495000</v>
      </c>
      <c r="H595" s="1">
        <v>223629513905000</v>
      </c>
      <c r="I595">
        <f t="shared" si="9"/>
        <v>0</v>
      </c>
    </row>
    <row r="596" spans="1:10" x14ac:dyDescent="0.3">
      <c r="A596">
        <v>20170426</v>
      </c>
      <c r="B596" s="2" t="s">
        <v>4</v>
      </c>
      <c r="C596" s="8">
        <v>2135000</v>
      </c>
      <c r="D596" s="8">
        <v>2140000</v>
      </c>
      <c r="E596">
        <v>42800</v>
      </c>
      <c r="F596" s="8">
        <v>139659337</v>
      </c>
      <c r="G596" s="1">
        <v>298870981180000</v>
      </c>
      <c r="H596" s="1">
        <v>224153236420000</v>
      </c>
      <c r="I596">
        <f t="shared" si="9"/>
        <v>0</v>
      </c>
    </row>
    <row r="597" spans="1:10" x14ac:dyDescent="0.3">
      <c r="A597">
        <v>20170427</v>
      </c>
      <c r="B597" s="2" t="s">
        <v>4</v>
      </c>
      <c r="C597" s="8">
        <v>2140000</v>
      </c>
      <c r="D597" s="8">
        <v>2192000</v>
      </c>
      <c r="E597">
        <v>43840</v>
      </c>
      <c r="F597" s="8">
        <v>139659337</v>
      </c>
      <c r="G597" s="1">
        <v>306133266704000</v>
      </c>
      <c r="H597" s="1">
        <v>229599950576000</v>
      </c>
      <c r="I597">
        <f t="shared" si="9"/>
        <v>0</v>
      </c>
    </row>
    <row r="598" spans="1:10" x14ac:dyDescent="0.3">
      <c r="A598">
        <v>20170428</v>
      </c>
      <c r="B598" s="2" t="s">
        <v>4</v>
      </c>
      <c r="C598" s="8">
        <v>2192000</v>
      </c>
      <c r="D598" s="8">
        <v>2231000</v>
      </c>
      <c r="E598">
        <v>44620</v>
      </c>
      <c r="F598" s="8">
        <v>139659337</v>
      </c>
      <c r="G598" s="1">
        <v>311579980847000</v>
      </c>
      <c r="H598" s="1">
        <v>233684986193000</v>
      </c>
      <c r="I598">
        <f t="shared" si="9"/>
        <v>0</v>
      </c>
    </row>
    <row r="599" spans="1:10" x14ac:dyDescent="0.3">
      <c r="A599">
        <v>20170502</v>
      </c>
      <c r="B599" s="2" t="s">
        <v>4</v>
      </c>
      <c r="C599" s="8">
        <v>2231000</v>
      </c>
      <c r="D599" s="8">
        <v>2245000</v>
      </c>
      <c r="E599">
        <v>44900</v>
      </c>
      <c r="F599" s="8">
        <v>139659337</v>
      </c>
      <c r="G599" s="1">
        <v>313535211565000</v>
      </c>
      <c r="H599" s="1">
        <v>235151409235000</v>
      </c>
      <c r="I599">
        <f t="shared" si="9"/>
        <v>0</v>
      </c>
    </row>
    <row r="600" spans="1:10" x14ac:dyDescent="0.3">
      <c r="A600">
        <v>20170504</v>
      </c>
      <c r="B600" s="2" t="s">
        <v>4</v>
      </c>
      <c r="C600" s="8">
        <v>2245000</v>
      </c>
      <c r="D600" s="8">
        <v>2276000</v>
      </c>
      <c r="E600">
        <v>45520</v>
      </c>
      <c r="F600" s="8">
        <v>139659337</v>
      </c>
      <c r="G600" s="1">
        <v>317864651012000</v>
      </c>
      <c r="H600" s="1">
        <v>238398488828000</v>
      </c>
      <c r="I600">
        <f t="shared" si="9"/>
        <v>0</v>
      </c>
    </row>
    <row r="601" spans="1:10" x14ac:dyDescent="0.3">
      <c r="A601">
        <v>20170508</v>
      </c>
      <c r="B601" s="2" t="s">
        <v>4</v>
      </c>
      <c r="C601" s="8">
        <v>2276000</v>
      </c>
      <c r="D601" s="8">
        <v>2351000</v>
      </c>
      <c r="E601">
        <v>47020</v>
      </c>
      <c r="F601" s="8">
        <v>139659337</v>
      </c>
      <c r="G601" s="1">
        <v>328339101287000</v>
      </c>
      <c r="H601" s="1">
        <v>246254326553000</v>
      </c>
      <c r="I601">
        <f t="shared" si="9"/>
        <v>0</v>
      </c>
    </row>
    <row r="602" spans="1:10" x14ac:dyDescent="0.3">
      <c r="A602">
        <v>20170510</v>
      </c>
      <c r="B602" s="2" t="s">
        <v>4</v>
      </c>
      <c r="C602" s="8">
        <v>2351000</v>
      </c>
      <c r="D602" s="8">
        <v>2280000</v>
      </c>
      <c r="E602">
        <v>45600</v>
      </c>
      <c r="F602" s="8">
        <v>139659337</v>
      </c>
      <c r="G602" s="1">
        <v>318423288360000</v>
      </c>
      <c r="H602" s="1">
        <v>238817466840000</v>
      </c>
      <c r="I602">
        <f t="shared" si="9"/>
        <v>0</v>
      </c>
    </row>
    <row r="603" spans="1:10" x14ac:dyDescent="0.3">
      <c r="A603">
        <v>20170511</v>
      </c>
      <c r="B603" s="2" t="s">
        <v>4</v>
      </c>
      <c r="C603" s="8">
        <v>2280000</v>
      </c>
      <c r="D603" s="8">
        <v>2275000</v>
      </c>
      <c r="E603">
        <v>45500</v>
      </c>
      <c r="F603" s="8">
        <v>139659337</v>
      </c>
      <c r="G603" s="1">
        <v>317724991675000</v>
      </c>
      <c r="H603" s="1">
        <v>238293744325000</v>
      </c>
      <c r="I603">
        <f t="shared" si="9"/>
        <v>0</v>
      </c>
    </row>
    <row r="604" spans="1:10" x14ac:dyDescent="0.3">
      <c r="A604">
        <v>20170512</v>
      </c>
      <c r="B604" s="2" t="s">
        <v>4</v>
      </c>
      <c r="C604" s="8">
        <v>2275000</v>
      </c>
      <c r="D604" s="8">
        <v>2291000</v>
      </c>
      <c r="E604">
        <v>45820</v>
      </c>
      <c r="F604" s="8">
        <v>139659337</v>
      </c>
      <c r="G604" s="1">
        <v>319959541067000</v>
      </c>
      <c r="H604" s="1">
        <v>239969656373000</v>
      </c>
      <c r="I604">
        <f t="shared" si="9"/>
        <v>0</v>
      </c>
    </row>
    <row r="605" spans="1:10" x14ac:dyDescent="0.3">
      <c r="A605">
        <v>20170515</v>
      </c>
      <c r="B605" s="2" t="s">
        <v>4</v>
      </c>
      <c r="C605" s="8">
        <v>2291000</v>
      </c>
      <c r="D605" s="8">
        <v>2305000</v>
      </c>
      <c r="E605">
        <v>46100</v>
      </c>
      <c r="F605" s="8">
        <v>139659337</v>
      </c>
      <c r="G605" s="1">
        <v>321914771785000</v>
      </c>
      <c r="H605" s="1">
        <v>241436079415000</v>
      </c>
      <c r="I605">
        <f t="shared" si="9"/>
        <v>0</v>
      </c>
    </row>
    <row r="606" spans="1:10" x14ac:dyDescent="0.3">
      <c r="A606">
        <v>20170516</v>
      </c>
      <c r="B606" s="2" t="s">
        <v>4</v>
      </c>
      <c r="C606" s="8">
        <v>2305000</v>
      </c>
      <c r="D606" s="8">
        <v>2319000</v>
      </c>
      <c r="E606">
        <v>46380</v>
      </c>
      <c r="F606" s="8">
        <v>139659337</v>
      </c>
      <c r="G606" s="1">
        <v>323870002503000</v>
      </c>
      <c r="H606" s="1">
        <v>242902502457000</v>
      </c>
      <c r="I606">
        <f t="shared" si="9"/>
        <v>0</v>
      </c>
    </row>
    <row r="607" spans="1:10" x14ac:dyDescent="0.3">
      <c r="A607">
        <v>20170517</v>
      </c>
      <c r="B607" s="2" t="s">
        <v>4</v>
      </c>
      <c r="C607" s="8">
        <v>2319000</v>
      </c>
      <c r="D607" s="8">
        <v>2317000</v>
      </c>
      <c r="E607">
        <v>46340</v>
      </c>
      <c r="F607" s="8">
        <v>139659337</v>
      </c>
      <c r="G607" s="1">
        <v>323590683829000</v>
      </c>
      <c r="H607" s="1">
        <v>242693013451000</v>
      </c>
      <c r="I607">
        <f t="shared" si="9"/>
        <v>0</v>
      </c>
    </row>
    <row r="608" spans="1:10" x14ac:dyDescent="0.3">
      <c r="A608">
        <v>20170518</v>
      </c>
      <c r="B608" s="2" t="s">
        <v>4</v>
      </c>
      <c r="C608" s="8">
        <v>2317000</v>
      </c>
      <c r="D608" s="8">
        <v>2297000</v>
      </c>
      <c r="E608">
        <v>45940</v>
      </c>
      <c r="F608" s="8">
        <v>139659337</v>
      </c>
      <c r="G608" s="1">
        <v>320797497089000</v>
      </c>
      <c r="H608" s="1">
        <v>240598123391000</v>
      </c>
      <c r="I608">
        <f t="shared" si="9"/>
        <v>0</v>
      </c>
    </row>
    <row r="609" spans="1:10" x14ac:dyDescent="0.3">
      <c r="A609">
        <v>20170519</v>
      </c>
      <c r="B609" s="2" t="s">
        <v>4</v>
      </c>
      <c r="C609" s="8">
        <v>2297000</v>
      </c>
      <c r="D609" s="8">
        <v>2236000</v>
      </c>
      <c r="E609">
        <v>44720</v>
      </c>
      <c r="F609" s="8">
        <v>139659337</v>
      </c>
      <c r="G609" s="1">
        <v>312278277532000</v>
      </c>
      <c r="H609" s="1">
        <v>234208708708000</v>
      </c>
      <c r="I609">
        <f t="shared" si="9"/>
        <v>0</v>
      </c>
    </row>
    <row r="610" spans="1:10" x14ac:dyDescent="0.3">
      <c r="A610">
        <v>20170522</v>
      </c>
      <c r="B610" s="2" t="s">
        <v>4</v>
      </c>
      <c r="C610" s="8">
        <v>2236000</v>
      </c>
      <c r="D610" s="8">
        <v>2255000</v>
      </c>
      <c r="E610">
        <v>45100</v>
      </c>
      <c r="F610" s="8">
        <v>139659337</v>
      </c>
      <c r="G610" s="1">
        <v>314931804935000</v>
      </c>
      <c r="H610" s="1">
        <v>236198854265000</v>
      </c>
      <c r="I610">
        <f t="shared" si="9"/>
        <v>0</v>
      </c>
    </row>
    <row r="611" spans="1:10" x14ac:dyDescent="0.3">
      <c r="A611" s="5">
        <v>20170523</v>
      </c>
      <c r="B611" s="6" t="s">
        <v>4</v>
      </c>
      <c r="C611" s="8">
        <v>2255000</v>
      </c>
      <c r="D611" s="8">
        <v>2246000</v>
      </c>
      <c r="E611" s="5">
        <v>44920</v>
      </c>
      <c r="F611" s="8">
        <v>130668494</v>
      </c>
      <c r="G611" s="7">
        <v>293481437524000</v>
      </c>
      <c r="H611" s="7">
        <v>220111079266000</v>
      </c>
      <c r="I611" s="5">
        <f t="shared" si="9"/>
        <v>1</v>
      </c>
      <c r="J611" t="s">
        <v>27</v>
      </c>
    </row>
    <row r="612" spans="1:10" x14ac:dyDescent="0.3">
      <c r="A612">
        <v>20170524</v>
      </c>
      <c r="B612" s="2" t="s">
        <v>4</v>
      </c>
      <c r="C612" s="8">
        <v>2246000</v>
      </c>
      <c r="D612" s="8">
        <v>2244000</v>
      </c>
      <c r="E612">
        <v>44880</v>
      </c>
      <c r="F612" s="8">
        <v>130668494</v>
      </c>
      <c r="G612" s="1">
        <v>293220100536000</v>
      </c>
      <c r="H612" s="1">
        <v>219915076524000</v>
      </c>
      <c r="I612">
        <f t="shared" si="9"/>
        <v>0</v>
      </c>
    </row>
    <row r="613" spans="1:10" x14ac:dyDescent="0.3">
      <c r="A613">
        <v>20170525</v>
      </c>
      <c r="B613" s="2" t="s">
        <v>4</v>
      </c>
      <c r="C613" s="8">
        <v>2244000</v>
      </c>
      <c r="D613" s="8">
        <v>2284000</v>
      </c>
      <c r="E613">
        <v>45680</v>
      </c>
      <c r="F613" s="8">
        <v>130668494</v>
      </c>
      <c r="G613" s="1">
        <v>298446840296000</v>
      </c>
      <c r="H613" s="1">
        <v>223835131364000</v>
      </c>
      <c r="I613">
        <f t="shared" si="9"/>
        <v>0</v>
      </c>
    </row>
    <row r="614" spans="1:10" x14ac:dyDescent="0.3">
      <c r="A614">
        <v>20170526</v>
      </c>
      <c r="B614" s="2" t="s">
        <v>4</v>
      </c>
      <c r="C614" s="8">
        <v>2284000</v>
      </c>
      <c r="D614" s="8">
        <v>2304000</v>
      </c>
      <c r="E614">
        <v>46080</v>
      </c>
      <c r="F614" s="8">
        <v>130668494</v>
      </c>
      <c r="G614" s="1">
        <v>301060210176000</v>
      </c>
      <c r="H614" s="1">
        <v>225795158784000</v>
      </c>
      <c r="I614">
        <f t="shared" si="9"/>
        <v>0</v>
      </c>
    </row>
    <row r="615" spans="1:10" x14ac:dyDescent="0.3">
      <c r="A615">
        <v>20170529</v>
      </c>
      <c r="B615" s="2" t="s">
        <v>4</v>
      </c>
      <c r="C615" s="8">
        <v>2304000</v>
      </c>
      <c r="D615" s="8">
        <v>2281000</v>
      </c>
      <c r="E615">
        <v>45620</v>
      </c>
      <c r="F615" s="8">
        <v>130668494</v>
      </c>
      <c r="G615" s="1">
        <v>298054834814000</v>
      </c>
      <c r="H615" s="1">
        <v>223541127251000</v>
      </c>
      <c r="I615">
        <f t="shared" si="9"/>
        <v>0</v>
      </c>
    </row>
    <row r="616" spans="1:10" x14ac:dyDescent="0.3">
      <c r="A616">
        <v>20170530</v>
      </c>
      <c r="B616" s="2" t="s">
        <v>4</v>
      </c>
      <c r="C616" s="8">
        <v>2281000</v>
      </c>
      <c r="D616" s="8">
        <v>2232000</v>
      </c>
      <c r="E616">
        <v>44640</v>
      </c>
      <c r="F616" s="8">
        <v>130668494</v>
      </c>
      <c r="G616" s="1">
        <v>291652078608000</v>
      </c>
      <c r="H616" s="1">
        <v>218739060072000</v>
      </c>
      <c r="I616">
        <f t="shared" si="9"/>
        <v>0</v>
      </c>
    </row>
    <row r="617" spans="1:10" x14ac:dyDescent="0.3">
      <c r="A617">
        <v>20170531</v>
      </c>
      <c r="B617" s="2" t="s">
        <v>4</v>
      </c>
      <c r="C617" s="8">
        <v>2232000</v>
      </c>
      <c r="D617" s="8">
        <v>2235000</v>
      </c>
      <c r="E617">
        <v>44700</v>
      </c>
      <c r="F617" s="8">
        <v>130668494</v>
      </c>
      <c r="G617" s="1">
        <v>292044084090000</v>
      </c>
      <c r="H617" s="1">
        <v>219033064185000</v>
      </c>
      <c r="I617">
        <f t="shared" si="9"/>
        <v>0</v>
      </c>
    </row>
    <row r="618" spans="1:10" x14ac:dyDescent="0.3">
      <c r="A618">
        <v>20170601</v>
      </c>
      <c r="B618" s="2" t="s">
        <v>4</v>
      </c>
      <c r="C618" s="8">
        <v>2235000</v>
      </c>
      <c r="D618" s="8">
        <v>2234000</v>
      </c>
      <c r="E618">
        <v>44680</v>
      </c>
      <c r="F618" s="8">
        <v>130668494</v>
      </c>
      <c r="G618" s="1">
        <v>291913415596000</v>
      </c>
      <c r="H618" s="1">
        <v>218935062814000</v>
      </c>
      <c r="I618">
        <f t="shared" si="9"/>
        <v>0</v>
      </c>
    </row>
    <row r="619" spans="1:10" x14ac:dyDescent="0.3">
      <c r="A619">
        <v>20170602</v>
      </c>
      <c r="B619" s="2" t="s">
        <v>4</v>
      </c>
      <c r="C619" s="8">
        <v>2234000</v>
      </c>
      <c r="D619" s="8">
        <v>2298000</v>
      </c>
      <c r="E619">
        <v>45960</v>
      </c>
      <c r="F619" s="8">
        <v>130668494</v>
      </c>
      <c r="G619" s="1">
        <v>300276199212000</v>
      </c>
      <c r="H619" s="1">
        <v>225207150558000</v>
      </c>
      <c r="I619">
        <f t="shared" si="9"/>
        <v>0</v>
      </c>
    </row>
    <row r="620" spans="1:10" x14ac:dyDescent="0.3">
      <c r="A620">
        <v>20170605</v>
      </c>
      <c r="B620" s="2" t="s">
        <v>4</v>
      </c>
      <c r="C620" s="8">
        <v>2298000</v>
      </c>
      <c r="D620" s="8">
        <v>2297000</v>
      </c>
      <c r="E620">
        <v>45940</v>
      </c>
      <c r="F620" s="8">
        <v>130668494</v>
      </c>
      <c r="G620" s="1">
        <v>300145530718000</v>
      </c>
      <c r="H620" s="1">
        <v>225109149187000</v>
      </c>
      <c r="I620">
        <f t="shared" si="9"/>
        <v>0</v>
      </c>
    </row>
    <row r="621" spans="1:10" x14ac:dyDescent="0.3">
      <c r="A621">
        <v>20170607</v>
      </c>
      <c r="B621" s="2" t="s">
        <v>4</v>
      </c>
      <c r="C621" s="8">
        <v>2297000</v>
      </c>
      <c r="D621" s="8">
        <v>2265000</v>
      </c>
      <c r="E621">
        <v>45300</v>
      </c>
      <c r="F621" s="8">
        <v>130668494</v>
      </c>
      <c r="G621" s="1">
        <v>295964138910000</v>
      </c>
      <c r="H621" s="1">
        <v>221973105315000</v>
      </c>
      <c r="I621">
        <f t="shared" si="9"/>
        <v>0</v>
      </c>
    </row>
    <row r="622" spans="1:10" x14ac:dyDescent="0.3">
      <c r="A622">
        <v>20170608</v>
      </c>
      <c r="B622" s="2" t="s">
        <v>4</v>
      </c>
      <c r="C622" s="8">
        <v>2265000</v>
      </c>
      <c r="D622" s="8">
        <v>2258000</v>
      </c>
      <c r="E622">
        <v>45160</v>
      </c>
      <c r="F622" s="8">
        <v>130668494</v>
      </c>
      <c r="G622" s="1">
        <v>295049459452000</v>
      </c>
      <c r="H622" s="1">
        <v>221287095718000</v>
      </c>
      <c r="I622">
        <f t="shared" si="9"/>
        <v>0</v>
      </c>
    </row>
    <row r="623" spans="1:10" x14ac:dyDescent="0.3">
      <c r="A623">
        <v>20170609</v>
      </c>
      <c r="B623" s="2" t="s">
        <v>4</v>
      </c>
      <c r="C623" s="8">
        <v>2258000</v>
      </c>
      <c r="D623" s="8">
        <v>2305000</v>
      </c>
      <c r="E623">
        <v>46100</v>
      </c>
      <c r="F623" s="8">
        <v>130668494</v>
      </c>
      <c r="G623" s="1">
        <v>301190878670000</v>
      </c>
      <c r="H623" s="1">
        <v>222881251230000</v>
      </c>
      <c r="I623">
        <f t="shared" si="9"/>
        <v>0</v>
      </c>
    </row>
    <row r="624" spans="1:10" x14ac:dyDescent="0.3">
      <c r="A624">
        <v>20170612</v>
      </c>
      <c r="B624" s="2" t="s">
        <v>4</v>
      </c>
      <c r="C624" s="8">
        <v>2305000</v>
      </c>
      <c r="D624" s="8">
        <v>2269000</v>
      </c>
      <c r="E624">
        <v>45380</v>
      </c>
      <c r="F624" s="8">
        <v>130668494</v>
      </c>
      <c r="G624" s="1">
        <v>296486812886000</v>
      </c>
      <c r="H624" s="1">
        <v>219400242534000</v>
      </c>
      <c r="I624">
        <f t="shared" si="9"/>
        <v>0</v>
      </c>
    </row>
    <row r="625" spans="1:9" x14ac:dyDescent="0.3">
      <c r="A625">
        <v>20170613</v>
      </c>
      <c r="B625" s="2" t="s">
        <v>4</v>
      </c>
      <c r="C625" s="8">
        <v>2269000</v>
      </c>
      <c r="D625" s="8">
        <v>2270000</v>
      </c>
      <c r="E625">
        <v>45400</v>
      </c>
      <c r="F625" s="8">
        <v>130668494</v>
      </c>
      <c r="G625" s="1">
        <v>296617481380000</v>
      </c>
      <c r="H625" s="1">
        <v>219496937220000</v>
      </c>
      <c r="I625">
        <f t="shared" si="9"/>
        <v>0</v>
      </c>
    </row>
    <row r="626" spans="1:9" x14ac:dyDescent="0.3">
      <c r="A626">
        <v>20170614</v>
      </c>
      <c r="B626" s="2" t="s">
        <v>4</v>
      </c>
      <c r="C626" s="8">
        <v>2270000</v>
      </c>
      <c r="D626" s="8">
        <v>2268000</v>
      </c>
      <c r="E626">
        <v>45360</v>
      </c>
      <c r="F626" s="8">
        <v>130668494</v>
      </c>
      <c r="G626" s="1">
        <v>296356144392000</v>
      </c>
      <c r="H626" s="1">
        <v>219303547848000</v>
      </c>
      <c r="I626">
        <f t="shared" si="9"/>
        <v>0</v>
      </c>
    </row>
    <row r="627" spans="1:9" x14ac:dyDescent="0.3">
      <c r="A627">
        <v>20170615</v>
      </c>
      <c r="B627" s="2" t="s">
        <v>4</v>
      </c>
      <c r="C627" s="8">
        <v>2268000</v>
      </c>
      <c r="D627" s="8">
        <v>2284000</v>
      </c>
      <c r="E627">
        <v>45680</v>
      </c>
      <c r="F627" s="8">
        <v>130668494</v>
      </c>
      <c r="G627" s="1">
        <v>298446840296000</v>
      </c>
      <c r="H627" s="1">
        <v>220850662824000</v>
      </c>
      <c r="I627">
        <f t="shared" si="9"/>
        <v>0</v>
      </c>
    </row>
    <row r="628" spans="1:9" x14ac:dyDescent="0.3">
      <c r="A628">
        <v>20170616</v>
      </c>
      <c r="B628" s="2" t="s">
        <v>4</v>
      </c>
      <c r="C628" s="8">
        <v>2284000</v>
      </c>
      <c r="D628" s="8">
        <v>2279000</v>
      </c>
      <c r="E628">
        <v>45580</v>
      </c>
      <c r="F628" s="8">
        <v>130668494</v>
      </c>
      <c r="G628" s="1">
        <v>297793497826000</v>
      </c>
      <c r="H628" s="1">
        <v>220367189394000</v>
      </c>
      <c r="I628">
        <f t="shared" si="9"/>
        <v>0</v>
      </c>
    </row>
    <row r="629" spans="1:9" x14ac:dyDescent="0.3">
      <c r="A629">
        <v>20170619</v>
      </c>
      <c r="B629" s="2" t="s">
        <v>4</v>
      </c>
      <c r="C629" s="8">
        <v>2279000</v>
      </c>
      <c r="D629" s="8">
        <v>2328000</v>
      </c>
      <c r="E629">
        <v>46560</v>
      </c>
      <c r="F629" s="8">
        <v>130668494</v>
      </c>
      <c r="G629" s="1">
        <v>304196254032000</v>
      </c>
      <c r="H629" s="1">
        <v>225105229008000</v>
      </c>
      <c r="I629">
        <f t="shared" si="9"/>
        <v>0</v>
      </c>
    </row>
    <row r="630" spans="1:9" x14ac:dyDescent="0.3">
      <c r="A630">
        <v>20170620</v>
      </c>
      <c r="B630" s="2" t="s">
        <v>4</v>
      </c>
      <c r="C630" s="8">
        <v>2328000</v>
      </c>
      <c r="D630" s="8">
        <v>2407000</v>
      </c>
      <c r="E630">
        <v>48140</v>
      </c>
      <c r="F630" s="8">
        <v>130668494</v>
      </c>
      <c r="G630" s="1">
        <v>314519065058000</v>
      </c>
      <c r="H630" s="1">
        <v>232744109202000</v>
      </c>
      <c r="I630">
        <f t="shared" si="9"/>
        <v>0</v>
      </c>
    </row>
    <row r="631" spans="1:9" x14ac:dyDescent="0.3">
      <c r="A631">
        <v>20170621</v>
      </c>
      <c r="B631" s="2" t="s">
        <v>4</v>
      </c>
      <c r="C631" s="8">
        <v>2407000</v>
      </c>
      <c r="D631" s="8">
        <v>2374000</v>
      </c>
      <c r="E631">
        <v>47480</v>
      </c>
      <c r="F631" s="8">
        <v>130668494</v>
      </c>
      <c r="G631" s="1">
        <v>310207004756000</v>
      </c>
      <c r="H631" s="1">
        <v>229553184564000</v>
      </c>
      <c r="I631">
        <f t="shared" si="9"/>
        <v>0</v>
      </c>
    </row>
    <row r="632" spans="1:9" x14ac:dyDescent="0.3">
      <c r="A632">
        <v>20170622</v>
      </c>
      <c r="B632" s="2" t="s">
        <v>4</v>
      </c>
      <c r="C632" s="8">
        <v>2374000</v>
      </c>
      <c r="D632" s="8">
        <v>2398000</v>
      </c>
      <c r="E632">
        <v>47960</v>
      </c>
      <c r="F632" s="8">
        <v>130668494</v>
      </c>
      <c r="G632" s="1">
        <v>313343048612000</v>
      </c>
      <c r="H632" s="1">
        <v>231873857028000</v>
      </c>
      <c r="I632">
        <f t="shared" si="9"/>
        <v>0</v>
      </c>
    </row>
    <row r="633" spans="1:9" x14ac:dyDescent="0.3">
      <c r="A633">
        <v>20170623</v>
      </c>
      <c r="B633" s="2" t="s">
        <v>4</v>
      </c>
      <c r="C633" s="8">
        <v>2398000</v>
      </c>
      <c r="D633" s="8">
        <v>2381000</v>
      </c>
      <c r="E633">
        <v>47620</v>
      </c>
      <c r="F633" s="8">
        <v>130668494</v>
      </c>
      <c r="G633" s="1">
        <v>311121684214000</v>
      </c>
      <c r="H633" s="1">
        <v>230230047366000</v>
      </c>
      <c r="I633">
        <f t="shared" si="9"/>
        <v>0</v>
      </c>
    </row>
    <row r="634" spans="1:9" x14ac:dyDescent="0.3">
      <c r="A634">
        <v>20170626</v>
      </c>
      <c r="B634" s="2" t="s">
        <v>4</v>
      </c>
      <c r="C634" s="8">
        <v>2381000</v>
      </c>
      <c r="D634" s="8">
        <v>2414000</v>
      </c>
      <c r="E634">
        <v>48280</v>
      </c>
      <c r="F634" s="8">
        <v>130668494</v>
      </c>
      <c r="G634" s="1">
        <v>315433744516000</v>
      </c>
      <c r="H634" s="1">
        <v>233420972004000</v>
      </c>
      <c r="I634">
        <f t="shared" si="9"/>
        <v>0</v>
      </c>
    </row>
    <row r="635" spans="1:9" x14ac:dyDescent="0.3">
      <c r="A635">
        <v>20170627</v>
      </c>
      <c r="B635" s="2" t="s">
        <v>4</v>
      </c>
      <c r="C635" s="8">
        <v>2414000</v>
      </c>
      <c r="D635" s="8">
        <v>2415000</v>
      </c>
      <c r="E635">
        <v>48300</v>
      </c>
      <c r="F635" s="8">
        <v>130668494</v>
      </c>
      <c r="G635" s="1">
        <v>315564413010000</v>
      </c>
      <c r="H635" s="1">
        <v>233517666690000</v>
      </c>
      <c r="I635">
        <f t="shared" si="9"/>
        <v>0</v>
      </c>
    </row>
    <row r="636" spans="1:9" x14ac:dyDescent="0.3">
      <c r="A636">
        <v>20170628</v>
      </c>
      <c r="B636" s="2" t="s">
        <v>4</v>
      </c>
      <c r="C636" s="8">
        <v>2415000</v>
      </c>
      <c r="D636" s="8">
        <v>2385000</v>
      </c>
      <c r="E636">
        <v>47700</v>
      </c>
      <c r="F636" s="8">
        <v>130668494</v>
      </c>
      <c r="G636" s="1">
        <v>311644358190000</v>
      </c>
      <c r="H636" s="1">
        <v>230616826110000</v>
      </c>
      <c r="I636">
        <f t="shared" si="9"/>
        <v>0</v>
      </c>
    </row>
    <row r="637" spans="1:9" x14ac:dyDescent="0.3">
      <c r="A637">
        <v>20170629</v>
      </c>
      <c r="B637" s="2" t="s">
        <v>4</v>
      </c>
      <c r="C637" s="8">
        <v>2385000</v>
      </c>
      <c r="D637" s="8">
        <v>2397000</v>
      </c>
      <c r="E637">
        <v>47940</v>
      </c>
      <c r="F637" s="8">
        <v>130668494</v>
      </c>
      <c r="G637" s="1">
        <v>313212380118000</v>
      </c>
      <c r="H637" s="1">
        <v>231777162342000</v>
      </c>
      <c r="I637">
        <f t="shared" si="9"/>
        <v>0</v>
      </c>
    </row>
    <row r="638" spans="1:9" x14ac:dyDescent="0.3">
      <c r="A638">
        <v>20170630</v>
      </c>
      <c r="B638" s="2" t="s">
        <v>4</v>
      </c>
      <c r="C638" s="8">
        <v>2397000</v>
      </c>
      <c r="D638" s="8">
        <v>2377000</v>
      </c>
      <c r="E638">
        <v>47540</v>
      </c>
      <c r="F638" s="8">
        <v>130668494</v>
      </c>
      <c r="G638" s="1">
        <v>310599010238000</v>
      </c>
      <c r="H638" s="1">
        <v>229843268622000</v>
      </c>
      <c r="I638">
        <f t="shared" si="9"/>
        <v>0</v>
      </c>
    </row>
    <row r="639" spans="1:9" x14ac:dyDescent="0.3">
      <c r="A639">
        <v>20170703</v>
      </c>
      <c r="B639" s="2" t="s">
        <v>4</v>
      </c>
      <c r="C639" s="8">
        <v>2377000</v>
      </c>
      <c r="D639" s="8">
        <v>2361000</v>
      </c>
      <c r="E639">
        <v>47220</v>
      </c>
      <c r="F639" s="8">
        <v>130668494</v>
      </c>
      <c r="G639" s="1">
        <v>308508314334000</v>
      </c>
      <c r="H639" s="1">
        <v>228296153646000</v>
      </c>
      <c r="I639">
        <f t="shared" si="9"/>
        <v>0</v>
      </c>
    </row>
    <row r="640" spans="1:9" x14ac:dyDescent="0.3">
      <c r="A640">
        <v>20170704</v>
      </c>
      <c r="B640" s="2" t="s">
        <v>4</v>
      </c>
      <c r="C640" s="8">
        <v>2361000</v>
      </c>
      <c r="D640" s="8">
        <v>2350000</v>
      </c>
      <c r="E640">
        <v>47000</v>
      </c>
      <c r="F640" s="8">
        <v>130668494</v>
      </c>
      <c r="G640" s="1">
        <v>307070960900000</v>
      </c>
      <c r="H640" s="1">
        <v>227232512100000</v>
      </c>
      <c r="I640">
        <f t="shared" si="9"/>
        <v>0</v>
      </c>
    </row>
    <row r="641" spans="1:9" x14ac:dyDescent="0.3">
      <c r="A641">
        <v>20170705</v>
      </c>
      <c r="B641" s="2" t="s">
        <v>4</v>
      </c>
      <c r="C641" s="8">
        <v>2350000</v>
      </c>
      <c r="D641" s="8">
        <v>2379000</v>
      </c>
      <c r="E641">
        <v>47580</v>
      </c>
      <c r="F641" s="8">
        <v>130668494</v>
      </c>
      <c r="G641" s="1">
        <v>310860347226000</v>
      </c>
      <c r="H641" s="1">
        <v>230036657994000</v>
      </c>
      <c r="I641">
        <f t="shared" si="9"/>
        <v>0</v>
      </c>
    </row>
    <row r="642" spans="1:9" x14ac:dyDescent="0.3">
      <c r="A642">
        <v>20170706</v>
      </c>
      <c r="B642" s="2" t="s">
        <v>4</v>
      </c>
      <c r="C642" s="8">
        <v>2379000</v>
      </c>
      <c r="D642" s="8">
        <v>2403000</v>
      </c>
      <c r="E642">
        <v>48060</v>
      </c>
      <c r="F642" s="8">
        <v>130668494</v>
      </c>
      <c r="G642" s="1">
        <v>313996391082000</v>
      </c>
      <c r="H642" s="1">
        <v>232357330458000</v>
      </c>
      <c r="I642">
        <f t="shared" si="9"/>
        <v>0</v>
      </c>
    </row>
    <row r="643" spans="1:9" x14ac:dyDescent="0.3">
      <c r="A643">
        <v>20170707</v>
      </c>
      <c r="B643" s="2" t="s">
        <v>4</v>
      </c>
      <c r="C643" s="8">
        <v>2403000</v>
      </c>
      <c r="D643" s="8">
        <v>2393000</v>
      </c>
      <c r="E643">
        <v>47860</v>
      </c>
      <c r="F643" s="8">
        <v>130668494</v>
      </c>
      <c r="G643" s="1">
        <v>312689706142000</v>
      </c>
      <c r="H643" s="1">
        <v>231390383598000</v>
      </c>
      <c r="I643">
        <f t="shared" si="9"/>
        <v>0</v>
      </c>
    </row>
    <row r="644" spans="1:9" x14ac:dyDescent="0.3">
      <c r="A644">
        <v>20170710</v>
      </c>
      <c r="B644" s="2" t="s">
        <v>4</v>
      </c>
      <c r="C644" s="8">
        <v>2393000</v>
      </c>
      <c r="D644" s="8">
        <v>2433000</v>
      </c>
      <c r="E644">
        <v>48660</v>
      </c>
      <c r="F644" s="8">
        <v>130668494</v>
      </c>
      <c r="G644" s="1">
        <v>317916445902000</v>
      </c>
      <c r="H644" s="1">
        <v>235258171038000</v>
      </c>
      <c r="I644">
        <f t="shared" ref="I644:I707" si="10">IF(C644*F644=D643*F643,0,1)</f>
        <v>0</v>
      </c>
    </row>
    <row r="645" spans="1:9" x14ac:dyDescent="0.3">
      <c r="A645">
        <v>20170711</v>
      </c>
      <c r="B645" s="2" t="s">
        <v>4</v>
      </c>
      <c r="C645" s="8">
        <v>2433000</v>
      </c>
      <c r="D645" s="8">
        <v>2450000</v>
      </c>
      <c r="E645">
        <v>49000</v>
      </c>
      <c r="F645" s="8">
        <v>130668494</v>
      </c>
      <c r="G645" s="1">
        <v>320137810300000</v>
      </c>
      <c r="H645" s="1">
        <v>236901980700000</v>
      </c>
      <c r="I645">
        <f t="shared" si="10"/>
        <v>0</v>
      </c>
    </row>
    <row r="646" spans="1:9" x14ac:dyDescent="0.3">
      <c r="A646">
        <v>20170712</v>
      </c>
      <c r="B646" s="2" t="s">
        <v>4</v>
      </c>
      <c r="C646" s="8">
        <v>2450000</v>
      </c>
      <c r="D646" s="8">
        <v>2494000</v>
      </c>
      <c r="E646">
        <v>49880</v>
      </c>
      <c r="F646" s="8">
        <v>130668494</v>
      </c>
      <c r="G646" s="1">
        <v>325887224036000</v>
      </c>
      <c r="H646" s="1">
        <v>241156546884000</v>
      </c>
      <c r="I646">
        <f t="shared" si="10"/>
        <v>0</v>
      </c>
    </row>
    <row r="647" spans="1:9" x14ac:dyDescent="0.3">
      <c r="A647">
        <v>20170713</v>
      </c>
      <c r="B647" s="2" t="s">
        <v>4</v>
      </c>
      <c r="C647" s="8">
        <v>2494000</v>
      </c>
      <c r="D647" s="8">
        <v>2528000</v>
      </c>
      <c r="E647">
        <v>50560</v>
      </c>
      <c r="F647" s="8">
        <v>130668494</v>
      </c>
      <c r="G647" s="1">
        <v>330329952832000</v>
      </c>
      <c r="H647" s="1">
        <v>244444166208000</v>
      </c>
      <c r="I647">
        <f t="shared" si="10"/>
        <v>0</v>
      </c>
    </row>
    <row r="648" spans="1:9" x14ac:dyDescent="0.3">
      <c r="A648">
        <v>20170714</v>
      </c>
      <c r="B648" s="2" t="s">
        <v>4</v>
      </c>
      <c r="C648" s="8">
        <v>2528000</v>
      </c>
      <c r="D648" s="8">
        <v>2524000</v>
      </c>
      <c r="E648">
        <v>50480</v>
      </c>
      <c r="F648" s="8">
        <v>130668494</v>
      </c>
      <c r="G648" s="1">
        <v>329807278856000</v>
      </c>
      <c r="H648" s="1">
        <v>244057387464000</v>
      </c>
      <c r="I648">
        <f t="shared" si="10"/>
        <v>0</v>
      </c>
    </row>
    <row r="649" spans="1:9" x14ac:dyDescent="0.3">
      <c r="A649">
        <v>20170717</v>
      </c>
      <c r="B649" s="2" t="s">
        <v>4</v>
      </c>
      <c r="C649" s="8">
        <v>2524000</v>
      </c>
      <c r="D649" s="8">
        <v>2532000</v>
      </c>
      <c r="E649">
        <v>50640</v>
      </c>
      <c r="F649" s="8">
        <v>130668494</v>
      </c>
      <c r="G649" s="1">
        <v>330852626808000</v>
      </c>
      <c r="H649" s="1">
        <v>244830944952000</v>
      </c>
      <c r="I649">
        <f t="shared" si="10"/>
        <v>0</v>
      </c>
    </row>
    <row r="650" spans="1:9" x14ac:dyDescent="0.3">
      <c r="A650">
        <v>20170718</v>
      </c>
      <c r="B650" s="2" t="s">
        <v>4</v>
      </c>
      <c r="C650" s="8">
        <v>2532000</v>
      </c>
      <c r="D650" s="8">
        <v>2542000</v>
      </c>
      <c r="E650">
        <v>50840</v>
      </c>
      <c r="F650" s="8">
        <v>130668494</v>
      </c>
      <c r="G650" s="1">
        <v>332159311748000</v>
      </c>
      <c r="H650" s="1">
        <v>245797891812000</v>
      </c>
      <c r="I650">
        <f t="shared" si="10"/>
        <v>0</v>
      </c>
    </row>
    <row r="651" spans="1:9" x14ac:dyDescent="0.3">
      <c r="A651">
        <v>20170719</v>
      </c>
      <c r="B651" s="2" t="s">
        <v>4</v>
      </c>
      <c r="C651" s="8">
        <v>2542000</v>
      </c>
      <c r="D651" s="8">
        <v>2537000</v>
      </c>
      <c r="E651">
        <v>50740</v>
      </c>
      <c r="F651" s="8">
        <v>130668494</v>
      </c>
      <c r="G651" s="1">
        <v>331505969278000</v>
      </c>
      <c r="H651" s="1">
        <v>245314418382000</v>
      </c>
      <c r="I651">
        <f t="shared" si="10"/>
        <v>0</v>
      </c>
    </row>
    <row r="652" spans="1:9" x14ac:dyDescent="0.3">
      <c r="A652">
        <v>20170720</v>
      </c>
      <c r="B652" s="2" t="s">
        <v>4</v>
      </c>
      <c r="C652" s="8">
        <v>2537000</v>
      </c>
      <c r="D652" s="8">
        <v>2560000</v>
      </c>
      <c r="E652">
        <v>51200</v>
      </c>
      <c r="F652" s="8">
        <v>130668494</v>
      </c>
      <c r="G652" s="1">
        <v>334511344640000</v>
      </c>
      <c r="H652" s="1">
        <v>247538396160000</v>
      </c>
      <c r="I652">
        <f t="shared" si="10"/>
        <v>0</v>
      </c>
    </row>
    <row r="653" spans="1:9" x14ac:dyDescent="0.3">
      <c r="A653">
        <v>20170721</v>
      </c>
      <c r="B653" s="2" t="s">
        <v>4</v>
      </c>
      <c r="C653" s="8">
        <v>2560000</v>
      </c>
      <c r="D653" s="8">
        <v>2554000</v>
      </c>
      <c r="E653">
        <v>51080</v>
      </c>
      <c r="F653" s="8">
        <v>130668494</v>
      </c>
      <c r="G653" s="1">
        <v>333727333676000</v>
      </c>
      <c r="H653" s="1">
        <v>246958228044000</v>
      </c>
      <c r="I653">
        <f t="shared" si="10"/>
        <v>0</v>
      </c>
    </row>
    <row r="654" spans="1:9" x14ac:dyDescent="0.3">
      <c r="A654">
        <v>20170724</v>
      </c>
      <c r="B654" s="2" t="s">
        <v>4</v>
      </c>
      <c r="C654" s="8">
        <v>2554000</v>
      </c>
      <c r="D654" s="8">
        <v>2543000</v>
      </c>
      <c r="E654">
        <v>50860</v>
      </c>
      <c r="F654" s="8">
        <v>130668494</v>
      </c>
      <c r="G654" s="1">
        <v>332289980242000</v>
      </c>
      <c r="H654" s="1">
        <v>245894586498000</v>
      </c>
      <c r="I654">
        <f t="shared" si="10"/>
        <v>0</v>
      </c>
    </row>
    <row r="655" spans="1:9" x14ac:dyDescent="0.3">
      <c r="A655">
        <v>20170725</v>
      </c>
      <c r="B655" s="2" t="s">
        <v>4</v>
      </c>
      <c r="C655" s="8">
        <v>2543000</v>
      </c>
      <c r="D655" s="8">
        <v>2500000</v>
      </c>
      <c r="E655">
        <v>50000</v>
      </c>
      <c r="F655" s="8">
        <v>130668494</v>
      </c>
      <c r="G655" s="1">
        <v>326671235000000</v>
      </c>
      <c r="H655" s="1">
        <v>241736715000000</v>
      </c>
      <c r="I655">
        <f t="shared" si="10"/>
        <v>0</v>
      </c>
    </row>
    <row r="656" spans="1:9" x14ac:dyDescent="0.3">
      <c r="A656">
        <v>20170726</v>
      </c>
      <c r="B656" s="2" t="s">
        <v>4</v>
      </c>
      <c r="C656" s="8">
        <v>2500000</v>
      </c>
      <c r="D656" s="8">
        <v>2492000</v>
      </c>
      <c r="E656">
        <v>49840</v>
      </c>
      <c r="F656" s="8">
        <v>130668494</v>
      </c>
      <c r="G656" s="1">
        <v>325625887048000</v>
      </c>
      <c r="H656" s="1">
        <v>240963157512000</v>
      </c>
      <c r="I656">
        <f t="shared" si="10"/>
        <v>0</v>
      </c>
    </row>
    <row r="657" spans="1:10" x14ac:dyDescent="0.3">
      <c r="A657">
        <v>20170727</v>
      </c>
      <c r="B657" s="2" t="s">
        <v>4</v>
      </c>
      <c r="C657" s="8">
        <v>2492000</v>
      </c>
      <c r="D657" s="8">
        <v>2490000</v>
      </c>
      <c r="E657">
        <v>49800</v>
      </c>
      <c r="F657" s="8">
        <v>130668494</v>
      </c>
      <c r="G657" s="1">
        <v>325364550060000</v>
      </c>
      <c r="H657" s="1">
        <v>240769768140000</v>
      </c>
      <c r="I657">
        <f t="shared" si="10"/>
        <v>0</v>
      </c>
    </row>
    <row r="658" spans="1:10" x14ac:dyDescent="0.3">
      <c r="A658">
        <v>20170728</v>
      </c>
      <c r="B658" s="2" t="s">
        <v>4</v>
      </c>
      <c r="C658" s="8">
        <v>2490000</v>
      </c>
      <c r="D658" s="8">
        <v>2388000</v>
      </c>
      <c r="E658">
        <v>47760</v>
      </c>
      <c r="F658" s="8">
        <v>130668494</v>
      </c>
      <c r="G658" s="1">
        <v>312036363672000</v>
      </c>
      <c r="H658" s="1">
        <v>230906910168000</v>
      </c>
      <c r="I658">
        <f t="shared" si="10"/>
        <v>0</v>
      </c>
    </row>
    <row r="659" spans="1:10" x14ac:dyDescent="0.3">
      <c r="A659">
        <v>20170731</v>
      </c>
      <c r="B659" s="2" t="s">
        <v>4</v>
      </c>
      <c r="C659" s="8">
        <v>2388000</v>
      </c>
      <c r="D659" s="8">
        <v>2410000</v>
      </c>
      <c r="E659">
        <v>48200</v>
      </c>
      <c r="F659" s="8">
        <v>130668494</v>
      </c>
      <c r="G659" s="1">
        <v>314911070540000</v>
      </c>
      <c r="H659" s="1">
        <v>233034193260000</v>
      </c>
      <c r="I659">
        <f t="shared" si="10"/>
        <v>0</v>
      </c>
    </row>
    <row r="660" spans="1:10" x14ac:dyDescent="0.3">
      <c r="A660">
        <v>20170801</v>
      </c>
      <c r="B660" s="2" t="s">
        <v>4</v>
      </c>
      <c r="C660" s="8">
        <v>2410000</v>
      </c>
      <c r="D660" s="8">
        <v>2430000</v>
      </c>
      <c r="E660">
        <v>48600</v>
      </c>
      <c r="F660" s="8">
        <v>130668494</v>
      </c>
      <c r="G660" s="1">
        <v>317524440420000</v>
      </c>
      <c r="H660" s="1">
        <v>234968086980000</v>
      </c>
      <c r="I660">
        <f t="shared" si="10"/>
        <v>0</v>
      </c>
    </row>
    <row r="661" spans="1:10" x14ac:dyDescent="0.3">
      <c r="A661" s="5">
        <v>20170802</v>
      </c>
      <c r="B661" s="6" t="s">
        <v>4</v>
      </c>
      <c r="C661" s="8">
        <v>2430000</v>
      </c>
      <c r="D661" s="8">
        <v>2450000</v>
      </c>
      <c r="E661" s="5">
        <v>49000</v>
      </c>
      <c r="F661" s="8">
        <v>129768494</v>
      </c>
      <c r="G661" s="7">
        <v>317932810300000</v>
      </c>
      <c r="H661" s="7">
        <v>235270280700000</v>
      </c>
      <c r="I661" s="5">
        <f t="shared" si="10"/>
        <v>1</v>
      </c>
      <c r="J661" t="s">
        <v>28</v>
      </c>
    </row>
    <row r="662" spans="1:10" x14ac:dyDescent="0.3">
      <c r="A662">
        <v>20170803</v>
      </c>
      <c r="B662" s="2" t="s">
        <v>4</v>
      </c>
      <c r="C662" s="8">
        <v>2450000</v>
      </c>
      <c r="D662" s="8">
        <v>2389000</v>
      </c>
      <c r="E662">
        <v>47780</v>
      </c>
      <c r="F662" s="8">
        <v>129768494</v>
      </c>
      <c r="G662" s="1">
        <v>310016932166000</v>
      </c>
      <c r="H662" s="1">
        <v>229412530854000</v>
      </c>
      <c r="I662">
        <f t="shared" si="10"/>
        <v>0</v>
      </c>
    </row>
    <row r="663" spans="1:10" x14ac:dyDescent="0.3">
      <c r="A663">
        <v>20170804</v>
      </c>
      <c r="B663" s="2" t="s">
        <v>4</v>
      </c>
      <c r="C663" s="8">
        <v>2389000</v>
      </c>
      <c r="D663" s="8">
        <v>2385000</v>
      </c>
      <c r="E663">
        <v>47700</v>
      </c>
      <c r="F663" s="8">
        <v>129768494</v>
      </c>
      <c r="G663" s="1">
        <v>309497858190000</v>
      </c>
      <c r="H663" s="1">
        <v>229028416110000</v>
      </c>
      <c r="I663">
        <f t="shared" si="10"/>
        <v>0</v>
      </c>
    </row>
    <row r="664" spans="1:10" x14ac:dyDescent="0.3">
      <c r="A664">
        <v>20170807</v>
      </c>
      <c r="B664" s="2" t="s">
        <v>4</v>
      </c>
      <c r="C664" s="8">
        <v>2385000</v>
      </c>
      <c r="D664" s="8">
        <v>2379000</v>
      </c>
      <c r="E664">
        <v>47580</v>
      </c>
      <c r="F664" s="8">
        <v>129768494</v>
      </c>
      <c r="G664" s="1">
        <v>308719247226000</v>
      </c>
      <c r="H664" s="1">
        <v>228452243994000</v>
      </c>
      <c r="I664">
        <f t="shared" si="10"/>
        <v>0</v>
      </c>
    </row>
    <row r="665" spans="1:10" x14ac:dyDescent="0.3">
      <c r="A665">
        <v>20170808</v>
      </c>
      <c r="B665" s="2" t="s">
        <v>4</v>
      </c>
      <c r="C665" s="8">
        <v>2379000</v>
      </c>
      <c r="D665" s="8">
        <v>2386000</v>
      </c>
      <c r="E665">
        <v>47720</v>
      </c>
      <c r="F665" s="8">
        <v>129768494</v>
      </c>
      <c r="G665" s="1">
        <v>309627626684000</v>
      </c>
      <c r="H665" s="1">
        <v>229124444796000</v>
      </c>
      <c r="I665">
        <f t="shared" si="10"/>
        <v>0</v>
      </c>
    </row>
    <row r="666" spans="1:10" x14ac:dyDescent="0.3">
      <c r="A666">
        <v>20170809</v>
      </c>
      <c r="B666" s="2" t="s">
        <v>4</v>
      </c>
      <c r="C666" s="8">
        <v>2386000</v>
      </c>
      <c r="D666" s="8">
        <v>2314000</v>
      </c>
      <c r="E666">
        <v>46280</v>
      </c>
      <c r="F666" s="8">
        <v>129768494</v>
      </c>
      <c r="G666" s="1">
        <v>300284295116000</v>
      </c>
      <c r="H666" s="1">
        <v>222210379404000</v>
      </c>
      <c r="I666">
        <f t="shared" si="10"/>
        <v>0</v>
      </c>
    </row>
    <row r="667" spans="1:10" x14ac:dyDescent="0.3">
      <c r="A667">
        <v>20170810</v>
      </c>
      <c r="B667" s="2" t="s">
        <v>4</v>
      </c>
      <c r="C667" s="8">
        <v>2314000</v>
      </c>
      <c r="D667" s="8">
        <v>2295000</v>
      </c>
      <c r="E667">
        <v>45900</v>
      </c>
      <c r="F667" s="8">
        <v>129768494</v>
      </c>
      <c r="G667" s="1">
        <v>297818693730000</v>
      </c>
      <c r="H667" s="1">
        <v>220385834370000</v>
      </c>
      <c r="I667">
        <f t="shared" si="10"/>
        <v>0</v>
      </c>
    </row>
    <row r="668" spans="1:10" x14ac:dyDescent="0.3">
      <c r="A668">
        <v>20170811</v>
      </c>
      <c r="B668" s="2" t="s">
        <v>4</v>
      </c>
      <c r="C668" s="8">
        <v>2295000</v>
      </c>
      <c r="D668" s="8">
        <v>2231000</v>
      </c>
      <c r="E668">
        <v>44620</v>
      </c>
      <c r="F668" s="8">
        <v>129768494</v>
      </c>
      <c r="G668" s="1">
        <v>289513510114000</v>
      </c>
      <c r="H668" s="1">
        <v>214239998466000</v>
      </c>
      <c r="I668">
        <f t="shared" si="10"/>
        <v>0</v>
      </c>
    </row>
    <row r="669" spans="1:10" x14ac:dyDescent="0.3">
      <c r="A669">
        <v>20170814</v>
      </c>
      <c r="B669" s="2" t="s">
        <v>4</v>
      </c>
      <c r="C669" s="8">
        <v>2231000</v>
      </c>
      <c r="D669" s="8">
        <v>2250000</v>
      </c>
      <c r="E669">
        <v>45000</v>
      </c>
      <c r="F669" s="8">
        <v>129768494</v>
      </c>
      <c r="G669" s="1">
        <v>291979111500000</v>
      </c>
      <c r="H669" s="1">
        <v>216064543500000</v>
      </c>
      <c r="I669">
        <f t="shared" si="10"/>
        <v>0</v>
      </c>
    </row>
    <row r="670" spans="1:10" x14ac:dyDescent="0.3">
      <c r="A670">
        <v>20170816</v>
      </c>
      <c r="B670" s="2" t="s">
        <v>4</v>
      </c>
      <c r="C670" s="8">
        <v>2250000</v>
      </c>
      <c r="D670" s="8">
        <v>2310000</v>
      </c>
      <c r="E670">
        <v>46200</v>
      </c>
      <c r="F670" s="8">
        <v>129768494</v>
      </c>
      <c r="G670" s="1">
        <v>299765221140000</v>
      </c>
      <c r="H670" s="1">
        <v>221826264660000</v>
      </c>
      <c r="I670">
        <f t="shared" si="10"/>
        <v>0</v>
      </c>
    </row>
    <row r="671" spans="1:10" x14ac:dyDescent="0.3">
      <c r="A671">
        <v>20170817</v>
      </c>
      <c r="B671" s="2" t="s">
        <v>4</v>
      </c>
      <c r="C671" s="8">
        <v>2310000</v>
      </c>
      <c r="D671" s="8">
        <v>2352000</v>
      </c>
      <c r="E671">
        <v>47040</v>
      </c>
      <c r="F671" s="8">
        <v>129768494</v>
      </c>
      <c r="G671" s="1">
        <v>305215497888000</v>
      </c>
      <c r="H671" s="1">
        <v>225859469472000</v>
      </c>
      <c r="I671">
        <f t="shared" si="10"/>
        <v>0</v>
      </c>
    </row>
    <row r="672" spans="1:10" x14ac:dyDescent="0.3">
      <c r="A672">
        <v>20170818</v>
      </c>
      <c r="B672" s="2" t="s">
        <v>4</v>
      </c>
      <c r="C672" s="8">
        <v>2352000</v>
      </c>
      <c r="D672" s="8">
        <v>2345000</v>
      </c>
      <c r="E672">
        <v>46900</v>
      </c>
      <c r="F672" s="8">
        <v>129768494</v>
      </c>
      <c r="G672" s="1">
        <v>304307118430000</v>
      </c>
      <c r="H672" s="1">
        <v>225187268670000</v>
      </c>
      <c r="I672">
        <f t="shared" si="10"/>
        <v>0</v>
      </c>
    </row>
    <row r="673" spans="1:9" x14ac:dyDescent="0.3">
      <c r="A673">
        <v>20170821</v>
      </c>
      <c r="B673" s="2" t="s">
        <v>4</v>
      </c>
      <c r="C673" s="8">
        <v>2345000</v>
      </c>
      <c r="D673" s="8">
        <v>2342000</v>
      </c>
      <c r="E673">
        <v>46840</v>
      </c>
      <c r="F673" s="8">
        <v>129768494</v>
      </c>
      <c r="G673" s="1">
        <v>303917812948000</v>
      </c>
      <c r="H673" s="1">
        <v>224899182612000</v>
      </c>
      <c r="I673">
        <f t="shared" si="10"/>
        <v>0</v>
      </c>
    </row>
    <row r="674" spans="1:9" x14ac:dyDescent="0.3">
      <c r="A674">
        <v>20170822</v>
      </c>
      <c r="B674" s="2" t="s">
        <v>4</v>
      </c>
      <c r="C674" s="8">
        <v>2342000</v>
      </c>
      <c r="D674" s="8">
        <v>2350000</v>
      </c>
      <c r="E674">
        <v>47000</v>
      </c>
      <c r="F674" s="8">
        <v>129768494</v>
      </c>
      <c r="G674" s="1">
        <v>304955960900000</v>
      </c>
      <c r="H674" s="1">
        <v>225667412100000</v>
      </c>
      <c r="I674">
        <f t="shared" si="10"/>
        <v>0</v>
      </c>
    </row>
    <row r="675" spans="1:9" x14ac:dyDescent="0.3">
      <c r="A675">
        <v>20170823</v>
      </c>
      <c r="B675" s="2" t="s">
        <v>4</v>
      </c>
      <c r="C675" s="8">
        <v>2350000</v>
      </c>
      <c r="D675" s="8">
        <v>2374000</v>
      </c>
      <c r="E675">
        <v>47480</v>
      </c>
      <c r="F675" s="8">
        <v>129768494</v>
      </c>
      <c r="G675" s="1">
        <v>308070404756000</v>
      </c>
      <c r="H675" s="1">
        <v>227972100564000</v>
      </c>
      <c r="I675">
        <f t="shared" si="10"/>
        <v>0</v>
      </c>
    </row>
    <row r="676" spans="1:9" x14ac:dyDescent="0.3">
      <c r="A676">
        <v>20170824</v>
      </c>
      <c r="B676" s="2" t="s">
        <v>4</v>
      </c>
      <c r="C676" s="8">
        <v>2374000</v>
      </c>
      <c r="D676" s="8">
        <v>2376000</v>
      </c>
      <c r="E676">
        <v>47520</v>
      </c>
      <c r="F676" s="8">
        <v>129768494</v>
      </c>
      <c r="G676" s="1">
        <v>308329941744000</v>
      </c>
      <c r="H676" s="1">
        <v>228164157936000</v>
      </c>
      <c r="I676">
        <f t="shared" si="10"/>
        <v>0</v>
      </c>
    </row>
    <row r="677" spans="1:9" x14ac:dyDescent="0.3">
      <c r="A677">
        <v>20170825</v>
      </c>
      <c r="B677" s="2" t="s">
        <v>4</v>
      </c>
      <c r="C677" s="8">
        <v>2376000</v>
      </c>
      <c r="D677" s="8">
        <v>2351000</v>
      </c>
      <c r="E677">
        <v>47020</v>
      </c>
      <c r="F677" s="8">
        <v>129768494</v>
      </c>
      <c r="G677" s="1">
        <v>305085729394000</v>
      </c>
      <c r="H677" s="1">
        <v>225763440786000</v>
      </c>
      <c r="I677">
        <f t="shared" si="10"/>
        <v>0</v>
      </c>
    </row>
    <row r="678" spans="1:9" x14ac:dyDescent="0.3">
      <c r="A678">
        <v>20170828</v>
      </c>
      <c r="B678" s="2" t="s">
        <v>4</v>
      </c>
      <c r="C678" s="8">
        <v>2351000</v>
      </c>
      <c r="D678" s="8">
        <v>2305000</v>
      </c>
      <c r="E678">
        <v>46100</v>
      </c>
      <c r="F678" s="8">
        <v>129768494</v>
      </c>
      <c r="G678" s="1">
        <v>299116378670000</v>
      </c>
      <c r="H678" s="1">
        <v>221346121230000</v>
      </c>
      <c r="I678">
        <f t="shared" si="10"/>
        <v>0</v>
      </c>
    </row>
    <row r="679" spans="1:9" x14ac:dyDescent="0.3">
      <c r="A679">
        <v>20170829</v>
      </c>
      <c r="B679" s="2" t="s">
        <v>4</v>
      </c>
      <c r="C679" s="8">
        <v>2305000</v>
      </c>
      <c r="D679" s="8">
        <v>2304000</v>
      </c>
      <c r="E679">
        <v>46080</v>
      </c>
      <c r="F679" s="8">
        <v>129768494</v>
      </c>
      <c r="G679" s="1">
        <v>298986610176000</v>
      </c>
      <c r="H679" s="1">
        <v>221250092544000</v>
      </c>
      <c r="I679">
        <f t="shared" si="10"/>
        <v>0</v>
      </c>
    </row>
    <row r="680" spans="1:9" x14ac:dyDescent="0.3">
      <c r="A680">
        <v>20170830</v>
      </c>
      <c r="B680" s="2" t="s">
        <v>4</v>
      </c>
      <c r="C680" s="8">
        <v>2304000</v>
      </c>
      <c r="D680" s="8">
        <v>2310000</v>
      </c>
      <c r="E680">
        <v>46200</v>
      </c>
      <c r="F680" s="8">
        <v>129768494</v>
      </c>
      <c r="G680" s="1">
        <v>299765221140000</v>
      </c>
      <c r="H680" s="1">
        <v>221826264660000</v>
      </c>
      <c r="I680">
        <f t="shared" si="10"/>
        <v>0</v>
      </c>
    </row>
    <row r="681" spans="1:9" x14ac:dyDescent="0.3">
      <c r="A681">
        <v>20170831</v>
      </c>
      <c r="B681" s="2" t="s">
        <v>4</v>
      </c>
      <c r="C681" s="8">
        <v>2310000</v>
      </c>
      <c r="D681" s="8">
        <v>2316000</v>
      </c>
      <c r="E681">
        <v>46320</v>
      </c>
      <c r="F681" s="8">
        <v>129768494</v>
      </c>
      <c r="G681" s="1">
        <v>300543832104000</v>
      </c>
      <c r="H681" s="1">
        <v>222402436776000</v>
      </c>
      <c r="I681">
        <f t="shared" si="10"/>
        <v>0</v>
      </c>
    </row>
    <row r="682" spans="1:9" x14ac:dyDescent="0.3">
      <c r="A682">
        <v>20170901</v>
      </c>
      <c r="B682" s="2" t="s">
        <v>4</v>
      </c>
      <c r="C682" s="8">
        <v>2316000</v>
      </c>
      <c r="D682" s="8">
        <v>2324000</v>
      </c>
      <c r="E682">
        <v>46480</v>
      </c>
      <c r="F682" s="8">
        <v>129768494</v>
      </c>
      <c r="G682" s="1">
        <v>301581980056000</v>
      </c>
      <c r="H682" s="1">
        <v>223170666264000</v>
      </c>
      <c r="I682">
        <f t="shared" si="10"/>
        <v>0</v>
      </c>
    </row>
    <row r="683" spans="1:9" x14ac:dyDescent="0.3">
      <c r="A683">
        <v>20170904</v>
      </c>
      <c r="B683" s="2" t="s">
        <v>4</v>
      </c>
      <c r="C683" s="8">
        <v>2324000</v>
      </c>
      <c r="D683" s="8">
        <v>2302000</v>
      </c>
      <c r="E683">
        <v>46040</v>
      </c>
      <c r="F683" s="8">
        <v>129768494</v>
      </c>
      <c r="G683" s="1">
        <v>298727073188000</v>
      </c>
      <c r="H683" s="1">
        <v>221058035172000</v>
      </c>
      <c r="I683">
        <f t="shared" si="10"/>
        <v>0</v>
      </c>
    </row>
    <row r="684" spans="1:9" x14ac:dyDescent="0.3">
      <c r="A684">
        <v>20170905</v>
      </c>
      <c r="B684" s="2" t="s">
        <v>4</v>
      </c>
      <c r="C684" s="8">
        <v>2302000</v>
      </c>
      <c r="D684" s="8">
        <v>2338000</v>
      </c>
      <c r="E684">
        <v>46760</v>
      </c>
      <c r="F684" s="8">
        <v>129768494</v>
      </c>
      <c r="G684" s="1">
        <v>303398738972000</v>
      </c>
      <c r="H684" s="1">
        <v>224515067868000</v>
      </c>
      <c r="I684">
        <f t="shared" si="10"/>
        <v>0</v>
      </c>
    </row>
    <row r="685" spans="1:9" x14ac:dyDescent="0.3">
      <c r="A685">
        <v>20170906</v>
      </c>
      <c r="B685" s="2" t="s">
        <v>4</v>
      </c>
      <c r="C685" s="8">
        <v>2338000</v>
      </c>
      <c r="D685" s="8">
        <v>2350000</v>
      </c>
      <c r="E685">
        <v>47000</v>
      </c>
      <c r="F685" s="8">
        <v>129768494</v>
      </c>
      <c r="G685" s="1">
        <v>304955960900000</v>
      </c>
      <c r="H685" s="1">
        <v>225667412100000</v>
      </c>
      <c r="I685">
        <f t="shared" si="10"/>
        <v>0</v>
      </c>
    </row>
    <row r="686" spans="1:9" x14ac:dyDescent="0.3">
      <c r="A686">
        <v>20170907</v>
      </c>
      <c r="B686" s="2" t="s">
        <v>4</v>
      </c>
      <c r="C686" s="8">
        <v>2350000</v>
      </c>
      <c r="D686" s="8">
        <v>2406000</v>
      </c>
      <c r="E686">
        <v>48120</v>
      </c>
      <c r="F686" s="8">
        <v>129768494</v>
      </c>
      <c r="G686" s="1">
        <v>312222996564000</v>
      </c>
      <c r="H686" s="1">
        <v>231045018516000</v>
      </c>
      <c r="I686">
        <f t="shared" si="10"/>
        <v>0</v>
      </c>
    </row>
    <row r="687" spans="1:9" x14ac:dyDescent="0.3">
      <c r="A687">
        <v>20170908</v>
      </c>
      <c r="B687" s="2" t="s">
        <v>4</v>
      </c>
      <c r="C687" s="8">
        <v>2406000</v>
      </c>
      <c r="D687" s="8">
        <v>2454000</v>
      </c>
      <c r="E687">
        <v>49080</v>
      </c>
      <c r="F687" s="8">
        <v>129768494</v>
      </c>
      <c r="G687" s="1">
        <v>318451884276000</v>
      </c>
      <c r="H687" s="1">
        <v>235654395444000</v>
      </c>
      <c r="I687">
        <f t="shared" si="10"/>
        <v>0</v>
      </c>
    </row>
    <row r="688" spans="1:9" x14ac:dyDescent="0.3">
      <c r="A688">
        <v>20170911</v>
      </c>
      <c r="B688" s="2" t="s">
        <v>4</v>
      </c>
      <c r="C688" s="8">
        <v>2454000</v>
      </c>
      <c r="D688" s="8">
        <v>2490000</v>
      </c>
      <c r="E688">
        <v>49800</v>
      </c>
      <c r="F688" s="8">
        <v>129768494</v>
      </c>
      <c r="G688" s="1">
        <v>323123550060000</v>
      </c>
      <c r="H688" s="1">
        <v>239111428140000</v>
      </c>
      <c r="I688">
        <f t="shared" si="10"/>
        <v>0</v>
      </c>
    </row>
    <row r="689" spans="1:9" x14ac:dyDescent="0.3">
      <c r="A689">
        <v>20170912</v>
      </c>
      <c r="B689" s="2" t="s">
        <v>4</v>
      </c>
      <c r="C689" s="8">
        <v>2490000</v>
      </c>
      <c r="D689" s="8">
        <v>2480000</v>
      </c>
      <c r="E689">
        <v>49600</v>
      </c>
      <c r="F689" s="8">
        <v>129768494</v>
      </c>
      <c r="G689" s="1">
        <v>321825865120000</v>
      </c>
      <c r="H689" s="1">
        <v>238151141280000</v>
      </c>
      <c r="I689">
        <f t="shared" si="10"/>
        <v>0</v>
      </c>
    </row>
    <row r="690" spans="1:9" x14ac:dyDescent="0.3">
      <c r="A690">
        <v>20170913</v>
      </c>
      <c r="B690" s="2" t="s">
        <v>4</v>
      </c>
      <c r="C690" s="8">
        <v>2480000</v>
      </c>
      <c r="D690" s="8">
        <v>2481000</v>
      </c>
      <c r="E690">
        <v>49620</v>
      </c>
      <c r="F690" s="8">
        <v>129768494</v>
      </c>
      <c r="G690" s="1">
        <v>321955633614000</v>
      </c>
      <c r="H690" s="1">
        <v>238247169966000</v>
      </c>
      <c r="I690">
        <f t="shared" si="10"/>
        <v>0</v>
      </c>
    </row>
    <row r="691" spans="1:9" x14ac:dyDescent="0.3">
      <c r="A691">
        <v>20170914</v>
      </c>
      <c r="B691" s="2" t="s">
        <v>4</v>
      </c>
      <c r="C691" s="8">
        <v>2481000</v>
      </c>
      <c r="D691" s="8">
        <v>2515000</v>
      </c>
      <c r="E691">
        <v>50300</v>
      </c>
      <c r="F691" s="8">
        <v>129768494</v>
      </c>
      <c r="G691" s="1">
        <v>326367762410000</v>
      </c>
      <c r="H691" s="1">
        <v>241512145290000</v>
      </c>
      <c r="I691">
        <f t="shared" si="10"/>
        <v>0</v>
      </c>
    </row>
    <row r="692" spans="1:9" x14ac:dyDescent="0.3">
      <c r="A692">
        <v>20170915</v>
      </c>
      <c r="B692" s="2" t="s">
        <v>4</v>
      </c>
      <c r="C692" s="8">
        <v>2515000</v>
      </c>
      <c r="D692" s="8">
        <v>2520000</v>
      </c>
      <c r="E692">
        <v>50400</v>
      </c>
      <c r="F692" s="8">
        <v>129768494</v>
      </c>
      <c r="G692" s="1">
        <v>327016604880000</v>
      </c>
      <c r="H692" s="1">
        <v>241992288720000</v>
      </c>
      <c r="I692">
        <f t="shared" si="10"/>
        <v>0</v>
      </c>
    </row>
    <row r="693" spans="1:9" x14ac:dyDescent="0.3">
      <c r="A693">
        <v>20170918</v>
      </c>
      <c r="B693" s="2" t="s">
        <v>4</v>
      </c>
      <c r="C693" s="8">
        <v>2520000</v>
      </c>
      <c r="D693" s="8">
        <v>2624000</v>
      </c>
      <c r="E693">
        <v>52480</v>
      </c>
      <c r="F693" s="8">
        <v>129768494</v>
      </c>
      <c r="G693" s="1">
        <v>340512528256000</v>
      </c>
      <c r="H693" s="1">
        <v>251979272064000</v>
      </c>
      <c r="I693">
        <f t="shared" si="10"/>
        <v>0</v>
      </c>
    </row>
    <row r="694" spans="1:9" x14ac:dyDescent="0.3">
      <c r="A694">
        <v>20170919</v>
      </c>
      <c r="B694" s="2" t="s">
        <v>4</v>
      </c>
      <c r="C694" s="8">
        <v>2624000</v>
      </c>
      <c r="D694" s="8">
        <v>2606000</v>
      </c>
      <c r="E694">
        <v>52120</v>
      </c>
      <c r="F694" s="8">
        <v>129768494</v>
      </c>
      <c r="G694" s="1">
        <v>338176695364000</v>
      </c>
      <c r="H694" s="1">
        <v>250250755716000</v>
      </c>
      <c r="I694">
        <f t="shared" si="10"/>
        <v>0</v>
      </c>
    </row>
    <row r="695" spans="1:9" x14ac:dyDescent="0.3">
      <c r="A695">
        <v>20170920</v>
      </c>
      <c r="B695" s="2" t="s">
        <v>4</v>
      </c>
      <c r="C695" s="8">
        <v>2606000</v>
      </c>
      <c r="D695" s="8">
        <v>2611000</v>
      </c>
      <c r="E695">
        <v>52220</v>
      </c>
      <c r="F695" s="8">
        <v>129768494</v>
      </c>
      <c r="G695" s="1">
        <v>338825537834000</v>
      </c>
      <c r="H695" s="1">
        <v>250730899146000</v>
      </c>
      <c r="I695">
        <f t="shared" si="10"/>
        <v>0</v>
      </c>
    </row>
    <row r="696" spans="1:9" x14ac:dyDescent="0.3">
      <c r="A696">
        <v>20170921</v>
      </c>
      <c r="B696" s="2" t="s">
        <v>4</v>
      </c>
      <c r="C696" s="8">
        <v>2611000</v>
      </c>
      <c r="D696" s="8">
        <v>2640000</v>
      </c>
      <c r="E696">
        <v>52800</v>
      </c>
      <c r="F696" s="8">
        <v>129768494</v>
      </c>
      <c r="G696" s="1">
        <v>342588824160000</v>
      </c>
      <c r="H696" s="1">
        <v>253515731040000</v>
      </c>
      <c r="I696">
        <f t="shared" si="10"/>
        <v>0</v>
      </c>
    </row>
    <row r="697" spans="1:9" x14ac:dyDescent="0.3">
      <c r="A697">
        <v>20170922</v>
      </c>
      <c r="B697" s="2" t="s">
        <v>4</v>
      </c>
      <c r="C697" s="8">
        <v>2640000</v>
      </c>
      <c r="D697" s="8">
        <v>2650000</v>
      </c>
      <c r="E697">
        <v>53000</v>
      </c>
      <c r="F697" s="8">
        <v>129768494</v>
      </c>
      <c r="G697" s="1">
        <v>343886509100000</v>
      </c>
      <c r="H697" s="1">
        <v>254476017900000</v>
      </c>
      <c r="I697">
        <f t="shared" si="10"/>
        <v>0</v>
      </c>
    </row>
    <row r="698" spans="1:9" x14ac:dyDescent="0.3">
      <c r="A698">
        <v>20170925</v>
      </c>
      <c r="B698" s="2" t="s">
        <v>4</v>
      </c>
      <c r="C698" s="8">
        <v>2650000</v>
      </c>
      <c r="D698" s="8">
        <v>2681000</v>
      </c>
      <c r="E698">
        <v>53620</v>
      </c>
      <c r="F698" s="8">
        <v>129768494</v>
      </c>
      <c r="G698" s="1">
        <v>347909332414000</v>
      </c>
      <c r="H698" s="1">
        <v>257452907166000</v>
      </c>
      <c r="I698">
        <f t="shared" si="10"/>
        <v>0</v>
      </c>
    </row>
    <row r="699" spans="1:9" x14ac:dyDescent="0.3">
      <c r="A699">
        <v>20170926</v>
      </c>
      <c r="B699" s="2" t="s">
        <v>4</v>
      </c>
      <c r="C699" s="8">
        <v>2681000</v>
      </c>
      <c r="D699" s="8">
        <v>2583000</v>
      </c>
      <c r="E699">
        <v>51660</v>
      </c>
      <c r="F699" s="8">
        <v>129768494</v>
      </c>
      <c r="G699" s="1">
        <v>335192020002000</v>
      </c>
      <c r="H699" s="1">
        <v>248042095938000</v>
      </c>
      <c r="I699">
        <f t="shared" si="10"/>
        <v>0</v>
      </c>
    </row>
    <row r="700" spans="1:9" x14ac:dyDescent="0.3">
      <c r="A700">
        <v>20170927</v>
      </c>
      <c r="B700" s="2" t="s">
        <v>4</v>
      </c>
      <c r="C700" s="8">
        <v>2583000</v>
      </c>
      <c r="D700" s="8">
        <v>2584000</v>
      </c>
      <c r="E700">
        <v>51680</v>
      </c>
      <c r="F700" s="8">
        <v>129768494</v>
      </c>
      <c r="G700" s="1">
        <v>335321788496000</v>
      </c>
      <c r="H700" s="1">
        <v>248138124624000</v>
      </c>
      <c r="I700">
        <f t="shared" si="10"/>
        <v>0</v>
      </c>
    </row>
    <row r="701" spans="1:9" x14ac:dyDescent="0.3">
      <c r="A701">
        <v>20170928</v>
      </c>
      <c r="B701" s="2" t="s">
        <v>4</v>
      </c>
      <c r="C701" s="8">
        <v>2584000</v>
      </c>
      <c r="D701" s="8">
        <v>2563000</v>
      </c>
      <c r="E701">
        <v>51260</v>
      </c>
      <c r="F701" s="8">
        <v>129768494</v>
      </c>
      <c r="G701" s="1">
        <v>332596650122000</v>
      </c>
      <c r="H701" s="1">
        <v>246121522218000</v>
      </c>
      <c r="I701">
        <f t="shared" si="10"/>
        <v>0</v>
      </c>
    </row>
    <row r="702" spans="1:9" x14ac:dyDescent="0.3">
      <c r="A702">
        <v>20170929</v>
      </c>
      <c r="B702" s="2" t="s">
        <v>4</v>
      </c>
      <c r="C702" s="8">
        <v>2563000</v>
      </c>
      <c r="D702" s="8">
        <v>2564000</v>
      </c>
      <c r="E702">
        <v>51280</v>
      </c>
      <c r="F702" s="8">
        <v>129768494</v>
      </c>
      <c r="G702" s="1">
        <v>332726418616000</v>
      </c>
      <c r="H702" s="1">
        <v>246217550904000</v>
      </c>
      <c r="I702">
        <f t="shared" si="10"/>
        <v>0</v>
      </c>
    </row>
    <row r="703" spans="1:9" x14ac:dyDescent="0.3">
      <c r="A703">
        <v>20171010</v>
      </c>
      <c r="B703" s="2" t="s">
        <v>4</v>
      </c>
      <c r="C703" s="8">
        <v>2564000</v>
      </c>
      <c r="D703" s="8">
        <v>2640000</v>
      </c>
      <c r="E703">
        <v>52800</v>
      </c>
      <c r="F703" s="8">
        <v>129768494</v>
      </c>
      <c r="G703" s="1">
        <v>342588824160000</v>
      </c>
      <c r="H703" s="1">
        <v>253515731040000</v>
      </c>
      <c r="I703">
        <f t="shared" si="10"/>
        <v>0</v>
      </c>
    </row>
    <row r="704" spans="1:9" x14ac:dyDescent="0.3">
      <c r="A704">
        <v>20171011</v>
      </c>
      <c r="B704" s="2" t="s">
        <v>4</v>
      </c>
      <c r="C704" s="8">
        <v>2640000</v>
      </c>
      <c r="D704" s="8">
        <v>2732000</v>
      </c>
      <c r="E704">
        <v>54640</v>
      </c>
      <c r="F704" s="8">
        <v>129768494</v>
      </c>
      <c r="G704" s="1">
        <v>354527525608000</v>
      </c>
      <c r="H704" s="1">
        <v>262350370152000</v>
      </c>
      <c r="I704">
        <f t="shared" si="10"/>
        <v>0</v>
      </c>
    </row>
    <row r="705" spans="1:9" x14ac:dyDescent="0.3">
      <c r="A705">
        <v>20171012</v>
      </c>
      <c r="B705" s="2" t="s">
        <v>4</v>
      </c>
      <c r="C705" s="8">
        <v>2732000</v>
      </c>
      <c r="D705" s="8">
        <v>2740000</v>
      </c>
      <c r="E705">
        <v>54800</v>
      </c>
      <c r="F705" s="8">
        <v>129768494</v>
      </c>
      <c r="G705" s="1">
        <v>355565673560000</v>
      </c>
      <c r="H705" s="1">
        <v>263118599640000</v>
      </c>
      <c r="I705">
        <f t="shared" si="10"/>
        <v>0</v>
      </c>
    </row>
    <row r="706" spans="1:9" x14ac:dyDescent="0.3">
      <c r="A706">
        <v>20171013</v>
      </c>
      <c r="B706" s="2" t="s">
        <v>4</v>
      </c>
      <c r="C706" s="8">
        <v>2740000</v>
      </c>
      <c r="D706" s="8">
        <v>2700000</v>
      </c>
      <c r="E706">
        <v>54000</v>
      </c>
      <c r="F706" s="8">
        <v>129768494</v>
      </c>
      <c r="G706" s="1">
        <v>350374933800000</v>
      </c>
      <c r="H706" s="1">
        <v>259277452200000</v>
      </c>
      <c r="I706">
        <f t="shared" si="10"/>
        <v>0</v>
      </c>
    </row>
    <row r="707" spans="1:9" x14ac:dyDescent="0.3">
      <c r="A707">
        <v>20171016</v>
      </c>
      <c r="B707" s="2" t="s">
        <v>4</v>
      </c>
      <c r="C707" s="8">
        <v>2700000</v>
      </c>
      <c r="D707" s="8">
        <v>2696000</v>
      </c>
      <c r="E707">
        <v>53920</v>
      </c>
      <c r="F707" s="8">
        <v>129768494</v>
      </c>
      <c r="G707" s="1">
        <v>349855859824000</v>
      </c>
      <c r="H707" s="1">
        <v>258893337456000</v>
      </c>
      <c r="I707">
        <f t="shared" si="10"/>
        <v>0</v>
      </c>
    </row>
    <row r="708" spans="1:9" x14ac:dyDescent="0.3">
      <c r="A708">
        <v>20171017</v>
      </c>
      <c r="B708" s="2" t="s">
        <v>4</v>
      </c>
      <c r="C708" s="8">
        <v>2696000</v>
      </c>
      <c r="D708" s="8">
        <v>2740000</v>
      </c>
      <c r="E708">
        <v>54800</v>
      </c>
      <c r="F708" s="8">
        <v>129768494</v>
      </c>
      <c r="G708" s="1">
        <v>355565673560000</v>
      </c>
      <c r="H708" s="1">
        <v>263118599640000</v>
      </c>
      <c r="I708">
        <f t="shared" ref="I708:I771" si="11">IF(C708*F708=D707*F707,0,1)</f>
        <v>0</v>
      </c>
    </row>
    <row r="709" spans="1:9" x14ac:dyDescent="0.3">
      <c r="A709">
        <v>20171018</v>
      </c>
      <c r="B709" s="2" t="s">
        <v>4</v>
      </c>
      <c r="C709" s="8">
        <v>2740000</v>
      </c>
      <c r="D709" s="8">
        <v>2738000</v>
      </c>
      <c r="E709">
        <v>54760</v>
      </c>
      <c r="F709" s="8">
        <v>129768494</v>
      </c>
      <c r="G709" s="1">
        <v>355306136572000</v>
      </c>
      <c r="H709" s="1">
        <v>262926542268000</v>
      </c>
      <c r="I709">
        <f t="shared" si="11"/>
        <v>0</v>
      </c>
    </row>
    <row r="710" spans="1:9" x14ac:dyDescent="0.3">
      <c r="A710">
        <v>20171019</v>
      </c>
      <c r="B710" s="2" t="s">
        <v>4</v>
      </c>
      <c r="C710" s="8">
        <v>2738000</v>
      </c>
      <c r="D710" s="8">
        <v>2649000</v>
      </c>
      <c r="E710">
        <v>52980</v>
      </c>
      <c r="F710" s="8">
        <v>129768494</v>
      </c>
      <c r="G710" s="1">
        <v>343756740606000</v>
      </c>
      <c r="H710" s="1">
        <v>254379989214000</v>
      </c>
      <c r="I710">
        <f t="shared" si="11"/>
        <v>0</v>
      </c>
    </row>
    <row r="711" spans="1:9" x14ac:dyDescent="0.3">
      <c r="A711">
        <v>20171020</v>
      </c>
      <c r="B711" s="2" t="s">
        <v>4</v>
      </c>
      <c r="C711" s="8">
        <v>2649000</v>
      </c>
      <c r="D711" s="8">
        <v>2692000</v>
      </c>
      <c r="E711">
        <v>53840</v>
      </c>
      <c r="F711" s="8">
        <v>129768494</v>
      </c>
      <c r="G711" s="1">
        <v>349336785848000</v>
      </c>
      <c r="H711" s="1">
        <v>258509222712000</v>
      </c>
      <c r="I711">
        <f t="shared" si="11"/>
        <v>0</v>
      </c>
    </row>
    <row r="712" spans="1:9" x14ac:dyDescent="0.3">
      <c r="A712">
        <v>20171023</v>
      </c>
      <c r="B712" s="2" t="s">
        <v>4</v>
      </c>
      <c r="C712" s="8">
        <v>2692000</v>
      </c>
      <c r="D712" s="8">
        <v>2715000</v>
      </c>
      <c r="E712">
        <v>54300</v>
      </c>
      <c r="F712" s="8">
        <v>129768494</v>
      </c>
      <c r="G712" s="1">
        <v>352321461210000</v>
      </c>
      <c r="H712" s="1">
        <v>260717882490000</v>
      </c>
      <c r="I712">
        <f t="shared" si="11"/>
        <v>0</v>
      </c>
    </row>
    <row r="713" spans="1:9" x14ac:dyDescent="0.3">
      <c r="A713">
        <v>20171024</v>
      </c>
      <c r="B713" s="2" t="s">
        <v>4</v>
      </c>
      <c r="C713" s="8">
        <v>2715000</v>
      </c>
      <c r="D713" s="8">
        <v>2702000</v>
      </c>
      <c r="E713">
        <v>54040</v>
      </c>
      <c r="F713" s="8">
        <v>129768494</v>
      </c>
      <c r="G713" s="1">
        <v>350634470788000</v>
      </c>
      <c r="H713" s="1">
        <v>259469509572000</v>
      </c>
      <c r="I713">
        <f t="shared" si="11"/>
        <v>0</v>
      </c>
    </row>
    <row r="714" spans="1:9" x14ac:dyDescent="0.3">
      <c r="A714">
        <v>20171025</v>
      </c>
      <c r="B714" s="2" t="s">
        <v>4</v>
      </c>
      <c r="C714" s="8">
        <v>2702000</v>
      </c>
      <c r="D714" s="8">
        <v>2695000</v>
      </c>
      <c r="E714">
        <v>53900</v>
      </c>
      <c r="F714" s="8">
        <v>129768494</v>
      </c>
      <c r="G714" s="1">
        <v>349726091330000</v>
      </c>
      <c r="H714" s="1">
        <v>258797308770000</v>
      </c>
      <c r="I714">
        <f t="shared" si="11"/>
        <v>0</v>
      </c>
    </row>
    <row r="715" spans="1:9" x14ac:dyDescent="0.3">
      <c r="A715">
        <v>20171026</v>
      </c>
      <c r="B715" s="2" t="s">
        <v>4</v>
      </c>
      <c r="C715" s="8">
        <v>2695000</v>
      </c>
      <c r="D715" s="8">
        <v>2620000</v>
      </c>
      <c r="E715">
        <v>52400</v>
      </c>
      <c r="F715" s="8">
        <v>129768494</v>
      </c>
      <c r="G715" s="1">
        <v>339993454280000</v>
      </c>
      <c r="H715" s="1">
        <v>251595157320000</v>
      </c>
      <c r="I715">
        <f t="shared" si="11"/>
        <v>0</v>
      </c>
    </row>
    <row r="716" spans="1:9" x14ac:dyDescent="0.3">
      <c r="A716">
        <v>20171027</v>
      </c>
      <c r="B716" s="2" t="s">
        <v>4</v>
      </c>
      <c r="C716" s="8">
        <v>2620000</v>
      </c>
      <c r="D716" s="8">
        <v>2654000</v>
      </c>
      <c r="E716">
        <v>53080</v>
      </c>
      <c r="F716" s="8">
        <v>129768494</v>
      </c>
      <c r="G716" s="1">
        <v>344405583076000</v>
      </c>
      <c r="H716" s="1">
        <v>254860132644000</v>
      </c>
      <c r="I716">
        <f t="shared" si="11"/>
        <v>0</v>
      </c>
    </row>
    <row r="717" spans="1:9" x14ac:dyDescent="0.3">
      <c r="A717">
        <v>20171030</v>
      </c>
      <c r="B717" s="2" t="s">
        <v>4</v>
      </c>
      <c r="C717" s="8">
        <v>2654000</v>
      </c>
      <c r="D717" s="8">
        <v>2702000</v>
      </c>
      <c r="E717">
        <v>54040</v>
      </c>
      <c r="F717" s="8">
        <v>129768494</v>
      </c>
      <c r="G717" s="1">
        <v>350634470788000</v>
      </c>
      <c r="H717" s="1">
        <v>259469509572000</v>
      </c>
      <c r="I717">
        <f t="shared" si="11"/>
        <v>0</v>
      </c>
    </row>
    <row r="718" spans="1:9" x14ac:dyDescent="0.3">
      <c r="A718">
        <v>20171031</v>
      </c>
      <c r="B718" s="2" t="s">
        <v>4</v>
      </c>
      <c r="C718" s="8">
        <v>2702000</v>
      </c>
      <c r="D718" s="8">
        <v>2754000</v>
      </c>
      <c r="E718">
        <v>55080</v>
      </c>
      <c r="F718" s="8">
        <v>129768494</v>
      </c>
      <c r="G718" s="1">
        <v>357382432476000</v>
      </c>
      <c r="H718" s="1">
        <v>264463001244000</v>
      </c>
      <c r="I718">
        <f t="shared" si="11"/>
        <v>0</v>
      </c>
    </row>
    <row r="719" spans="1:9" x14ac:dyDescent="0.3">
      <c r="A719">
        <v>20171101</v>
      </c>
      <c r="B719" s="2" t="s">
        <v>4</v>
      </c>
      <c r="C719" s="8">
        <v>2754000</v>
      </c>
      <c r="D719" s="8">
        <v>2861000</v>
      </c>
      <c r="E719">
        <v>57220</v>
      </c>
      <c r="F719" s="8">
        <v>129768494</v>
      </c>
      <c r="G719" s="1">
        <v>371267661334000</v>
      </c>
      <c r="H719" s="1">
        <v>274738070646000</v>
      </c>
      <c r="I719">
        <f t="shared" si="11"/>
        <v>0</v>
      </c>
    </row>
    <row r="720" spans="1:9" x14ac:dyDescent="0.3">
      <c r="A720">
        <v>20171102</v>
      </c>
      <c r="B720" s="2" t="s">
        <v>4</v>
      </c>
      <c r="C720" s="8">
        <v>2861000</v>
      </c>
      <c r="D720" s="8">
        <v>2853000</v>
      </c>
      <c r="E720">
        <v>57060</v>
      </c>
      <c r="F720" s="8">
        <v>129768494</v>
      </c>
      <c r="G720" s="1">
        <v>370229513382000</v>
      </c>
      <c r="H720" s="1">
        <v>273969841158000</v>
      </c>
      <c r="I720">
        <f t="shared" si="11"/>
        <v>0</v>
      </c>
    </row>
    <row r="721" spans="1:10" x14ac:dyDescent="0.3">
      <c r="A721" s="5">
        <v>20171103</v>
      </c>
      <c r="B721" s="6" t="s">
        <v>4</v>
      </c>
      <c r="C721" s="8">
        <v>2853000</v>
      </c>
      <c r="D721" s="8">
        <v>2819000</v>
      </c>
      <c r="E721" s="5">
        <v>56380</v>
      </c>
      <c r="F721" s="8">
        <v>129098494</v>
      </c>
      <c r="G721" s="7">
        <v>363928654586000</v>
      </c>
      <c r="H721" s="7">
        <v>269307205634000</v>
      </c>
      <c r="I721" s="5">
        <f t="shared" si="11"/>
        <v>1</v>
      </c>
      <c r="J721" t="s">
        <v>29</v>
      </c>
    </row>
    <row r="722" spans="1:10" x14ac:dyDescent="0.3">
      <c r="A722">
        <v>20171106</v>
      </c>
      <c r="B722" s="2" t="s">
        <v>4</v>
      </c>
      <c r="C722" s="8">
        <v>2819000</v>
      </c>
      <c r="D722" s="8">
        <v>2819000</v>
      </c>
      <c r="E722">
        <v>56380</v>
      </c>
      <c r="F722" s="8">
        <v>129098494</v>
      </c>
      <c r="G722" s="1">
        <v>363928654586000</v>
      </c>
      <c r="H722" s="1">
        <v>269307205634000</v>
      </c>
      <c r="I722">
        <f t="shared" si="11"/>
        <v>0</v>
      </c>
    </row>
    <row r="723" spans="1:10" x14ac:dyDescent="0.3">
      <c r="A723">
        <v>20171107</v>
      </c>
      <c r="B723" s="2" t="s">
        <v>4</v>
      </c>
      <c r="C723" s="8">
        <v>2819000</v>
      </c>
      <c r="D723" s="8">
        <v>2805000</v>
      </c>
      <c r="E723">
        <v>56100</v>
      </c>
      <c r="F723" s="8">
        <v>129098494</v>
      </c>
      <c r="G723" s="1">
        <v>362121275670000</v>
      </c>
      <c r="H723" s="1">
        <v>267969745230000</v>
      </c>
      <c r="I723">
        <f t="shared" si="11"/>
        <v>0</v>
      </c>
    </row>
    <row r="724" spans="1:10" x14ac:dyDescent="0.3">
      <c r="A724">
        <v>20171108</v>
      </c>
      <c r="B724" s="2" t="s">
        <v>4</v>
      </c>
      <c r="C724" s="8">
        <v>2805000</v>
      </c>
      <c r="D724" s="8">
        <v>2838000</v>
      </c>
      <c r="E724">
        <v>56760</v>
      </c>
      <c r="F724" s="8">
        <v>129098494</v>
      </c>
      <c r="G724" s="1">
        <v>366381525972000</v>
      </c>
      <c r="H724" s="1">
        <v>271122330468000</v>
      </c>
      <c r="I724">
        <f t="shared" si="11"/>
        <v>0</v>
      </c>
    </row>
    <row r="725" spans="1:10" x14ac:dyDescent="0.3">
      <c r="A725">
        <v>20171109</v>
      </c>
      <c r="B725" s="2" t="s">
        <v>4</v>
      </c>
      <c r="C725" s="8">
        <v>2838000</v>
      </c>
      <c r="D725" s="8">
        <v>2817000</v>
      </c>
      <c r="E725">
        <v>56340</v>
      </c>
      <c r="F725" s="8">
        <v>129098494</v>
      </c>
      <c r="G725" s="1">
        <v>363670457598000</v>
      </c>
      <c r="H725" s="1">
        <v>269116139862000</v>
      </c>
      <c r="I725">
        <f t="shared" si="11"/>
        <v>0</v>
      </c>
    </row>
    <row r="726" spans="1:10" x14ac:dyDescent="0.3">
      <c r="A726">
        <v>20171110</v>
      </c>
      <c r="B726" s="2" t="s">
        <v>4</v>
      </c>
      <c r="C726" s="8">
        <v>2817000</v>
      </c>
      <c r="D726" s="8">
        <v>2820000</v>
      </c>
      <c r="E726">
        <v>56400</v>
      </c>
      <c r="F726" s="8">
        <v>129098494</v>
      </c>
      <c r="G726" s="1">
        <v>364057753080000</v>
      </c>
      <c r="H726" s="1">
        <v>269402738520000</v>
      </c>
      <c r="I726">
        <f t="shared" si="11"/>
        <v>0</v>
      </c>
    </row>
    <row r="727" spans="1:10" x14ac:dyDescent="0.3">
      <c r="A727">
        <v>20171113</v>
      </c>
      <c r="B727" s="2" t="s">
        <v>4</v>
      </c>
      <c r="C727" s="8">
        <v>2820000</v>
      </c>
      <c r="D727" s="8">
        <v>2819000</v>
      </c>
      <c r="E727">
        <v>56380</v>
      </c>
      <c r="F727" s="8">
        <v>129098494</v>
      </c>
      <c r="G727" s="1">
        <v>363928654586000</v>
      </c>
      <c r="H727" s="1">
        <v>269307205634000</v>
      </c>
      <c r="I727">
        <f t="shared" si="11"/>
        <v>0</v>
      </c>
    </row>
    <row r="728" spans="1:10" x14ac:dyDescent="0.3">
      <c r="A728">
        <v>20171114</v>
      </c>
      <c r="B728" s="2" t="s">
        <v>4</v>
      </c>
      <c r="C728" s="8">
        <v>2819000</v>
      </c>
      <c r="D728" s="8">
        <v>2796000</v>
      </c>
      <c r="E728">
        <v>55920</v>
      </c>
      <c r="F728" s="8">
        <v>129098494</v>
      </c>
      <c r="G728" s="1">
        <v>360959389224000</v>
      </c>
      <c r="H728" s="1">
        <v>267109949256000</v>
      </c>
      <c r="I728">
        <f t="shared" si="11"/>
        <v>0</v>
      </c>
    </row>
    <row r="729" spans="1:10" x14ac:dyDescent="0.3">
      <c r="A729">
        <v>20171115</v>
      </c>
      <c r="B729" s="2" t="s">
        <v>4</v>
      </c>
      <c r="C729" s="8">
        <v>2796000</v>
      </c>
      <c r="D729" s="8">
        <v>2767000</v>
      </c>
      <c r="E729">
        <v>55340</v>
      </c>
      <c r="F729" s="8">
        <v>129098494</v>
      </c>
      <c r="G729" s="1">
        <v>357215532898000</v>
      </c>
      <c r="H729" s="1">
        <v>264339495562000</v>
      </c>
      <c r="I729">
        <f t="shared" si="11"/>
        <v>0</v>
      </c>
    </row>
    <row r="730" spans="1:10" x14ac:dyDescent="0.3">
      <c r="A730">
        <v>20171116</v>
      </c>
      <c r="B730" s="2" t="s">
        <v>4</v>
      </c>
      <c r="C730" s="8">
        <v>2767000</v>
      </c>
      <c r="D730" s="8">
        <v>2789000</v>
      </c>
      <c r="E730">
        <v>55780</v>
      </c>
      <c r="F730" s="8">
        <v>129098494</v>
      </c>
      <c r="G730" s="1">
        <v>360055699766000</v>
      </c>
      <c r="H730" s="1">
        <v>266441219054000</v>
      </c>
      <c r="I730">
        <f t="shared" si="11"/>
        <v>0</v>
      </c>
    </row>
    <row r="731" spans="1:10" x14ac:dyDescent="0.3">
      <c r="A731">
        <v>20171117</v>
      </c>
      <c r="B731" s="2" t="s">
        <v>4</v>
      </c>
      <c r="C731" s="8">
        <v>2789000</v>
      </c>
      <c r="D731" s="8">
        <v>2791000</v>
      </c>
      <c r="E731">
        <v>55820</v>
      </c>
      <c r="F731" s="8">
        <v>129098494</v>
      </c>
      <c r="G731" s="1">
        <v>360313896754000</v>
      </c>
      <c r="H731" s="1">
        <v>266632284826000</v>
      </c>
      <c r="I731">
        <f t="shared" si="11"/>
        <v>0</v>
      </c>
    </row>
    <row r="732" spans="1:10" x14ac:dyDescent="0.3">
      <c r="A732">
        <v>20171120</v>
      </c>
      <c r="B732" s="2" t="s">
        <v>4</v>
      </c>
      <c r="C732" s="8">
        <v>2791000</v>
      </c>
      <c r="D732" s="8">
        <v>2760000</v>
      </c>
      <c r="E732">
        <v>55200</v>
      </c>
      <c r="F732" s="8">
        <v>129098494</v>
      </c>
      <c r="G732" s="1">
        <v>356311843440000</v>
      </c>
      <c r="H732" s="1">
        <v>263670765360000</v>
      </c>
      <c r="I732">
        <f t="shared" si="11"/>
        <v>0</v>
      </c>
    </row>
    <row r="733" spans="1:10" x14ac:dyDescent="0.3">
      <c r="A733">
        <v>20171121</v>
      </c>
      <c r="B733" s="2" t="s">
        <v>4</v>
      </c>
      <c r="C733" s="8">
        <v>2760000</v>
      </c>
      <c r="D733" s="8">
        <v>2764000</v>
      </c>
      <c r="E733">
        <v>55280</v>
      </c>
      <c r="F733" s="8">
        <v>129098494</v>
      </c>
      <c r="G733" s="1">
        <v>356828237416000</v>
      </c>
      <c r="H733" s="1">
        <v>264052896904000</v>
      </c>
      <c r="I733">
        <f t="shared" si="11"/>
        <v>0</v>
      </c>
    </row>
    <row r="734" spans="1:10" x14ac:dyDescent="0.3">
      <c r="A734">
        <v>20171122</v>
      </c>
      <c r="B734" s="2" t="s">
        <v>4</v>
      </c>
      <c r="C734" s="8">
        <v>2764000</v>
      </c>
      <c r="D734" s="8">
        <v>2798000</v>
      </c>
      <c r="E734">
        <v>55960</v>
      </c>
      <c r="F734" s="8">
        <v>129098494</v>
      </c>
      <c r="G734" s="1">
        <v>361217586212000</v>
      </c>
      <c r="H734" s="1">
        <v>267301015028000</v>
      </c>
      <c r="I734">
        <f t="shared" si="11"/>
        <v>0</v>
      </c>
    </row>
    <row r="735" spans="1:10" x14ac:dyDescent="0.3">
      <c r="A735">
        <v>20171123</v>
      </c>
      <c r="B735" s="2" t="s">
        <v>4</v>
      </c>
      <c r="C735" s="8">
        <v>2798000</v>
      </c>
      <c r="D735" s="8">
        <v>2765000</v>
      </c>
      <c r="E735">
        <v>55300</v>
      </c>
      <c r="F735" s="8">
        <v>129098494</v>
      </c>
      <c r="G735" s="1">
        <v>356957335910000</v>
      </c>
      <c r="H735" s="1">
        <v>264148429790000</v>
      </c>
      <c r="I735">
        <f t="shared" si="11"/>
        <v>0</v>
      </c>
    </row>
    <row r="736" spans="1:10" x14ac:dyDescent="0.3">
      <c r="A736">
        <v>20171124</v>
      </c>
      <c r="B736" s="2" t="s">
        <v>4</v>
      </c>
      <c r="C736" s="8">
        <v>2765000</v>
      </c>
      <c r="D736" s="8">
        <v>2773000</v>
      </c>
      <c r="E736">
        <v>55460</v>
      </c>
      <c r="F736" s="8">
        <v>129098494</v>
      </c>
      <c r="G736" s="1">
        <v>357990123862000</v>
      </c>
      <c r="H736" s="1">
        <v>264912692878000</v>
      </c>
      <c r="I736">
        <f t="shared" si="11"/>
        <v>0</v>
      </c>
    </row>
    <row r="737" spans="1:9" x14ac:dyDescent="0.3">
      <c r="A737">
        <v>20171127</v>
      </c>
      <c r="B737" s="2" t="s">
        <v>4</v>
      </c>
      <c r="C737" s="8">
        <v>2773000</v>
      </c>
      <c r="D737" s="8">
        <v>2632000</v>
      </c>
      <c r="E737">
        <v>52640</v>
      </c>
      <c r="F737" s="8">
        <v>129098494</v>
      </c>
      <c r="G737" s="1">
        <v>339787236208000</v>
      </c>
      <c r="H737" s="1">
        <v>251442555952000</v>
      </c>
      <c r="I737">
        <f t="shared" si="11"/>
        <v>0</v>
      </c>
    </row>
    <row r="738" spans="1:9" x14ac:dyDescent="0.3">
      <c r="A738">
        <v>20171128</v>
      </c>
      <c r="B738" s="2" t="s">
        <v>4</v>
      </c>
      <c r="C738" s="8">
        <v>2632000</v>
      </c>
      <c r="D738" s="8">
        <v>2664000</v>
      </c>
      <c r="E738">
        <v>53280</v>
      </c>
      <c r="F738" s="8">
        <v>129098494</v>
      </c>
      <c r="G738" s="1">
        <v>343918388016000</v>
      </c>
      <c r="H738" s="1">
        <v>254499608304000</v>
      </c>
      <c r="I738">
        <f t="shared" si="11"/>
        <v>0</v>
      </c>
    </row>
    <row r="739" spans="1:9" x14ac:dyDescent="0.3">
      <c r="A739">
        <v>20171129</v>
      </c>
      <c r="B739" s="2" t="s">
        <v>4</v>
      </c>
      <c r="C739" s="8">
        <v>2664000</v>
      </c>
      <c r="D739" s="8">
        <v>2630000</v>
      </c>
      <c r="E739">
        <v>52600</v>
      </c>
      <c r="F739" s="8">
        <v>129098494</v>
      </c>
      <c r="G739" s="1">
        <v>339529039220000</v>
      </c>
      <c r="H739" s="1">
        <v>251251490180000</v>
      </c>
      <c r="I739">
        <f t="shared" si="11"/>
        <v>0</v>
      </c>
    </row>
    <row r="740" spans="1:9" x14ac:dyDescent="0.3">
      <c r="A740">
        <v>20171130</v>
      </c>
      <c r="B740" s="2" t="s">
        <v>4</v>
      </c>
      <c r="C740" s="8">
        <v>2630000</v>
      </c>
      <c r="D740" s="8">
        <v>2540000</v>
      </c>
      <c r="E740">
        <v>50800</v>
      </c>
      <c r="F740" s="8">
        <v>129098494</v>
      </c>
      <c r="G740" s="1">
        <v>327910174760000</v>
      </c>
      <c r="H740" s="1">
        <v>242653530440000</v>
      </c>
      <c r="I740">
        <f t="shared" si="11"/>
        <v>0</v>
      </c>
    </row>
    <row r="741" spans="1:9" x14ac:dyDescent="0.3">
      <c r="A741">
        <v>20171201</v>
      </c>
      <c r="B741" s="2" t="s">
        <v>4</v>
      </c>
      <c r="C741" s="8">
        <v>2540000</v>
      </c>
      <c r="D741" s="8">
        <v>2542000</v>
      </c>
      <c r="E741">
        <v>50840</v>
      </c>
      <c r="F741" s="8">
        <v>129098494</v>
      </c>
      <c r="G741" s="1">
        <v>328168371748000</v>
      </c>
      <c r="H741" s="1">
        <v>242844596212000</v>
      </c>
      <c r="I741">
        <f t="shared" si="11"/>
        <v>0</v>
      </c>
    </row>
    <row r="742" spans="1:9" x14ac:dyDescent="0.3">
      <c r="A742">
        <v>20171204</v>
      </c>
      <c r="B742" s="2" t="s">
        <v>4</v>
      </c>
      <c r="C742" s="8">
        <v>2542000</v>
      </c>
      <c r="D742" s="8">
        <v>2567000</v>
      </c>
      <c r="E742">
        <v>51340</v>
      </c>
      <c r="F742" s="8">
        <v>129098494</v>
      </c>
      <c r="G742" s="1">
        <v>331395834098000</v>
      </c>
      <c r="H742" s="1">
        <v>245232918362000</v>
      </c>
      <c r="I742">
        <f t="shared" si="11"/>
        <v>0</v>
      </c>
    </row>
    <row r="743" spans="1:9" x14ac:dyDescent="0.3">
      <c r="A743">
        <v>20171205</v>
      </c>
      <c r="B743" s="2" t="s">
        <v>4</v>
      </c>
      <c r="C743" s="8">
        <v>2567000</v>
      </c>
      <c r="D743" s="8">
        <v>2563000</v>
      </c>
      <c r="E743">
        <v>51260</v>
      </c>
      <c r="F743" s="8">
        <v>129098494</v>
      </c>
      <c r="G743" s="1">
        <v>330879440122000</v>
      </c>
      <c r="H743" s="1">
        <v>244850786818000</v>
      </c>
      <c r="I743">
        <f t="shared" si="11"/>
        <v>0</v>
      </c>
    </row>
    <row r="744" spans="1:9" x14ac:dyDescent="0.3">
      <c r="A744">
        <v>20171206</v>
      </c>
      <c r="B744" s="2" t="s">
        <v>4</v>
      </c>
      <c r="C744" s="8">
        <v>2563000</v>
      </c>
      <c r="D744" s="8">
        <v>2501000</v>
      </c>
      <c r="E744">
        <v>50020</v>
      </c>
      <c r="F744" s="8">
        <v>129098494</v>
      </c>
      <c r="G744" s="1">
        <v>322875333494000</v>
      </c>
      <c r="H744" s="1">
        <v>238927747886000</v>
      </c>
      <c r="I744">
        <f t="shared" si="11"/>
        <v>0</v>
      </c>
    </row>
    <row r="745" spans="1:9" x14ac:dyDescent="0.3">
      <c r="A745">
        <v>20171207</v>
      </c>
      <c r="B745" s="2" t="s">
        <v>4</v>
      </c>
      <c r="C745" s="8">
        <v>2501000</v>
      </c>
      <c r="D745" s="8">
        <v>2537000</v>
      </c>
      <c r="E745">
        <v>50740</v>
      </c>
      <c r="F745" s="8">
        <v>129098494</v>
      </c>
      <c r="G745" s="1">
        <v>327522879278000</v>
      </c>
      <c r="H745" s="1">
        <v>242366931782000</v>
      </c>
      <c r="I745">
        <f t="shared" si="11"/>
        <v>0</v>
      </c>
    </row>
    <row r="746" spans="1:9" x14ac:dyDescent="0.3">
      <c r="A746">
        <v>20171208</v>
      </c>
      <c r="B746" s="2" t="s">
        <v>4</v>
      </c>
      <c r="C746" s="8">
        <v>2537000</v>
      </c>
      <c r="D746" s="8">
        <v>2600000</v>
      </c>
      <c r="E746">
        <v>52000</v>
      </c>
      <c r="F746" s="8">
        <v>129098494</v>
      </c>
      <c r="G746" s="1">
        <v>335656084400000</v>
      </c>
      <c r="H746" s="1">
        <v>248385503600000</v>
      </c>
      <c r="I746">
        <f t="shared" si="11"/>
        <v>0</v>
      </c>
    </row>
    <row r="747" spans="1:9" x14ac:dyDescent="0.3">
      <c r="A747">
        <v>20171211</v>
      </c>
      <c r="B747" s="2" t="s">
        <v>4</v>
      </c>
      <c r="C747" s="8">
        <v>2600000</v>
      </c>
      <c r="D747" s="8">
        <v>2589000</v>
      </c>
      <c r="E747">
        <v>51780</v>
      </c>
      <c r="F747" s="8">
        <v>129098494</v>
      </c>
      <c r="G747" s="1">
        <v>334236000966000</v>
      </c>
      <c r="H747" s="1">
        <v>247334641854000</v>
      </c>
      <c r="I747">
        <f t="shared" si="11"/>
        <v>0</v>
      </c>
    </row>
    <row r="748" spans="1:9" x14ac:dyDescent="0.3">
      <c r="A748">
        <v>20171212</v>
      </c>
      <c r="B748" s="2" t="s">
        <v>4</v>
      </c>
      <c r="C748" s="8">
        <v>2589000</v>
      </c>
      <c r="D748" s="8">
        <v>2605000</v>
      </c>
      <c r="E748">
        <v>52100</v>
      </c>
      <c r="F748" s="8">
        <v>129098494</v>
      </c>
      <c r="G748" s="1">
        <v>336301576870000</v>
      </c>
      <c r="H748" s="1">
        <v>248863168030000</v>
      </c>
      <c r="I748">
        <f t="shared" si="11"/>
        <v>0</v>
      </c>
    </row>
    <row r="749" spans="1:9" x14ac:dyDescent="0.3">
      <c r="A749">
        <v>20171213</v>
      </c>
      <c r="B749" s="2" t="s">
        <v>4</v>
      </c>
      <c r="C749" s="8">
        <v>2605000</v>
      </c>
      <c r="D749" s="8">
        <v>2566000</v>
      </c>
      <c r="E749">
        <v>51320</v>
      </c>
      <c r="F749" s="8">
        <v>129098494</v>
      </c>
      <c r="G749" s="1">
        <v>331266735604000</v>
      </c>
      <c r="H749" s="1">
        <v>245137385476000</v>
      </c>
      <c r="I749">
        <f t="shared" si="11"/>
        <v>0</v>
      </c>
    </row>
    <row r="750" spans="1:9" x14ac:dyDescent="0.3">
      <c r="A750">
        <v>20171214</v>
      </c>
      <c r="B750" s="2" t="s">
        <v>4</v>
      </c>
      <c r="C750" s="8">
        <v>2566000</v>
      </c>
      <c r="D750" s="8">
        <v>2553000</v>
      </c>
      <c r="E750">
        <v>51060</v>
      </c>
      <c r="F750" s="8">
        <v>129098494</v>
      </c>
      <c r="G750" s="1">
        <v>329588455182000</v>
      </c>
      <c r="H750" s="1">
        <v>243895457958000</v>
      </c>
      <c r="I750">
        <f t="shared" si="11"/>
        <v>0</v>
      </c>
    </row>
    <row r="751" spans="1:9" x14ac:dyDescent="0.3">
      <c r="A751">
        <v>20171215</v>
      </c>
      <c r="B751" s="2" t="s">
        <v>4</v>
      </c>
      <c r="C751" s="8">
        <v>2553000</v>
      </c>
      <c r="D751" s="8">
        <v>2531000</v>
      </c>
      <c r="E751">
        <v>50620</v>
      </c>
      <c r="F751" s="8">
        <v>129098494</v>
      </c>
      <c r="G751" s="1">
        <v>326748288314000</v>
      </c>
      <c r="H751" s="1">
        <v>241793734466000</v>
      </c>
      <c r="I751">
        <f t="shared" si="11"/>
        <v>0</v>
      </c>
    </row>
    <row r="752" spans="1:9" x14ac:dyDescent="0.3">
      <c r="A752">
        <v>20171218</v>
      </c>
      <c r="B752" s="2" t="s">
        <v>4</v>
      </c>
      <c r="C752" s="8">
        <v>2531000</v>
      </c>
      <c r="D752" s="8">
        <v>2560000</v>
      </c>
      <c r="E752">
        <v>51200</v>
      </c>
      <c r="F752" s="8">
        <v>129098494</v>
      </c>
      <c r="G752" s="1">
        <v>330492144640000</v>
      </c>
      <c r="H752" s="1">
        <v>244564188160000</v>
      </c>
      <c r="I752">
        <f t="shared" si="11"/>
        <v>0</v>
      </c>
    </row>
    <row r="753" spans="1:9" x14ac:dyDescent="0.3">
      <c r="A753">
        <v>20171219</v>
      </c>
      <c r="B753" s="2" t="s">
        <v>4</v>
      </c>
      <c r="C753" s="8">
        <v>2560000</v>
      </c>
      <c r="D753" s="8">
        <v>2578000</v>
      </c>
      <c r="E753">
        <v>51560</v>
      </c>
      <c r="F753" s="8">
        <v>129098494</v>
      </c>
      <c r="G753" s="1">
        <v>332815917532000</v>
      </c>
      <c r="H753" s="1">
        <v>246283780108000</v>
      </c>
      <c r="I753">
        <f t="shared" si="11"/>
        <v>0</v>
      </c>
    </row>
    <row r="754" spans="1:9" x14ac:dyDescent="0.3">
      <c r="A754">
        <v>20171220</v>
      </c>
      <c r="B754" s="2" t="s">
        <v>4</v>
      </c>
      <c r="C754" s="8">
        <v>2578000</v>
      </c>
      <c r="D754" s="8">
        <v>2544000</v>
      </c>
      <c r="E754">
        <v>50880</v>
      </c>
      <c r="F754" s="8">
        <v>129098494</v>
      </c>
      <c r="G754" s="1">
        <v>328426568736000</v>
      </c>
      <c r="H754" s="1">
        <v>243035661984000</v>
      </c>
      <c r="I754">
        <f t="shared" si="11"/>
        <v>0</v>
      </c>
    </row>
    <row r="755" spans="1:9" x14ac:dyDescent="0.3">
      <c r="A755">
        <v>20171221</v>
      </c>
      <c r="B755" s="2" t="s">
        <v>4</v>
      </c>
      <c r="C755" s="8">
        <v>2544000</v>
      </c>
      <c r="D755" s="8">
        <v>2457000</v>
      </c>
      <c r="E755">
        <v>49140</v>
      </c>
      <c r="F755" s="8">
        <v>129098494</v>
      </c>
      <c r="G755" s="1">
        <v>317194999758000</v>
      </c>
      <c r="H755" s="1">
        <v>234724300902000</v>
      </c>
      <c r="I755">
        <f t="shared" si="11"/>
        <v>0</v>
      </c>
    </row>
    <row r="756" spans="1:9" x14ac:dyDescent="0.3">
      <c r="A756">
        <v>20171222</v>
      </c>
      <c r="B756" s="2" t="s">
        <v>4</v>
      </c>
      <c r="C756" s="8">
        <v>2457000</v>
      </c>
      <c r="D756" s="8">
        <v>2485000</v>
      </c>
      <c r="E756">
        <v>49700</v>
      </c>
      <c r="F756" s="8">
        <v>129098494</v>
      </c>
      <c r="G756" s="1">
        <v>320809757590000</v>
      </c>
      <c r="H756" s="1">
        <v>237399221710000</v>
      </c>
      <c r="I756">
        <f t="shared" si="11"/>
        <v>0</v>
      </c>
    </row>
    <row r="757" spans="1:9" x14ac:dyDescent="0.3">
      <c r="A757">
        <v>20171226</v>
      </c>
      <c r="B757" s="2" t="s">
        <v>4</v>
      </c>
      <c r="C757" s="8">
        <v>2485000</v>
      </c>
      <c r="D757" s="8">
        <v>2410000</v>
      </c>
      <c r="E757">
        <v>48200</v>
      </c>
      <c r="F757" s="8">
        <v>129098494</v>
      </c>
      <c r="G757" s="1">
        <v>311127370540000</v>
      </c>
      <c r="H757" s="1">
        <v>230234255260000</v>
      </c>
      <c r="I757">
        <f t="shared" si="11"/>
        <v>0</v>
      </c>
    </row>
    <row r="758" spans="1:9" x14ac:dyDescent="0.3">
      <c r="A758">
        <v>20171227</v>
      </c>
      <c r="B758" s="2" t="s">
        <v>4</v>
      </c>
      <c r="C758" s="8">
        <v>2410000</v>
      </c>
      <c r="D758" s="8">
        <v>2468000</v>
      </c>
      <c r="E758">
        <v>49360</v>
      </c>
      <c r="F758" s="8">
        <v>129098494</v>
      </c>
      <c r="G758" s="1">
        <v>318615083192000</v>
      </c>
      <c r="H758" s="1">
        <v>235775162648000</v>
      </c>
      <c r="I758">
        <f t="shared" si="11"/>
        <v>0</v>
      </c>
    </row>
    <row r="759" spans="1:9" x14ac:dyDescent="0.3">
      <c r="A759">
        <v>20171228</v>
      </c>
      <c r="B759" s="2" t="s">
        <v>4</v>
      </c>
      <c r="C759" s="8">
        <v>2468000</v>
      </c>
      <c r="D759" s="8">
        <v>2548000</v>
      </c>
      <c r="E759">
        <v>50960</v>
      </c>
      <c r="F759" s="8">
        <v>129098494</v>
      </c>
      <c r="G759" s="1">
        <v>328942962712000</v>
      </c>
      <c r="H759" s="1">
        <v>243417793528000</v>
      </c>
      <c r="I759">
        <f t="shared" si="11"/>
        <v>0</v>
      </c>
    </row>
    <row r="760" spans="1:9" x14ac:dyDescent="0.3">
      <c r="A760">
        <v>20180102</v>
      </c>
      <c r="B760" s="2" t="s">
        <v>4</v>
      </c>
      <c r="C760" s="8">
        <v>2548000</v>
      </c>
      <c r="D760" s="8">
        <v>2551000</v>
      </c>
      <c r="E760">
        <v>51020</v>
      </c>
      <c r="F760" s="8">
        <v>129098494</v>
      </c>
      <c r="G760" s="1">
        <v>329330258194000</v>
      </c>
      <c r="H760" s="1">
        <v>243704392186000</v>
      </c>
      <c r="I760">
        <f t="shared" si="11"/>
        <v>0</v>
      </c>
    </row>
    <row r="761" spans="1:9" x14ac:dyDescent="0.3">
      <c r="A761">
        <v>20180103</v>
      </c>
      <c r="B761" s="2" t="s">
        <v>4</v>
      </c>
      <c r="C761" s="8">
        <v>2551000</v>
      </c>
      <c r="D761" s="8">
        <v>2581000</v>
      </c>
      <c r="E761">
        <v>51620</v>
      </c>
      <c r="F761" s="8">
        <v>129098494</v>
      </c>
      <c r="G761" s="1">
        <v>333203213014000</v>
      </c>
      <c r="H761" s="1">
        <v>246570378766000</v>
      </c>
      <c r="I761">
        <f t="shared" si="11"/>
        <v>0</v>
      </c>
    </row>
    <row r="762" spans="1:9" x14ac:dyDescent="0.3">
      <c r="A762">
        <v>20180104</v>
      </c>
      <c r="B762" s="2" t="s">
        <v>4</v>
      </c>
      <c r="C762" s="8">
        <v>2581000</v>
      </c>
      <c r="D762" s="8">
        <v>2554000</v>
      </c>
      <c r="E762">
        <v>51080</v>
      </c>
      <c r="F762" s="8">
        <v>129098494</v>
      </c>
      <c r="G762" s="1">
        <v>329717553676000</v>
      </c>
      <c r="H762" s="1">
        <v>243990990844000</v>
      </c>
      <c r="I762">
        <f t="shared" si="11"/>
        <v>0</v>
      </c>
    </row>
    <row r="763" spans="1:9" x14ac:dyDescent="0.3">
      <c r="A763">
        <v>20180105</v>
      </c>
      <c r="B763" s="2" t="s">
        <v>4</v>
      </c>
      <c r="C763" s="8">
        <v>2554000</v>
      </c>
      <c r="D763" s="8">
        <v>2606000</v>
      </c>
      <c r="E763">
        <v>52120</v>
      </c>
      <c r="F763" s="8">
        <v>129098494</v>
      </c>
      <c r="G763" s="1">
        <v>336430675364000</v>
      </c>
      <c r="H763" s="1">
        <v>248958700916000</v>
      </c>
      <c r="I763">
        <f t="shared" si="11"/>
        <v>0</v>
      </c>
    </row>
    <row r="764" spans="1:9" x14ac:dyDescent="0.3">
      <c r="A764">
        <v>20180108</v>
      </c>
      <c r="B764" s="2" t="s">
        <v>4</v>
      </c>
      <c r="C764" s="8">
        <v>2606000</v>
      </c>
      <c r="D764" s="8">
        <v>2601000</v>
      </c>
      <c r="E764">
        <v>52020</v>
      </c>
      <c r="F764" s="8">
        <v>129098494</v>
      </c>
      <c r="G764" s="1">
        <v>335785182894000</v>
      </c>
      <c r="H764" s="1">
        <v>248481036486000</v>
      </c>
      <c r="I764">
        <f t="shared" si="11"/>
        <v>0</v>
      </c>
    </row>
    <row r="765" spans="1:9" x14ac:dyDescent="0.3">
      <c r="A765">
        <v>20180109</v>
      </c>
      <c r="B765" s="2" t="s">
        <v>4</v>
      </c>
      <c r="C765" s="8">
        <v>2601000</v>
      </c>
      <c r="D765" s="8">
        <v>2520000</v>
      </c>
      <c r="E765">
        <v>50400</v>
      </c>
      <c r="F765" s="8">
        <v>129098494</v>
      </c>
      <c r="G765" s="1">
        <v>325328204880000</v>
      </c>
      <c r="H765" s="1">
        <v>240742872720000</v>
      </c>
      <c r="I765">
        <f t="shared" si="11"/>
        <v>0</v>
      </c>
    </row>
    <row r="766" spans="1:9" x14ac:dyDescent="0.3">
      <c r="A766">
        <v>20180110</v>
      </c>
      <c r="B766" s="2" t="s">
        <v>4</v>
      </c>
      <c r="C766" s="8">
        <v>2520000</v>
      </c>
      <c r="D766" s="8">
        <v>2442000</v>
      </c>
      <c r="E766">
        <v>48840</v>
      </c>
      <c r="F766" s="8">
        <v>129098494</v>
      </c>
      <c r="G766" s="1">
        <v>315258522348000</v>
      </c>
      <c r="H766" s="1">
        <v>233291307612000</v>
      </c>
      <c r="I766">
        <f t="shared" si="11"/>
        <v>0</v>
      </c>
    </row>
    <row r="767" spans="1:9" x14ac:dyDescent="0.3">
      <c r="A767">
        <v>20180111</v>
      </c>
      <c r="B767" s="2" t="s">
        <v>4</v>
      </c>
      <c r="C767" s="8">
        <v>2442000</v>
      </c>
      <c r="D767" s="8">
        <v>2412000</v>
      </c>
      <c r="E767">
        <v>48240</v>
      </c>
      <c r="F767" s="8">
        <v>129098494</v>
      </c>
      <c r="G767" s="1">
        <v>311385567528000</v>
      </c>
      <c r="H767" s="1">
        <v>230425321032000</v>
      </c>
      <c r="I767">
        <f t="shared" si="11"/>
        <v>0</v>
      </c>
    </row>
    <row r="768" spans="1:9" x14ac:dyDescent="0.3">
      <c r="A768">
        <v>20180112</v>
      </c>
      <c r="B768" s="2" t="s">
        <v>4</v>
      </c>
      <c r="C768" s="8">
        <v>2412000</v>
      </c>
      <c r="D768" s="8">
        <v>2410000</v>
      </c>
      <c r="E768">
        <v>48200</v>
      </c>
      <c r="F768" s="8">
        <v>129098494</v>
      </c>
      <c r="G768" s="1">
        <v>311127370540000</v>
      </c>
      <c r="H768" s="1">
        <v>230234255260000</v>
      </c>
      <c r="I768">
        <f t="shared" si="11"/>
        <v>0</v>
      </c>
    </row>
    <row r="769" spans="1:9" x14ac:dyDescent="0.3">
      <c r="A769">
        <v>20180115</v>
      </c>
      <c r="B769" s="2" t="s">
        <v>4</v>
      </c>
      <c r="C769" s="8">
        <v>2410000</v>
      </c>
      <c r="D769" s="8">
        <v>2427000</v>
      </c>
      <c r="E769">
        <v>48540</v>
      </c>
      <c r="F769" s="8">
        <v>129098494</v>
      </c>
      <c r="G769" s="1">
        <v>313322044938000</v>
      </c>
      <c r="H769" s="1">
        <v>231858314322000</v>
      </c>
      <c r="I769">
        <f t="shared" si="11"/>
        <v>0</v>
      </c>
    </row>
    <row r="770" spans="1:9" x14ac:dyDescent="0.3">
      <c r="A770">
        <v>20180116</v>
      </c>
      <c r="B770" s="2" t="s">
        <v>4</v>
      </c>
      <c r="C770" s="8">
        <v>2427000</v>
      </c>
      <c r="D770" s="8">
        <v>2500000</v>
      </c>
      <c r="E770">
        <v>50000</v>
      </c>
      <c r="F770" s="8">
        <v>129098494</v>
      </c>
      <c r="G770" s="1">
        <v>322746235000000</v>
      </c>
      <c r="H770" s="1">
        <v>238832215000000</v>
      </c>
      <c r="I770">
        <f t="shared" si="11"/>
        <v>0</v>
      </c>
    </row>
    <row r="771" spans="1:9" x14ac:dyDescent="0.3">
      <c r="A771">
        <v>20180117</v>
      </c>
      <c r="B771" s="2" t="s">
        <v>4</v>
      </c>
      <c r="C771" s="8">
        <v>2500000</v>
      </c>
      <c r="D771" s="8">
        <v>2481000</v>
      </c>
      <c r="E771">
        <v>49620</v>
      </c>
      <c r="F771" s="8">
        <v>129098494</v>
      </c>
      <c r="G771" s="1">
        <v>320293363614000</v>
      </c>
      <c r="H771" s="1">
        <v>237017090166000</v>
      </c>
      <c r="I771">
        <f t="shared" si="11"/>
        <v>0</v>
      </c>
    </row>
    <row r="772" spans="1:9" x14ac:dyDescent="0.3">
      <c r="A772">
        <v>20180118</v>
      </c>
      <c r="B772" s="2" t="s">
        <v>4</v>
      </c>
      <c r="C772" s="8">
        <v>2481000</v>
      </c>
      <c r="D772" s="8">
        <v>2495000</v>
      </c>
      <c r="E772">
        <v>49900</v>
      </c>
      <c r="F772" s="8">
        <v>129098494</v>
      </c>
      <c r="G772" s="1">
        <v>322100742530000</v>
      </c>
      <c r="H772" s="1">
        <v>238354550570000</v>
      </c>
      <c r="I772">
        <f t="shared" ref="I772:I835" si="12">IF(C772*F772=D771*F771,0,1)</f>
        <v>0</v>
      </c>
    </row>
    <row r="773" spans="1:9" x14ac:dyDescent="0.3">
      <c r="A773">
        <v>20180119</v>
      </c>
      <c r="B773" s="2" t="s">
        <v>4</v>
      </c>
      <c r="C773" s="8">
        <v>2495000</v>
      </c>
      <c r="D773" s="8">
        <v>2466000</v>
      </c>
      <c r="E773">
        <v>49320</v>
      </c>
      <c r="F773" s="8">
        <v>129098494</v>
      </c>
      <c r="G773" s="1">
        <v>318356886204000</v>
      </c>
      <c r="H773" s="1">
        <v>235584096876000</v>
      </c>
      <c r="I773">
        <f t="shared" si="12"/>
        <v>0</v>
      </c>
    </row>
    <row r="774" spans="1:9" x14ac:dyDescent="0.3">
      <c r="A774">
        <v>20180122</v>
      </c>
      <c r="B774" s="2" t="s">
        <v>4</v>
      </c>
      <c r="C774" s="8">
        <v>2466000</v>
      </c>
      <c r="D774" s="8">
        <v>2412000</v>
      </c>
      <c r="E774">
        <v>48240</v>
      </c>
      <c r="F774" s="8">
        <v>129098494</v>
      </c>
      <c r="G774" s="1">
        <v>311385567528000</v>
      </c>
      <c r="H774" s="1">
        <v>230425321032000</v>
      </c>
      <c r="I774">
        <f t="shared" si="12"/>
        <v>0</v>
      </c>
    </row>
    <row r="775" spans="1:9" x14ac:dyDescent="0.3">
      <c r="A775">
        <v>20180123</v>
      </c>
      <c r="B775" s="2" t="s">
        <v>4</v>
      </c>
      <c r="C775" s="8">
        <v>2412000</v>
      </c>
      <c r="D775" s="8">
        <v>2458000</v>
      </c>
      <c r="E775">
        <v>49160</v>
      </c>
      <c r="F775" s="8">
        <v>129098494</v>
      </c>
      <c r="G775" s="1">
        <v>317324098252000</v>
      </c>
      <c r="H775" s="1">
        <v>234819833788000</v>
      </c>
      <c r="I775">
        <f t="shared" si="12"/>
        <v>0</v>
      </c>
    </row>
    <row r="776" spans="1:9" x14ac:dyDescent="0.3">
      <c r="A776">
        <v>20180124</v>
      </c>
      <c r="B776" s="2" t="s">
        <v>4</v>
      </c>
      <c r="C776" s="8">
        <v>2458000</v>
      </c>
      <c r="D776" s="8">
        <v>2467000</v>
      </c>
      <c r="E776">
        <v>49340</v>
      </c>
      <c r="F776" s="8">
        <v>129098494</v>
      </c>
      <c r="G776" s="1">
        <v>318485984698000</v>
      </c>
      <c r="H776" s="1">
        <v>235679629762000</v>
      </c>
      <c r="I776">
        <f t="shared" si="12"/>
        <v>0</v>
      </c>
    </row>
    <row r="777" spans="1:9" x14ac:dyDescent="0.3">
      <c r="A777">
        <v>20180125</v>
      </c>
      <c r="B777" s="2" t="s">
        <v>4</v>
      </c>
      <c r="C777" s="8">
        <v>2467000</v>
      </c>
      <c r="D777" s="8">
        <v>2513000</v>
      </c>
      <c r="E777">
        <v>50260</v>
      </c>
      <c r="F777" s="8">
        <v>129098494</v>
      </c>
      <c r="G777" s="1">
        <v>324424515422000</v>
      </c>
      <c r="H777" s="1">
        <v>240074142518000</v>
      </c>
      <c r="I777">
        <f t="shared" si="12"/>
        <v>0</v>
      </c>
    </row>
    <row r="778" spans="1:9" x14ac:dyDescent="0.3">
      <c r="A778">
        <v>20180126</v>
      </c>
      <c r="B778" s="2" t="s">
        <v>4</v>
      </c>
      <c r="C778" s="8">
        <v>2513000</v>
      </c>
      <c r="D778" s="8">
        <v>2539000</v>
      </c>
      <c r="E778">
        <v>50780</v>
      </c>
      <c r="F778" s="8">
        <v>129098494</v>
      </c>
      <c r="G778" s="1">
        <v>327781076266000</v>
      </c>
      <c r="H778" s="1">
        <v>242557997554000</v>
      </c>
      <c r="I778">
        <f t="shared" si="12"/>
        <v>0</v>
      </c>
    </row>
    <row r="779" spans="1:9" x14ac:dyDescent="0.3">
      <c r="A779">
        <v>20180129</v>
      </c>
      <c r="B779" s="2" t="s">
        <v>4</v>
      </c>
      <c r="C779" s="8">
        <v>2539000</v>
      </c>
      <c r="D779" s="8">
        <v>2561000</v>
      </c>
      <c r="E779">
        <v>51220</v>
      </c>
      <c r="F779" s="8">
        <v>129098494</v>
      </c>
      <c r="G779" s="1">
        <v>330621243134000</v>
      </c>
      <c r="H779" s="1">
        <v>244659721046000</v>
      </c>
      <c r="I779">
        <f t="shared" si="12"/>
        <v>0</v>
      </c>
    </row>
    <row r="780" spans="1:9" x14ac:dyDescent="0.3">
      <c r="A780">
        <v>20180130</v>
      </c>
      <c r="B780" s="2" t="s">
        <v>4</v>
      </c>
      <c r="C780" s="8">
        <v>2561000</v>
      </c>
      <c r="D780" s="8">
        <v>2490000</v>
      </c>
      <c r="E780">
        <v>49800</v>
      </c>
      <c r="F780" s="8">
        <v>129098494</v>
      </c>
      <c r="G780" s="1">
        <v>321455250060000</v>
      </c>
      <c r="H780" s="1">
        <v>237876886140000</v>
      </c>
      <c r="I780">
        <f t="shared" si="12"/>
        <v>0</v>
      </c>
    </row>
    <row r="781" spans="1:9" x14ac:dyDescent="0.3">
      <c r="A781">
        <v>20180131</v>
      </c>
      <c r="B781" s="2" t="s">
        <v>4</v>
      </c>
      <c r="C781" s="8">
        <v>2490000</v>
      </c>
      <c r="D781" s="8">
        <v>2495000</v>
      </c>
      <c r="E781">
        <v>49900</v>
      </c>
      <c r="F781" s="8">
        <v>129098494</v>
      </c>
      <c r="G781" s="1">
        <v>322100742530000</v>
      </c>
      <c r="H781" s="1">
        <v>238354550570000</v>
      </c>
      <c r="I781">
        <f t="shared" si="12"/>
        <v>0</v>
      </c>
    </row>
    <row r="782" spans="1:9" x14ac:dyDescent="0.3">
      <c r="A782">
        <v>20180201</v>
      </c>
      <c r="B782" s="2" t="s">
        <v>4</v>
      </c>
      <c r="C782" s="8">
        <v>2495000</v>
      </c>
      <c r="D782" s="8">
        <v>2491000</v>
      </c>
      <c r="E782">
        <v>49820</v>
      </c>
      <c r="F782" s="8">
        <v>129098494</v>
      </c>
      <c r="G782" s="1">
        <v>321584348554000</v>
      </c>
      <c r="H782" s="1">
        <v>237972419026000</v>
      </c>
      <c r="I782">
        <f t="shared" si="12"/>
        <v>0</v>
      </c>
    </row>
    <row r="783" spans="1:9" x14ac:dyDescent="0.3">
      <c r="A783">
        <v>20180202</v>
      </c>
      <c r="B783" s="2" t="s">
        <v>4</v>
      </c>
      <c r="C783" s="8">
        <v>2491000</v>
      </c>
      <c r="D783" s="8">
        <v>2385000</v>
      </c>
      <c r="E783">
        <v>47700</v>
      </c>
      <c r="F783" s="8">
        <v>129098494</v>
      </c>
      <c r="G783" s="1">
        <v>307899908190000</v>
      </c>
      <c r="H783" s="1">
        <v>227845933110000</v>
      </c>
      <c r="I783">
        <f t="shared" si="12"/>
        <v>0</v>
      </c>
    </row>
    <row r="784" spans="1:9" x14ac:dyDescent="0.3">
      <c r="A784">
        <v>20180205</v>
      </c>
      <c r="B784" s="2" t="s">
        <v>4</v>
      </c>
      <c r="C784" s="8">
        <v>2385000</v>
      </c>
      <c r="D784" s="8">
        <v>2396000</v>
      </c>
      <c r="E784">
        <v>47920</v>
      </c>
      <c r="F784" s="8">
        <v>129098494</v>
      </c>
      <c r="G784" s="1">
        <v>309319991624000</v>
      </c>
      <c r="H784" s="1">
        <v>228896794856000</v>
      </c>
      <c r="I784">
        <f t="shared" si="12"/>
        <v>0</v>
      </c>
    </row>
    <row r="785" spans="1:10" x14ac:dyDescent="0.3">
      <c r="A785">
        <v>20180206</v>
      </c>
      <c r="B785" s="2" t="s">
        <v>4</v>
      </c>
      <c r="C785" s="8">
        <v>2396000</v>
      </c>
      <c r="D785" s="8">
        <v>2371000</v>
      </c>
      <c r="E785">
        <v>47420</v>
      </c>
      <c r="F785" s="8">
        <v>129098494</v>
      </c>
      <c r="G785" s="1">
        <v>306092529274000</v>
      </c>
      <c r="H785" s="1">
        <v>226508472706000</v>
      </c>
      <c r="I785">
        <f t="shared" si="12"/>
        <v>0</v>
      </c>
    </row>
    <row r="786" spans="1:10" x14ac:dyDescent="0.3">
      <c r="A786">
        <v>20180207</v>
      </c>
      <c r="B786" s="2" t="s">
        <v>4</v>
      </c>
      <c r="C786" s="8">
        <v>2371000</v>
      </c>
      <c r="D786" s="8">
        <v>2290000</v>
      </c>
      <c r="E786">
        <v>45800</v>
      </c>
      <c r="F786" s="8">
        <v>129098494</v>
      </c>
      <c r="G786" s="1">
        <v>295635551260000</v>
      </c>
      <c r="H786" s="1">
        <v>218770308940000</v>
      </c>
      <c r="I786">
        <f t="shared" si="12"/>
        <v>0</v>
      </c>
    </row>
    <row r="787" spans="1:10" x14ac:dyDescent="0.3">
      <c r="A787" s="5">
        <v>20180208</v>
      </c>
      <c r="B787" s="6" t="s">
        <v>4</v>
      </c>
      <c r="C787" s="8">
        <v>2290000</v>
      </c>
      <c r="D787" s="8">
        <v>2300000</v>
      </c>
      <c r="E787" s="5">
        <v>46000</v>
      </c>
      <c r="F787" s="8">
        <v>128386494</v>
      </c>
      <c r="G787" s="7">
        <v>295288936200000</v>
      </c>
      <c r="H787" s="7">
        <v>218513813800000</v>
      </c>
      <c r="I787" s="5">
        <f t="shared" si="12"/>
        <v>1</v>
      </c>
      <c r="J787" t="s">
        <v>30</v>
      </c>
    </row>
    <row r="788" spans="1:10" x14ac:dyDescent="0.3">
      <c r="A788">
        <v>20180209</v>
      </c>
      <c r="B788" s="2" t="s">
        <v>4</v>
      </c>
      <c r="C788" s="8">
        <v>2300000</v>
      </c>
      <c r="D788" s="8">
        <v>2235000</v>
      </c>
      <c r="E788">
        <v>44700</v>
      </c>
      <c r="F788" s="8">
        <v>128386494</v>
      </c>
      <c r="G788" s="1">
        <v>286943814090000</v>
      </c>
      <c r="H788" s="1">
        <v>212338423410000</v>
      </c>
      <c r="I788">
        <f t="shared" si="12"/>
        <v>0</v>
      </c>
    </row>
    <row r="789" spans="1:10" x14ac:dyDescent="0.3">
      <c r="A789">
        <v>20180212</v>
      </c>
      <c r="B789" s="2" t="s">
        <v>4</v>
      </c>
      <c r="C789" s="8">
        <v>2235000</v>
      </c>
      <c r="D789" s="8">
        <v>2286000</v>
      </c>
      <c r="E789">
        <v>45720</v>
      </c>
      <c r="F789" s="8">
        <v>128386494</v>
      </c>
      <c r="G789" s="1">
        <v>293491525284000</v>
      </c>
      <c r="H789" s="1">
        <v>217183729716000</v>
      </c>
      <c r="I789">
        <f t="shared" si="12"/>
        <v>0</v>
      </c>
    </row>
    <row r="790" spans="1:10" x14ac:dyDescent="0.3">
      <c r="A790">
        <v>20180213</v>
      </c>
      <c r="B790" s="2" t="s">
        <v>4</v>
      </c>
      <c r="C790" s="8">
        <v>2286000</v>
      </c>
      <c r="D790" s="8">
        <v>2377000</v>
      </c>
      <c r="E790">
        <v>47540</v>
      </c>
      <c r="F790" s="8">
        <v>128386494</v>
      </c>
      <c r="G790" s="1">
        <v>305174696238000</v>
      </c>
      <c r="H790" s="1">
        <v>225829276262000</v>
      </c>
      <c r="I790">
        <f t="shared" si="12"/>
        <v>0</v>
      </c>
    </row>
    <row r="791" spans="1:10" x14ac:dyDescent="0.3">
      <c r="A791">
        <v>20180214</v>
      </c>
      <c r="B791" s="2" t="s">
        <v>4</v>
      </c>
      <c r="C791" s="8">
        <v>2377000</v>
      </c>
      <c r="D791" s="8">
        <v>2450000</v>
      </c>
      <c r="E791">
        <v>49000</v>
      </c>
      <c r="F791" s="8">
        <v>128386494</v>
      </c>
      <c r="G791" s="1">
        <v>314546910300000</v>
      </c>
      <c r="H791" s="1">
        <v>232764714700000</v>
      </c>
      <c r="I791">
        <f t="shared" si="12"/>
        <v>0</v>
      </c>
    </row>
    <row r="792" spans="1:10" x14ac:dyDescent="0.3">
      <c r="A792">
        <v>20180219</v>
      </c>
      <c r="B792" s="2" t="s">
        <v>4</v>
      </c>
      <c r="C792" s="8">
        <v>2450000</v>
      </c>
      <c r="D792" s="8">
        <v>2419000</v>
      </c>
      <c r="E792">
        <v>48380</v>
      </c>
      <c r="F792" s="8">
        <v>128386494</v>
      </c>
      <c r="G792" s="1">
        <v>310566928986000</v>
      </c>
      <c r="H792" s="1">
        <v>229819528514000</v>
      </c>
      <c r="I792">
        <f t="shared" si="12"/>
        <v>0</v>
      </c>
    </row>
    <row r="793" spans="1:10" x14ac:dyDescent="0.3">
      <c r="A793">
        <v>20180220</v>
      </c>
      <c r="B793" s="2" t="s">
        <v>4</v>
      </c>
      <c r="C793" s="8">
        <v>2419000</v>
      </c>
      <c r="D793" s="8">
        <v>2370000</v>
      </c>
      <c r="E793">
        <v>47400</v>
      </c>
      <c r="F793" s="8">
        <v>128386494</v>
      </c>
      <c r="G793" s="1">
        <v>304275990780000</v>
      </c>
      <c r="H793" s="1">
        <v>225164234220000</v>
      </c>
      <c r="I793">
        <f t="shared" si="12"/>
        <v>0</v>
      </c>
    </row>
    <row r="794" spans="1:10" x14ac:dyDescent="0.3">
      <c r="A794">
        <v>20180221</v>
      </c>
      <c r="B794" s="2" t="s">
        <v>4</v>
      </c>
      <c r="C794" s="8">
        <v>2370000</v>
      </c>
      <c r="D794" s="8">
        <v>2364000</v>
      </c>
      <c r="E794">
        <v>47280</v>
      </c>
      <c r="F794" s="8">
        <v>128386494</v>
      </c>
      <c r="G794" s="1">
        <v>303505671816000</v>
      </c>
      <c r="H794" s="1">
        <v>224594198184000</v>
      </c>
      <c r="I794">
        <f t="shared" si="12"/>
        <v>0</v>
      </c>
    </row>
    <row r="795" spans="1:10" x14ac:dyDescent="0.3">
      <c r="A795">
        <v>20180222</v>
      </c>
      <c r="B795" s="2" t="s">
        <v>4</v>
      </c>
      <c r="C795" s="8">
        <v>2364000</v>
      </c>
      <c r="D795" s="8">
        <v>2338000</v>
      </c>
      <c r="E795">
        <v>46760</v>
      </c>
      <c r="F795" s="8">
        <v>128386494</v>
      </c>
      <c r="G795" s="1">
        <v>300167622972000</v>
      </c>
      <c r="H795" s="1">
        <v>222124042028000</v>
      </c>
      <c r="I795">
        <f t="shared" si="12"/>
        <v>0</v>
      </c>
    </row>
    <row r="796" spans="1:10" x14ac:dyDescent="0.3">
      <c r="A796">
        <v>20180223</v>
      </c>
      <c r="B796" s="2" t="s">
        <v>4</v>
      </c>
      <c r="C796" s="8">
        <v>2338000</v>
      </c>
      <c r="D796" s="8">
        <v>2361000</v>
      </c>
      <c r="E796">
        <v>47220</v>
      </c>
      <c r="F796" s="8">
        <v>128386494</v>
      </c>
      <c r="G796" s="1">
        <v>303120512334000</v>
      </c>
      <c r="H796" s="1">
        <v>224309180166000</v>
      </c>
      <c r="I796">
        <f t="shared" si="12"/>
        <v>0</v>
      </c>
    </row>
    <row r="797" spans="1:10" x14ac:dyDescent="0.3">
      <c r="A797">
        <v>20180226</v>
      </c>
      <c r="B797" s="2" t="s">
        <v>4</v>
      </c>
      <c r="C797" s="8">
        <v>2361000</v>
      </c>
      <c r="D797" s="8">
        <v>2369000</v>
      </c>
      <c r="E797">
        <v>47380</v>
      </c>
      <c r="F797" s="8">
        <v>128386494</v>
      </c>
      <c r="G797" s="1">
        <v>304147604286000</v>
      </c>
      <c r="H797" s="1">
        <v>225069228214000</v>
      </c>
      <c r="I797">
        <f t="shared" si="12"/>
        <v>0</v>
      </c>
    </row>
    <row r="798" spans="1:10" x14ac:dyDescent="0.3">
      <c r="A798">
        <v>20180227</v>
      </c>
      <c r="B798" s="2" t="s">
        <v>4</v>
      </c>
      <c r="C798" s="8">
        <v>2369000</v>
      </c>
      <c r="D798" s="8">
        <v>2369000</v>
      </c>
      <c r="E798">
        <v>47380</v>
      </c>
      <c r="F798" s="8">
        <v>128386494</v>
      </c>
      <c r="G798" s="1">
        <v>304147604286000</v>
      </c>
      <c r="H798" s="1">
        <v>225069228214000</v>
      </c>
      <c r="I798">
        <f t="shared" si="12"/>
        <v>0</v>
      </c>
    </row>
    <row r="799" spans="1:10" x14ac:dyDescent="0.3">
      <c r="A799">
        <v>20180228</v>
      </c>
      <c r="B799" s="2" t="s">
        <v>4</v>
      </c>
      <c r="C799" s="8">
        <v>2369000</v>
      </c>
      <c r="D799" s="8">
        <v>2353000</v>
      </c>
      <c r="E799">
        <v>47060</v>
      </c>
      <c r="F799" s="8">
        <v>128386494</v>
      </c>
      <c r="G799" s="1">
        <v>302093420382000</v>
      </c>
      <c r="H799" s="1">
        <v>223549132118000</v>
      </c>
      <c r="I799">
        <f t="shared" si="12"/>
        <v>0</v>
      </c>
    </row>
    <row r="800" spans="1:10" x14ac:dyDescent="0.3">
      <c r="A800">
        <v>20180302</v>
      </c>
      <c r="B800" s="2" t="s">
        <v>4</v>
      </c>
      <c r="C800" s="8">
        <v>2353000</v>
      </c>
      <c r="D800" s="8">
        <v>2301000</v>
      </c>
      <c r="E800">
        <v>46020</v>
      </c>
      <c r="F800" s="8">
        <v>128386494</v>
      </c>
      <c r="G800" s="1">
        <v>295417322694000</v>
      </c>
      <c r="H800" s="1">
        <v>218608819806000</v>
      </c>
      <c r="I800">
        <f t="shared" si="12"/>
        <v>0</v>
      </c>
    </row>
    <row r="801" spans="1:9" x14ac:dyDescent="0.3">
      <c r="A801">
        <v>20180305</v>
      </c>
      <c r="B801" s="2" t="s">
        <v>4</v>
      </c>
      <c r="C801" s="8">
        <v>2301000</v>
      </c>
      <c r="D801" s="8">
        <v>2260000</v>
      </c>
      <c r="E801">
        <v>45200</v>
      </c>
      <c r="F801" s="8">
        <v>128386494</v>
      </c>
      <c r="G801" s="1">
        <v>290153476440000</v>
      </c>
      <c r="H801" s="1">
        <v>214713573560000</v>
      </c>
      <c r="I801">
        <f t="shared" si="12"/>
        <v>0</v>
      </c>
    </row>
    <row r="802" spans="1:9" x14ac:dyDescent="0.3">
      <c r="A802">
        <v>20180306</v>
      </c>
      <c r="B802" s="2" t="s">
        <v>4</v>
      </c>
      <c r="C802" s="8">
        <v>2260000</v>
      </c>
      <c r="D802" s="8">
        <v>2351000</v>
      </c>
      <c r="E802">
        <v>47020</v>
      </c>
      <c r="F802" s="8">
        <v>128386494</v>
      </c>
      <c r="G802" s="1">
        <v>301836647394000</v>
      </c>
      <c r="H802" s="1">
        <v>223359120106000</v>
      </c>
      <c r="I802">
        <f t="shared" si="12"/>
        <v>0</v>
      </c>
    </row>
    <row r="803" spans="1:9" x14ac:dyDescent="0.3">
      <c r="A803">
        <v>20180307</v>
      </c>
      <c r="B803" s="2" t="s">
        <v>4</v>
      </c>
      <c r="C803" s="8">
        <v>2351000</v>
      </c>
      <c r="D803" s="8">
        <v>2431000</v>
      </c>
      <c r="E803">
        <v>48620</v>
      </c>
      <c r="F803" s="8">
        <v>128386494</v>
      </c>
      <c r="G803" s="1">
        <v>312107566914000</v>
      </c>
      <c r="H803" s="1">
        <v>230959600586000</v>
      </c>
      <c r="I803">
        <f t="shared" si="12"/>
        <v>0</v>
      </c>
    </row>
    <row r="804" spans="1:9" x14ac:dyDescent="0.3">
      <c r="A804">
        <v>20180308</v>
      </c>
      <c r="B804" s="2" t="s">
        <v>4</v>
      </c>
      <c r="C804" s="8">
        <v>2431000</v>
      </c>
      <c r="D804" s="8">
        <v>2460000</v>
      </c>
      <c r="E804">
        <v>49200</v>
      </c>
      <c r="F804" s="8">
        <v>128386494</v>
      </c>
      <c r="G804" s="1">
        <v>315830775240000</v>
      </c>
      <c r="H804" s="1">
        <v>233714774760000</v>
      </c>
      <c r="I804">
        <f t="shared" si="12"/>
        <v>0</v>
      </c>
    </row>
    <row r="805" spans="1:9" x14ac:dyDescent="0.3">
      <c r="A805">
        <v>20180309</v>
      </c>
      <c r="B805" s="2" t="s">
        <v>4</v>
      </c>
      <c r="C805" s="8">
        <v>2460000</v>
      </c>
      <c r="D805" s="8">
        <v>2487000</v>
      </c>
      <c r="E805">
        <v>49740</v>
      </c>
      <c r="F805" s="8">
        <v>128386494</v>
      </c>
      <c r="G805" s="1">
        <v>319297210578000</v>
      </c>
      <c r="H805" s="1">
        <v>236279936922000</v>
      </c>
      <c r="I805">
        <f t="shared" si="12"/>
        <v>0</v>
      </c>
    </row>
    <row r="806" spans="1:9" x14ac:dyDescent="0.3">
      <c r="A806">
        <v>20180312</v>
      </c>
      <c r="B806" s="2" t="s">
        <v>4</v>
      </c>
      <c r="C806" s="8">
        <v>2487000</v>
      </c>
      <c r="D806" s="8">
        <v>2487000</v>
      </c>
      <c r="E806">
        <v>49740</v>
      </c>
      <c r="F806" s="8">
        <v>128386494</v>
      </c>
      <c r="G806" s="1">
        <v>319297210578000</v>
      </c>
      <c r="H806" s="1">
        <v>236279936922000</v>
      </c>
      <c r="I806">
        <f t="shared" si="12"/>
        <v>0</v>
      </c>
    </row>
    <row r="807" spans="1:9" x14ac:dyDescent="0.3">
      <c r="A807">
        <v>20180313</v>
      </c>
      <c r="B807" s="2" t="s">
        <v>4</v>
      </c>
      <c r="C807" s="8">
        <v>2487000</v>
      </c>
      <c r="D807" s="8">
        <v>2583000</v>
      </c>
      <c r="E807">
        <v>51660</v>
      </c>
      <c r="F807" s="8">
        <v>128386494</v>
      </c>
      <c r="G807" s="1">
        <v>331622314002000</v>
      </c>
      <c r="H807" s="1">
        <v>245400513498000</v>
      </c>
      <c r="I807">
        <f t="shared" si="12"/>
        <v>0</v>
      </c>
    </row>
    <row r="808" spans="1:9" x14ac:dyDescent="0.3">
      <c r="A808">
        <v>20180314</v>
      </c>
      <c r="B808" s="2" t="s">
        <v>4</v>
      </c>
      <c r="C808" s="8">
        <v>2583000</v>
      </c>
      <c r="D808" s="8">
        <v>2588000</v>
      </c>
      <c r="E808">
        <v>51760</v>
      </c>
      <c r="F808" s="8">
        <v>128386494</v>
      </c>
      <c r="G808" s="1">
        <v>332264246472000</v>
      </c>
      <c r="H808" s="1">
        <v>245875543528000</v>
      </c>
      <c r="I808">
        <f t="shared" si="12"/>
        <v>0</v>
      </c>
    </row>
    <row r="809" spans="1:9" x14ac:dyDescent="0.3">
      <c r="A809">
        <v>20180315</v>
      </c>
      <c r="B809" s="2" t="s">
        <v>4</v>
      </c>
      <c r="C809" s="8">
        <v>2588000</v>
      </c>
      <c r="D809" s="8">
        <v>2577000</v>
      </c>
      <c r="E809">
        <v>51540</v>
      </c>
      <c r="F809" s="8">
        <v>128386494</v>
      </c>
      <c r="G809" s="1">
        <v>330851995038000</v>
      </c>
      <c r="H809" s="1">
        <v>244830477462000</v>
      </c>
      <c r="I809">
        <f t="shared" si="12"/>
        <v>0</v>
      </c>
    </row>
    <row r="810" spans="1:9" x14ac:dyDescent="0.3">
      <c r="A810">
        <v>20180316</v>
      </c>
      <c r="B810" s="2" t="s">
        <v>4</v>
      </c>
      <c r="C810" s="8">
        <v>2577000</v>
      </c>
      <c r="D810" s="8">
        <v>2557000</v>
      </c>
      <c r="E810">
        <v>51140</v>
      </c>
      <c r="F810" s="8">
        <v>128386494</v>
      </c>
      <c r="G810" s="1">
        <v>328284265158000</v>
      </c>
      <c r="H810" s="1">
        <v>242930357342000</v>
      </c>
      <c r="I810">
        <f t="shared" si="12"/>
        <v>0</v>
      </c>
    </row>
    <row r="811" spans="1:9" x14ac:dyDescent="0.3">
      <c r="A811">
        <v>20180319</v>
      </c>
      <c r="B811" s="2" t="s">
        <v>4</v>
      </c>
      <c r="C811" s="8">
        <v>2557000</v>
      </c>
      <c r="D811" s="8">
        <v>2537000</v>
      </c>
      <c r="E811">
        <v>50740</v>
      </c>
      <c r="F811" s="8">
        <v>128386494</v>
      </c>
      <c r="G811" s="1">
        <v>325716535278000</v>
      </c>
      <c r="H811" s="1">
        <v>241030237222000</v>
      </c>
      <c r="I811">
        <f t="shared" si="12"/>
        <v>0</v>
      </c>
    </row>
    <row r="812" spans="1:9" x14ac:dyDescent="0.3">
      <c r="A812">
        <v>20180320</v>
      </c>
      <c r="B812" s="2" t="s">
        <v>4</v>
      </c>
      <c r="C812" s="8">
        <v>2537000</v>
      </c>
      <c r="D812" s="8">
        <v>2560000</v>
      </c>
      <c r="E812">
        <v>51200</v>
      </c>
      <c r="F812" s="8">
        <v>128386494</v>
      </c>
      <c r="G812" s="1">
        <v>328669424640000</v>
      </c>
      <c r="H812" s="1">
        <v>243215375360000</v>
      </c>
      <c r="I812">
        <f t="shared" si="12"/>
        <v>0</v>
      </c>
    </row>
    <row r="813" spans="1:9" x14ac:dyDescent="0.3">
      <c r="A813">
        <v>20180321</v>
      </c>
      <c r="B813" s="2" t="s">
        <v>4</v>
      </c>
      <c r="C813" s="8">
        <v>2560000</v>
      </c>
      <c r="D813" s="8">
        <v>2553000</v>
      </c>
      <c r="E813">
        <v>51060</v>
      </c>
      <c r="F813" s="8">
        <v>128386494</v>
      </c>
      <c r="G813" s="1">
        <v>327770719182000</v>
      </c>
      <c r="H813" s="1">
        <v>242550333318000</v>
      </c>
      <c r="I813">
        <f t="shared" si="12"/>
        <v>0</v>
      </c>
    </row>
    <row r="814" spans="1:9" x14ac:dyDescent="0.3">
      <c r="A814">
        <v>20180322</v>
      </c>
      <c r="B814" s="2" t="s">
        <v>4</v>
      </c>
      <c r="C814" s="8">
        <v>2553000</v>
      </c>
      <c r="D814" s="8">
        <v>2589000</v>
      </c>
      <c r="E814">
        <v>51780</v>
      </c>
      <c r="F814" s="8">
        <v>128386494</v>
      </c>
      <c r="G814" s="1">
        <v>332392632966000</v>
      </c>
      <c r="H814" s="1">
        <v>245970549534000</v>
      </c>
      <c r="I814">
        <f t="shared" si="12"/>
        <v>0</v>
      </c>
    </row>
    <row r="815" spans="1:9" x14ac:dyDescent="0.3">
      <c r="A815">
        <v>20180323</v>
      </c>
      <c r="B815" s="2" t="s">
        <v>4</v>
      </c>
      <c r="C815" s="8">
        <v>2589000</v>
      </c>
      <c r="D815" s="8">
        <v>2486000</v>
      </c>
      <c r="E815">
        <v>49720</v>
      </c>
      <c r="F815" s="8">
        <v>128386494</v>
      </c>
      <c r="G815" s="1">
        <v>319168824084000</v>
      </c>
      <c r="H815" s="1">
        <v>236184930916000</v>
      </c>
      <c r="I815">
        <f t="shared" si="12"/>
        <v>0</v>
      </c>
    </row>
    <row r="816" spans="1:9" x14ac:dyDescent="0.3">
      <c r="A816">
        <v>20180326</v>
      </c>
      <c r="B816" s="2" t="s">
        <v>4</v>
      </c>
      <c r="C816" s="8">
        <v>2486000</v>
      </c>
      <c r="D816" s="8">
        <v>2514000</v>
      </c>
      <c r="E816">
        <v>50280</v>
      </c>
      <c r="F816" s="8">
        <v>128386494</v>
      </c>
      <c r="G816" s="1">
        <v>322763645916000</v>
      </c>
      <c r="H816" s="1">
        <v>238845099084000</v>
      </c>
      <c r="I816">
        <f t="shared" si="12"/>
        <v>0</v>
      </c>
    </row>
    <row r="817" spans="1:9" x14ac:dyDescent="0.3">
      <c r="A817">
        <v>20180327</v>
      </c>
      <c r="B817" s="2" t="s">
        <v>4</v>
      </c>
      <c r="C817" s="8">
        <v>2514000</v>
      </c>
      <c r="D817" s="8">
        <v>2499000</v>
      </c>
      <c r="E817">
        <v>49980</v>
      </c>
      <c r="F817" s="8">
        <v>128386494</v>
      </c>
      <c r="G817" s="1">
        <v>320837848506000</v>
      </c>
      <c r="H817" s="1">
        <v>237420008994000</v>
      </c>
      <c r="I817">
        <f t="shared" si="12"/>
        <v>0</v>
      </c>
    </row>
    <row r="818" spans="1:9" x14ac:dyDescent="0.3">
      <c r="A818">
        <v>20180328</v>
      </c>
      <c r="B818" s="2" t="s">
        <v>4</v>
      </c>
      <c r="C818" s="8">
        <v>2499000</v>
      </c>
      <c r="D818" s="8">
        <v>2435000</v>
      </c>
      <c r="E818">
        <v>48700</v>
      </c>
      <c r="F818" s="8">
        <v>128386494</v>
      </c>
      <c r="G818" s="1">
        <v>312621112890000</v>
      </c>
      <c r="H818" s="1">
        <v>231339624610000</v>
      </c>
      <c r="I818">
        <f t="shared" si="12"/>
        <v>0</v>
      </c>
    </row>
    <row r="819" spans="1:9" x14ac:dyDescent="0.3">
      <c r="A819">
        <v>20180329</v>
      </c>
      <c r="B819" s="2" t="s">
        <v>4</v>
      </c>
      <c r="C819" s="8">
        <v>2435000</v>
      </c>
      <c r="D819" s="8">
        <v>2452000</v>
      </c>
      <c r="E819">
        <v>49040</v>
      </c>
      <c r="F819" s="8">
        <v>128386494</v>
      </c>
      <c r="G819" s="1">
        <v>314803683288000</v>
      </c>
      <c r="H819" s="1">
        <v>232954726712000</v>
      </c>
      <c r="I819">
        <f t="shared" si="12"/>
        <v>0</v>
      </c>
    </row>
    <row r="820" spans="1:9" x14ac:dyDescent="0.3">
      <c r="A820">
        <v>20180330</v>
      </c>
      <c r="B820" s="2" t="s">
        <v>4</v>
      </c>
      <c r="C820" s="8">
        <v>2452000</v>
      </c>
      <c r="D820" s="8">
        <v>2461000</v>
      </c>
      <c r="E820">
        <v>49220</v>
      </c>
      <c r="F820" s="8">
        <v>128386494</v>
      </c>
      <c r="G820" s="1">
        <v>315959161734000</v>
      </c>
      <c r="H820" s="1">
        <v>233809780766000</v>
      </c>
      <c r="I820">
        <f t="shared" si="12"/>
        <v>0</v>
      </c>
    </row>
    <row r="821" spans="1:9" x14ac:dyDescent="0.3">
      <c r="A821">
        <v>20180402</v>
      </c>
      <c r="B821" s="2" t="s">
        <v>4</v>
      </c>
      <c r="C821" s="8">
        <v>2461000</v>
      </c>
      <c r="D821" s="8">
        <v>2427000</v>
      </c>
      <c r="E821">
        <v>48540</v>
      </c>
      <c r="F821" s="8">
        <v>128386494</v>
      </c>
      <c r="G821" s="1">
        <v>311594020938000</v>
      </c>
      <c r="H821" s="1">
        <v>230579576562000</v>
      </c>
      <c r="I821">
        <f t="shared" si="12"/>
        <v>0</v>
      </c>
    </row>
    <row r="822" spans="1:9" x14ac:dyDescent="0.3">
      <c r="A822">
        <v>20180403</v>
      </c>
      <c r="B822" s="2" t="s">
        <v>4</v>
      </c>
      <c r="C822" s="8">
        <v>2427000</v>
      </c>
      <c r="D822" s="8">
        <v>2406000</v>
      </c>
      <c r="E822">
        <v>48120</v>
      </c>
      <c r="F822" s="8">
        <v>128386494</v>
      </c>
      <c r="G822" s="1">
        <v>308897904564000</v>
      </c>
      <c r="H822" s="1">
        <v>228584450436000</v>
      </c>
      <c r="I822">
        <f t="shared" si="12"/>
        <v>0</v>
      </c>
    </row>
    <row r="823" spans="1:9" x14ac:dyDescent="0.3">
      <c r="A823">
        <v>20180404</v>
      </c>
      <c r="B823" s="2" t="s">
        <v>4</v>
      </c>
      <c r="C823" s="8">
        <v>2406000</v>
      </c>
      <c r="D823" s="8">
        <v>2346000</v>
      </c>
      <c r="E823">
        <v>46920</v>
      </c>
      <c r="F823" s="8">
        <v>128386494</v>
      </c>
      <c r="G823" s="1">
        <v>301194714924000</v>
      </c>
      <c r="H823" s="1">
        <v>222884090076000</v>
      </c>
      <c r="I823">
        <f t="shared" si="12"/>
        <v>0</v>
      </c>
    </row>
    <row r="824" spans="1:9" x14ac:dyDescent="0.3">
      <c r="A824">
        <v>20180405</v>
      </c>
      <c r="B824" s="2" t="s">
        <v>4</v>
      </c>
      <c r="C824" s="8">
        <v>2346000</v>
      </c>
      <c r="D824" s="8">
        <v>2437000</v>
      </c>
      <c r="E824">
        <v>48740</v>
      </c>
      <c r="F824" s="8">
        <v>128386494</v>
      </c>
      <c r="G824" s="1">
        <v>312877885878000</v>
      </c>
      <c r="H824" s="1">
        <v>231529636622000</v>
      </c>
      <c r="I824">
        <f t="shared" si="12"/>
        <v>0</v>
      </c>
    </row>
    <row r="825" spans="1:9" x14ac:dyDescent="0.3">
      <c r="A825">
        <v>20180406</v>
      </c>
      <c r="B825" s="2" t="s">
        <v>4</v>
      </c>
      <c r="C825" s="8">
        <v>2437000</v>
      </c>
      <c r="D825" s="8">
        <v>2420000</v>
      </c>
      <c r="E825">
        <v>48400</v>
      </c>
      <c r="F825" s="8">
        <v>128386494</v>
      </c>
      <c r="G825" s="1">
        <v>310695315480000</v>
      </c>
      <c r="H825" s="1">
        <v>229914534520000</v>
      </c>
      <c r="I825">
        <f t="shared" si="12"/>
        <v>0</v>
      </c>
    </row>
    <row r="826" spans="1:9" x14ac:dyDescent="0.3">
      <c r="A826">
        <v>20180409</v>
      </c>
      <c r="B826" s="2" t="s">
        <v>4</v>
      </c>
      <c r="C826" s="8">
        <v>2420000</v>
      </c>
      <c r="D826" s="8">
        <v>2460000</v>
      </c>
      <c r="E826">
        <v>49200</v>
      </c>
      <c r="F826" s="8">
        <v>128386494</v>
      </c>
      <c r="G826" s="1">
        <v>315830775240000</v>
      </c>
      <c r="H826" s="1">
        <v>233714774760000</v>
      </c>
      <c r="I826">
        <f t="shared" si="12"/>
        <v>0</v>
      </c>
    </row>
    <row r="827" spans="1:9" x14ac:dyDescent="0.3">
      <c r="A827">
        <v>20180410</v>
      </c>
      <c r="B827" s="2" t="s">
        <v>4</v>
      </c>
      <c r="C827" s="8">
        <v>2460000</v>
      </c>
      <c r="D827" s="8">
        <v>2444000</v>
      </c>
      <c r="E827">
        <v>48880</v>
      </c>
      <c r="F827" s="8">
        <v>128386494</v>
      </c>
      <c r="G827" s="1">
        <v>313776591336000</v>
      </c>
      <c r="H827" s="1">
        <v>232194678664000</v>
      </c>
      <c r="I827">
        <f t="shared" si="12"/>
        <v>0</v>
      </c>
    </row>
    <row r="828" spans="1:9" x14ac:dyDescent="0.3">
      <c r="A828">
        <v>20180411</v>
      </c>
      <c r="B828" s="2" t="s">
        <v>4</v>
      </c>
      <c r="C828" s="8">
        <v>2444000</v>
      </c>
      <c r="D828" s="8">
        <v>2443000</v>
      </c>
      <c r="E828">
        <v>48860</v>
      </c>
      <c r="F828" s="8">
        <v>128386494</v>
      </c>
      <c r="G828" s="1">
        <v>313648204842000</v>
      </c>
      <c r="H828" s="1">
        <v>232099672658000</v>
      </c>
      <c r="I828">
        <f t="shared" si="12"/>
        <v>0</v>
      </c>
    </row>
    <row r="829" spans="1:9" x14ac:dyDescent="0.3">
      <c r="A829">
        <v>20180412</v>
      </c>
      <c r="B829" s="2" t="s">
        <v>4</v>
      </c>
      <c r="C829" s="8">
        <v>2443000</v>
      </c>
      <c r="D829" s="8">
        <v>2450000</v>
      </c>
      <c r="E829">
        <v>49000</v>
      </c>
      <c r="F829" s="8">
        <v>128386494</v>
      </c>
      <c r="G829" s="1">
        <v>314546910300000</v>
      </c>
      <c r="H829" s="1">
        <v>232764714700000</v>
      </c>
      <c r="I829">
        <f t="shared" si="12"/>
        <v>0</v>
      </c>
    </row>
    <row r="830" spans="1:9" x14ac:dyDescent="0.3">
      <c r="A830">
        <v>20180413</v>
      </c>
      <c r="B830" s="2" t="s">
        <v>4</v>
      </c>
      <c r="C830" s="8">
        <v>2450000</v>
      </c>
      <c r="D830" s="8">
        <v>2490000</v>
      </c>
      <c r="E830">
        <v>49800</v>
      </c>
      <c r="F830" s="8">
        <v>128386494</v>
      </c>
      <c r="G830" s="1">
        <v>319682370060000</v>
      </c>
      <c r="H830" s="1">
        <v>236564954940000</v>
      </c>
      <c r="I830">
        <f t="shared" si="12"/>
        <v>0</v>
      </c>
    </row>
    <row r="831" spans="1:9" x14ac:dyDescent="0.3">
      <c r="A831">
        <v>20180416</v>
      </c>
      <c r="B831" s="2" t="s">
        <v>4</v>
      </c>
      <c r="C831" s="8">
        <v>2490000</v>
      </c>
      <c r="D831" s="8">
        <v>2517000</v>
      </c>
      <c r="E831">
        <v>50340</v>
      </c>
      <c r="F831" s="8">
        <v>128386494</v>
      </c>
      <c r="G831" s="1">
        <v>323148805398000</v>
      </c>
      <c r="H831" s="1">
        <v>239130117102000</v>
      </c>
      <c r="I831">
        <f t="shared" si="12"/>
        <v>0</v>
      </c>
    </row>
    <row r="832" spans="1:9" x14ac:dyDescent="0.3">
      <c r="A832">
        <v>20180417</v>
      </c>
      <c r="B832" s="2" t="s">
        <v>4</v>
      </c>
      <c r="C832" s="8">
        <v>2517000</v>
      </c>
      <c r="D832" s="8">
        <v>2499000</v>
      </c>
      <c r="E832">
        <v>49980</v>
      </c>
      <c r="F832" s="8">
        <v>128386494</v>
      </c>
      <c r="G832" s="1">
        <v>320837848506000</v>
      </c>
      <c r="H832" s="1">
        <v>237420008994000</v>
      </c>
      <c r="I832">
        <f t="shared" si="12"/>
        <v>0</v>
      </c>
    </row>
    <row r="833" spans="1:9" x14ac:dyDescent="0.3">
      <c r="A833">
        <v>20180418</v>
      </c>
      <c r="B833" s="2" t="s">
        <v>4</v>
      </c>
      <c r="C833" s="8">
        <v>2499000</v>
      </c>
      <c r="D833" s="8">
        <v>2568000</v>
      </c>
      <c r="E833">
        <v>51360</v>
      </c>
      <c r="F833" s="8">
        <v>128386494</v>
      </c>
      <c r="G833" s="1">
        <v>329696516592000</v>
      </c>
      <c r="H833" s="1">
        <v>243975423408000</v>
      </c>
      <c r="I833">
        <f t="shared" si="12"/>
        <v>0</v>
      </c>
    </row>
    <row r="834" spans="1:9" x14ac:dyDescent="0.3">
      <c r="A834">
        <v>20180419</v>
      </c>
      <c r="B834" s="2" t="s">
        <v>4</v>
      </c>
      <c r="C834" s="8">
        <v>2568000</v>
      </c>
      <c r="D834" s="8">
        <v>2639000</v>
      </c>
      <c r="E834">
        <v>52780</v>
      </c>
      <c r="F834" s="8">
        <v>128386494</v>
      </c>
      <c r="G834" s="1">
        <v>338811957666000</v>
      </c>
      <c r="H834" s="1">
        <v>250720849834000</v>
      </c>
      <c r="I834">
        <f t="shared" si="12"/>
        <v>0</v>
      </c>
    </row>
    <row r="835" spans="1:9" x14ac:dyDescent="0.3">
      <c r="A835">
        <v>20180420</v>
      </c>
      <c r="B835" s="2" t="s">
        <v>4</v>
      </c>
      <c r="C835" s="8">
        <v>2639000</v>
      </c>
      <c r="D835" s="8">
        <v>2581000</v>
      </c>
      <c r="E835">
        <v>51620</v>
      </c>
      <c r="F835" s="8">
        <v>128386494</v>
      </c>
      <c r="G835" s="1">
        <v>331365541014000</v>
      </c>
      <c r="H835" s="1">
        <v>245210501486000</v>
      </c>
      <c r="I835">
        <f t="shared" si="12"/>
        <v>0</v>
      </c>
    </row>
    <row r="836" spans="1:9" x14ac:dyDescent="0.3">
      <c r="A836">
        <v>20180423</v>
      </c>
      <c r="B836" s="2" t="s">
        <v>4</v>
      </c>
      <c r="C836" s="8">
        <v>2581000</v>
      </c>
      <c r="D836" s="8">
        <v>2595000</v>
      </c>
      <c r="E836">
        <v>51900</v>
      </c>
      <c r="F836" s="8">
        <v>128386494</v>
      </c>
      <c r="G836" s="1">
        <v>333162951930000</v>
      </c>
      <c r="H836" s="1">
        <v>246540585570000</v>
      </c>
      <c r="I836">
        <f t="shared" ref="I836:I899" si="13">IF(C836*F836=D835*F835,0,1)</f>
        <v>0</v>
      </c>
    </row>
    <row r="837" spans="1:9" x14ac:dyDescent="0.3">
      <c r="A837">
        <v>20180424</v>
      </c>
      <c r="B837" s="2" t="s">
        <v>4</v>
      </c>
      <c r="C837" s="8">
        <v>2595000</v>
      </c>
      <c r="D837" s="8">
        <v>2523000</v>
      </c>
      <c r="E837">
        <v>50460</v>
      </c>
      <c r="F837" s="8">
        <v>128386494</v>
      </c>
      <c r="G837" s="1">
        <v>323919124362000</v>
      </c>
      <c r="H837" s="1">
        <v>239700153138000</v>
      </c>
      <c r="I837">
        <f t="shared" si="13"/>
        <v>0</v>
      </c>
    </row>
    <row r="838" spans="1:9" x14ac:dyDescent="0.3">
      <c r="A838">
        <v>20180425</v>
      </c>
      <c r="B838" s="2" t="s">
        <v>4</v>
      </c>
      <c r="C838" s="8">
        <v>2523000</v>
      </c>
      <c r="D838" s="8">
        <v>2520000</v>
      </c>
      <c r="E838">
        <v>50400</v>
      </c>
      <c r="F838" s="8">
        <v>128386494</v>
      </c>
      <c r="G838" s="1">
        <v>323533964880000</v>
      </c>
      <c r="H838" s="1">
        <v>239415135120000</v>
      </c>
      <c r="I838">
        <f t="shared" si="13"/>
        <v>0</v>
      </c>
    </row>
    <row r="839" spans="1:9" x14ac:dyDescent="0.3">
      <c r="A839">
        <v>20180426</v>
      </c>
      <c r="B839" s="2" t="s">
        <v>4</v>
      </c>
      <c r="C839" s="8">
        <v>2520000</v>
      </c>
      <c r="D839" s="8">
        <v>2607000</v>
      </c>
      <c r="E839">
        <v>52140</v>
      </c>
      <c r="F839" s="8">
        <v>128386494</v>
      </c>
      <c r="G839" s="1">
        <v>334703589858000</v>
      </c>
      <c r="H839" s="1">
        <v>247680657642000</v>
      </c>
      <c r="I839">
        <f t="shared" si="13"/>
        <v>0</v>
      </c>
    </row>
    <row r="840" spans="1:9" x14ac:dyDescent="0.3">
      <c r="A840">
        <v>20180427</v>
      </c>
      <c r="B840" s="2" t="s">
        <v>4</v>
      </c>
      <c r="C840" s="8">
        <v>2607000</v>
      </c>
      <c r="D840" s="8">
        <v>2650000</v>
      </c>
      <c r="E840">
        <v>53000</v>
      </c>
      <c r="F840" s="8">
        <v>128386494</v>
      </c>
      <c r="G840" s="1">
        <v>340224209100000</v>
      </c>
      <c r="H840" s="1">
        <v>251765915900000</v>
      </c>
      <c r="I840">
        <f t="shared" si="13"/>
        <v>0</v>
      </c>
    </row>
    <row r="841" spans="1:9" x14ac:dyDescent="0.3">
      <c r="A841">
        <v>20180430</v>
      </c>
      <c r="B841" s="2" t="s">
        <v>4</v>
      </c>
      <c r="C841" s="8">
        <v>2650000</v>
      </c>
      <c r="D841" s="8">
        <v>2650000</v>
      </c>
      <c r="E841">
        <v>53000</v>
      </c>
      <c r="F841" s="8">
        <v>128386494</v>
      </c>
      <c r="G841" s="1">
        <v>340224209100000</v>
      </c>
      <c r="H841" s="1">
        <v>251765914734000</v>
      </c>
      <c r="I841">
        <f t="shared" si="13"/>
        <v>0</v>
      </c>
    </row>
    <row r="842" spans="1:9" x14ac:dyDescent="0.3">
      <c r="A842">
        <v>20180502</v>
      </c>
      <c r="B842" s="2" t="s">
        <v>4</v>
      </c>
      <c r="C842" s="8">
        <v>2650000</v>
      </c>
      <c r="D842" s="8">
        <v>2650000</v>
      </c>
      <c r="E842">
        <v>53000</v>
      </c>
      <c r="F842" s="8">
        <v>128386494</v>
      </c>
      <c r="G842" s="1">
        <v>340224209100000</v>
      </c>
      <c r="H842" s="1">
        <v>251765914734000</v>
      </c>
      <c r="I842">
        <f t="shared" si="13"/>
        <v>0</v>
      </c>
    </row>
    <row r="843" spans="1:9" x14ac:dyDescent="0.3">
      <c r="A843">
        <v>20180503</v>
      </c>
      <c r="B843" s="2" t="s">
        <v>4</v>
      </c>
      <c r="C843" s="8">
        <v>2650000</v>
      </c>
      <c r="D843" s="8">
        <v>2650000</v>
      </c>
      <c r="E843">
        <v>53000</v>
      </c>
      <c r="F843" s="8">
        <v>128386494</v>
      </c>
      <c r="G843" s="1">
        <v>340224209100000</v>
      </c>
      <c r="H843" s="1">
        <v>251765914734000</v>
      </c>
      <c r="I843">
        <f t="shared" si="13"/>
        <v>0</v>
      </c>
    </row>
    <row r="844" spans="1:9" x14ac:dyDescent="0.3">
      <c r="A844">
        <v>20180504</v>
      </c>
      <c r="B844" s="2" t="s">
        <v>4</v>
      </c>
      <c r="C844" s="8">
        <v>53000</v>
      </c>
      <c r="D844" s="8">
        <v>51900</v>
      </c>
      <c r="E844">
        <v>51900</v>
      </c>
      <c r="F844" s="8">
        <v>6419324700</v>
      </c>
      <c r="G844" s="1">
        <v>333162951930000</v>
      </c>
      <c r="H844" s="1">
        <v>246540584428200</v>
      </c>
      <c r="I844">
        <f t="shared" si="13"/>
        <v>0</v>
      </c>
    </row>
    <row r="845" spans="1:9" x14ac:dyDescent="0.3">
      <c r="A845">
        <v>20180508</v>
      </c>
      <c r="B845" s="2" t="s">
        <v>4</v>
      </c>
      <c r="C845" s="8">
        <v>51900</v>
      </c>
      <c r="D845" s="8">
        <v>52600</v>
      </c>
      <c r="E845">
        <v>52600</v>
      </c>
      <c r="F845" s="8">
        <v>6419324700</v>
      </c>
      <c r="G845" s="1">
        <v>337656479220000</v>
      </c>
      <c r="H845" s="1">
        <v>249865794622800</v>
      </c>
      <c r="I845">
        <f t="shared" si="13"/>
        <v>0</v>
      </c>
    </row>
    <row r="846" spans="1:9" x14ac:dyDescent="0.3">
      <c r="A846">
        <v>20180509</v>
      </c>
      <c r="B846" s="2" t="s">
        <v>4</v>
      </c>
      <c r="C846" s="8">
        <v>52600</v>
      </c>
      <c r="D846" s="8">
        <v>50900</v>
      </c>
      <c r="E846">
        <v>50900</v>
      </c>
      <c r="F846" s="8">
        <v>6419324700</v>
      </c>
      <c r="G846" s="1">
        <v>326743627230000</v>
      </c>
      <c r="H846" s="1">
        <v>241790284150200</v>
      </c>
      <c r="I846">
        <f t="shared" si="13"/>
        <v>0</v>
      </c>
    </row>
    <row r="847" spans="1:9" x14ac:dyDescent="0.3">
      <c r="A847">
        <v>20180510</v>
      </c>
      <c r="B847" s="2" t="s">
        <v>4</v>
      </c>
      <c r="C847" s="8">
        <v>50900</v>
      </c>
      <c r="D847" s="8">
        <v>51600</v>
      </c>
      <c r="E847">
        <v>51600</v>
      </c>
      <c r="F847" s="8">
        <v>6419324700</v>
      </c>
      <c r="G847" s="1">
        <v>331237154520000</v>
      </c>
      <c r="H847" s="1">
        <v>245115494344800</v>
      </c>
      <c r="I847">
        <f t="shared" si="13"/>
        <v>0</v>
      </c>
    </row>
    <row r="848" spans="1:9" x14ac:dyDescent="0.3">
      <c r="A848">
        <v>20180511</v>
      </c>
      <c r="B848" s="2" t="s">
        <v>4</v>
      </c>
      <c r="C848" s="8">
        <v>51600</v>
      </c>
      <c r="D848" s="8">
        <v>51300</v>
      </c>
      <c r="E848">
        <v>51300</v>
      </c>
      <c r="F848" s="8">
        <v>6419324700</v>
      </c>
      <c r="G848" s="1">
        <v>329311357110000</v>
      </c>
      <c r="H848" s="1">
        <v>243690404261400</v>
      </c>
      <c r="I848">
        <f t="shared" si="13"/>
        <v>0</v>
      </c>
    </row>
    <row r="849" spans="1:9" x14ac:dyDescent="0.3">
      <c r="A849">
        <v>20180514</v>
      </c>
      <c r="B849" s="2" t="s">
        <v>4</v>
      </c>
      <c r="C849" s="8">
        <v>51300</v>
      </c>
      <c r="D849" s="8">
        <v>50100</v>
      </c>
      <c r="E849">
        <v>50100</v>
      </c>
      <c r="F849" s="8">
        <v>6419324700</v>
      </c>
      <c r="G849" s="1">
        <v>321608167470000</v>
      </c>
      <c r="H849" s="1">
        <v>237990043927800</v>
      </c>
      <c r="I849">
        <f t="shared" si="13"/>
        <v>0</v>
      </c>
    </row>
    <row r="850" spans="1:9" x14ac:dyDescent="0.3">
      <c r="A850">
        <v>20180515</v>
      </c>
      <c r="B850" s="2" t="s">
        <v>4</v>
      </c>
      <c r="C850" s="8">
        <v>50100</v>
      </c>
      <c r="D850" s="8">
        <v>49200</v>
      </c>
      <c r="E850">
        <v>49200</v>
      </c>
      <c r="F850" s="8">
        <v>6419324700</v>
      </c>
      <c r="G850" s="1">
        <v>315830775240000</v>
      </c>
      <c r="H850" s="1">
        <v>233714773677600</v>
      </c>
      <c r="I850">
        <f t="shared" si="13"/>
        <v>0</v>
      </c>
    </row>
    <row r="851" spans="1:9" x14ac:dyDescent="0.3">
      <c r="A851">
        <v>20180516</v>
      </c>
      <c r="B851" s="2" t="s">
        <v>4</v>
      </c>
      <c r="C851" s="8">
        <v>49200</v>
      </c>
      <c r="D851" s="8">
        <v>49850</v>
      </c>
      <c r="E851">
        <v>49850</v>
      </c>
      <c r="F851" s="8">
        <v>6419324700</v>
      </c>
      <c r="G851" s="1">
        <v>320003336295000</v>
      </c>
      <c r="H851" s="1">
        <v>236802468858300</v>
      </c>
      <c r="I851">
        <f t="shared" si="13"/>
        <v>0</v>
      </c>
    </row>
    <row r="852" spans="1:9" x14ac:dyDescent="0.3">
      <c r="A852">
        <v>20180517</v>
      </c>
      <c r="B852" s="2" t="s">
        <v>4</v>
      </c>
      <c r="C852" s="8">
        <v>49850</v>
      </c>
      <c r="D852" s="8">
        <v>49400</v>
      </c>
      <c r="E852">
        <v>49400</v>
      </c>
      <c r="F852" s="8">
        <v>6419324700</v>
      </c>
      <c r="G852" s="1">
        <v>317114640180000</v>
      </c>
      <c r="H852" s="1">
        <v>234664833733200</v>
      </c>
      <c r="I852">
        <f t="shared" si="13"/>
        <v>0</v>
      </c>
    </row>
    <row r="853" spans="1:9" x14ac:dyDescent="0.3">
      <c r="A853">
        <v>20180518</v>
      </c>
      <c r="B853" s="2" t="s">
        <v>4</v>
      </c>
      <c r="C853" s="8">
        <v>49400</v>
      </c>
      <c r="D853" s="8">
        <v>49500</v>
      </c>
      <c r="E853">
        <v>49500</v>
      </c>
      <c r="F853" s="8">
        <v>6419324700</v>
      </c>
      <c r="G853" s="1">
        <v>317756572650000</v>
      </c>
      <c r="H853" s="1">
        <v>235139863761000</v>
      </c>
      <c r="I853">
        <f t="shared" si="13"/>
        <v>0</v>
      </c>
    </row>
    <row r="854" spans="1:9" x14ac:dyDescent="0.3">
      <c r="A854">
        <v>20180521</v>
      </c>
      <c r="B854" s="2" t="s">
        <v>4</v>
      </c>
      <c r="C854" s="8">
        <v>49500</v>
      </c>
      <c r="D854" s="8">
        <v>50000</v>
      </c>
      <c r="E854">
        <v>50000</v>
      </c>
      <c r="F854" s="8">
        <v>6419324700</v>
      </c>
      <c r="G854" s="1">
        <v>320966235000000</v>
      </c>
      <c r="H854" s="1">
        <v>237515013900000</v>
      </c>
      <c r="I854">
        <f t="shared" si="13"/>
        <v>0</v>
      </c>
    </row>
    <row r="855" spans="1:9" x14ac:dyDescent="0.3">
      <c r="A855">
        <v>20180523</v>
      </c>
      <c r="B855" s="2" t="s">
        <v>4</v>
      </c>
      <c r="C855" s="8">
        <v>50000</v>
      </c>
      <c r="D855" s="8">
        <v>51800</v>
      </c>
      <c r="E855">
        <v>51800</v>
      </c>
      <c r="F855" s="8">
        <v>6419324700</v>
      </c>
      <c r="G855" s="1">
        <v>332521019460000</v>
      </c>
      <c r="H855" s="1">
        <v>246065554400400</v>
      </c>
      <c r="I855">
        <f t="shared" si="13"/>
        <v>0</v>
      </c>
    </row>
    <row r="856" spans="1:9" x14ac:dyDescent="0.3">
      <c r="A856">
        <v>20180524</v>
      </c>
      <c r="B856" s="2" t="s">
        <v>4</v>
      </c>
      <c r="C856" s="8">
        <v>51800</v>
      </c>
      <c r="D856" s="8">
        <v>51400</v>
      </c>
      <c r="E856">
        <v>51400</v>
      </c>
      <c r="F856" s="8">
        <v>6419324700</v>
      </c>
      <c r="G856" s="1">
        <v>329953289580000</v>
      </c>
      <c r="H856" s="1">
        <v>244165434289200</v>
      </c>
      <c r="I856">
        <f t="shared" si="13"/>
        <v>0</v>
      </c>
    </row>
    <row r="857" spans="1:9" x14ac:dyDescent="0.3">
      <c r="A857">
        <v>20180525</v>
      </c>
      <c r="B857" s="2" t="s">
        <v>4</v>
      </c>
      <c r="C857" s="8">
        <v>51400</v>
      </c>
      <c r="D857" s="8">
        <v>52700</v>
      </c>
      <c r="E857">
        <v>52700</v>
      </c>
      <c r="F857" s="8">
        <v>6419324700</v>
      </c>
      <c r="G857" s="1">
        <v>338298411690000</v>
      </c>
      <c r="H857" s="1">
        <v>250340824650600</v>
      </c>
      <c r="I857">
        <f t="shared" si="13"/>
        <v>0</v>
      </c>
    </row>
    <row r="858" spans="1:9" x14ac:dyDescent="0.3">
      <c r="A858">
        <v>20180528</v>
      </c>
      <c r="B858" s="2" t="s">
        <v>4</v>
      </c>
      <c r="C858" s="8">
        <v>52700</v>
      </c>
      <c r="D858" s="8">
        <v>52300</v>
      </c>
      <c r="E858">
        <v>52300</v>
      </c>
      <c r="F858" s="8">
        <v>6419324700</v>
      </c>
      <c r="G858" s="1">
        <v>335730681810000</v>
      </c>
      <c r="H858" s="1">
        <v>248440704539400</v>
      </c>
      <c r="I858">
        <f t="shared" si="13"/>
        <v>0</v>
      </c>
    </row>
    <row r="859" spans="1:9" x14ac:dyDescent="0.3">
      <c r="A859">
        <v>20180529</v>
      </c>
      <c r="B859" s="2" t="s">
        <v>4</v>
      </c>
      <c r="C859" s="8">
        <v>52300</v>
      </c>
      <c r="D859" s="8">
        <v>51300</v>
      </c>
      <c r="E859">
        <v>51300</v>
      </c>
      <c r="F859" s="8">
        <v>6419324700</v>
      </c>
      <c r="G859" s="1">
        <v>329311357110000</v>
      </c>
      <c r="H859" s="1">
        <v>243690404261400</v>
      </c>
      <c r="I859">
        <f t="shared" si="13"/>
        <v>0</v>
      </c>
    </row>
    <row r="860" spans="1:9" x14ac:dyDescent="0.3">
      <c r="A860">
        <v>20180530</v>
      </c>
      <c r="B860" s="2" t="s">
        <v>4</v>
      </c>
      <c r="C860" s="8">
        <v>51300</v>
      </c>
      <c r="D860" s="8">
        <v>49500</v>
      </c>
      <c r="E860">
        <v>49500</v>
      </c>
      <c r="F860" s="8">
        <v>6419324700</v>
      </c>
      <c r="G860" s="1">
        <v>317756572650000</v>
      </c>
      <c r="H860" s="1">
        <v>235139863761000</v>
      </c>
      <c r="I860">
        <f t="shared" si="13"/>
        <v>0</v>
      </c>
    </row>
    <row r="861" spans="1:9" x14ac:dyDescent="0.3">
      <c r="A861">
        <v>20180531</v>
      </c>
      <c r="B861" s="2" t="s">
        <v>4</v>
      </c>
      <c r="C861" s="8">
        <v>49500</v>
      </c>
      <c r="D861" s="8">
        <v>50700</v>
      </c>
      <c r="E861">
        <v>50700</v>
      </c>
      <c r="F861" s="8">
        <v>6419324700</v>
      </c>
      <c r="G861" s="1">
        <v>325459762290000</v>
      </c>
      <c r="H861" s="1">
        <v>240840224094600</v>
      </c>
      <c r="I861">
        <f t="shared" si="13"/>
        <v>0</v>
      </c>
    </row>
    <row r="862" spans="1:9" x14ac:dyDescent="0.3">
      <c r="A862">
        <v>20180601</v>
      </c>
      <c r="B862" s="2" t="s">
        <v>4</v>
      </c>
      <c r="C862" s="8">
        <v>50700</v>
      </c>
      <c r="D862" s="8">
        <v>51300</v>
      </c>
      <c r="E862">
        <v>51300</v>
      </c>
      <c r="F862" s="8">
        <v>6419324700</v>
      </c>
      <c r="G862" s="1">
        <v>329311357110000</v>
      </c>
      <c r="H862" s="1">
        <v>243690404261400</v>
      </c>
      <c r="I862">
        <f t="shared" si="13"/>
        <v>0</v>
      </c>
    </row>
    <row r="863" spans="1:9" x14ac:dyDescent="0.3">
      <c r="A863">
        <v>20180604</v>
      </c>
      <c r="B863" s="2" t="s">
        <v>4</v>
      </c>
      <c r="C863" s="8">
        <v>51300</v>
      </c>
      <c r="D863" s="8">
        <v>51100</v>
      </c>
      <c r="E863">
        <v>51100</v>
      </c>
      <c r="F863" s="8">
        <v>6419324700</v>
      </c>
      <c r="G863" s="1">
        <v>328027492170000</v>
      </c>
      <c r="H863" s="1">
        <v>242740344205800</v>
      </c>
      <c r="I863">
        <f t="shared" si="13"/>
        <v>0</v>
      </c>
    </row>
    <row r="864" spans="1:9" x14ac:dyDescent="0.3">
      <c r="A864">
        <v>20180605</v>
      </c>
      <c r="B864" s="2" t="s">
        <v>4</v>
      </c>
      <c r="C864" s="8">
        <v>51100</v>
      </c>
      <c r="D864" s="8">
        <v>51300</v>
      </c>
      <c r="E864">
        <v>51300</v>
      </c>
      <c r="F864" s="8">
        <v>6419324700</v>
      </c>
      <c r="G864" s="1">
        <v>329311357110000</v>
      </c>
      <c r="H864" s="1">
        <v>243690404261400</v>
      </c>
      <c r="I864">
        <f t="shared" si="13"/>
        <v>0</v>
      </c>
    </row>
    <row r="865" spans="1:9" x14ac:dyDescent="0.3">
      <c r="A865">
        <v>20180607</v>
      </c>
      <c r="B865" s="2" t="s">
        <v>4</v>
      </c>
      <c r="C865" s="8">
        <v>51300</v>
      </c>
      <c r="D865" s="8">
        <v>50600</v>
      </c>
      <c r="E865">
        <v>50600</v>
      </c>
      <c r="F865" s="8">
        <v>6419324700</v>
      </c>
      <c r="G865" s="1">
        <v>324817829820000</v>
      </c>
      <c r="H865" s="1">
        <v>240365194066800</v>
      </c>
      <c r="I865">
        <f t="shared" si="13"/>
        <v>0</v>
      </c>
    </row>
    <row r="866" spans="1:9" x14ac:dyDescent="0.3">
      <c r="A866">
        <v>20180608</v>
      </c>
      <c r="B866" s="2" t="s">
        <v>4</v>
      </c>
      <c r="C866" s="8">
        <v>50600</v>
      </c>
      <c r="D866" s="8">
        <v>49650</v>
      </c>
      <c r="E866">
        <v>49650</v>
      </c>
      <c r="F866" s="8">
        <v>6419324700</v>
      </c>
      <c r="G866" s="1">
        <v>318719471355000</v>
      </c>
      <c r="H866" s="1">
        <v>235852408802700</v>
      </c>
      <c r="I866">
        <f t="shared" si="13"/>
        <v>0</v>
      </c>
    </row>
    <row r="867" spans="1:9" x14ac:dyDescent="0.3">
      <c r="A867">
        <v>20180611</v>
      </c>
      <c r="B867" s="2" t="s">
        <v>4</v>
      </c>
      <c r="C867" s="8">
        <v>49650</v>
      </c>
      <c r="D867" s="8">
        <v>49900</v>
      </c>
      <c r="E867">
        <v>49900</v>
      </c>
      <c r="F867" s="8">
        <v>6419324700</v>
      </c>
      <c r="G867" s="1">
        <v>320324302530000</v>
      </c>
      <c r="H867" s="1">
        <v>237039983872200</v>
      </c>
      <c r="I867">
        <f t="shared" si="13"/>
        <v>0</v>
      </c>
    </row>
    <row r="868" spans="1:9" x14ac:dyDescent="0.3">
      <c r="A868">
        <v>20180612</v>
      </c>
      <c r="B868" s="2" t="s">
        <v>4</v>
      </c>
      <c r="C868" s="8">
        <v>49900</v>
      </c>
      <c r="D868" s="8">
        <v>49400</v>
      </c>
      <c r="E868">
        <v>49400</v>
      </c>
      <c r="F868" s="8">
        <v>6419324700</v>
      </c>
      <c r="G868" s="1">
        <v>317114640180000</v>
      </c>
      <c r="H868" s="1">
        <v>234664833733200</v>
      </c>
      <c r="I868">
        <f t="shared" si="13"/>
        <v>0</v>
      </c>
    </row>
    <row r="869" spans="1:9" x14ac:dyDescent="0.3">
      <c r="A869">
        <v>20180614</v>
      </c>
      <c r="B869" s="2" t="s">
        <v>4</v>
      </c>
      <c r="C869" s="8">
        <v>49400</v>
      </c>
      <c r="D869" s="8">
        <v>48200</v>
      </c>
      <c r="E869">
        <v>48200</v>
      </c>
      <c r="F869" s="8">
        <v>6419324700</v>
      </c>
      <c r="G869" s="1">
        <v>309411450540000</v>
      </c>
      <c r="H869" s="1">
        <v>228964473399600</v>
      </c>
      <c r="I869">
        <f t="shared" si="13"/>
        <v>0</v>
      </c>
    </row>
    <row r="870" spans="1:9" x14ac:dyDescent="0.3">
      <c r="A870">
        <v>20180615</v>
      </c>
      <c r="B870" s="2" t="s">
        <v>4</v>
      </c>
      <c r="C870" s="8">
        <v>48200</v>
      </c>
      <c r="D870" s="8">
        <v>47650</v>
      </c>
      <c r="E870">
        <v>47650</v>
      </c>
      <c r="F870" s="8">
        <v>6419324700</v>
      </c>
      <c r="G870" s="1">
        <v>305880821955000</v>
      </c>
      <c r="H870" s="1">
        <v>226351808246700</v>
      </c>
      <c r="I870">
        <f t="shared" si="13"/>
        <v>0</v>
      </c>
    </row>
    <row r="871" spans="1:9" x14ac:dyDescent="0.3">
      <c r="A871">
        <v>20180618</v>
      </c>
      <c r="B871" s="2" t="s">
        <v>4</v>
      </c>
      <c r="C871" s="8">
        <v>47650</v>
      </c>
      <c r="D871" s="8">
        <v>46600</v>
      </c>
      <c r="E871">
        <v>46600</v>
      </c>
      <c r="F871" s="8">
        <v>6419324700</v>
      </c>
      <c r="G871" s="1">
        <v>299140531020000</v>
      </c>
      <c r="H871" s="1">
        <v>221363992954800</v>
      </c>
      <c r="I871">
        <f t="shared" si="13"/>
        <v>0</v>
      </c>
    </row>
    <row r="872" spans="1:9" x14ac:dyDescent="0.3">
      <c r="A872">
        <v>20180619</v>
      </c>
      <c r="B872" s="2" t="s">
        <v>4</v>
      </c>
      <c r="C872" s="8">
        <v>46600</v>
      </c>
      <c r="D872" s="8">
        <v>47000</v>
      </c>
      <c r="E872">
        <v>47000</v>
      </c>
      <c r="F872" s="8">
        <v>6419324700</v>
      </c>
      <c r="G872" s="1">
        <v>301708260900000</v>
      </c>
      <c r="H872" s="1">
        <v>223264113066000</v>
      </c>
      <c r="I872">
        <f t="shared" si="13"/>
        <v>0</v>
      </c>
    </row>
    <row r="873" spans="1:9" x14ac:dyDescent="0.3">
      <c r="A873">
        <v>20180620</v>
      </c>
      <c r="B873" s="2" t="s">
        <v>4</v>
      </c>
      <c r="C873" s="8">
        <v>47000</v>
      </c>
      <c r="D873" s="8">
        <v>47000</v>
      </c>
      <c r="E873">
        <v>47000</v>
      </c>
      <c r="F873" s="8">
        <v>6419324700</v>
      </c>
      <c r="G873" s="1">
        <v>301708260900000</v>
      </c>
      <c r="H873" s="1">
        <v>223264113066000</v>
      </c>
      <c r="I873">
        <f t="shared" si="13"/>
        <v>0</v>
      </c>
    </row>
    <row r="874" spans="1:9" x14ac:dyDescent="0.3">
      <c r="A874">
        <v>20180621</v>
      </c>
      <c r="B874" s="2" t="s">
        <v>4</v>
      </c>
      <c r="C874" s="8">
        <v>47000</v>
      </c>
      <c r="D874" s="8">
        <v>47050</v>
      </c>
      <c r="E874">
        <v>47050</v>
      </c>
      <c r="F874" s="8">
        <v>6419324700</v>
      </c>
      <c r="G874" s="1">
        <v>302029227135000</v>
      </c>
      <c r="H874" s="1">
        <v>223501628079900</v>
      </c>
      <c r="I874">
        <f t="shared" si="13"/>
        <v>0</v>
      </c>
    </row>
    <row r="875" spans="1:9" x14ac:dyDescent="0.3">
      <c r="A875">
        <v>20180622</v>
      </c>
      <c r="B875" s="2" t="s">
        <v>4</v>
      </c>
      <c r="C875" s="8">
        <v>47050</v>
      </c>
      <c r="D875" s="8">
        <v>47250</v>
      </c>
      <c r="E875">
        <v>47250</v>
      </c>
      <c r="F875" s="8">
        <v>6419324700</v>
      </c>
      <c r="G875" s="1">
        <v>303313092075000</v>
      </c>
      <c r="H875" s="1">
        <v>224451688135500</v>
      </c>
      <c r="I875">
        <f t="shared" si="13"/>
        <v>0</v>
      </c>
    </row>
    <row r="876" spans="1:9" x14ac:dyDescent="0.3">
      <c r="A876">
        <v>20180625</v>
      </c>
      <c r="B876" s="2" t="s">
        <v>4</v>
      </c>
      <c r="C876" s="8">
        <v>47250</v>
      </c>
      <c r="D876" s="8">
        <v>46650</v>
      </c>
      <c r="E876">
        <v>46650</v>
      </c>
      <c r="F876" s="8">
        <v>6419324700</v>
      </c>
      <c r="G876" s="1">
        <v>299461497255000</v>
      </c>
      <c r="H876" s="1">
        <v>221601507968700</v>
      </c>
      <c r="I876">
        <f t="shared" si="13"/>
        <v>0</v>
      </c>
    </row>
    <row r="877" spans="1:9" x14ac:dyDescent="0.3">
      <c r="A877">
        <v>20180626</v>
      </c>
      <c r="B877" s="2" t="s">
        <v>4</v>
      </c>
      <c r="C877" s="8">
        <v>46650</v>
      </c>
      <c r="D877" s="8">
        <v>47000</v>
      </c>
      <c r="E877">
        <v>47000</v>
      </c>
      <c r="F877" s="8">
        <v>6419324700</v>
      </c>
      <c r="G877" s="1">
        <v>301708260900000</v>
      </c>
      <c r="H877" s="1">
        <v>223264113066000</v>
      </c>
      <c r="I877">
        <f t="shared" si="13"/>
        <v>0</v>
      </c>
    </row>
    <row r="878" spans="1:9" x14ac:dyDescent="0.3">
      <c r="A878">
        <v>20180627</v>
      </c>
      <c r="B878" s="2" t="s">
        <v>4</v>
      </c>
      <c r="C878" s="8">
        <v>47000</v>
      </c>
      <c r="D878" s="8">
        <v>47950</v>
      </c>
      <c r="E878">
        <v>47950</v>
      </c>
      <c r="F878" s="8">
        <v>6419324700</v>
      </c>
      <c r="G878" s="1">
        <v>307806619365000</v>
      </c>
      <c r="H878" s="1">
        <v>227776898330100</v>
      </c>
      <c r="I878">
        <f t="shared" si="13"/>
        <v>0</v>
      </c>
    </row>
    <row r="879" spans="1:9" x14ac:dyDescent="0.3">
      <c r="A879">
        <v>20180628</v>
      </c>
      <c r="B879" s="2" t="s">
        <v>4</v>
      </c>
      <c r="C879" s="8">
        <v>47950</v>
      </c>
      <c r="D879" s="8">
        <v>46800</v>
      </c>
      <c r="E879">
        <v>46800</v>
      </c>
      <c r="F879" s="8">
        <v>6419324700</v>
      </c>
      <c r="G879" s="1">
        <v>300424395960000</v>
      </c>
      <c r="H879" s="1">
        <v>222314053010400</v>
      </c>
      <c r="I879">
        <f t="shared" si="13"/>
        <v>0</v>
      </c>
    </row>
    <row r="880" spans="1:9" x14ac:dyDescent="0.3">
      <c r="A880">
        <v>20180629</v>
      </c>
      <c r="B880" s="2" t="s">
        <v>4</v>
      </c>
      <c r="C880" s="8">
        <v>46800</v>
      </c>
      <c r="D880" s="8">
        <v>46650</v>
      </c>
      <c r="E880">
        <v>46650</v>
      </c>
      <c r="F880" s="8">
        <v>6419324700</v>
      </c>
      <c r="G880" s="1">
        <v>299461497255000</v>
      </c>
      <c r="H880" s="1">
        <v>221601507968700</v>
      </c>
      <c r="I880">
        <f t="shared" si="13"/>
        <v>0</v>
      </c>
    </row>
    <row r="881" spans="1:9" x14ac:dyDescent="0.3">
      <c r="A881">
        <v>20180702</v>
      </c>
      <c r="B881" s="2" t="s">
        <v>4</v>
      </c>
      <c r="C881" s="8">
        <v>46650</v>
      </c>
      <c r="D881" s="8">
        <v>45550</v>
      </c>
      <c r="E881">
        <v>45550</v>
      </c>
      <c r="F881" s="8">
        <v>6419324700</v>
      </c>
      <c r="G881" s="1">
        <v>292400240085000</v>
      </c>
      <c r="H881" s="1">
        <v>216376177662900</v>
      </c>
      <c r="I881">
        <f t="shared" si="13"/>
        <v>0</v>
      </c>
    </row>
    <row r="882" spans="1:9" x14ac:dyDescent="0.3">
      <c r="A882">
        <v>20180703</v>
      </c>
      <c r="B882" s="2" t="s">
        <v>4</v>
      </c>
      <c r="C882" s="8">
        <v>45550</v>
      </c>
      <c r="D882" s="8">
        <v>46150</v>
      </c>
      <c r="E882">
        <v>46150</v>
      </c>
      <c r="F882" s="8">
        <v>6419324700</v>
      </c>
      <c r="G882" s="1">
        <v>296251834905000</v>
      </c>
      <c r="H882" s="1">
        <v>219226357829700</v>
      </c>
      <c r="I882">
        <f t="shared" si="13"/>
        <v>0</v>
      </c>
    </row>
    <row r="883" spans="1:9" x14ac:dyDescent="0.3">
      <c r="A883">
        <v>20180704</v>
      </c>
      <c r="B883" s="2" t="s">
        <v>4</v>
      </c>
      <c r="C883" s="8">
        <v>46150</v>
      </c>
      <c r="D883" s="8">
        <v>46250</v>
      </c>
      <c r="E883">
        <v>46250</v>
      </c>
      <c r="F883" s="8">
        <v>6419324700</v>
      </c>
      <c r="G883" s="1">
        <v>296893767375000</v>
      </c>
      <c r="H883" s="1">
        <v>219701387857500</v>
      </c>
      <c r="I883">
        <f t="shared" si="13"/>
        <v>0</v>
      </c>
    </row>
    <row r="884" spans="1:9" x14ac:dyDescent="0.3">
      <c r="A884">
        <v>20180705</v>
      </c>
      <c r="B884" s="2" t="s">
        <v>4</v>
      </c>
      <c r="C884" s="8">
        <v>46250</v>
      </c>
      <c r="D884" s="8">
        <v>45950</v>
      </c>
      <c r="E884">
        <v>45950</v>
      </c>
      <c r="F884" s="8">
        <v>6419324700</v>
      </c>
      <c r="G884" s="1">
        <v>294967969965000</v>
      </c>
      <c r="H884" s="1">
        <v>218276297774100</v>
      </c>
      <c r="I884">
        <f t="shared" si="13"/>
        <v>0</v>
      </c>
    </row>
    <row r="885" spans="1:9" x14ac:dyDescent="0.3">
      <c r="A885">
        <v>20180706</v>
      </c>
      <c r="B885" s="2" t="s">
        <v>4</v>
      </c>
      <c r="C885" s="8">
        <v>45950</v>
      </c>
      <c r="D885" s="8">
        <v>44900</v>
      </c>
      <c r="E885">
        <v>44900</v>
      </c>
      <c r="F885" s="8">
        <v>6419324700</v>
      </c>
      <c r="G885" s="1">
        <v>288227679030000</v>
      </c>
      <c r="H885" s="1">
        <v>213288482482200</v>
      </c>
      <c r="I885">
        <f t="shared" si="13"/>
        <v>0</v>
      </c>
    </row>
    <row r="886" spans="1:9" x14ac:dyDescent="0.3">
      <c r="A886">
        <v>20180709</v>
      </c>
      <c r="B886" s="2" t="s">
        <v>4</v>
      </c>
      <c r="C886" s="8">
        <v>44900</v>
      </c>
      <c r="D886" s="8">
        <v>45600</v>
      </c>
      <c r="E886">
        <v>45600</v>
      </c>
      <c r="F886" s="8">
        <v>6419324700</v>
      </c>
      <c r="G886" s="1">
        <v>292721206320000</v>
      </c>
      <c r="H886" s="1">
        <v>216613692676800</v>
      </c>
      <c r="I886">
        <f t="shared" si="13"/>
        <v>0</v>
      </c>
    </row>
    <row r="887" spans="1:9" x14ac:dyDescent="0.3">
      <c r="A887">
        <v>20180710</v>
      </c>
      <c r="B887" s="2" t="s">
        <v>4</v>
      </c>
      <c r="C887" s="8">
        <v>45600</v>
      </c>
      <c r="D887" s="8">
        <v>46300</v>
      </c>
      <c r="E887">
        <v>46300</v>
      </c>
      <c r="F887" s="8">
        <v>6419324700</v>
      </c>
      <c r="G887" s="1">
        <v>297214733610000</v>
      </c>
      <c r="H887" s="1">
        <v>219938902871400</v>
      </c>
      <c r="I887">
        <f t="shared" si="13"/>
        <v>0</v>
      </c>
    </row>
    <row r="888" spans="1:9" x14ac:dyDescent="0.3">
      <c r="A888">
        <v>20180711</v>
      </c>
      <c r="B888" s="2" t="s">
        <v>4</v>
      </c>
      <c r="C888" s="8">
        <v>46300</v>
      </c>
      <c r="D888" s="8">
        <v>46000</v>
      </c>
      <c r="E888">
        <v>46000</v>
      </c>
      <c r="F888" s="8">
        <v>6419324700</v>
      </c>
      <c r="G888" s="1">
        <v>295288936200000</v>
      </c>
      <c r="H888" s="1">
        <v>218513812788000</v>
      </c>
      <c r="I888">
        <f t="shared" si="13"/>
        <v>0</v>
      </c>
    </row>
    <row r="889" spans="1:9" x14ac:dyDescent="0.3">
      <c r="A889">
        <v>20180712</v>
      </c>
      <c r="B889" s="2" t="s">
        <v>4</v>
      </c>
      <c r="C889" s="8">
        <v>46000</v>
      </c>
      <c r="D889" s="8">
        <v>45500</v>
      </c>
      <c r="E889">
        <v>45500</v>
      </c>
      <c r="F889" s="8">
        <v>6419324700</v>
      </c>
      <c r="G889" s="1">
        <v>292079273850000</v>
      </c>
      <c r="H889" s="1">
        <v>216138662649000</v>
      </c>
      <c r="I889">
        <f t="shared" si="13"/>
        <v>0</v>
      </c>
    </row>
    <row r="890" spans="1:9" x14ac:dyDescent="0.3">
      <c r="A890">
        <v>20180713</v>
      </c>
      <c r="B890" s="2" t="s">
        <v>4</v>
      </c>
      <c r="C890" s="8">
        <v>45500</v>
      </c>
      <c r="D890" s="8">
        <v>46500</v>
      </c>
      <c r="E890">
        <v>46500</v>
      </c>
      <c r="F890" s="8">
        <v>6419324700</v>
      </c>
      <c r="G890" s="1">
        <v>298498598550000</v>
      </c>
      <c r="H890" s="1">
        <v>220888962927000</v>
      </c>
      <c r="I890">
        <f t="shared" si="13"/>
        <v>0</v>
      </c>
    </row>
    <row r="891" spans="1:9" x14ac:dyDescent="0.3">
      <c r="A891">
        <v>20180716</v>
      </c>
      <c r="B891" s="2" t="s">
        <v>4</v>
      </c>
      <c r="C891" s="8">
        <v>46500</v>
      </c>
      <c r="D891" s="8">
        <v>46050</v>
      </c>
      <c r="E891">
        <v>46050</v>
      </c>
      <c r="F891" s="8">
        <v>6419324700</v>
      </c>
      <c r="G891" s="1">
        <v>295609902435000</v>
      </c>
      <c r="H891" s="1">
        <v>218751327801900</v>
      </c>
      <c r="I891">
        <f t="shared" si="13"/>
        <v>0</v>
      </c>
    </row>
    <row r="892" spans="1:9" x14ac:dyDescent="0.3">
      <c r="A892">
        <v>20180717</v>
      </c>
      <c r="B892" s="2" t="s">
        <v>4</v>
      </c>
      <c r="C892" s="8">
        <v>46050</v>
      </c>
      <c r="D892" s="8">
        <v>45850</v>
      </c>
      <c r="E892">
        <v>45850</v>
      </c>
      <c r="F892" s="8">
        <v>6419324700</v>
      </c>
      <c r="G892" s="1">
        <v>294326037495000</v>
      </c>
      <c r="H892" s="1">
        <v>217801267746300</v>
      </c>
      <c r="I892">
        <f t="shared" si="13"/>
        <v>0</v>
      </c>
    </row>
    <row r="893" spans="1:9" x14ac:dyDescent="0.3">
      <c r="A893">
        <v>20180718</v>
      </c>
      <c r="B893" s="2" t="s">
        <v>4</v>
      </c>
      <c r="C893" s="8">
        <v>45850</v>
      </c>
      <c r="D893" s="8">
        <v>46550</v>
      </c>
      <c r="E893">
        <v>46550</v>
      </c>
      <c r="F893" s="8">
        <v>6419324700</v>
      </c>
      <c r="G893" s="1">
        <v>298819564785000</v>
      </c>
      <c r="H893" s="1">
        <v>221126477940900</v>
      </c>
      <c r="I893">
        <f t="shared" si="13"/>
        <v>0</v>
      </c>
    </row>
    <row r="894" spans="1:9" x14ac:dyDescent="0.3">
      <c r="A894">
        <v>20180719</v>
      </c>
      <c r="B894" s="2" t="s">
        <v>4</v>
      </c>
      <c r="C894" s="8">
        <v>46550</v>
      </c>
      <c r="D894" s="8">
        <v>46900</v>
      </c>
      <c r="E894">
        <v>46900</v>
      </c>
      <c r="F894" s="8">
        <v>6419324700</v>
      </c>
      <c r="G894" s="1">
        <v>301066328430000</v>
      </c>
      <c r="H894" s="1">
        <v>222789083038200</v>
      </c>
      <c r="I894">
        <f t="shared" si="13"/>
        <v>0</v>
      </c>
    </row>
    <row r="895" spans="1:9" x14ac:dyDescent="0.3">
      <c r="A895">
        <v>20180720</v>
      </c>
      <c r="B895" s="2" t="s">
        <v>4</v>
      </c>
      <c r="C895" s="8">
        <v>46900</v>
      </c>
      <c r="D895" s="8">
        <v>47450</v>
      </c>
      <c r="E895">
        <v>47450</v>
      </c>
      <c r="F895" s="8">
        <v>6419324700</v>
      </c>
      <c r="G895" s="1">
        <v>304596957015000</v>
      </c>
      <c r="H895" s="1">
        <v>225401748191100</v>
      </c>
      <c r="I895">
        <f t="shared" si="13"/>
        <v>0</v>
      </c>
    </row>
    <row r="896" spans="1:9" x14ac:dyDescent="0.3">
      <c r="A896">
        <v>20180723</v>
      </c>
      <c r="B896" s="2" t="s">
        <v>4</v>
      </c>
      <c r="C896" s="8">
        <v>47450</v>
      </c>
      <c r="D896" s="8">
        <v>46500</v>
      </c>
      <c r="E896">
        <v>46500</v>
      </c>
      <c r="F896" s="8">
        <v>6419324700</v>
      </c>
      <c r="G896" s="1">
        <v>298498598550000</v>
      </c>
      <c r="H896" s="1">
        <v>220888962927000</v>
      </c>
      <c r="I896">
        <f t="shared" si="13"/>
        <v>0</v>
      </c>
    </row>
    <row r="897" spans="1:9" x14ac:dyDescent="0.3">
      <c r="A897">
        <v>20180724</v>
      </c>
      <c r="B897" s="2" t="s">
        <v>4</v>
      </c>
      <c r="C897" s="8">
        <v>46500</v>
      </c>
      <c r="D897" s="8">
        <v>46150</v>
      </c>
      <c r="E897">
        <v>46150</v>
      </c>
      <c r="F897" s="8">
        <v>6419324700</v>
      </c>
      <c r="G897" s="1">
        <v>296251834905000</v>
      </c>
      <c r="H897" s="1">
        <v>219226357829700</v>
      </c>
      <c r="I897">
        <f t="shared" si="13"/>
        <v>0</v>
      </c>
    </row>
    <row r="898" spans="1:9" x14ac:dyDescent="0.3">
      <c r="A898">
        <v>20180725</v>
      </c>
      <c r="B898" s="2" t="s">
        <v>4</v>
      </c>
      <c r="C898" s="8">
        <v>46150</v>
      </c>
      <c r="D898" s="8">
        <v>46150</v>
      </c>
      <c r="E898">
        <v>46150</v>
      </c>
      <c r="F898" s="8">
        <v>6419324700</v>
      </c>
      <c r="G898" s="1">
        <v>296251834905000</v>
      </c>
      <c r="H898" s="1">
        <v>219226357829700</v>
      </c>
      <c r="I898">
        <f t="shared" si="13"/>
        <v>0</v>
      </c>
    </row>
    <row r="899" spans="1:9" x14ac:dyDescent="0.3">
      <c r="A899">
        <v>20180726</v>
      </c>
      <c r="B899" s="2" t="s">
        <v>4</v>
      </c>
      <c r="C899" s="8">
        <v>46150</v>
      </c>
      <c r="D899" s="8">
        <v>46900</v>
      </c>
      <c r="E899">
        <v>46900</v>
      </c>
      <c r="F899" s="8">
        <v>6419324700</v>
      </c>
      <c r="G899" s="1">
        <v>301066328430000</v>
      </c>
      <c r="H899" s="1">
        <v>222789083038200</v>
      </c>
      <c r="I899">
        <f t="shared" si="13"/>
        <v>0</v>
      </c>
    </row>
    <row r="900" spans="1:9" x14ac:dyDescent="0.3">
      <c r="A900">
        <v>20180727</v>
      </c>
      <c r="B900" s="2" t="s">
        <v>4</v>
      </c>
      <c r="C900" s="8">
        <v>46900</v>
      </c>
      <c r="D900" s="8">
        <v>46900</v>
      </c>
      <c r="E900">
        <v>46900</v>
      </c>
      <c r="F900" s="8">
        <v>6419324700</v>
      </c>
      <c r="G900" s="1">
        <v>301066328430000</v>
      </c>
      <c r="H900" s="1">
        <v>222789083038200</v>
      </c>
      <c r="I900">
        <f t="shared" ref="I900:I963" si="14">IF(C900*F900=D899*F899,0,1)</f>
        <v>0</v>
      </c>
    </row>
    <row r="901" spans="1:9" x14ac:dyDescent="0.3">
      <c r="A901">
        <v>20180730</v>
      </c>
      <c r="B901" s="2" t="s">
        <v>4</v>
      </c>
      <c r="C901" s="8">
        <v>46900</v>
      </c>
      <c r="D901" s="8">
        <v>46500</v>
      </c>
      <c r="E901">
        <v>46500</v>
      </c>
      <c r="F901" s="8">
        <v>6419324700</v>
      </c>
      <c r="G901" s="1">
        <v>298498598550000</v>
      </c>
      <c r="H901" s="1">
        <v>220888962927000</v>
      </c>
      <c r="I901">
        <f t="shared" si="14"/>
        <v>0</v>
      </c>
    </row>
    <row r="902" spans="1:9" x14ac:dyDescent="0.3">
      <c r="A902">
        <v>20180731</v>
      </c>
      <c r="B902" s="2" t="s">
        <v>4</v>
      </c>
      <c r="C902" s="8">
        <v>46500</v>
      </c>
      <c r="D902" s="8">
        <v>46250</v>
      </c>
      <c r="E902">
        <v>46250</v>
      </c>
      <c r="F902" s="8">
        <v>6419324700</v>
      </c>
      <c r="G902" s="1">
        <v>296893767375000</v>
      </c>
      <c r="H902" s="1">
        <v>219701387857500</v>
      </c>
      <c r="I902">
        <f t="shared" si="14"/>
        <v>0</v>
      </c>
    </row>
    <row r="903" spans="1:9" x14ac:dyDescent="0.3">
      <c r="A903">
        <v>20180801</v>
      </c>
      <c r="B903" s="2" t="s">
        <v>4</v>
      </c>
      <c r="C903" s="8">
        <v>46250</v>
      </c>
      <c r="D903" s="8">
        <v>46550</v>
      </c>
      <c r="E903">
        <v>46550</v>
      </c>
      <c r="F903" s="8">
        <v>6419324700</v>
      </c>
      <c r="G903" s="1">
        <v>298819564785000</v>
      </c>
      <c r="H903" s="1">
        <v>221126477940900</v>
      </c>
      <c r="I903">
        <f t="shared" si="14"/>
        <v>0</v>
      </c>
    </row>
    <row r="904" spans="1:9" x14ac:dyDescent="0.3">
      <c r="A904">
        <v>20180802</v>
      </c>
      <c r="B904" s="2" t="s">
        <v>4</v>
      </c>
      <c r="C904" s="8">
        <v>46550</v>
      </c>
      <c r="D904" s="8">
        <v>45550</v>
      </c>
      <c r="E904">
        <v>45550</v>
      </c>
      <c r="F904" s="8">
        <v>6419324700</v>
      </c>
      <c r="G904" s="1">
        <v>292400240085000</v>
      </c>
      <c r="H904" s="1">
        <v>216376177662900</v>
      </c>
      <c r="I904">
        <f t="shared" si="14"/>
        <v>0</v>
      </c>
    </row>
    <row r="905" spans="1:9" x14ac:dyDescent="0.3">
      <c r="A905">
        <v>20180803</v>
      </c>
      <c r="B905" s="2" t="s">
        <v>4</v>
      </c>
      <c r="C905" s="8">
        <v>45550</v>
      </c>
      <c r="D905" s="8">
        <v>45750</v>
      </c>
      <c r="E905">
        <v>45750</v>
      </c>
      <c r="F905" s="8">
        <v>6419324700</v>
      </c>
      <c r="G905" s="1">
        <v>293684105025000</v>
      </c>
      <c r="H905" s="1">
        <v>217326237718500</v>
      </c>
      <c r="I905">
        <f t="shared" si="14"/>
        <v>0</v>
      </c>
    </row>
    <row r="906" spans="1:9" x14ac:dyDescent="0.3">
      <c r="A906">
        <v>20180806</v>
      </c>
      <c r="B906" s="2" t="s">
        <v>4</v>
      </c>
      <c r="C906" s="8">
        <v>45750</v>
      </c>
      <c r="D906" s="8">
        <v>45800</v>
      </c>
      <c r="E906">
        <v>45800</v>
      </c>
      <c r="F906" s="8">
        <v>6419324700</v>
      </c>
      <c r="G906" s="1">
        <v>294005071260000</v>
      </c>
      <c r="H906" s="1">
        <v>217563752732400</v>
      </c>
      <c r="I906">
        <f t="shared" si="14"/>
        <v>0</v>
      </c>
    </row>
    <row r="907" spans="1:9" x14ac:dyDescent="0.3">
      <c r="A907">
        <v>20180807</v>
      </c>
      <c r="B907" s="2" t="s">
        <v>4</v>
      </c>
      <c r="C907" s="8">
        <v>45800</v>
      </c>
      <c r="D907" s="8">
        <v>46700</v>
      </c>
      <c r="E907">
        <v>46700</v>
      </c>
      <c r="F907" s="8">
        <v>6419324700</v>
      </c>
      <c r="G907" s="1">
        <v>299782463490000</v>
      </c>
      <c r="H907" s="1">
        <v>221839022982600</v>
      </c>
      <c r="I907">
        <f t="shared" si="14"/>
        <v>0</v>
      </c>
    </row>
    <row r="908" spans="1:9" x14ac:dyDescent="0.3">
      <c r="A908">
        <v>20180808</v>
      </c>
      <c r="B908" s="2" t="s">
        <v>4</v>
      </c>
      <c r="C908" s="8">
        <v>46700</v>
      </c>
      <c r="D908" s="8">
        <v>46800</v>
      </c>
      <c r="E908">
        <v>46800</v>
      </c>
      <c r="F908" s="8">
        <v>6419324700</v>
      </c>
      <c r="G908" s="1">
        <v>300424395960000</v>
      </c>
      <c r="H908" s="1">
        <v>222314053010400</v>
      </c>
      <c r="I908">
        <f t="shared" si="14"/>
        <v>0</v>
      </c>
    </row>
    <row r="909" spans="1:9" x14ac:dyDescent="0.3">
      <c r="A909">
        <v>20180809</v>
      </c>
      <c r="B909" s="2" t="s">
        <v>4</v>
      </c>
      <c r="C909" s="8">
        <v>46800</v>
      </c>
      <c r="D909" s="8">
        <v>46900</v>
      </c>
      <c r="E909">
        <v>46900</v>
      </c>
      <c r="F909" s="8">
        <v>6419324700</v>
      </c>
      <c r="G909" s="1">
        <v>301066328430000</v>
      </c>
      <c r="H909" s="1">
        <v>222789083038200</v>
      </c>
      <c r="I909">
        <f t="shared" si="14"/>
        <v>0</v>
      </c>
    </row>
    <row r="910" spans="1:9" x14ac:dyDescent="0.3">
      <c r="A910">
        <v>20180810</v>
      </c>
      <c r="B910" s="2" t="s">
        <v>4</v>
      </c>
      <c r="C910" s="8">
        <v>46900</v>
      </c>
      <c r="D910" s="8">
        <v>45400</v>
      </c>
      <c r="E910">
        <v>45400</v>
      </c>
      <c r="F910" s="8">
        <v>6419324700</v>
      </c>
      <c r="G910" s="1">
        <v>291437341380000</v>
      </c>
      <c r="H910" s="1">
        <v>215663632621200</v>
      </c>
      <c r="I910">
        <f t="shared" si="14"/>
        <v>0</v>
      </c>
    </row>
    <row r="911" spans="1:9" x14ac:dyDescent="0.3">
      <c r="A911">
        <v>20180813</v>
      </c>
      <c r="B911" s="2" t="s">
        <v>4</v>
      </c>
      <c r="C911" s="8">
        <v>45400</v>
      </c>
      <c r="D911" s="8">
        <v>45050</v>
      </c>
      <c r="E911">
        <v>45050</v>
      </c>
      <c r="F911" s="8">
        <v>6419324700</v>
      </c>
      <c r="G911" s="1">
        <v>289190577735000</v>
      </c>
      <c r="H911" s="1">
        <v>214001027523900</v>
      </c>
      <c r="I911">
        <f t="shared" si="14"/>
        <v>0</v>
      </c>
    </row>
    <row r="912" spans="1:9" x14ac:dyDescent="0.3">
      <c r="A912">
        <v>20180814</v>
      </c>
      <c r="B912" s="2" t="s">
        <v>4</v>
      </c>
      <c r="C912" s="8">
        <v>45050</v>
      </c>
      <c r="D912" s="8">
        <v>45150</v>
      </c>
      <c r="E912">
        <v>45150</v>
      </c>
      <c r="F912" s="8">
        <v>6419324700</v>
      </c>
      <c r="G912" s="1">
        <v>289832510205000</v>
      </c>
      <c r="H912" s="1">
        <v>214476057551700</v>
      </c>
      <c r="I912">
        <f t="shared" si="14"/>
        <v>0</v>
      </c>
    </row>
    <row r="913" spans="1:9" x14ac:dyDescent="0.3">
      <c r="A913">
        <v>20180816</v>
      </c>
      <c r="B913" s="2" t="s">
        <v>4</v>
      </c>
      <c r="C913" s="8">
        <v>45150</v>
      </c>
      <c r="D913" s="8">
        <v>44250</v>
      </c>
      <c r="E913">
        <v>44250</v>
      </c>
      <c r="F913" s="8">
        <v>6419324700</v>
      </c>
      <c r="G913" s="1">
        <v>284055117975000</v>
      </c>
      <c r="H913" s="1">
        <v>210200787301500</v>
      </c>
      <c r="I913">
        <f t="shared" si="14"/>
        <v>0</v>
      </c>
    </row>
    <row r="914" spans="1:9" x14ac:dyDescent="0.3">
      <c r="A914">
        <v>20180817</v>
      </c>
      <c r="B914" s="2" t="s">
        <v>4</v>
      </c>
      <c r="C914" s="8">
        <v>44250</v>
      </c>
      <c r="D914" s="8">
        <v>44100</v>
      </c>
      <c r="E914">
        <v>44100</v>
      </c>
      <c r="F914" s="8">
        <v>6419324700</v>
      </c>
      <c r="G914" s="1">
        <v>283092219270000</v>
      </c>
      <c r="H914" s="1">
        <v>209488242259800</v>
      </c>
      <c r="I914">
        <f t="shared" si="14"/>
        <v>0</v>
      </c>
    </row>
    <row r="915" spans="1:9" x14ac:dyDescent="0.3">
      <c r="A915">
        <v>20180820</v>
      </c>
      <c r="B915" s="2" t="s">
        <v>4</v>
      </c>
      <c r="C915" s="8">
        <v>44100</v>
      </c>
      <c r="D915" s="8">
        <v>43850</v>
      </c>
      <c r="E915">
        <v>43850</v>
      </c>
      <c r="F915" s="8">
        <v>6419324700</v>
      </c>
      <c r="G915" s="1">
        <v>281487388095000</v>
      </c>
      <c r="H915" s="1">
        <v>208300667190300</v>
      </c>
      <c r="I915">
        <f t="shared" si="14"/>
        <v>0</v>
      </c>
    </row>
    <row r="916" spans="1:9" x14ac:dyDescent="0.3">
      <c r="A916">
        <v>20180821</v>
      </c>
      <c r="B916" s="2" t="s">
        <v>4</v>
      </c>
      <c r="C916" s="8">
        <v>43850</v>
      </c>
      <c r="D916" s="8">
        <v>44800</v>
      </c>
      <c r="E916">
        <v>44800</v>
      </c>
      <c r="F916" s="8">
        <v>6419324700</v>
      </c>
      <c r="G916" s="1">
        <v>287585746560000</v>
      </c>
      <c r="H916" s="1">
        <v>212813452454400</v>
      </c>
      <c r="I916">
        <f t="shared" si="14"/>
        <v>0</v>
      </c>
    </row>
    <row r="917" spans="1:9" x14ac:dyDescent="0.3">
      <c r="A917">
        <v>20180822</v>
      </c>
      <c r="B917" s="2" t="s">
        <v>4</v>
      </c>
      <c r="C917" s="8">
        <v>44800</v>
      </c>
      <c r="D917" s="8">
        <v>46100</v>
      </c>
      <c r="E917">
        <v>46100</v>
      </c>
      <c r="F917" s="8">
        <v>6419324700</v>
      </c>
      <c r="G917" s="1">
        <v>295930868670000</v>
      </c>
      <c r="H917" s="1">
        <v>218988842815800</v>
      </c>
      <c r="I917">
        <f t="shared" si="14"/>
        <v>0</v>
      </c>
    </row>
    <row r="918" spans="1:9" x14ac:dyDescent="0.3">
      <c r="A918">
        <v>20180823</v>
      </c>
      <c r="B918" s="2" t="s">
        <v>4</v>
      </c>
      <c r="C918" s="8">
        <v>46100</v>
      </c>
      <c r="D918" s="8">
        <v>46200</v>
      </c>
      <c r="E918">
        <v>46200</v>
      </c>
      <c r="F918" s="8">
        <v>6419324700</v>
      </c>
      <c r="G918" s="1">
        <v>296572801140000</v>
      </c>
      <c r="H918" s="1">
        <v>219463872843600</v>
      </c>
      <c r="I918">
        <f t="shared" si="14"/>
        <v>0</v>
      </c>
    </row>
    <row r="919" spans="1:9" x14ac:dyDescent="0.3">
      <c r="A919">
        <v>20180824</v>
      </c>
      <c r="B919" s="2" t="s">
        <v>4</v>
      </c>
      <c r="C919" s="8">
        <v>46200</v>
      </c>
      <c r="D919" s="8">
        <v>46150</v>
      </c>
      <c r="E919">
        <v>46150</v>
      </c>
      <c r="F919" s="8">
        <v>6419324700</v>
      </c>
      <c r="G919" s="1">
        <v>296251834905000</v>
      </c>
      <c r="H919" s="1">
        <v>219226357829700</v>
      </c>
      <c r="I919">
        <f t="shared" si="14"/>
        <v>0</v>
      </c>
    </row>
    <row r="920" spans="1:9" x14ac:dyDescent="0.3">
      <c r="A920">
        <v>20180827</v>
      </c>
      <c r="B920" s="2" t="s">
        <v>4</v>
      </c>
      <c r="C920" s="8">
        <v>46150</v>
      </c>
      <c r="D920" s="8">
        <v>46300</v>
      </c>
      <c r="E920">
        <v>46300</v>
      </c>
      <c r="F920" s="8">
        <v>6419324700</v>
      </c>
      <c r="G920" s="1">
        <v>297214733610000</v>
      </c>
      <c r="H920" s="1">
        <v>219938902871400</v>
      </c>
      <c r="I920">
        <f t="shared" si="14"/>
        <v>0</v>
      </c>
    </row>
    <row r="921" spans="1:9" x14ac:dyDescent="0.3">
      <c r="A921">
        <v>20180828</v>
      </c>
      <c r="B921" s="2" t="s">
        <v>4</v>
      </c>
      <c r="C921" s="8">
        <v>46300</v>
      </c>
      <c r="D921" s="8">
        <v>46550</v>
      </c>
      <c r="E921">
        <v>46550</v>
      </c>
      <c r="F921" s="8">
        <v>6419324700</v>
      </c>
      <c r="G921" s="1">
        <v>298819564785000</v>
      </c>
      <c r="H921" s="1">
        <v>221126477940900</v>
      </c>
      <c r="I921">
        <f t="shared" si="14"/>
        <v>0</v>
      </c>
    </row>
    <row r="922" spans="1:9" x14ac:dyDescent="0.3">
      <c r="A922">
        <v>20180829</v>
      </c>
      <c r="B922" s="2" t="s">
        <v>4</v>
      </c>
      <c r="C922" s="8">
        <v>46550</v>
      </c>
      <c r="D922" s="8">
        <v>46800</v>
      </c>
      <c r="E922">
        <v>46800</v>
      </c>
      <c r="F922" s="8">
        <v>6419324700</v>
      </c>
      <c r="G922" s="1">
        <v>300424395960000</v>
      </c>
      <c r="H922" s="1">
        <v>222314053010400</v>
      </c>
      <c r="I922">
        <f t="shared" si="14"/>
        <v>0</v>
      </c>
    </row>
    <row r="923" spans="1:9" x14ac:dyDescent="0.3">
      <c r="A923">
        <v>20180830</v>
      </c>
      <c r="B923" s="2" t="s">
        <v>4</v>
      </c>
      <c r="C923" s="8">
        <v>46800</v>
      </c>
      <c r="D923" s="8">
        <v>47650</v>
      </c>
      <c r="E923">
        <v>47650</v>
      </c>
      <c r="F923" s="8">
        <v>6419324700</v>
      </c>
      <c r="G923" s="1">
        <v>305880821955000</v>
      </c>
      <c r="H923" s="1">
        <v>226351808246700</v>
      </c>
      <c r="I923">
        <f t="shared" si="14"/>
        <v>0</v>
      </c>
    </row>
    <row r="924" spans="1:9" x14ac:dyDescent="0.3">
      <c r="A924">
        <v>20180831</v>
      </c>
      <c r="B924" s="2" t="s">
        <v>4</v>
      </c>
      <c r="C924" s="8">
        <v>47650</v>
      </c>
      <c r="D924" s="8">
        <v>48450</v>
      </c>
      <c r="E924">
        <v>48450</v>
      </c>
      <c r="F924" s="8">
        <v>6419324700</v>
      </c>
      <c r="G924" s="1">
        <v>311016281715000</v>
      </c>
      <c r="H924" s="1">
        <v>230152048469100</v>
      </c>
      <c r="I924">
        <f t="shared" si="14"/>
        <v>0</v>
      </c>
    </row>
    <row r="925" spans="1:9" x14ac:dyDescent="0.3">
      <c r="A925">
        <v>20180903</v>
      </c>
      <c r="B925" s="2" t="s">
        <v>4</v>
      </c>
      <c r="C925" s="8">
        <v>48450</v>
      </c>
      <c r="D925" s="8">
        <v>47450</v>
      </c>
      <c r="E925">
        <v>47450</v>
      </c>
      <c r="F925" s="8">
        <v>6419324700</v>
      </c>
      <c r="G925" s="1">
        <v>304596957015000</v>
      </c>
      <c r="H925" s="1">
        <v>225401748191100</v>
      </c>
      <c r="I925">
        <f t="shared" si="14"/>
        <v>0</v>
      </c>
    </row>
    <row r="926" spans="1:9" x14ac:dyDescent="0.3">
      <c r="A926">
        <v>20180904</v>
      </c>
      <c r="B926" s="2" t="s">
        <v>4</v>
      </c>
      <c r="C926" s="8">
        <v>47450</v>
      </c>
      <c r="D926" s="8">
        <v>47650</v>
      </c>
      <c r="E926">
        <v>47650</v>
      </c>
      <c r="F926" s="8">
        <v>6419324700</v>
      </c>
      <c r="G926" s="1">
        <v>305880821955000</v>
      </c>
      <c r="H926" s="1">
        <v>226351808246700</v>
      </c>
      <c r="I926">
        <f t="shared" si="14"/>
        <v>0</v>
      </c>
    </row>
    <row r="927" spans="1:9" x14ac:dyDescent="0.3">
      <c r="A927">
        <v>20180905</v>
      </c>
      <c r="B927" s="2" t="s">
        <v>4</v>
      </c>
      <c r="C927" s="8">
        <v>47650</v>
      </c>
      <c r="D927" s="8">
        <v>46600</v>
      </c>
      <c r="E927">
        <v>46600</v>
      </c>
      <c r="F927" s="8">
        <v>6419324700</v>
      </c>
      <c r="G927" s="1">
        <v>299140531020000</v>
      </c>
      <c r="H927" s="1">
        <v>221363992954800</v>
      </c>
      <c r="I927">
        <f t="shared" si="14"/>
        <v>0</v>
      </c>
    </row>
    <row r="928" spans="1:9" x14ac:dyDescent="0.3">
      <c r="A928">
        <v>20180906</v>
      </c>
      <c r="B928" s="2" t="s">
        <v>4</v>
      </c>
      <c r="C928" s="8">
        <v>46600</v>
      </c>
      <c r="D928" s="8">
        <v>46100</v>
      </c>
      <c r="E928">
        <v>46100</v>
      </c>
      <c r="F928" s="8">
        <v>6419324700</v>
      </c>
      <c r="G928" s="1">
        <v>295930868670000</v>
      </c>
      <c r="H928" s="1">
        <v>218988842815800</v>
      </c>
      <c r="I928">
        <f t="shared" si="14"/>
        <v>0</v>
      </c>
    </row>
    <row r="929" spans="1:9" x14ac:dyDescent="0.3">
      <c r="A929">
        <v>20180907</v>
      </c>
      <c r="B929" s="2" t="s">
        <v>4</v>
      </c>
      <c r="C929" s="8">
        <v>46100</v>
      </c>
      <c r="D929" s="8">
        <v>44900</v>
      </c>
      <c r="E929">
        <v>44900</v>
      </c>
      <c r="F929" s="8">
        <v>6419324700</v>
      </c>
      <c r="G929" s="1">
        <v>288227679030000</v>
      </c>
      <c r="H929" s="1">
        <v>213288482482200</v>
      </c>
      <c r="I929">
        <f t="shared" si="14"/>
        <v>0</v>
      </c>
    </row>
    <row r="930" spans="1:9" x14ac:dyDescent="0.3">
      <c r="A930">
        <v>20180910</v>
      </c>
      <c r="B930" s="2" t="s">
        <v>4</v>
      </c>
      <c r="C930" s="8">
        <v>44900</v>
      </c>
      <c r="D930" s="8">
        <v>45500</v>
      </c>
      <c r="E930">
        <v>45500</v>
      </c>
      <c r="F930" s="8">
        <v>6419324700</v>
      </c>
      <c r="G930" s="1">
        <v>292079273850000</v>
      </c>
      <c r="H930" s="1">
        <v>216138662649000</v>
      </c>
      <c r="I930">
        <f t="shared" si="14"/>
        <v>0</v>
      </c>
    </row>
    <row r="931" spans="1:9" x14ac:dyDescent="0.3">
      <c r="A931">
        <v>20180911</v>
      </c>
      <c r="B931" s="2" t="s">
        <v>4</v>
      </c>
      <c r="C931" s="8">
        <v>45500</v>
      </c>
      <c r="D931" s="8">
        <v>45050</v>
      </c>
      <c r="E931">
        <v>45050</v>
      </c>
      <c r="F931" s="8">
        <v>6419324700</v>
      </c>
      <c r="G931" s="1">
        <v>289190577735000</v>
      </c>
      <c r="H931" s="1">
        <v>214001027523900</v>
      </c>
      <c r="I931">
        <f t="shared" si="14"/>
        <v>0</v>
      </c>
    </row>
    <row r="932" spans="1:9" x14ac:dyDescent="0.3">
      <c r="A932">
        <v>20180912</v>
      </c>
      <c r="B932" s="2" t="s">
        <v>4</v>
      </c>
      <c r="C932" s="8">
        <v>45050</v>
      </c>
      <c r="D932" s="8">
        <v>44550</v>
      </c>
      <c r="E932">
        <v>44550</v>
      </c>
      <c r="F932" s="8">
        <v>6419324700</v>
      </c>
      <c r="G932" s="1">
        <v>285980915385000</v>
      </c>
      <c r="H932" s="1">
        <v>211625877384900</v>
      </c>
      <c r="I932">
        <f t="shared" si="14"/>
        <v>0</v>
      </c>
    </row>
    <row r="933" spans="1:9" x14ac:dyDescent="0.3">
      <c r="A933">
        <v>20180913</v>
      </c>
      <c r="B933" s="2" t="s">
        <v>4</v>
      </c>
      <c r="C933" s="8">
        <v>44550</v>
      </c>
      <c r="D933" s="8">
        <v>44050</v>
      </c>
      <c r="E933">
        <v>44050</v>
      </c>
      <c r="F933" s="8">
        <v>6419324700</v>
      </c>
      <c r="G933" s="1">
        <v>282771253035000</v>
      </c>
      <c r="H933" s="1">
        <v>209250727245900</v>
      </c>
      <c r="I933">
        <f t="shared" si="14"/>
        <v>0</v>
      </c>
    </row>
    <row r="934" spans="1:9" x14ac:dyDescent="0.3">
      <c r="A934">
        <v>20180914</v>
      </c>
      <c r="B934" s="2" t="s">
        <v>4</v>
      </c>
      <c r="C934" s="8">
        <v>44050</v>
      </c>
      <c r="D934" s="8">
        <v>45850</v>
      </c>
      <c r="E934">
        <v>45850</v>
      </c>
      <c r="F934" s="8">
        <v>6419324700</v>
      </c>
      <c r="G934" s="1">
        <v>294326037495000</v>
      </c>
      <c r="H934" s="1">
        <v>217801267746300</v>
      </c>
      <c r="I934">
        <f t="shared" si="14"/>
        <v>0</v>
      </c>
    </row>
    <row r="935" spans="1:9" x14ac:dyDescent="0.3">
      <c r="A935">
        <v>20180917</v>
      </c>
      <c r="B935" s="2" t="s">
        <v>4</v>
      </c>
      <c r="C935" s="8">
        <v>45850</v>
      </c>
      <c r="D935" s="8">
        <v>45150</v>
      </c>
      <c r="E935">
        <v>45150</v>
      </c>
      <c r="F935" s="8">
        <v>6419324700</v>
      </c>
      <c r="G935" s="1">
        <v>289832510205000</v>
      </c>
      <c r="H935" s="1">
        <v>214476057551700</v>
      </c>
      <c r="I935">
        <f t="shared" si="14"/>
        <v>0</v>
      </c>
    </row>
    <row r="936" spans="1:9" x14ac:dyDescent="0.3">
      <c r="A936">
        <v>20180918</v>
      </c>
      <c r="B936" s="2" t="s">
        <v>4</v>
      </c>
      <c r="C936" s="8">
        <v>45150</v>
      </c>
      <c r="D936" s="8">
        <v>45500</v>
      </c>
      <c r="E936">
        <v>45500</v>
      </c>
      <c r="F936" s="8">
        <v>6419324700</v>
      </c>
      <c r="G936" s="1">
        <v>292079273850000</v>
      </c>
      <c r="H936" s="1">
        <v>216138662649000</v>
      </c>
      <c r="I936">
        <f t="shared" si="14"/>
        <v>0</v>
      </c>
    </row>
    <row r="937" spans="1:9" x14ac:dyDescent="0.3">
      <c r="A937">
        <v>20180919</v>
      </c>
      <c r="B937" s="2" t="s">
        <v>4</v>
      </c>
      <c r="C937" s="8">
        <v>45500</v>
      </c>
      <c r="D937" s="8">
        <v>46150</v>
      </c>
      <c r="E937">
        <v>46150</v>
      </c>
      <c r="F937" s="8">
        <v>6419324700</v>
      </c>
      <c r="G937" s="1">
        <v>296251834905000</v>
      </c>
      <c r="H937" s="1">
        <v>219226357829700</v>
      </c>
      <c r="I937">
        <f t="shared" si="14"/>
        <v>0</v>
      </c>
    </row>
    <row r="938" spans="1:9" x14ac:dyDescent="0.3">
      <c r="A938">
        <v>20180920</v>
      </c>
      <c r="B938" s="2" t="s">
        <v>4</v>
      </c>
      <c r="C938" s="8">
        <v>46150</v>
      </c>
      <c r="D938" s="8">
        <v>47250</v>
      </c>
      <c r="E938">
        <v>47250</v>
      </c>
      <c r="F938" s="8">
        <v>6419324700</v>
      </c>
      <c r="G938" s="1">
        <v>303313092075000</v>
      </c>
      <c r="H938" s="1">
        <v>224451688135500</v>
      </c>
      <c r="I938">
        <f t="shared" si="14"/>
        <v>0</v>
      </c>
    </row>
    <row r="939" spans="1:9" x14ac:dyDescent="0.3">
      <c r="A939">
        <v>20180921</v>
      </c>
      <c r="B939" s="2" t="s">
        <v>4</v>
      </c>
      <c r="C939" s="8">
        <v>47250</v>
      </c>
      <c r="D939" s="8">
        <v>47400</v>
      </c>
      <c r="E939">
        <v>47400</v>
      </c>
      <c r="F939" s="8">
        <v>6419324700</v>
      </c>
      <c r="G939" s="1">
        <v>304275990780000</v>
      </c>
      <c r="H939" s="1">
        <v>225164233177200</v>
      </c>
      <c r="I939">
        <f t="shared" si="14"/>
        <v>0</v>
      </c>
    </row>
    <row r="940" spans="1:9" x14ac:dyDescent="0.3">
      <c r="A940">
        <v>20180927</v>
      </c>
      <c r="B940" s="2" t="s">
        <v>4</v>
      </c>
      <c r="C940" s="8">
        <v>47400</v>
      </c>
      <c r="D940" s="8">
        <v>47500</v>
      </c>
      <c r="E940">
        <v>47500</v>
      </c>
      <c r="F940" s="8">
        <v>6419324700</v>
      </c>
      <c r="G940" s="1">
        <v>304917923250000</v>
      </c>
      <c r="H940" s="1">
        <v>225639263205000</v>
      </c>
      <c r="I940">
        <f t="shared" si="14"/>
        <v>0</v>
      </c>
    </row>
    <row r="941" spans="1:9" x14ac:dyDescent="0.3">
      <c r="A941">
        <v>20180928</v>
      </c>
      <c r="B941" s="2" t="s">
        <v>4</v>
      </c>
      <c r="C941" s="8">
        <v>47500</v>
      </c>
      <c r="D941" s="8">
        <v>46450</v>
      </c>
      <c r="E941">
        <v>46450</v>
      </c>
      <c r="F941" s="8">
        <v>6419324700</v>
      </c>
      <c r="G941" s="1">
        <v>298177632315000</v>
      </c>
      <c r="H941" s="1">
        <v>220651447913100</v>
      </c>
      <c r="I941">
        <f t="shared" si="14"/>
        <v>0</v>
      </c>
    </row>
    <row r="942" spans="1:9" x14ac:dyDescent="0.3">
      <c r="A942">
        <v>20181001</v>
      </c>
      <c r="B942" s="2" t="s">
        <v>4</v>
      </c>
      <c r="C942" s="8">
        <v>46450</v>
      </c>
      <c r="D942" s="8">
        <v>46350</v>
      </c>
      <c r="E942">
        <v>46350</v>
      </c>
      <c r="F942" s="8">
        <v>6419324700</v>
      </c>
      <c r="G942" s="1">
        <v>297535699845000</v>
      </c>
      <c r="H942" s="1">
        <v>220176417885300</v>
      </c>
      <c r="I942">
        <f t="shared" si="14"/>
        <v>0</v>
      </c>
    </row>
    <row r="943" spans="1:9" x14ac:dyDescent="0.3">
      <c r="A943">
        <v>20181002</v>
      </c>
      <c r="B943" s="2" t="s">
        <v>4</v>
      </c>
      <c r="C943" s="8">
        <v>46350</v>
      </c>
      <c r="D943" s="8">
        <v>45700</v>
      </c>
      <c r="E943">
        <v>45700</v>
      </c>
      <c r="F943" s="8">
        <v>6419324700</v>
      </c>
      <c r="G943" s="1">
        <v>293363138790000</v>
      </c>
      <c r="H943" s="1">
        <v>217088722704600</v>
      </c>
      <c r="I943">
        <f t="shared" si="14"/>
        <v>0</v>
      </c>
    </row>
    <row r="944" spans="1:9" x14ac:dyDescent="0.3">
      <c r="A944">
        <v>20181004</v>
      </c>
      <c r="B944" s="2" t="s">
        <v>4</v>
      </c>
      <c r="C944" s="8">
        <v>45700</v>
      </c>
      <c r="D944" s="8">
        <v>44700</v>
      </c>
      <c r="E944">
        <v>44700</v>
      </c>
      <c r="F944" s="8">
        <v>6419324700</v>
      </c>
      <c r="G944" s="1">
        <v>286943814090000</v>
      </c>
      <c r="H944" s="1">
        <v>212338422426600</v>
      </c>
      <c r="I944">
        <f t="shared" si="14"/>
        <v>0</v>
      </c>
    </row>
    <row r="945" spans="1:9" x14ac:dyDescent="0.3">
      <c r="A945">
        <v>20181005</v>
      </c>
      <c r="B945" s="2" t="s">
        <v>4</v>
      </c>
      <c r="C945" s="8">
        <v>44700</v>
      </c>
      <c r="D945" s="8">
        <v>44700</v>
      </c>
      <c r="E945">
        <v>44700</v>
      </c>
      <c r="F945" s="8">
        <v>6419324700</v>
      </c>
      <c r="G945" s="1">
        <v>286943814090000</v>
      </c>
      <c r="H945" s="1">
        <v>212338422426600</v>
      </c>
      <c r="I945">
        <f t="shared" si="14"/>
        <v>0</v>
      </c>
    </row>
    <row r="946" spans="1:9" x14ac:dyDescent="0.3">
      <c r="A946">
        <v>20181008</v>
      </c>
      <c r="B946" s="2" t="s">
        <v>4</v>
      </c>
      <c r="C946" s="8">
        <v>44700</v>
      </c>
      <c r="D946" s="8">
        <v>44950</v>
      </c>
      <c r="E946">
        <v>44950</v>
      </c>
      <c r="F946" s="8">
        <v>6419324700</v>
      </c>
      <c r="G946" s="1">
        <v>288548645265000</v>
      </c>
      <c r="H946" s="1">
        <v>213525997496100</v>
      </c>
      <c r="I946">
        <f t="shared" si="14"/>
        <v>0</v>
      </c>
    </row>
    <row r="947" spans="1:9" x14ac:dyDescent="0.3">
      <c r="A947">
        <v>20181010</v>
      </c>
      <c r="B947" s="2" t="s">
        <v>4</v>
      </c>
      <c r="C947" s="8">
        <v>44950</v>
      </c>
      <c r="D947" s="8">
        <v>45300</v>
      </c>
      <c r="E947">
        <v>45300</v>
      </c>
      <c r="F947" s="8">
        <v>6419324700</v>
      </c>
      <c r="G947" s="1">
        <v>290795408910000</v>
      </c>
      <c r="H947" s="1">
        <v>215188602593400</v>
      </c>
      <c r="I947">
        <f t="shared" si="14"/>
        <v>0</v>
      </c>
    </row>
    <row r="948" spans="1:9" x14ac:dyDescent="0.3">
      <c r="A948">
        <v>20181011</v>
      </c>
      <c r="B948" s="2" t="s">
        <v>4</v>
      </c>
      <c r="C948" s="8">
        <v>45300</v>
      </c>
      <c r="D948" s="8">
        <v>43100</v>
      </c>
      <c r="E948">
        <v>43100</v>
      </c>
      <c r="F948" s="8">
        <v>6419324700</v>
      </c>
      <c r="G948" s="1">
        <v>276672894570000</v>
      </c>
      <c r="H948" s="1">
        <v>204737941981800</v>
      </c>
      <c r="I948">
        <f t="shared" si="14"/>
        <v>0</v>
      </c>
    </row>
    <row r="949" spans="1:9" x14ac:dyDescent="0.3">
      <c r="A949">
        <v>20181012</v>
      </c>
      <c r="B949" s="2" t="s">
        <v>4</v>
      </c>
      <c r="C949" s="8">
        <v>43100</v>
      </c>
      <c r="D949" s="8">
        <v>44000</v>
      </c>
      <c r="E949">
        <v>44000</v>
      </c>
      <c r="F949" s="8">
        <v>6419324700</v>
      </c>
      <c r="G949" s="1">
        <v>282450286800000</v>
      </c>
      <c r="H949" s="1">
        <v>209013212232000</v>
      </c>
      <c r="I949">
        <f t="shared" si="14"/>
        <v>0</v>
      </c>
    </row>
    <row r="950" spans="1:9" x14ac:dyDescent="0.3">
      <c r="A950">
        <v>20181015</v>
      </c>
      <c r="B950" s="2" t="s">
        <v>4</v>
      </c>
      <c r="C950" s="8">
        <v>44000</v>
      </c>
      <c r="D950" s="8">
        <v>43800</v>
      </c>
      <c r="E950">
        <v>43800</v>
      </c>
      <c r="F950" s="8">
        <v>6419324700</v>
      </c>
      <c r="G950" s="1">
        <v>281166421860000</v>
      </c>
      <c r="H950" s="1">
        <v>208063152176400</v>
      </c>
      <c r="I950">
        <f t="shared" si="14"/>
        <v>0</v>
      </c>
    </row>
    <row r="951" spans="1:9" x14ac:dyDescent="0.3">
      <c r="A951">
        <v>20181016</v>
      </c>
      <c r="B951" s="2" t="s">
        <v>4</v>
      </c>
      <c r="C951" s="8">
        <v>43800</v>
      </c>
      <c r="D951" s="8">
        <v>43600</v>
      </c>
      <c r="E951">
        <v>43600</v>
      </c>
      <c r="F951" s="8">
        <v>6419324700</v>
      </c>
      <c r="G951" s="1">
        <v>279882556920000</v>
      </c>
      <c r="H951" s="1">
        <v>207113092120800</v>
      </c>
      <c r="I951">
        <f t="shared" si="14"/>
        <v>0</v>
      </c>
    </row>
    <row r="952" spans="1:9" x14ac:dyDescent="0.3">
      <c r="A952">
        <v>20181017</v>
      </c>
      <c r="B952" s="2" t="s">
        <v>4</v>
      </c>
      <c r="C952" s="8">
        <v>43600</v>
      </c>
      <c r="D952" s="8">
        <v>44150</v>
      </c>
      <c r="E952">
        <v>44150</v>
      </c>
      <c r="F952" s="8">
        <v>6419324700</v>
      </c>
      <c r="G952" s="1">
        <v>283413185505000</v>
      </c>
      <c r="H952" s="1">
        <v>209725757273700</v>
      </c>
      <c r="I952">
        <f t="shared" si="14"/>
        <v>0</v>
      </c>
    </row>
    <row r="953" spans="1:9" x14ac:dyDescent="0.3">
      <c r="A953">
        <v>20181018</v>
      </c>
      <c r="B953" s="2" t="s">
        <v>4</v>
      </c>
      <c r="C953" s="8">
        <v>44150</v>
      </c>
      <c r="D953" s="8">
        <v>44050</v>
      </c>
      <c r="E953">
        <v>44050</v>
      </c>
      <c r="F953" s="8">
        <v>6419324700</v>
      </c>
      <c r="G953" s="1">
        <v>282771253035000</v>
      </c>
      <c r="H953" s="1">
        <v>209250727245900</v>
      </c>
      <c r="I953">
        <f t="shared" si="14"/>
        <v>0</v>
      </c>
    </row>
    <row r="954" spans="1:9" x14ac:dyDescent="0.3">
      <c r="A954">
        <v>20181019</v>
      </c>
      <c r="B954" s="2" t="s">
        <v>4</v>
      </c>
      <c r="C954" s="8">
        <v>44050</v>
      </c>
      <c r="D954" s="8">
        <v>43900</v>
      </c>
      <c r="E954">
        <v>43900</v>
      </c>
      <c r="F954" s="8">
        <v>6419324700</v>
      </c>
      <c r="G954" s="1">
        <v>281808354330000</v>
      </c>
      <c r="H954" s="1">
        <v>208538182204200</v>
      </c>
      <c r="I954">
        <f t="shared" si="14"/>
        <v>0</v>
      </c>
    </row>
    <row r="955" spans="1:9" x14ac:dyDescent="0.3">
      <c r="A955">
        <v>20181022</v>
      </c>
      <c r="B955" s="2" t="s">
        <v>4</v>
      </c>
      <c r="C955" s="8">
        <v>43900</v>
      </c>
      <c r="D955" s="8">
        <v>43550</v>
      </c>
      <c r="E955">
        <v>43550</v>
      </c>
      <c r="F955" s="8">
        <v>6419324700</v>
      </c>
      <c r="G955" s="1">
        <v>279561590685000</v>
      </c>
      <c r="H955" s="1">
        <v>206875577106900</v>
      </c>
      <c r="I955">
        <f t="shared" si="14"/>
        <v>0</v>
      </c>
    </row>
    <row r="956" spans="1:9" x14ac:dyDescent="0.3">
      <c r="A956">
        <v>20181023</v>
      </c>
      <c r="B956" s="2" t="s">
        <v>4</v>
      </c>
      <c r="C956" s="8">
        <v>43550</v>
      </c>
      <c r="D956" s="8">
        <v>43050</v>
      </c>
      <c r="E956">
        <v>43050</v>
      </c>
      <c r="F956" s="8">
        <v>6419324700</v>
      </c>
      <c r="G956" s="1">
        <v>276351928335000</v>
      </c>
      <c r="H956" s="1">
        <v>204500426967900</v>
      </c>
      <c r="I956">
        <f t="shared" si="14"/>
        <v>0</v>
      </c>
    </row>
    <row r="957" spans="1:9" x14ac:dyDescent="0.3">
      <c r="A957">
        <v>20181024</v>
      </c>
      <c r="B957" s="2" t="s">
        <v>4</v>
      </c>
      <c r="C957" s="8">
        <v>43050</v>
      </c>
      <c r="D957" s="8">
        <v>42550</v>
      </c>
      <c r="E957">
        <v>42550</v>
      </c>
      <c r="F957" s="8">
        <v>6419324700</v>
      </c>
      <c r="G957" s="1">
        <v>273142265985000</v>
      </c>
      <c r="H957" s="1">
        <v>202125276828900</v>
      </c>
      <c r="I957">
        <f t="shared" si="14"/>
        <v>0</v>
      </c>
    </row>
    <row r="958" spans="1:9" x14ac:dyDescent="0.3">
      <c r="A958">
        <v>20181025</v>
      </c>
      <c r="B958" s="2" t="s">
        <v>4</v>
      </c>
      <c r="C958" s="8">
        <v>42550</v>
      </c>
      <c r="D958" s="8">
        <v>41000</v>
      </c>
      <c r="E958">
        <v>41000</v>
      </c>
      <c r="F958" s="8">
        <v>6419324700</v>
      </c>
      <c r="G958" s="1">
        <v>263192312700000</v>
      </c>
      <c r="H958" s="1">
        <v>194762311398000</v>
      </c>
      <c r="I958">
        <f t="shared" si="14"/>
        <v>0</v>
      </c>
    </row>
    <row r="959" spans="1:9" x14ac:dyDescent="0.3">
      <c r="A959">
        <v>20181026</v>
      </c>
      <c r="B959" s="2" t="s">
        <v>4</v>
      </c>
      <c r="C959" s="8">
        <v>41000</v>
      </c>
      <c r="D959" s="8">
        <v>41000</v>
      </c>
      <c r="E959">
        <v>41000</v>
      </c>
      <c r="F959" s="8">
        <v>6419324700</v>
      </c>
      <c r="G959" s="1">
        <v>263192312700000</v>
      </c>
      <c r="H959" s="1">
        <v>194762311398000</v>
      </c>
      <c r="I959">
        <f t="shared" si="14"/>
        <v>0</v>
      </c>
    </row>
    <row r="960" spans="1:9" x14ac:dyDescent="0.3">
      <c r="A960">
        <v>20181029</v>
      </c>
      <c r="B960" s="2" t="s">
        <v>4</v>
      </c>
      <c r="C960" s="8">
        <v>41000</v>
      </c>
      <c r="D960" s="8">
        <v>41400</v>
      </c>
      <c r="E960">
        <v>41400</v>
      </c>
      <c r="F960" s="8">
        <v>6419324700</v>
      </c>
      <c r="G960" s="1">
        <v>265760042580000</v>
      </c>
      <c r="H960" s="1">
        <v>196662431509200</v>
      </c>
      <c r="I960">
        <f t="shared" si="14"/>
        <v>0</v>
      </c>
    </row>
    <row r="961" spans="1:9" x14ac:dyDescent="0.3">
      <c r="A961">
        <v>20181030</v>
      </c>
      <c r="B961" s="2" t="s">
        <v>4</v>
      </c>
      <c r="C961" s="8">
        <v>41400</v>
      </c>
      <c r="D961" s="8">
        <v>42350</v>
      </c>
      <c r="E961">
        <v>42350</v>
      </c>
      <c r="F961" s="8">
        <v>6419324700</v>
      </c>
      <c r="G961" s="1">
        <v>271858401045000</v>
      </c>
      <c r="H961" s="1">
        <v>201175216773300</v>
      </c>
      <c r="I961">
        <f t="shared" si="14"/>
        <v>0</v>
      </c>
    </row>
    <row r="962" spans="1:9" x14ac:dyDescent="0.3">
      <c r="A962">
        <v>20181031</v>
      </c>
      <c r="B962" s="2" t="s">
        <v>4</v>
      </c>
      <c r="C962" s="8">
        <v>42350</v>
      </c>
      <c r="D962" s="8">
        <v>42400</v>
      </c>
      <c r="E962">
        <v>42400</v>
      </c>
      <c r="F962" s="8">
        <v>6419324700</v>
      </c>
      <c r="G962" s="1">
        <v>272179367280000</v>
      </c>
      <c r="H962" s="1">
        <v>201412731787200</v>
      </c>
      <c r="I962">
        <f t="shared" si="14"/>
        <v>0</v>
      </c>
    </row>
    <row r="963" spans="1:9" x14ac:dyDescent="0.3">
      <c r="A963">
        <v>20181101</v>
      </c>
      <c r="B963" s="2" t="s">
        <v>4</v>
      </c>
      <c r="C963" s="8">
        <v>42400</v>
      </c>
      <c r="D963" s="8">
        <v>42150</v>
      </c>
      <c r="E963">
        <v>42150</v>
      </c>
      <c r="F963" s="8">
        <v>6419324700</v>
      </c>
      <c r="G963" s="1">
        <v>270574536105000</v>
      </c>
      <c r="H963" s="1">
        <v>200225156717700</v>
      </c>
      <c r="I963">
        <f t="shared" si="14"/>
        <v>0</v>
      </c>
    </row>
    <row r="964" spans="1:9" x14ac:dyDescent="0.3">
      <c r="A964">
        <v>20181102</v>
      </c>
      <c r="B964" s="2" t="s">
        <v>4</v>
      </c>
      <c r="C964" s="8">
        <v>42150</v>
      </c>
      <c r="D964" s="8">
        <v>44150</v>
      </c>
      <c r="E964">
        <v>44150</v>
      </c>
      <c r="F964" s="8">
        <v>6419324700</v>
      </c>
      <c r="G964" s="1">
        <v>283413185505000</v>
      </c>
      <c r="H964" s="1">
        <v>209725757273700</v>
      </c>
      <c r="I964">
        <f t="shared" ref="I964:I1027" si="15">IF(C964*F964=D963*F963,0,1)</f>
        <v>0</v>
      </c>
    </row>
    <row r="965" spans="1:9" x14ac:dyDescent="0.3">
      <c r="A965">
        <v>20181105</v>
      </c>
      <c r="B965" s="2" t="s">
        <v>4</v>
      </c>
      <c r="C965" s="8">
        <v>44150</v>
      </c>
      <c r="D965" s="8">
        <v>43800</v>
      </c>
      <c r="E965">
        <v>43800</v>
      </c>
      <c r="F965" s="8">
        <v>6419324700</v>
      </c>
      <c r="G965" s="1">
        <v>281166421860000</v>
      </c>
      <c r="H965" s="1">
        <v>208063152176400</v>
      </c>
      <c r="I965">
        <f t="shared" si="15"/>
        <v>0</v>
      </c>
    </row>
    <row r="966" spans="1:9" x14ac:dyDescent="0.3">
      <c r="A966">
        <v>20181106</v>
      </c>
      <c r="B966" s="2" t="s">
        <v>4</v>
      </c>
      <c r="C966" s="8">
        <v>43800</v>
      </c>
      <c r="D966" s="8">
        <v>43750</v>
      </c>
      <c r="E966">
        <v>43750</v>
      </c>
      <c r="F966" s="8">
        <v>6419324700</v>
      </c>
      <c r="G966" s="1">
        <v>280845455625000</v>
      </c>
      <c r="H966" s="1">
        <v>207825637162500</v>
      </c>
      <c r="I966">
        <f t="shared" si="15"/>
        <v>0</v>
      </c>
    </row>
    <row r="967" spans="1:9" x14ac:dyDescent="0.3">
      <c r="A967">
        <v>20181107</v>
      </c>
      <c r="B967" s="2" t="s">
        <v>4</v>
      </c>
      <c r="C967" s="8">
        <v>43750</v>
      </c>
      <c r="D967" s="8">
        <v>44000</v>
      </c>
      <c r="E967">
        <v>44000</v>
      </c>
      <c r="F967" s="8">
        <v>6419324700</v>
      </c>
      <c r="G967" s="1">
        <v>282450286800000</v>
      </c>
      <c r="H967" s="1">
        <v>209013212232000</v>
      </c>
      <c r="I967">
        <f t="shared" si="15"/>
        <v>0</v>
      </c>
    </row>
    <row r="968" spans="1:9" x14ac:dyDescent="0.3">
      <c r="A968">
        <v>20181108</v>
      </c>
      <c r="B968" s="2" t="s">
        <v>4</v>
      </c>
      <c r="C968" s="8">
        <v>44000</v>
      </c>
      <c r="D968" s="8">
        <v>44050</v>
      </c>
      <c r="E968">
        <v>44050</v>
      </c>
      <c r="F968" s="8">
        <v>6419324700</v>
      </c>
      <c r="G968" s="1">
        <v>282771253035000</v>
      </c>
      <c r="H968" s="1">
        <v>209250727245900</v>
      </c>
      <c r="I968">
        <f t="shared" si="15"/>
        <v>0</v>
      </c>
    </row>
    <row r="969" spans="1:9" x14ac:dyDescent="0.3">
      <c r="A969">
        <v>20181109</v>
      </c>
      <c r="B969" s="2" t="s">
        <v>4</v>
      </c>
      <c r="C969" s="8">
        <v>44050</v>
      </c>
      <c r="D969" s="8">
        <v>44300</v>
      </c>
      <c r="E969">
        <v>44300</v>
      </c>
      <c r="F969" s="8">
        <v>6419324700</v>
      </c>
      <c r="G969" s="1">
        <v>284376084210000</v>
      </c>
      <c r="H969" s="1">
        <v>210438302315400</v>
      </c>
      <c r="I969">
        <f t="shared" si="15"/>
        <v>0</v>
      </c>
    </row>
    <row r="970" spans="1:9" x14ac:dyDescent="0.3">
      <c r="A970">
        <v>20181112</v>
      </c>
      <c r="B970" s="2" t="s">
        <v>4</v>
      </c>
      <c r="C970" s="8">
        <v>44300</v>
      </c>
      <c r="D970" s="8">
        <v>45200</v>
      </c>
      <c r="E970">
        <v>45200</v>
      </c>
      <c r="F970" s="8">
        <v>6419324700</v>
      </c>
      <c r="G970" s="1">
        <v>290153476440000</v>
      </c>
      <c r="H970" s="1">
        <v>214713572565600</v>
      </c>
      <c r="I970">
        <f t="shared" si="15"/>
        <v>0</v>
      </c>
    </row>
    <row r="971" spans="1:9" x14ac:dyDescent="0.3">
      <c r="A971">
        <v>20181113</v>
      </c>
      <c r="B971" s="2" t="s">
        <v>4</v>
      </c>
      <c r="C971" s="8">
        <v>45200</v>
      </c>
      <c r="D971" s="8">
        <v>44500</v>
      </c>
      <c r="E971">
        <v>44500</v>
      </c>
      <c r="F971" s="8">
        <v>6419324700</v>
      </c>
      <c r="G971" s="1">
        <v>285659949150000</v>
      </c>
      <c r="H971" s="1">
        <v>211388362371000</v>
      </c>
      <c r="I971">
        <f t="shared" si="15"/>
        <v>0</v>
      </c>
    </row>
    <row r="972" spans="1:9" x14ac:dyDescent="0.3">
      <c r="A972">
        <v>20181114</v>
      </c>
      <c r="B972" s="2" t="s">
        <v>4</v>
      </c>
      <c r="C972" s="8">
        <v>44500</v>
      </c>
      <c r="D972" s="8">
        <v>44100</v>
      </c>
      <c r="E972">
        <v>44100</v>
      </c>
      <c r="F972" s="8">
        <v>6419324700</v>
      </c>
      <c r="G972" s="1">
        <v>283092219270000</v>
      </c>
      <c r="H972" s="1">
        <v>209488242259800</v>
      </c>
      <c r="I972">
        <f t="shared" si="15"/>
        <v>0</v>
      </c>
    </row>
    <row r="973" spans="1:9" x14ac:dyDescent="0.3">
      <c r="A973">
        <v>20181115</v>
      </c>
      <c r="B973" s="2" t="s">
        <v>4</v>
      </c>
      <c r="C973" s="8">
        <v>44100</v>
      </c>
      <c r="D973" s="8">
        <v>44250</v>
      </c>
      <c r="E973">
        <v>44250</v>
      </c>
      <c r="F973" s="8">
        <v>6419324700</v>
      </c>
      <c r="G973" s="1">
        <v>284055117975000</v>
      </c>
      <c r="H973" s="1">
        <v>210200787301500</v>
      </c>
      <c r="I973">
        <f t="shared" si="15"/>
        <v>0</v>
      </c>
    </row>
    <row r="974" spans="1:9" x14ac:dyDescent="0.3">
      <c r="A974">
        <v>20181116</v>
      </c>
      <c r="B974" s="2" t="s">
        <v>4</v>
      </c>
      <c r="C974" s="8">
        <v>44250</v>
      </c>
      <c r="D974" s="8">
        <v>44000</v>
      </c>
      <c r="E974">
        <v>44000</v>
      </c>
      <c r="F974" s="8">
        <v>6419324700</v>
      </c>
      <c r="G974" s="1">
        <v>282450286800000</v>
      </c>
      <c r="H974" s="1">
        <v>209013212232000</v>
      </c>
      <c r="I974">
        <f t="shared" si="15"/>
        <v>0</v>
      </c>
    </row>
    <row r="975" spans="1:9" x14ac:dyDescent="0.3">
      <c r="A975">
        <v>20181119</v>
      </c>
      <c r="B975" s="2" t="s">
        <v>4</v>
      </c>
      <c r="C975" s="8">
        <v>44000</v>
      </c>
      <c r="D975" s="8">
        <v>43650</v>
      </c>
      <c r="E975">
        <v>43650</v>
      </c>
      <c r="F975" s="8">
        <v>6419324700</v>
      </c>
      <c r="G975" s="1">
        <v>280203523155000</v>
      </c>
      <c r="H975" s="1">
        <v>207350607134700</v>
      </c>
      <c r="I975">
        <f t="shared" si="15"/>
        <v>0</v>
      </c>
    </row>
    <row r="976" spans="1:9" x14ac:dyDescent="0.3">
      <c r="A976">
        <v>20181120</v>
      </c>
      <c r="B976" s="2" t="s">
        <v>4</v>
      </c>
      <c r="C976" s="8">
        <v>43650</v>
      </c>
      <c r="D976" s="8">
        <v>42800</v>
      </c>
      <c r="E976">
        <v>42800</v>
      </c>
      <c r="F976" s="8">
        <v>6419324700</v>
      </c>
      <c r="G976" s="1">
        <v>274747097160000</v>
      </c>
      <c r="H976" s="1">
        <v>203312851898400</v>
      </c>
      <c r="I976">
        <f t="shared" si="15"/>
        <v>0</v>
      </c>
    </row>
    <row r="977" spans="1:10" x14ac:dyDescent="0.3">
      <c r="A977">
        <v>20181121</v>
      </c>
      <c r="B977" s="2" t="s">
        <v>4</v>
      </c>
      <c r="C977" s="8">
        <v>42800</v>
      </c>
      <c r="D977" s="8">
        <v>42100</v>
      </c>
      <c r="E977">
        <v>42100</v>
      </c>
      <c r="F977" s="8">
        <v>6419324700</v>
      </c>
      <c r="G977" s="1">
        <v>270253569870000</v>
      </c>
      <c r="H977" s="1">
        <v>199987641703800</v>
      </c>
      <c r="I977">
        <f t="shared" si="15"/>
        <v>0</v>
      </c>
    </row>
    <row r="978" spans="1:10" x14ac:dyDescent="0.3">
      <c r="A978">
        <v>20181122</v>
      </c>
      <c r="B978" s="2" t="s">
        <v>4</v>
      </c>
      <c r="C978" s="8">
        <v>42100</v>
      </c>
      <c r="D978" s="8">
        <v>42450</v>
      </c>
      <c r="E978">
        <v>42450</v>
      </c>
      <c r="F978" s="8">
        <v>6419324700</v>
      </c>
      <c r="G978" s="1">
        <v>272500333515000</v>
      </c>
      <c r="H978" s="1">
        <v>201650246801100</v>
      </c>
      <c r="I978">
        <f t="shared" si="15"/>
        <v>0</v>
      </c>
    </row>
    <row r="979" spans="1:10" x14ac:dyDescent="0.3">
      <c r="A979">
        <v>20181123</v>
      </c>
      <c r="B979" s="2" t="s">
        <v>4</v>
      </c>
      <c r="C979" s="8">
        <v>42450</v>
      </c>
      <c r="D979" s="8">
        <v>42400</v>
      </c>
      <c r="E979">
        <v>42400</v>
      </c>
      <c r="F979" s="8">
        <v>6419324700</v>
      </c>
      <c r="G979" s="1">
        <v>272179367280000</v>
      </c>
      <c r="H979" s="1">
        <v>201412731787200</v>
      </c>
      <c r="I979">
        <f t="shared" si="15"/>
        <v>0</v>
      </c>
    </row>
    <row r="980" spans="1:10" x14ac:dyDescent="0.3">
      <c r="A980">
        <v>20181126</v>
      </c>
      <c r="B980" s="2" t="s">
        <v>4</v>
      </c>
      <c r="C980" s="8">
        <v>42400</v>
      </c>
      <c r="D980" s="8">
        <v>42600</v>
      </c>
      <c r="E980">
        <v>42600</v>
      </c>
      <c r="F980" s="8">
        <v>6419324700</v>
      </c>
      <c r="G980" s="1">
        <v>273463232220000</v>
      </c>
      <c r="H980" s="1">
        <v>202362791842800</v>
      </c>
      <c r="I980">
        <f t="shared" si="15"/>
        <v>0</v>
      </c>
    </row>
    <row r="981" spans="1:10" x14ac:dyDescent="0.3">
      <c r="A981">
        <v>20181127</v>
      </c>
      <c r="B981" s="2" t="s">
        <v>4</v>
      </c>
      <c r="C981" s="8">
        <v>42600</v>
      </c>
      <c r="D981" s="8">
        <v>43050</v>
      </c>
      <c r="E981">
        <v>43050</v>
      </c>
      <c r="F981" s="8">
        <v>6419324700</v>
      </c>
      <c r="G981" s="1">
        <v>276351928335000</v>
      </c>
      <c r="H981" s="1">
        <v>204500426967900</v>
      </c>
      <c r="I981">
        <f t="shared" si="15"/>
        <v>0</v>
      </c>
    </row>
    <row r="982" spans="1:10" x14ac:dyDescent="0.3">
      <c r="A982">
        <v>20181128</v>
      </c>
      <c r="B982" s="2" t="s">
        <v>4</v>
      </c>
      <c r="C982" s="8">
        <v>43050</v>
      </c>
      <c r="D982" s="8">
        <v>43150</v>
      </c>
      <c r="E982">
        <v>43150</v>
      </c>
      <c r="F982" s="8">
        <v>6419324700</v>
      </c>
      <c r="G982" s="1">
        <v>276993860805000</v>
      </c>
      <c r="H982" s="1">
        <v>204975456995700</v>
      </c>
      <c r="I982">
        <f t="shared" si="15"/>
        <v>0</v>
      </c>
    </row>
    <row r="983" spans="1:10" x14ac:dyDescent="0.3">
      <c r="A983">
        <v>20181129</v>
      </c>
      <c r="B983" s="2" t="s">
        <v>4</v>
      </c>
      <c r="C983" s="8">
        <v>43150</v>
      </c>
      <c r="D983" s="8">
        <v>43150</v>
      </c>
      <c r="E983">
        <v>43150</v>
      </c>
      <c r="F983" s="8">
        <v>6419324700</v>
      </c>
      <c r="G983" s="1">
        <v>276993860805000</v>
      </c>
      <c r="H983" s="1">
        <v>204975456995700</v>
      </c>
      <c r="I983">
        <f t="shared" si="15"/>
        <v>0</v>
      </c>
    </row>
    <row r="984" spans="1:10" x14ac:dyDescent="0.3">
      <c r="A984">
        <v>20181130</v>
      </c>
      <c r="B984" s="2" t="s">
        <v>4</v>
      </c>
      <c r="C984" s="8">
        <v>43150</v>
      </c>
      <c r="D984" s="8">
        <v>41850</v>
      </c>
      <c r="E984">
        <v>41850</v>
      </c>
      <c r="F984" s="8">
        <v>6419324700</v>
      </c>
      <c r="G984" s="1">
        <v>268648738695000</v>
      </c>
      <c r="H984" s="1">
        <v>198800066634300</v>
      </c>
      <c r="I984">
        <f t="shared" si="15"/>
        <v>0</v>
      </c>
    </row>
    <row r="985" spans="1:10" x14ac:dyDescent="0.3">
      <c r="A985">
        <v>20181203</v>
      </c>
      <c r="B985" s="2" t="s">
        <v>4</v>
      </c>
      <c r="C985" s="8">
        <v>41850</v>
      </c>
      <c r="D985" s="8">
        <v>43250</v>
      </c>
      <c r="E985">
        <v>43250</v>
      </c>
      <c r="F985" s="8">
        <v>6419324700</v>
      </c>
      <c r="G985" s="1">
        <v>277635793275000</v>
      </c>
      <c r="H985" s="1">
        <v>205450487023500</v>
      </c>
      <c r="I985">
        <f t="shared" si="15"/>
        <v>0</v>
      </c>
    </row>
    <row r="986" spans="1:10" x14ac:dyDescent="0.3">
      <c r="A986">
        <v>20181204</v>
      </c>
      <c r="B986" s="2" t="s">
        <v>4</v>
      </c>
      <c r="C986" s="8">
        <v>43250</v>
      </c>
      <c r="D986" s="8">
        <v>42150</v>
      </c>
      <c r="E986">
        <v>42150</v>
      </c>
      <c r="F986" s="8">
        <v>6419324700</v>
      </c>
      <c r="G986" s="1">
        <v>270574536105000</v>
      </c>
      <c r="H986" s="1">
        <v>200225156717700</v>
      </c>
      <c r="I986">
        <f t="shared" si="15"/>
        <v>0</v>
      </c>
    </row>
    <row r="987" spans="1:10" x14ac:dyDescent="0.3">
      <c r="A987">
        <v>20181205</v>
      </c>
      <c r="B987" s="2" t="s">
        <v>4</v>
      </c>
      <c r="C987" s="8">
        <v>42150</v>
      </c>
      <c r="D987" s="8">
        <v>41450</v>
      </c>
      <c r="E987">
        <v>41450</v>
      </c>
      <c r="F987" s="8">
        <v>6419324700</v>
      </c>
      <c r="G987" s="1">
        <v>266081008815000</v>
      </c>
      <c r="H987" s="1">
        <v>196899946523100</v>
      </c>
      <c r="I987">
        <f t="shared" si="15"/>
        <v>0</v>
      </c>
    </row>
    <row r="988" spans="1:10" x14ac:dyDescent="0.3">
      <c r="A988">
        <v>20181206</v>
      </c>
      <c r="B988" s="2" t="s">
        <v>4</v>
      </c>
      <c r="C988" s="8">
        <v>41450</v>
      </c>
      <c r="D988" s="8">
        <v>40500</v>
      </c>
      <c r="E988">
        <v>40500</v>
      </c>
      <c r="F988" s="8">
        <v>6419324700</v>
      </c>
      <c r="G988" s="1">
        <v>259982650350000</v>
      </c>
      <c r="H988" s="1">
        <v>192387161259000</v>
      </c>
      <c r="I988">
        <f t="shared" si="15"/>
        <v>0</v>
      </c>
    </row>
    <row r="989" spans="1:10" x14ac:dyDescent="0.3">
      <c r="A989">
        <v>20181207</v>
      </c>
      <c r="B989" s="2" t="s">
        <v>4</v>
      </c>
      <c r="C989" s="8">
        <v>40500</v>
      </c>
      <c r="D989" s="8">
        <v>40950</v>
      </c>
      <c r="E989">
        <v>40950</v>
      </c>
      <c r="F989" s="8">
        <v>6419324700</v>
      </c>
      <c r="G989" s="1">
        <v>262871346465000</v>
      </c>
      <c r="H989" s="1">
        <v>194524796384100</v>
      </c>
      <c r="I989">
        <f t="shared" si="15"/>
        <v>0</v>
      </c>
    </row>
    <row r="990" spans="1:10" x14ac:dyDescent="0.3">
      <c r="A990">
        <v>20181210</v>
      </c>
      <c r="B990" s="2" t="s">
        <v>4</v>
      </c>
      <c r="C990" s="8">
        <v>40950</v>
      </c>
      <c r="D990" s="8">
        <v>40200</v>
      </c>
      <c r="E990">
        <v>40200</v>
      </c>
      <c r="F990" s="8">
        <v>6419324700</v>
      </c>
      <c r="G990" s="1">
        <v>258056852940000</v>
      </c>
      <c r="H990" s="1">
        <v>190962071175600</v>
      </c>
      <c r="I990">
        <f t="shared" si="15"/>
        <v>0</v>
      </c>
    </row>
    <row r="991" spans="1:10" x14ac:dyDescent="0.3">
      <c r="A991">
        <v>20181211</v>
      </c>
      <c r="B991" s="2" t="s">
        <v>4</v>
      </c>
      <c r="C991" s="8">
        <v>40200</v>
      </c>
      <c r="D991" s="8">
        <v>40250</v>
      </c>
      <c r="E991">
        <v>40250</v>
      </c>
      <c r="F991" s="8">
        <v>6419324700</v>
      </c>
      <c r="G991" s="1">
        <v>258377819175000</v>
      </c>
      <c r="H991" s="1">
        <v>191199586189500</v>
      </c>
      <c r="I991">
        <f t="shared" si="15"/>
        <v>0</v>
      </c>
    </row>
    <row r="992" spans="1:10" x14ac:dyDescent="0.3">
      <c r="A992" s="5">
        <v>20181212</v>
      </c>
      <c r="B992" s="6" t="s">
        <v>4</v>
      </c>
      <c r="C992" s="8">
        <v>40250</v>
      </c>
      <c r="D992" s="8">
        <v>40450</v>
      </c>
      <c r="E992" s="5">
        <v>40450</v>
      </c>
      <c r="F992" s="8">
        <v>5969782550</v>
      </c>
      <c r="G992" s="7">
        <v>241477704147500</v>
      </c>
      <c r="H992" s="7">
        <v>190767386296750</v>
      </c>
      <c r="I992" s="5">
        <f t="shared" si="15"/>
        <v>1</v>
      </c>
      <c r="J992" t="s">
        <v>26</v>
      </c>
    </row>
    <row r="993" spans="1:9" x14ac:dyDescent="0.3">
      <c r="A993">
        <v>20181213</v>
      </c>
      <c r="B993" s="2" t="s">
        <v>4</v>
      </c>
      <c r="C993" s="8">
        <v>40450</v>
      </c>
      <c r="D993" s="8">
        <v>40000</v>
      </c>
      <c r="E993">
        <v>40000</v>
      </c>
      <c r="F993" s="8">
        <v>5969782550</v>
      </c>
      <c r="G993" s="1">
        <v>238791302000000</v>
      </c>
      <c r="H993" s="1">
        <v>188645128600000</v>
      </c>
      <c r="I993">
        <f t="shared" si="15"/>
        <v>0</v>
      </c>
    </row>
    <row r="994" spans="1:9" x14ac:dyDescent="0.3">
      <c r="A994">
        <v>20181214</v>
      </c>
      <c r="B994" s="2" t="s">
        <v>4</v>
      </c>
      <c r="C994" s="8">
        <v>40000</v>
      </c>
      <c r="D994" s="8">
        <v>38950</v>
      </c>
      <c r="E994">
        <v>38950</v>
      </c>
      <c r="F994" s="8">
        <v>5969782550</v>
      </c>
      <c r="G994" s="1">
        <v>232523030322500</v>
      </c>
      <c r="H994" s="1">
        <v>183693193974250</v>
      </c>
      <c r="I994">
        <f t="shared" si="15"/>
        <v>0</v>
      </c>
    </row>
    <row r="995" spans="1:9" x14ac:dyDescent="0.3">
      <c r="A995">
        <v>20181217</v>
      </c>
      <c r="B995" s="2" t="s">
        <v>4</v>
      </c>
      <c r="C995" s="8">
        <v>38950</v>
      </c>
      <c r="D995" s="8">
        <v>39150</v>
      </c>
      <c r="E995">
        <v>39150</v>
      </c>
      <c r="F995" s="8">
        <v>5969782550</v>
      </c>
      <c r="G995" s="1">
        <v>233716986832500</v>
      </c>
      <c r="H995" s="1">
        <v>184636419617250</v>
      </c>
      <c r="I995">
        <f t="shared" si="15"/>
        <v>0</v>
      </c>
    </row>
    <row r="996" spans="1:9" x14ac:dyDescent="0.3">
      <c r="A996">
        <v>20181218</v>
      </c>
      <c r="B996" s="2" t="s">
        <v>4</v>
      </c>
      <c r="C996" s="8">
        <v>39150</v>
      </c>
      <c r="D996" s="8">
        <v>38900</v>
      </c>
      <c r="E996">
        <v>38900</v>
      </c>
      <c r="F996" s="8">
        <v>5969782550</v>
      </c>
      <c r="G996" s="1">
        <v>232224541195000</v>
      </c>
      <c r="H996" s="1">
        <v>183457387563500</v>
      </c>
      <c r="I996">
        <f t="shared" si="15"/>
        <v>0</v>
      </c>
    </row>
    <row r="997" spans="1:9" x14ac:dyDescent="0.3">
      <c r="A997">
        <v>20181219</v>
      </c>
      <c r="B997" s="2" t="s">
        <v>4</v>
      </c>
      <c r="C997" s="8">
        <v>38900</v>
      </c>
      <c r="D997" s="8">
        <v>39100</v>
      </c>
      <c r="E997">
        <v>39100</v>
      </c>
      <c r="F997" s="8">
        <v>5969782550</v>
      </c>
      <c r="G997" s="1">
        <v>233418497705000</v>
      </c>
      <c r="H997" s="1">
        <v>184400613206500</v>
      </c>
      <c r="I997">
        <f t="shared" si="15"/>
        <v>0</v>
      </c>
    </row>
    <row r="998" spans="1:9" x14ac:dyDescent="0.3">
      <c r="A998">
        <v>20181220</v>
      </c>
      <c r="B998" s="2" t="s">
        <v>4</v>
      </c>
      <c r="C998" s="8">
        <v>39100</v>
      </c>
      <c r="D998" s="8">
        <v>38650</v>
      </c>
      <c r="E998">
        <v>38650</v>
      </c>
      <c r="F998" s="8">
        <v>5969782550</v>
      </c>
      <c r="G998" s="1">
        <v>230732095557500</v>
      </c>
      <c r="H998" s="1">
        <v>182278355509750</v>
      </c>
      <c r="I998">
        <f t="shared" si="15"/>
        <v>0</v>
      </c>
    </row>
    <row r="999" spans="1:9" x14ac:dyDescent="0.3">
      <c r="A999">
        <v>20181221</v>
      </c>
      <c r="B999" s="2" t="s">
        <v>4</v>
      </c>
      <c r="C999" s="8">
        <v>38650</v>
      </c>
      <c r="D999" s="8">
        <v>38650</v>
      </c>
      <c r="E999">
        <v>38650</v>
      </c>
      <c r="F999" s="8">
        <v>5969782550</v>
      </c>
      <c r="G999" s="1">
        <v>230732095557500</v>
      </c>
      <c r="H999" s="1">
        <v>182278355509750</v>
      </c>
      <c r="I999">
        <f t="shared" si="15"/>
        <v>0</v>
      </c>
    </row>
    <row r="1000" spans="1:9" x14ac:dyDescent="0.3">
      <c r="A1000">
        <v>20181224</v>
      </c>
      <c r="B1000" s="2" t="s">
        <v>4</v>
      </c>
      <c r="C1000" s="8">
        <v>38650</v>
      </c>
      <c r="D1000" s="8">
        <v>38800</v>
      </c>
      <c r="E1000">
        <v>38800</v>
      </c>
      <c r="F1000" s="8">
        <v>5969782550</v>
      </c>
      <c r="G1000" s="1">
        <v>231627562940000</v>
      </c>
      <c r="H1000" s="1">
        <v>182985774742000</v>
      </c>
      <c r="I1000">
        <f t="shared" si="15"/>
        <v>0</v>
      </c>
    </row>
    <row r="1001" spans="1:9" x14ac:dyDescent="0.3">
      <c r="A1001">
        <v>20181226</v>
      </c>
      <c r="B1001" s="2" t="s">
        <v>4</v>
      </c>
      <c r="C1001" s="8">
        <v>38800</v>
      </c>
      <c r="D1001" s="8">
        <v>38350</v>
      </c>
      <c r="E1001">
        <v>38350</v>
      </c>
      <c r="F1001" s="8">
        <v>5969782550</v>
      </c>
      <c r="G1001" s="1">
        <v>228941160792500</v>
      </c>
      <c r="H1001" s="1">
        <v>180863517045250</v>
      </c>
      <c r="I1001">
        <f t="shared" si="15"/>
        <v>0</v>
      </c>
    </row>
    <row r="1002" spans="1:9" x14ac:dyDescent="0.3">
      <c r="A1002">
        <v>20181227</v>
      </c>
      <c r="B1002" s="2" t="s">
        <v>4</v>
      </c>
      <c r="C1002" s="8">
        <v>38350</v>
      </c>
      <c r="D1002" s="8">
        <v>38250</v>
      </c>
      <c r="E1002">
        <v>38250</v>
      </c>
      <c r="F1002" s="8">
        <v>5969782550</v>
      </c>
      <c r="G1002" s="1">
        <v>228344182537500</v>
      </c>
      <c r="H1002" s="1">
        <v>180391904223750</v>
      </c>
      <c r="I1002">
        <f t="shared" si="15"/>
        <v>0</v>
      </c>
    </row>
    <row r="1003" spans="1:9" x14ac:dyDescent="0.3">
      <c r="A1003">
        <v>20181228</v>
      </c>
      <c r="B1003" s="2" t="s">
        <v>4</v>
      </c>
      <c r="C1003" s="8">
        <v>38250</v>
      </c>
      <c r="D1003" s="8">
        <v>38700</v>
      </c>
      <c r="E1003">
        <v>38700</v>
      </c>
      <c r="F1003" s="8">
        <v>5969782550</v>
      </c>
      <c r="G1003" s="1">
        <v>231030584685000</v>
      </c>
      <c r="H1003" s="1">
        <v>182514161920500</v>
      </c>
      <c r="I1003">
        <f t="shared" si="15"/>
        <v>0</v>
      </c>
    </row>
    <row r="1004" spans="1:9" x14ac:dyDescent="0.3">
      <c r="A1004">
        <v>20190102</v>
      </c>
      <c r="B1004" s="2" t="s">
        <v>4</v>
      </c>
      <c r="C1004" s="8">
        <v>38700</v>
      </c>
      <c r="D1004" s="8">
        <v>38750</v>
      </c>
      <c r="E1004">
        <v>38750</v>
      </c>
      <c r="F1004" s="8">
        <v>5969782550</v>
      </c>
      <c r="G1004" s="1">
        <v>231329073812500</v>
      </c>
      <c r="H1004" s="1">
        <v>182749968331250</v>
      </c>
      <c r="I1004">
        <f t="shared" si="15"/>
        <v>0</v>
      </c>
    </row>
    <row r="1005" spans="1:9" x14ac:dyDescent="0.3">
      <c r="A1005">
        <v>20190103</v>
      </c>
      <c r="B1005" s="2" t="s">
        <v>4</v>
      </c>
      <c r="C1005" s="8">
        <v>38750</v>
      </c>
      <c r="D1005" s="8">
        <v>37600</v>
      </c>
      <c r="E1005">
        <v>37600</v>
      </c>
      <c r="F1005" s="8">
        <v>5969782550</v>
      </c>
      <c r="G1005" s="1">
        <v>224463823880000</v>
      </c>
      <c r="H1005" s="1">
        <v>177326420884000</v>
      </c>
      <c r="I1005">
        <f t="shared" si="15"/>
        <v>0</v>
      </c>
    </row>
    <row r="1006" spans="1:9" x14ac:dyDescent="0.3">
      <c r="A1006">
        <v>20190104</v>
      </c>
      <c r="B1006" s="2" t="s">
        <v>4</v>
      </c>
      <c r="C1006" s="8">
        <v>37600</v>
      </c>
      <c r="D1006" s="8">
        <v>37450</v>
      </c>
      <c r="E1006">
        <v>37450</v>
      </c>
      <c r="F1006" s="8">
        <v>5969782550</v>
      </c>
      <c r="G1006" s="1">
        <v>223568356497500</v>
      </c>
      <c r="H1006" s="1">
        <v>176619001651750</v>
      </c>
      <c r="I1006">
        <f t="shared" si="15"/>
        <v>0</v>
      </c>
    </row>
    <row r="1007" spans="1:9" x14ac:dyDescent="0.3">
      <c r="A1007">
        <v>20190107</v>
      </c>
      <c r="B1007" s="2" t="s">
        <v>4</v>
      </c>
      <c r="C1007" s="8">
        <v>37450</v>
      </c>
      <c r="D1007" s="8">
        <v>38750</v>
      </c>
      <c r="E1007">
        <v>38750</v>
      </c>
      <c r="F1007" s="8">
        <v>5969782550</v>
      </c>
      <c r="G1007" s="1">
        <v>231329073812500</v>
      </c>
      <c r="H1007" s="1">
        <v>182749968331250</v>
      </c>
      <c r="I1007">
        <f t="shared" si="15"/>
        <v>0</v>
      </c>
    </row>
    <row r="1008" spans="1:9" x14ac:dyDescent="0.3">
      <c r="A1008">
        <v>20190108</v>
      </c>
      <c r="B1008" s="2" t="s">
        <v>4</v>
      </c>
      <c r="C1008" s="8">
        <v>38750</v>
      </c>
      <c r="D1008" s="8">
        <v>38100</v>
      </c>
      <c r="E1008">
        <v>38100</v>
      </c>
      <c r="F1008" s="8">
        <v>5969782550</v>
      </c>
      <c r="G1008" s="1">
        <v>227448715155000</v>
      </c>
      <c r="H1008" s="1">
        <v>179684484991500</v>
      </c>
      <c r="I1008">
        <f t="shared" si="15"/>
        <v>0</v>
      </c>
    </row>
    <row r="1009" spans="1:9" x14ac:dyDescent="0.3">
      <c r="A1009">
        <v>20190109</v>
      </c>
      <c r="B1009" s="2" t="s">
        <v>4</v>
      </c>
      <c r="C1009" s="8">
        <v>38100</v>
      </c>
      <c r="D1009" s="8">
        <v>39600</v>
      </c>
      <c r="E1009">
        <v>39600</v>
      </c>
      <c r="F1009" s="8">
        <v>5969782550</v>
      </c>
      <c r="G1009" s="1">
        <v>236403388980000</v>
      </c>
      <c r="H1009" s="1">
        <v>186758677314000</v>
      </c>
      <c r="I1009">
        <f t="shared" si="15"/>
        <v>0</v>
      </c>
    </row>
    <row r="1010" spans="1:9" x14ac:dyDescent="0.3">
      <c r="A1010">
        <v>20190110</v>
      </c>
      <c r="B1010" s="2" t="s">
        <v>4</v>
      </c>
      <c r="C1010" s="8">
        <v>39600</v>
      </c>
      <c r="D1010" s="8">
        <v>39800</v>
      </c>
      <c r="E1010">
        <v>39800</v>
      </c>
      <c r="F1010" s="8">
        <v>5969782550</v>
      </c>
      <c r="G1010" s="1">
        <v>237597345490000</v>
      </c>
      <c r="H1010" s="1">
        <v>187701902957000</v>
      </c>
      <c r="I1010">
        <f t="shared" si="15"/>
        <v>0</v>
      </c>
    </row>
    <row r="1011" spans="1:9" x14ac:dyDescent="0.3">
      <c r="A1011">
        <v>20190111</v>
      </c>
      <c r="B1011" s="2" t="s">
        <v>4</v>
      </c>
      <c r="C1011" s="8">
        <v>39800</v>
      </c>
      <c r="D1011" s="8">
        <v>40500</v>
      </c>
      <c r="E1011">
        <v>40500</v>
      </c>
      <c r="F1011" s="8">
        <v>5969782550</v>
      </c>
      <c r="G1011" s="1">
        <v>241776193275000</v>
      </c>
      <c r="H1011" s="1">
        <v>191003192707500</v>
      </c>
      <c r="I1011">
        <f t="shared" si="15"/>
        <v>0</v>
      </c>
    </row>
    <row r="1012" spans="1:9" x14ac:dyDescent="0.3">
      <c r="A1012">
        <v>20190114</v>
      </c>
      <c r="B1012" s="2" t="s">
        <v>4</v>
      </c>
      <c r="C1012" s="8">
        <v>40500</v>
      </c>
      <c r="D1012" s="8">
        <v>40050</v>
      </c>
      <c r="E1012">
        <v>40050</v>
      </c>
      <c r="F1012" s="8">
        <v>5969782550</v>
      </c>
      <c r="G1012" s="1">
        <v>239089791127500</v>
      </c>
      <c r="H1012" s="1">
        <v>188880935010750</v>
      </c>
      <c r="I1012">
        <f t="shared" si="15"/>
        <v>0</v>
      </c>
    </row>
    <row r="1013" spans="1:9" x14ac:dyDescent="0.3">
      <c r="A1013">
        <v>20190115</v>
      </c>
      <c r="B1013" s="2" t="s">
        <v>4</v>
      </c>
      <c r="C1013" s="8">
        <v>40050</v>
      </c>
      <c r="D1013" s="8">
        <v>41100</v>
      </c>
      <c r="E1013">
        <v>41100</v>
      </c>
      <c r="F1013" s="8">
        <v>5969782550</v>
      </c>
      <c r="G1013" s="1">
        <v>245358062805000</v>
      </c>
      <c r="H1013" s="1">
        <v>193832869636500</v>
      </c>
      <c r="I1013">
        <f t="shared" si="15"/>
        <v>0</v>
      </c>
    </row>
    <row r="1014" spans="1:9" x14ac:dyDescent="0.3">
      <c r="A1014">
        <v>20190116</v>
      </c>
      <c r="B1014" s="2" t="s">
        <v>4</v>
      </c>
      <c r="C1014" s="8">
        <v>41100</v>
      </c>
      <c r="D1014" s="8">
        <v>41450</v>
      </c>
      <c r="E1014">
        <v>41450</v>
      </c>
      <c r="F1014" s="8">
        <v>5969782550</v>
      </c>
      <c r="G1014" s="1">
        <v>247447486697500</v>
      </c>
      <c r="H1014" s="1">
        <v>195483514511750</v>
      </c>
      <c r="I1014">
        <f t="shared" si="15"/>
        <v>0</v>
      </c>
    </row>
    <row r="1015" spans="1:9" x14ac:dyDescent="0.3">
      <c r="A1015">
        <v>20190117</v>
      </c>
      <c r="B1015" s="2" t="s">
        <v>4</v>
      </c>
      <c r="C1015" s="8">
        <v>41450</v>
      </c>
      <c r="D1015" s="8">
        <v>41950</v>
      </c>
      <c r="E1015">
        <v>41950</v>
      </c>
      <c r="F1015" s="8">
        <v>5969782550</v>
      </c>
      <c r="G1015" s="1">
        <v>250432377972500</v>
      </c>
      <c r="H1015" s="1">
        <v>197841578619250</v>
      </c>
      <c r="I1015">
        <f t="shared" si="15"/>
        <v>0</v>
      </c>
    </row>
    <row r="1016" spans="1:9" x14ac:dyDescent="0.3">
      <c r="A1016">
        <v>20190118</v>
      </c>
      <c r="B1016" s="2" t="s">
        <v>4</v>
      </c>
      <c r="C1016" s="8">
        <v>41950</v>
      </c>
      <c r="D1016" s="8">
        <v>42300</v>
      </c>
      <c r="E1016">
        <v>42300</v>
      </c>
      <c r="F1016" s="8">
        <v>5969782550</v>
      </c>
      <c r="G1016" s="1">
        <v>252521801865000</v>
      </c>
      <c r="H1016" s="1">
        <v>199492223494500</v>
      </c>
      <c r="I1016">
        <f t="shared" si="15"/>
        <v>0</v>
      </c>
    </row>
    <row r="1017" spans="1:9" x14ac:dyDescent="0.3">
      <c r="A1017">
        <v>20190121</v>
      </c>
      <c r="B1017" s="2" t="s">
        <v>4</v>
      </c>
      <c r="C1017" s="8">
        <v>42300</v>
      </c>
      <c r="D1017" s="8">
        <v>42750</v>
      </c>
      <c r="E1017">
        <v>42750</v>
      </c>
      <c r="F1017" s="8">
        <v>5969782550</v>
      </c>
      <c r="G1017" s="1">
        <v>255208204012500</v>
      </c>
      <c r="H1017" s="1">
        <v>201614481191250</v>
      </c>
      <c r="I1017">
        <f t="shared" si="15"/>
        <v>0</v>
      </c>
    </row>
    <row r="1018" spans="1:9" x14ac:dyDescent="0.3">
      <c r="A1018">
        <v>20190122</v>
      </c>
      <c r="B1018" s="2" t="s">
        <v>4</v>
      </c>
      <c r="C1018" s="8">
        <v>42750</v>
      </c>
      <c r="D1018" s="8">
        <v>42150</v>
      </c>
      <c r="E1018">
        <v>42150</v>
      </c>
      <c r="F1018" s="8">
        <v>5969782550</v>
      </c>
      <c r="G1018" s="1">
        <v>251626334482500</v>
      </c>
      <c r="H1018" s="1">
        <v>198784804262250</v>
      </c>
      <c r="I1018">
        <f t="shared" si="15"/>
        <v>0</v>
      </c>
    </row>
    <row r="1019" spans="1:9" x14ac:dyDescent="0.3">
      <c r="A1019">
        <v>20190123</v>
      </c>
      <c r="B1019" s="2" t="s">
        <v>4</v>
      </c>
      <c r="C1019" s="8">
        <v>42150</v>
      </c>
      <c r="D1019" s="8">
        <v>42000</v>
      </c>
      <c r="E1019">
        <v>42000</v>
      </c>
      <c r="F1019" s="8">
        <v>5969782550</v>
      </c>
      <c r="G1019" s="1">
        <v>250730867100000</v>
      </c>
      <c r="H1019" s="1">
        <v>198077385030000</v>
      </c>
      <c r="I1019">
        <f t="shared" si="15"/>
        <v>0</v>
      </c>
    </row>
    <row r="1020" spans="1:9" x14ac:dyDescent="0.3">
      <c r="A1020">
        <v>20190124</v>
      </c>
      <c r="B1020" s="2" t="s">
        <v>4</v>
      </c>
      <c r="C1020" s="8">
        <v>42000</v>
      </c>
      <c r="D1020" s="8">
        <v>43050</v>
      </c>
      <c r="E1020">
        <v>43050</v>
      </c>
      <c r="F1020" s="8">
        <v>5969782550</v>
      </c>
      <c r="G1020" s="1">
        <v>256999138777500</v>
      </c>
      <c r="H1020" s="1">
        <v>203029319655750</v>
      </c>
      <c r="I1020">
        <f t="shared" si="15"/>
        <v>0</v>
      </c>
    </row>
    <row r="1021" spans="1:9" x14ac:dyDescent="0.3">
      <c r="A1021">
        <v>20190125</v>
      </c>
      <c r="B1021" s="2" t="s">
        <v>4</v>
      </c>
      <c r="C1021" s="8">
        <v>43050</v>
      </c>
      <c r="D1021" s="8">
        <v>44750</v>
      </c>
      <c r="E1021">
        <v>44750</v>
      </c>
      <c r="F1021" s="8">
        <v>5969782550</v>
      </c>
      <c r="G1021" s="1">
        <v>267147769112500</v>
      </c>
      <c r="H1021" s="1">
        <v>211046737621250</v>
      </c>
      <c r="I1021">
        <f t="shared" si="15"/>
        <v>0</v>
      </c>
    </row>
    <row r="1022" spans="1:9" x14ac:dyDescent="0.3">
      <c r="A1022">
        <v>20190128</v>
      </c>
      <c r="B1022" s="2" t="s">
        <v>4</v>
      </c>
      <c r="C1022" s="8">
        <v>44750</v>
      </c>
      <c r="D1022" s="8">
        <v>45050</v>
      </c>
      <c r="E1022">
        <v>45050</v>
      </c>
      <c r="F1022" s="8">
        <v>5969782550</v>
      </c>
      <c r="G1022" s="1">
        <v>268938703877500</v>
      </c>
      <c r="H1022" s="1">
        <v>212461576085750</v>
      </c>
      <c r="I1022">
        <f t="shared" si="15"/>
        <v>0</v>
      </c>
    </row>
    <row r="1023" spans="1:9" x14ac:dyDescent="0.3">
      <c r="A1023">
        <v>20190129</v>
      </c>
      <c r="B1023" s="2" t="s">
        <v>4</v>
      </c>
      <c r="C1023" s="8">
        <v>45050</v>
      </c>
      <c r="D1023" s="8">
        <v>45500</v>
      </c>
      <c r="E1023">
        <v>45500</v>
      </c>
      <c r="F1023" s="8">
        <v>5969782550</v>
      </c>
      <c r="G1023" s="1">
        <v>271625106025000</v>
      </c>
      <c r="H1023" s="1">
        <v>214583833782500</v>
      </c>
      <c r="I1023">
        <f t="shared" si="15"/>
        <v>0</v>
      </c>
    </row>
    <row r="1024" spans="1:9" x14ac:dyDescent="0.3">
      <c r="A1024">
        <v>20190130</v>
      </c>
      <c r="B1024" s="2" t="s">
        <v>4</v>
      </c>
      <c r="C1024" s="8">
        <v>45500</v>
      </c>
      <c r="D1024" s="8">
        <v>46400</v>
      </c>
      <c r="E1024">
        <v>46400</v>
      </c>
      <c r="F1024" s="8">
        <v>5969782550</v>
      </c>
      <c r="G1024" s="1">
        <v>276997910320000</v>
      </c>
      <c r="H1024" s="1">
        <v>218828349176000</v>
      </c>
      <c r="I1024">
        <f t="shared" si="15"/>
        <v>0</v>
      </c>
    </row>
    <row r="1025" spans="1:9" x14ac:dyDescent="0.3">
      <c r="A1025">
        <v>20190131</v>
      </c>
      <c r="B1025" s="2" t="s">
        <v>4</v>
      </c>
      <c r="C1025" s="8">
        <v>46400</v>
      </c>
      <c r="D1025" s="8">
        <v>46150</v>
      </c>
      <c r="E1025">
        <v>46150</v>
      </c>
      <c r="F1025" s="8">
        <v>5969782550</v>
      </c>
      <c r="G1025" s="1">
        <v>275505464682500</v>
      </c>
      <c r="H1025" s="1">
        <v>217649317122250</v>
      </c>
      <c r="I1025">
        <f t="shared" si="15"/>
        <v>0</v>
      </c>
    </row>
    <row r="1026" spans="1:9" x14ac:dyDescent="0.3">
      <c r="A1026">
        <v>20190201</v>
      </c>
      <c r="B1026" s="2" t="s">
        <v>4</v>
      </c>
      <c r="C1026" s="8">
        <v>46150</v>
      </c>
      <c r="D1026" s="8">
        <v>46350</v>
      </c>
      <c r="E1026">
        <v>46350</v>
      </c>
      <c r="F1026" s="8">
        <v>5969782550</v>
      </c>
      <c r="G1026" s="1">
        <v>276699421192500</v>
      </c>
      <c r="H1026" s="1">
        <v>218592542765250</v>
      </c>
      <c r="I1026">
        <f t="shared" si="15"/>
        <v>0</v>
      </c>
    </row>
    <row r="1027" spans="1:9" x14ac:dyDescent="0.3">
      <c r="A1027">
        <v>20190207</v>
      </c>
      <c r="B1027" s="2" t="s">
        <v>4</v>
      </c>
      <c r="C1027" s="8">
        <v>46350</v>
      </c>
      <c r="D1027" s="8">
        <v>46200</v>
      </c>
      <c r="E1027">
        <v>46200</v>
      </c>
      <c r="F1027" s="8">
        <v>5969782550</v>
      </c>
      <c r="G1027" s="1">
        <v>275803953810000</v>
      </c>
      <c r="H1027" s="1">
        <v>217885123533000</v>
      </c>
      <c r="I1027">
        <f t="shared" si="15"/>
        <v>0</v>
      </c>
    </row>
    <row r="1028" spans="1:9" x14ac:dyDescent="0.3">
      <c r="A1028">
        <v>20190208</v>
      </c>
      <c r="B1028" s="2" t="s">
        <v>4</v>
      </c>
      <c r="C1028" s="8">
        <v>46200</v>
      </c>
      <c r="D1028" s="8">
        <v>44800</v>
      </c>
      <c r="E1028">
        <v>44800</v>
      </c>
      <c r="F1028" s="8">
        <v>5969782550</v>
      </c>
      <c r="G1028" s="1">
        <v>267446258240000</v>
      </c>
      <c r="H1028" s="1">
        <v>211282544032000</v>
      </c>
      <c r="I1028">
        <f t="shared" ref="I1028:I1091" si="16">IF(C1028*F1028=D1027*F1027,0,1)</f>
        <v>0</v>
      </c>
    </row>
    <row r="1029" spans="1:9" x14ac:dyDescent="0.3">
      <c r="A1029">
        <v>20190211</v>
      </c>
      <c r="B1029" s="2" t="s">
        <v>4</v>
      </c>
      <c r="C1029" s="8">
        <v>44800</v>
      </c>
      <c r="D1029" s="8">
        <v>45000</v>
      </c>
      <c r="E1029">
        <v>45000</v>
      </c>
      <c r="F1029" s="8">
        <v>5969782550</v>
      </c>
      <c r="G1029" s="1">
        <v>268640214750000</v>
      </c>
      <c r="H1029" s="1">
        <v>212225769675000</v>
      </c>
      <c r="I1029">
        <f t="shared" si="16"/>
        <v>0</v>
      </c>
    </row>
    <row r="1030" spans="1:9" x14ac:dyDescent="0.3">
      <c r="A1030">
        <v>20190212</v>
      </c>
      <c r="B1030" s="2" t="s">
        <v>4</v>
      </c>
      <c r="C1030" s="8">
        <v>45000</v>
      </c>
      <c r="D1030" s="8">
        <v>46050</v>
      </c>
      <c r="E1030">
        <v>46050</v>
      </c>
      <c r="F1030" s="8">
        <v>5969782550</v>
      </c>
      <c r="G1030" s="1">
        <v>274908486427500</v>
      </c>
      <c r="H1030" s="1">
        <v>217177704300750</v>
      </c>
      <c r="I1030">
        <f t="shared" si="16"/>
        <v>0</v>
      </c>
    </row>
    <row r="1031" spans="1:9" x14ac:dyDescent="0.3">
      <c r="A1031">
        <v>20190213</v>
      </c>
      <c r="B1031" s="2" t="s">
        <v>4</v>
      </c>
      <c r="C1031" s="8">
        <v>46050</v>
      </c>
      <c r="D1031" s="8">
        <v>46200</v>
      </c>
      <c r="E1031">
        <v>46200</v>
      </c>
      <c r="F1031" s="8">
        <v>5969782550</v>
      </c>
      <c r="G1031" s="1">
        <v>275803953810000</v>
      </c>
      <c r="H1031" s="1">
        <v>217885123533000</v>
      </c>
      <c r="I1031">
        <f t="shared" si="16"/>
        <v>0</v>
      </c>
    </row>
    <row r="1032" spans="1:9" x14ac:dyDescent="0.3">
      <c r="A1032">
        <v>20190214</v>
      </c>
      <c r="B1032" s="2" t="s">
        <v>4</v>
      </c>
      <c r="C1032" s="8">
        <v>46200</v>
      </c>
      <c r="D1032" s="8">
        <v>47500</v>
      </c>
      <c r="E1032">
        <v>47500</v>
      </c>
      <c r="F1032" s="8">
        <v>5969782550</v>
      </c>
      <c r="G1032" s="1">
        <v>283564671125000</v>
      </c>
      <c r="H1032" s="1">
        <v>224016090212500</v>
      </c>
      <c r="I1032">
        <f t="shared" si="16"/>
        <v>0</v>
      </c>
    </row>
    <row r="1033" spans="1:9" x14ac:dyDescent="0.3">
      <c r="A1033">
        <v>20190215</v>
      </c>
      <c r="B1033" s="2" t="s">
        <v>4</v>
      </c>
      <c r="C1033" s="8">
        <v>47500</v>
      </c>
      <c r="D1033" s="8">
        <v>46050</v>
      </c>
      <c r="E1033">
        <v>46050</v>
      </c>
      <c r="F1033" s="8">
        <v>5969782550</v>
      </c>
      <c r="G1033" s="1">
        <v>274908486427500</v>
      </c>
      <c r="H1033" s="1">
        <v>217177704300750</v>
      </c>
      <c r="I1033">
        <f t="shared" si="16"/>
        <v>0</v>
      </c>
    </row>
    <row r="1034" spans="1:9" x14ac:dyDescent="0.3">
      <c r="A1034">
        <v>20190218</v>
      </c>
      <c r="B1034" s="2" t="s">
        <v>4</v>
      </c>
      <c r="C1034" s="8">
        <v>46050</v>
      </c>
      <c r="D1034" s="8">
        <v>46200</v>
      </c>
      <c r="E1034">
        <v>46200</v>
      </c>
      <c r="F1034" s="8">
        <v>5969782550</v>
      </c>
      <c r="G1034" s="1">
        <v>275803953810000</v>
      </c>
      <c r="H1034" s="1">
        <v>217885123533000</v>
      </c>
      <c r="I1034">
        <f t="shared" si="16"/>
        <v>0</v>
      </c>
    </row>
    <row r="1035" spans="1:9" x14ac:dyDescent="0.3">
      <c r="A1035">
        <v>20190219</v>
      </c>
      <c r="B1035" s="2" t="s">
        <v>4</v>
      </c>
      <c r="C1035" s="8">
        <v>46200</v>
      </c>
      <c r="D1035" s="8">
        <v>45950</v>
      </c>
      <c r="E1035">
        <v>45950</v>
      </c>
      <c r="F1035" s="8">
        <v>5969782550</v>
      </c>
      <c r="G1035" s="1">
        <v>274311508172500</v>
      </c>
      <c r="H1035" s="1">
        <v>216706091479250</v>
      </c>
      <c r="I1035">
        <f t="shared" si="16"/>
        <v>0</v>
      </c>
    </row>
    <row r="1036" spans="1:9" x14ac:dyDescent="0.3">
      <c r="A1036">
        <v>20190220</v>
      </c>
      <c r="B1036" s="2" t="s">
        <v>4</v>
      </c>
      <c r="C1036" s="8">
        <v>45950</v>
      </c>
      <c r="D1036" s="8">
        <v>46900</v>
      </c>
      <c r="E1036">
        <v>46900</v>
      </c>
      <c r="F1036" s="8">
        <v>5969782550</v>
      </c>
      <c r="G1036" s="1">
        <v>279982801595000</v>
      </c>
      <c r="H1036" s="1">
        <v>221186413283500</v>
      </c>
      <c r="I1036">
        <f t="shared" si="16"/>
        <v>0</v>
      </c>
    </row>
    <row r="1037" spans="1:9" x14ac:dyDescent="0.3">
      <c r="A1037">
        <v>20190221</v>
      </c>
      <c r="B1037" s="2" t="s">
        <v>4</v>
      </c>
      <c r="C1037" s="8">
        <v>46900</v>
      </c>
      <c r="D1037" s="8">
        <v>46950</v>
      </c>
      <c r="E1037">
        <v>46950</v>
      </c>
      <c r="F1037" s="8">
        <v>5969782550</v>
      </c>
      <c r="G1037" s="1">
        <v>280281290722500</v>
      </c>
      <c r="H1037" s="1">
        <v>221422219694250</v>
      </c>
      <c r="I1037">
        <f t="shared" si="16"/>
        <v>0</v>
      </c>
    </row>
    <row r="1038" spans="1:9" x14ac:dyDescent="0.3">
      <c r="A1038">
        <v>20190222</v>
      </c>
      <c r="B1038" s="2" t="s">
        <v>4</v>
      </c>
      <c r="C1038" s="8">
        <v>46950</v>
      </c>
      <c r="D1038" s="8">
        <v>47150</v>
      </c>
      <c r="E1038">
        <v>47150</v>
      </c>
      <c r="F1038" s="8">
        <v>5969782550</v>
      </c>
      <c r="G1038" s="1">
        <v>281475247232500</v>
      </c>
      <c r="H1038" s="1">
        <v>222365445337250</v>
      </c>
      <c r="I1038">
        <f t="shared" si="16"/>
        <v>0</v>
      </c>
    </row>
    <row r="1039" spans="1:9" x14ac:dyDescent="0.3">
      <c r="A1039">
        <v>20190225</v>
      </c>
      <c r="B1039" s="2" t="s">
        <v>4</v>
      </c>
      <c r="C1039" s="8">
        <v>47150</v>
      </c>
      <c r="D1039" s="8">
        <v>47350</v>
      </c>
      <c r="E1039">
        <v>47350</v>
      </c>
      <c r="F1039" s="8">
        <v>5969782550</v>
      </c>
      <c r="G1039" s="1">
        <v>282669203742500</v>
      </c>
      <c r="H1039" s="1">
        <v>223308670980250</v>
      </c>
      <c r="I1039">
        <f t="shared" si="16"/>
        <v>0</v>
      </c>
    </row>
    <row r="1040" spans="1:9" x14ac:dyDescent="0.3">
      <c r="A1040">
        <v>20190226</v>
      </c>
      <c r="B1040" s="2" t="s">
        <v>4</v>
      </c>
      <c r="C1040" s="8">
        <v>47350</v>
      </c>
      <c r="D1040" s="8">
        <v>46750</v>
      </c>
      <c r="E1040">
        <v>46750</v>
      </c>
      <c r="F1040" s="8">
        <v>5969782550</v>
      </c>
      <c r="G1040" s="1">
        <v>279087334212500</v>
      </c>
      <c r="H1040" s="1">
        <v>220478994051250</v>
      </c>
      <c r="I1040">
        <f t="shared" si="16"/>
        <v>0</v>
      </c>
    </row>
    <row r="1041" spans="1:9" x14ac:dyDescent="0.3">
      <c r="A1041">
        <v>20190227</v>
      </c>
      <c r="B1041" s="2" t="s">
        <v>4</v>
      </c>
      <c r="C1041" s="8">
        <v>46750</v>
      </c>
      <c r="D1041" s="8">
        <v>46750</v>
      </c>
      <c r="E1041">
        <v>46750</v>
      </c>
      <c r="F1041" s="8">
        <v>5969782550</v>
      </c>
      <c r="G1041" s="1">
        <v>279087334212500</v>
      </c>
      <c r="H1041" s="1">
        <v>220478994051250</v>
      </c>
      <c r="I1041">
        <f t="shared" si="16"/>
        <v>0</v>
      </c>
    </row>
    <row r="1042" spans="1:9" x14ac:dyDescent="0.3">
      <c r="A1042">
        <v>20190228</v>
      </c>
      <c r="B1042" s="2" t="s">
        <v>4</v>
      </c>
      <c r="C1042" s="8">
        <v>46750</v>
      </c>
      <c r="D1042" s="8">
        <v>45100</v>
      </c>
      <c r="E1042">
        <v>45100</v>
      </c>
      <c r="F1042" s="8">
        <v>5969782550</v>
      </c>
      <c r="G1042" s="1">
        <v>269237193005000</v>
      </c>
      <c r="H1042" s="1">
        <v>212697382496500</v>
      </c>
      <c r="I1042">
        <f t="shared" si="16"/>
        <v>0</v>
      </c>
    </row>
    <row r="1043" spans="1:9" x14ac:dyDescent="0.3">
      <c r="A1043">
        <v>20190304</v>
      </c>
      <c r="B1043" s="2" t="s">
        <v>4</v>
      </c>
      <c r="C1043" s="8">
        <v>45100</v>
      </c>
      <c r="D1043" s="8">
        <v>44850</v>
      </c>
      <c r="E1043">
        <v>44850</v>
      </c>
      <c r="F1043" s="8">
        <v>5969782550</v>
      </c>
      <c r="G1043" s="1">
        <v>267744747367500</v>
      </c>
      <c r="H1043" s="1">
        <v>211518350442750</v>
      </c>
      <c r="I1043">
        <f t="shared" si="16"/>
        <v>0</v>
      </c>
    </row>
    <row r="1044" spans="1:9" x14ac:dyDescent="0.3">
      <c r="A1044">
        <v>20190305</v>
      </c>
      <c r="B1044" s="2" t="s">
        <v>4</v>
      </c>
      <c r="C1044" s="8">
        <v>44850</v>
      </c>
      <c r="D1044" s="8">
        <v>44250</v>
      </c>
      <c r="E1044">
        <v>44250</v>
      </c>
      <c r="F1044" s="8">
        <v>5969782550</v>
      </c>
      <c r="G1044" s="1">
        <v>264162877837500</v>
      </c>
      <c r="H1044" s="1">
        <v>208688673513750</v>
      </c>
      <c r="I1044">
        <f t="shared" si="16"/>
        <v>0</v>
      </c>
    </row>
    <row r="1045" spans="1:9" x14ac:dyDescent="0.3">
      <c r="A1045">
        <v>20190306</v>
      </c>
      <c r="B1045" s="2" t="s">
        <v>4</v>
      </c>
      <c r="C1045" s="8">
        <v>44250</v>
      </c>
      <c r="D1045" s="8">
        <v>44000</v>
      </c>
      <c r="E1045">
        <v>44000</v>
      </c>
      <c r="F1045" s="8">
        <v>5969782550</v>
      </c>
      <c r="G1045" s="1">
        <v>262670432200000</v>
      </c>
      <c r="H1045" s="1">
        <v>207509641460000</v>
      </c>
      <c r="I1045">
        <f t="shared" si="16"/>
        <v>0</v>
      </c>
    </row>
    <row r="1046" spans="1:9" x14ac:dyDescent="0.3">
      <c r="A1046">
        <v>20190307</v>
      </c>
      <c r="B1046" s="2" t="s">
        <v>4</v>
      </c>
      <c r="C1046" s="8">
        <v>44000</v>
      </c>
      <c r="D1046" s="8">
        <v>44450</v>
      </c>
      <c r="E1046">
        <v>44450</v>
      </c>
      <c r="F1046" s="8">
        <v>5969782550</v>
      </c>
      <c r="G1046" s="1">
        <v>265356834347500</v>
      </c>
      <c r="H1046" s="1">
        <v>209631899156750</v>
      </c>
      <c r="I1046">
        <f t="shared" si="16"/>
        <v>0</v>
      </c>
    </row>
    <row r="1047" spans="1:9" x14ac:dyDescent="0.3">
      <c r="A1047">
        <v>20190308</v>
      </c>
      <c r="B1047" s="2" t="s">
        <v>4</v>
      </c>
      <c r="C1047" s="8">
        <v>44450</v>
      </c>
      <c r="D1047" s="8">
        <v>43800</v>
      </c>
      <c r="E1047">
        <v>43800</v>
      </c>
      <c r="F1047" s="8">
        <v>5969782550</v>
      </c>
      <c r="G1047" s="1">
        <v>261476475690000</v>
      </c>
      <c r="H1047" s="1">
        <v>206566415817000</v>
      </c>
      <c r="I1047">
        <f t="shared" si="16"/>
        <v>0</v>
      </c>
    </row>
    <row r="1048" spans="1:9" x14ac:dyDescent="0.3">
      <c r="A1048">
        <v>20190311</v>
      </c>
      <c r="B1048" s="2" t="s">
        <v>4</v>
      </c>
      <c r="C1048" s="8">
        <v>43800</v>
      </c>
      <c r="D1048" s="8">
        <v>43650</v>
      </c>
      <c r="E1048">
        <v>43650</v>
      </c>
      <c r="F1048" s="8">
        <v>5969782550</v>
      </c>
      <c r="G1048" s="1">
        <v>260581008307500</v>
      </c>
      <c r="H1048" s="1">
        <v>205858996584750</v>
      </c>
      <c r="I1048">
        <f t="shared" si="16"/>
        <v>0</v>
      </c>
    </row>
    <row r="1049" spans="1:9" x14ac:dyDescent="0.3">
      <c r="A1049">
        <v>20190312</v>
      </c>
      <c r="B1049" s="2" t="s">
        <v>4</v>
      </c>
      <c r="C1049" s="8">
        <v>43650</v>
      </c>
      <c r="D1049" s="8">
        <v>44650</v>
      </c>
      <c r="E1049">
        <v>44650</v>
      </c>
      <c r="F1049" s="8">
        <v>5969782550</v>
      </c>
      <c r="G1049" s="1">
        <v>266550790857500</v>
      </c>
      <c r="H1049" s="1">
        <v>210575124799750</v>
      </c>
      <c r="I1049">
        <f t="shared" si="16"/>
        <v>0</v>
      </c>
    </row>
    <row r="1050" spans="1:9" x14ac:dyDescent="0.3">
      <c r="A1050">
        <v>20190313</v>
      </c>
      <c r="B1050" s="2" t="s">
        <v>4</v>
      </c>
      <c r="C1050" s="8">
        <v>44650</v>
      </c>
      <c r="D1050" s="8">
        <v>43850</v>
      </c>
      <c r="E1050">
        <v>43850</v>
      </c>
      <c r="F1050" s="8">
        <v>5969782550</v>
      </c>
      <c r="G1050" s="1">
        <v>261774964817500</v>
      </c>
      <c r="H1050" s="1">
        <v>206802222227750</v>
      </c>
      <c r="I1050">
        <f t="shared" si="16"/>
        <v>0</v>
      </c>
    </row>
    <row r="1051" spans="1:9" x14ac:dyDescent="0.3">
      <c r="A1051">
        <v>20190314</v>
      </c>
      <c r="B1051" s="2" t="s">
        <v>4</v>
      </c>
      <c r="C1051" s="8">
        <v>43850</v>
      </c>
      <c r="D1051" s="8">
        <v>43850</v>
      </c>
      <c r="E1051">
        <v>43850</v>
      </c>
      <c r="F1051" s="8">
        <v>5969782550</v>
      </c>
      <c r="G1051" s="1">
        <v>261774964817500</v>
      </c>
      <c r="H1051" s="1">
        <v>206802222227750</v>
      </c>
      <c r="I1051">
        <f t="shared" si="16"/>
        <v>0</v>
      </c>
    </row>
    <row r="1052" spans="1:9" x14ac:dyDescent="0.3">
      <c r="A1052">
        <v>20190315</v>
      </c>
      <c r="B1052" s="2" t="s">
        <v>4</v>
      </c>
      <c r="C1052" s="8">
        <v>43850</v>
      </c>
      <c r="D1052" s="8">
        <v>44200</v>
      </c>
      <c r="E1052">
        <v>44200</v>
      </c>
      <c r="F1052" s="8">
        <v>5969782550</v>
      </c>
      <c r="G1052" s="1">
        <v>263864388710000</v>
      </c>
      <c r="H1052" s="1">
        <v>208452867103000</v>
      </c>
      <c r="I1052">
        <f t="shared" si="16"/>
        <v>0</v>
      </c>
    </row>
    <row r="1053" spans="1:9" x14ac:dyDescent="0.3">
      <c r="A1053">
        <v>20190318</v>
      </c>
      <c r="B1053" s="2" t="s">
        <v>4</v>
      </c>
      <c r="C1053" s="8">
        <v>44200</v>
      </c>
      <c r="D1053" s="8">
        <v>43700</v>
      </c>
      <c r="E1053">
        <v>43700</v>
      </c>
      <c r="F1053" s="8">
        <v>5969782550</v>
      </c>
      <c r="G1053" s="1">
        <v>260879497435000</v>
      </c>
      <c r="H1053" s="1">
        <v>206094802995500</v>
      </c>
      <c r="I1053">
        <f t="shared" si="16"/>
        <v>0</v>
      </c>
    </row>
    <row r="1054" spans="1:9" x14ac:dyDescent="0.3">
      <c r="A1054">
        <v>20190319</v>
      </c>
      <c r="B1054" s="2" t="s">
        <v>4</v>
      </c>
      <c r="C1054" s="8">
        <v>43700</v>
      </c>
      <c r="D1054" s="8">
        <v>43900</v>
      </c>
      <c r="E1054">
        <v>43900</v>
      </c>
      <c r="F1054" s="8">
        <v>5969782550</v>
      </c>
      <c r="G1054" s="1">
        <v>262073453945000</v>
      </c>
      <c r="H1054" s="1">
        <v>207038028638500</v>
      </c>
      <c r="I1054">
        <f t="shared" si="16"/>
        <v>0</v>
      </c>
    </row>
    <row r="1055" spans="1:9" x14ac:dyDescent="0.3">
      <c r="A1055">
        <v>20190320</v>
      </c>
      <c r="B1055" s="2" t="s">
        <v>4</v>
      </c>
      <c r="C1055" s="8">
        <v>43900</v>
      </c>
      <c r="D1055" s="8">
        <v>44050</v>
      </c>
      <c r="E1055">
        <v>44050</v>
      </c>
      <c r="F1055" s="8">
        <v>5969782550</v>
      </c>
      <c r="G1055" s="1">
        <v>262968921327500</v>
      </c>
      <c r="H1055" s="1">
        <v>207745447870750</v>
      </c>
      <c r="I1055">
        <f t="shared" si="16"/>
        <v>0</v>
      </c>
    </row>
    <row r="1056" spans="1:9" x14ac:dyDescent="0.3">
      <c r="A1056">
        <v>20190321</v>
      </c>
      <c r="B1056" s="2" t="s">
        <v>4</v>
      </c>
      <c r="C1056" s="8">
        <v>44050</v>
      </c>
      <c r="D1056" s="8">
        <v>45850</v>
      </c>
      <c r="E1056">
        <v>45850</v>
      </c>
      <c r="F1056" s="8">
        <v>5969782550</v>
      </c>
      <c r="G1056" s="1">
        <v>273714529917500</v>
      </c>
      <c r="H1056" s="1">
        <v>216234478657750</v>
      </c>
      <c r="I1056">
        <f t="shared" si="16"/>
        <v>0</v>
      </c>
    </row>
    <row r="1057" spans="1:9" x14ac:dyDescent="0.3">
      <c r="A1057">
        <v>20190322</v>
      </c>
      <c r="B1057" s="2" t="s">
        <v>4</v>
      </c>
      <c r="C1057" s="8">
        <v>45850</v>
      </c>
      <c r="D1057" s="8">
        <v>46550</v>
      </c>
      <c r="E1057">
        <v>46550</v>
      </c>
      <c r="F1057" s="8">
        <v>5969782550</v>
      </c>
      <c r="G1057" s="1">
        <v>277893377702500</v>
      </c>
      <c r="H1057" s="1">
        <v>219535768408250</v>
      </c>
      <c r="I1057">
        <f t="shared" si="16"/>
        <v>0</v>
      </c>
    </row>
    <row r="1058" spans="1:9" x14ac:dyDescent="0.3">
      <c r="A1058">
        <v>20190325</v>
      </c>
      <c r="B1058" s="2" t="s">
        <v>4</v>
      </c>
      <c r="C1058" s="8">
        <v>46550</v>
      </c>
      <c r="D1058" s="8">
        <v>45500</v>
      </c>
      <c r="E1058">
        <v>45500</v>
      </c>
      <c r="F1058" s="8">
        <v>5969782550</v>
      </c>
      <c r="G1058" s="1">
        <v>271625106025000</v>
      </c>
      <c r="H1058" s="1">
        <v>214583833782500</v>
      </c>
      <c r="I1058">
        <f t="shared" si="16"/>
        <v>0</v>
      </c>
    </row>
    <row r="1059" spans="1:9" x14ac:dyDescent="0.3">
      <c r="A1059">
        <v>20190326</v>
      </c>
      <c r="B1059" s="2" t="s">
        <v>4</v>
      </c>
      <c r="C1059" s="8">
        <v>45500</v>
      </c>
      <c r="D1059" s="8">
        <v>45250</v>
      </c>
      <c r="E1059">
        <v>45250</v>
      </c>
      <c r="F1059" s="8">
        <v>5969782550</v>
      </c>
      <c r="G1059" s="1">
        <v>270132660387500</v>
      </c>
      <c r="H1059" s="1">
        <v>213404801728750</v>
      </c>
      <c r="I1059">
        <f t="shared" si="16"/>
        <v>0</v>
      </c>
    </row>
    <row r="1060" spans="1:9" x14ac:dyDescent="0.3">
      <c r="A1060">
        <v>20190327</v>
      </c>
      <c r="B1060" s="2" t="s">
        <v>4</v>
      </c>
      <c r="C1060" s="8">
        <v>45250</v>
      </c>
      <c r="D1060" s="8">
        <v>45350</v>
      </c>
      <c r="E1060">
        <v>45350</v>
      </c>
      <c r="F1060" s="8">
        <v>5969782550</v>
      </c>
      <c r="G1060" s="1">
        <v>270729638642500</v>
      </c>
      <c r="H1060" s="1">
        <v>213876414550250</v>
      </c>
      <c r="I1060">
        <f t="shared" si="16"/>
        <v>0</v>
      </c>
    </row>
    <row r="1061" spans="1:9" x14ac:dyDescent="0.3">
      <c r="A1061">
        <v>20190328</v>
      </c>
      <c r="B1061" s="2" t="s">
        <v>4</v>
      </c>
      <c r="C1061" s="8">
        <v>45350</v>
      </c>
      <c r="D1061" s="8">
        <v>44850</v>
      </c>
      <c r="E1061">
        <v>44850</v>
      </c>
      <c r="F1061" s="8">
        <v>5969782550</v>
      </c>
      <c r="G1061" s="1">
        <v>267744747367500</v>
      </c>
      <c r="H1061" s="1">
        <v>211518350442750</v>
      </c>
      <c r="I1061">
        <f t="shared" si="16"/>
        <v>0</v>
      </c>
    </row>
    <row r="1062" spans="1:9" x14ac:dyDescent="0.3">
      <c r="A1062">
        <v>20190329</v>
      </c>
      <c r="B1062" s="2" t="s">
        <v>4</v>
      </c>
      <c r="C1062" s="8">
        <v>44850</v>
      </c>
      <c r="D1062" s="8">
        <v>44650</v>
      </c>
      <c r="E1062">
        <v>44650</v>
      </c>
      <c r="F1062" s="8">
        <v>5969782550</v>
      </c>
      <c r="G1062" s="1">
        <v>266550790857500</v>
      </c>
      <c r="H1062" s="1">
        <v>210575124799750</v>
      </c>
      <c r="I1062">
        <f t="shared" si="16"/>
        <v>0</v>
      </c>
    </row>
    <row r="1063" spans="1:9" x14ac:dyDescent="0.3">
      <c r="A1063">
        <v>20190401</v>
      </c>
      <c r="B1063" s="2" t="s">
        <v>4</v>
      </c>
      <c r="C1063" s="8">
        <v>44650</v>
      </c>
      <c r="D1063" s="8">
        <v>45050</v>
      </c>
      <c r="E1063">
        <v>45050</v>
      </c>
      <c r="F1063" s="8">
        <v>5969782550</v>
      </c>
      <c r="G1063" s="1">
        <v>268938703877500</v>
      </c>
      <c r="H1063" s="1">
        <v>212461576085750</v>
      </c>
      <c r="I1063">
        <f t="shared" si="16"/>
        <v>0</v>
      </c>
    </row>
    <row r="1064" spans="1:9" x14ac:dyDescent="0.3">
      <c r="A1064">
        <v>20190402</v>
      </c>
      <c r="B1064" s="2" t="s">
        <v>4</v>
      </c>
      <c r="C1064" s="8">
        <v>45050</v>
      </c>
      <c r="D1064" s="8">
        <v>45750</v>
      </c>
      <c r="E1064">
        <v>45750</v>
      </c>
      <c r="F1064" s="8">
        <v>5969782550</v>
      </c>
      <c r="G1064" s="1">
        <v>273117551662500</v>
      </c>
      <c r="H1064" s="1">
        <v>215762865836250</v>
      </c>
      <c r="I1064">
        <f t="shared" si="16"/>
        <v>0</v>
      </c>
    </row>
    <row r="1065" spans="1:9" x14ac:dyDescent="0.3">
      <c r="A1065">
        <v>20190403</v>
      </c>
      <c r="B1065" s="2" t="s">
        <v>4</v>
      </c>
      <c r="C1065" s="8">
        <v>45750</v>
      </c>
      <c r="D1065" s="8">
        <v>46600</v>
      </c>
      <c r="E1065">
        <v>46600</v>
      </c>
      <c r="F1065" s="8">
        <v>5969782550</v>
      </c>
      <c r="G1065" s="1">
        <v>278191866830000</v>
      </c>
      <c r="H1065" s="1">
        <v>219771574819000</v>
      </c>
      <c r="I1065">
        <f t="shared" si="16"/>
        <v>0</v>
      </c>
    </row>
    <row r="1066" spans="1:9" x14ac:dyDescent="0.3">
      <c r="A1066">
        <v>20190404</v>
      </c>
      <c r="B1066" s="2" t="s">
        <v>4</v>
      </c>
      <c r="C1066" s="8">
        <v>46600</v>
      </c>
      <c r="D1066" s="8">
        <v>46950</v>
      </c>
      <c r="E1066">
        <v>46950</v>
      </c>
      <c r="F1066" s="8">
        <v>5969782550</v>
      </c>
      <c r="G1066" s="1">
        <v>280281290722500</v>
      </c>
      <c r="H1066" s="1">
        <v>221422219694250</v>
      </c>
      <c r="I1066">
        <f t="shared" si="16"/>
        <v>0</v>
      </c>
    </row>
    <row r="1067" spans="1:9" x14ac:dyDescent="0.3">
      <c r="A1067">
        <v>20190405</v>
      </c>
      <c r="B1067" s="2" t="s">
        <v>4</v>
      </c>
      <c r="C1067" s="8">
        <v>46950</v>
      </c>
      <c r="D1067" s="8">
        <v>46850</v>
      </c>
      <c r="E1067">
        <v>46850</v>
      </c>
      <c r="F1067" s="8">
        <v>5969782550</v>
      </c>
      <c r="G1067" s="1">
        <v>279684312467500</v>
      </c>
      <c r="H1067" s="1">
        <v>220950606872750</v>
      </c>
      <c r="I1067">
        <f t="shared" si="16"/>
        <v>0</v>
      </c>
    </row>
    <row r="1068" spans="1:9" x14ac:dyDescent="0.3">
      <c r="A1068">
        <v>20190408</v>
      </c>
      <c r="B1068" s="2" t="s">
        <v>4</v>
      </c>
      <c r="C1068" s="8">
        <v>46850</v>
      </c>
      <c r="D1068" s="8">
        <v>46650</v>
      </c>
      <c r="E1068">
        <v>46650</v>
      </c>
      <c r="F1068" s="8">
        <v>5969782550</v>
      </c>
      <c r="G1068" s="1">
        <v>278490355957500</v>
      </c>
      <c r="H1068" s="1">
        <v>220007381229750</v>
      </c>
      <c r="I1068">
        <f t="shared" si="16"/>
        <v>0</v>
      </c>
    </row>
    <row r="1069" spans="1:9" x14ac:dyDescent="0.3">
      <c r="A1069">
        <v>20190409</v>
      </c>
      <c r="B1069" s="2" t="s">
        <v>4</v>
      </c>
      <c r="C1069" s="8">
        <v>46650</v>
      </c>
      <c r="D1069" s="8">
        <v>46650</v>
      </c>
      <c r="E1069">
        <v>46650</v>
      </c>
      <c r="F1069" s="8">
        <v>5969782550</v>
      </c>
      <c r="G1069" s="1">
        <v>278490355957500</v>
      </c>
      <c r="H1069" s="1">
        <v>220007381229750</v>
      </c>
      <c r="I1069">
        <f t="shared" si="16"/>
        <v>0</v>
      </c>
    </row>
    <row r="1070" spans="1:9" x14ac:dyDescent="0.3">
      <c r="A1070">
        <v>20190410</v>
      </c>
      <c r="B1070" s="2" t="s">
        <v>4</v>
      </c>
      <c r="C1070" s="8">
        <v>46650</v>
      </c>
      <c r="D1070" s="8">
        <v>46700</v>
      </c>
      <c r="E1070">
        <v>46700</v>
      </c>
      <c r="F1070" s="8">
        <v>5969782550</v>
      </c>
      <c r="G1070" s="1">
        <v>278788845085000</v>
      </c>
      <c r="H1070" s="1">
        <v>220243187640500</v>
      </c>
      <c r="I1070">
        <f t="shared" si="16"/>
        <v>0</v>
      </c>
    </row>
    <row r="1071" spans="1:9" x14ac:dyDescent="0.3">
      <c r="A1071">
        <v>20190411</v>
      </c>
      <c r="B1071" s="2" t="s">
        <v>4</v>
      </c>
      <c r="C1071" s="8">
        <v>46700</v>
      </c>
      <c r="D1071" s="8">
        <v>46250</v>
      </c>
      <c r="E1071">
        <v>46250</v>
      </c>
      <c r="F1071" s="8">
        <v>5969782550</v>
      </c>
      <c r="G1071" s="1">
        <v>276102442937500</v>
      </c>
      <c r="H1071" s="1">
        <v>218120929943750</v>
      </c>
      <c r="I1071">
        <f t="shared" si="16"/>
        <v>0</v>
      </c>
    </row>
    <row r="1072" spans="1:9" x14ac:dyDescent="0.3">
      <c r="A1072">
        <v>20190412</v>
      </c>
      <c r="B1072" s="2" t="s">
        <v>4</v>
      </c>
      <c r="C1072" s="8">
        <v>46250</v>
      </c>
      <c r="D1072" s="8">
        <v>46850</v>
      </c>
      <c r="E1072">
        <v>46850</v>
      </c>
      <c r="F1072" s="8">
        <v>5969782550</v>
      </c>
      <c r="G1072" s="1">
        <v>279684312467500</v>
      </c>
      <c r="H1072" s="1">
        <v>220950606872750</v>
      </c>
      <c r="I1072">
        <f t="shared" si="16"/>
        <v>0</v>
      </c>
    </row>
    <row r="1073" spans="1:9" x14ac:dyDescent="0.3">
      <c r="A1073">
        <v>20190415</v>
      </c>
      <c r="B1073" s="2" t="s">
        <v>4</v>
      </c>
      <c r="C1073" s="8">
        <v>46850</v>
      </c>
      <c r="D1073" s="8">
        <v>47050</v>
      </c>
      <c r="E1073">
        <v>47050</v>
      </c>
      <c r="F1073" s="8">
        <v>5969782550</v>
      </c>
      <c r="G1073" s="1">
        <v>280878268977500</v>
      </c>
      <c r="H1073" s="1">
        <v>221893832515750</v>
      </c>
      <c r="I1073">
        <f t="shared" si="16"/>
        <v>0</v>
      </c>
    </row>
    <row r="1074" spans="1:9" x14ac:dyDescent="0.3">
      <c r="A1074">
        <v>20190416</v>
      </c>
      <c r="B1074" s="2" t="s">
        <v>4</v>
      </c>
      <c r="C1074" s="8">
        <v>47050</v>
      </c>
      <c r="D1074" s="8">
        <v>47250</v>
      </c>
      <c r="E1074">
        <v>47250</v>
      </c>
      <c r="F1074" s="8">
        <v>5969782550</v>
      </c>
      <c r="G1074" s="1">
        <v>282072225487500</v>
      </c>
      <c r="H1074" s="1">
        <v>222837058158750</v>
      </c>
      <c r="I1074">
        <f t="shared" si="16"/>
        <v>0</v>
      </c>
    </row>
    <row r="1075" spans="1:9" x14ac:dyDescent="0.3">
      <c r="A1075">
        <v>20190417</v>
      </c>
      <c r="B1075" s="2" t="s">
        <v>4</v>
      </c>
      <c r="C1075" s="8">
        <v>47250</v>
      </c>
      <c r="D1075" s="8">
        <v>47050</v>
      </c>
      <c r="E1075">
        <v>47050</v>
      </c>
      <c r="F1075" s="8">
        <v>5969782550</v>
      </c>
      <c r="G1075" s="1">
        <v>280878268977500</v>
      </c>
      <c r="H1075" s="1">
        <v>221893832515750</v>
      </c>
      <c r="I1075">
        <f t="shared" si="16"/>
        <v>0</v>
      </c>
    </row>
    <row r="1076" spans="1:9" x14ac:dyDescent="0.3">
      <c r="A1076">
        <v>20190418</v>
      </c>
      <c r="B1076" s="2" t="s">
        <v>4</v>
      </c>
      <c r="C1076" s="8">
        <v>47050</v>
      </c>
      <c r="D1076" s="8">
        <v>45600</v>
      </c>
      <c r="E1076">
        <v>45600</v>
      </c>
      <c r="F1076" s="8">
        <v>5969782550</v>
      </c>
      <c r="G1076" s="1">
        <v>272222084280000</v>
      </c>
      <c r="H1076" s="1">
        <v>215055446604000</v>
      </c>
      <c r="I1076">
        <f t="shared" si="16"/>
        <v>0</v>
      </c>
    </row>
    <row r="1077" spans="1:9" x14ac:dyDescent="0.3">
      <c r="A1077">
        <v>20190419</v>
      </c>
      <c r="B1077" s="2" t="s">
        <v>4</v>
      </c>
      <c r="C1077" s="8">
        <v>45600</v>
      </c>
      <c r="D1077" s="8">
        <v>45300</v>
      </c>
      <c r="E1077">
        <v>45300</v>
      </c>
      <c r="F1077" s="8">
        <v>5969782550</v>
      </c>
      <c r="G1077" s="1">
        <v>270431149515000</v>
      </c>
      <c r="H1077" s="1">
        <v>213640608139500</v>
      </c>
      <c r="I1077">
        <f t="shared" si="16"/>
        <v>0</v>
      </c>
    </row>
    <row r="1078" spans="1:9" x14ac:dyDescent="0.3">
      <c r="A1078">
        <v>20190422</v>
      </c>
      <c r="B1078" s="2" t="s">
        <v>4</v>
      </c>
      <c r="C1078" s="8">
        <v>45300</v>
      </c>
      <c r="D1078" s="8">
        <v>45350</v>
      </c>
      <c r="E1078">
        <v>45350</v>
      </c>
      <c r="F1078" s="8">
        <v>5969782550</v>
      </c>
      <c r="G1078" s="1">
        <v>270729638642500</v>
      </c>
      <c r="H1078" s="1">
        <v>213876414550250</v>
      </c>
      <c r="I1078">
        <f t="shared" si="16"/>
        <v>0</v>
      </c>
    </row>
    <row r="1079" spans="1:9" x14ac:dyDescent="0.3">
      <c r="A1079">
        <v>20190423</v>
      </c>
      <c r="B1079" s="2" t="s">
        <v>4</v>
      </c>
      <c r="C1079" s="8">
        <v>45350</v>
      </c>
      <c r="D1079" s="8">
        <v>45200</v>
      </c>
      <c r="E1079">
        <v>45200</v>
      </c>
      <c r="F1079" s="8">
        <v>5969782550</v>
      </c>
      <c r="G1079" s="1">
        <v>269834171260000</v>
      </c>
      <c r="H1079" s="1">
        <v>213168995318000</v>
      </c>
      <c r="I1079">
        <f t="shared" si="16"/>
        <v>0</v>
      </c>
    </row>
    <row r="1080" spans="1:9" x14ac:dyDescent="0.3">
      <c r="A1080">
        <v>20190424</v>
      </c>
      <c r="B1080" s="2" t="s">
        <v>4</v>
      </c>
      <c r="C1080" s="8">
        <v>45200</v>
      </c>
      <c r="D1080" s="8">
        <v>44750</v>
      </c>
      <c r="E1080">
        <v>44750</v>
      </c>
      <c r="F1080" s="8">
        <v>5969782550</v>
      </c>
      <c r="G1080" s="1">
        <v>267147769112500</v>
      </c>
      <c r="H1080" s="1">
        <v>211046737621250</v>
      </c>
      <c r="I1080">
        <f t="shared" si="16"/>
        <v>0</v>
      </c>
    </row>
    <row r="1081" spans="1:9" x14ac:dyDescent="0.3">
      <c r="A1081">
        <v>20190425</v>
      </c>
      <c r="B1081" s="2" t="s">
        <v>4</v>
      </c>
      <c r="C1081" s="8">
        <v>44750</v>
      </c>
      <c r="D1081" s="8">
        <v>44650</v>
      </c>
      <c r="E1081">
        <v>44650</v>
      </c>
      <c r="F1081" s="8">
        <v>5969782550</v>
      </c>
      <c r="G1081" s="1">
        <v>266550790857500</v>
      </c>
      <c r="H1081" s="1">
        <v>210575124799750</v>
      </c>
      <c r="I1081">
        <f t="shared" si="16"/>
        <v>0</v>
      </c>
    </row>
    <row r="1082" spans="1:9" x14ac:dyDescent="0.3">
      <c r="A1082">
        <v>20190426</v>
      </c>
      <c r="B1082" s="2" t="s">
        <v>4</v>
      </c>
      <c r="C1082" s="8">
        <v>44650</v>
      </c>
      <c r="D1082" s="8">
        <v>44850</v>
      </c>
      <c r="E1082">
        <v>44850</v>
      </c>
      <c r="F1082" s="8">
        <v>5969782550</v>
      </c>
      <c r="G1082" s="1">
        <v>267744747367500</v>
      </c>
      <c r="H1082" s="1">
        <v>211518350442750</v>
      </c>
      <c r="I1082">
        <f t="shared" si="16"/>
        <v>0</v>
      </c>
    </row>
    <row r="1083" spans="1:9" x14ac:dyDescent="0.3">
      <c r="A1083">
        <v>20190429</v>
      </c>
      <c r="B1083" s="2" t="s">
        <v>4</v>
      </c>
      <c r="C1083" s="8">
        <v>44850</v>
      </c>
      <c r="D1083" s="8">
        <v>46150</v>
      </c>
      <c r="E1083">
        <v>46150</v>
      </c>
      <c r="F1083" s="8">
        <v>5969782550</v>
      </c>
      <c r="G1083" s="1">
        <v>275505464682500</v>
      </c>
      <c r="H1083" s="1">
        <v>217649317122250</v>
      </c>
      <c r="I1083">
        <f t="shared" si="16"/>
        <v>0</v>
      </c>
    </row>
    <row r="1084" spans="1:9" x14ac:dyDescent="0.3">
      <c r="A1084">
        <v>20190430</v>
      </c>
      <c r="B1084" s="2" t="s">
        <v>4</v>
      </c>
      <c r="C1084" s="8">
        <v>46150</v>
      </c>
      <c r="D1084" s="8">
        <v>45850</v>
      </c>
      <c r="E1084">
        <v>45850</v>
      </c>
      <c r="F1084" s="8">
        <v>5969782550</v>
      </c>
      <c r="G1084" s="1">
        <v>273714529917500</v>
      </c>
      <c r="H1084" s="1">
        <v>216234478657750</v>
      </c>
      <c r="I1084">
        <f t="shared" si="16"/>
        <v>0</v>
      </c>
    </row>
    <row r="1085" spans="1:9" x14ac:dyDescent="0.3">
      <c r="A1085">
        <v>20190502</v>
      </c>
      <c r="B1085" s="2" t="s">
        <v>4</v>
      </c>
      <c r="C1085" s="8">
        <v>45850</v>
      </c>
      <c r="D1085" s="8">
        <v>45900</v>
      </c>
      <c r="E1085">
        <v>45900</v>
      </c>
      <c r="F1085" s="8">
        <v>5969782550</v>
      </c>
      <c r="G1085" s="1">
        <v>274013019045000</v>
      </c>
      <c r="H1085" s="1">
        <v>216470285068500</v>
      </c>
      <c r="I1085">
        <f t="shared" si="16"/>
        <v>0</v>
      </c>
    </row>
    <row r="1086" spans="1:9" x14ac:dyDescent="0.3">
      <c r="A1086">
        <v>20190503</v>
      </c>
      <c r="B1086" s="2" t="s">
        <v>4</v>
      </c>
      <c r="C1086" s="8">
        <v>45900</v>
      </c>
      <c r="D1086" s="8">
        <v>45300</v>
      </c>
      <c r="E1086">
        <v>45300</v>
      </c>
      <c r="F1086" s="8">
        <v>5969782550</v>
      </c>
      <c r="G1086" s="1">
        <v>270431149515000</v>
      </c>
      <c r="H1086" s="1">
        <v>213640608139500</v>
      </c>
      <c r="I1086">
        <f t="shared" si="16"/>
        <v>0</v>
      </c>
    </row>
    <row r="1087" spans="1:9" x14ac:dyDescent="0.3">
      <c r="A1087">
        <v>20190507</v>
      </c>
      <c r="B1087" s="2" t="s">
        <v>4</v>
      </c>
      <c r="C1087" s="8">
        <v>45300</v>
      </c>
      <c r="D1087" s="8">
        <v>44850</v>
      </c>
      <c r="E1087">
        <v>44850</v>
      </c>
      <c r="F1087" s="8">
        <v>5969782550</v>
      </c>
      <c r="G1087" s="1">
        <v>267744747367500</v>
      </c>
      <c r="H1087" s="1">
        <v>211518350442750</v>
      </c>
      <c r="I1087">
        <f t="shared" si="16"/>
        <v>0</v>
      </c>
    </row>
    <row r="1088" spans="1:9" x14ac:dyDescent="0.3">
      <c r="A1088">
        <v>20190508</v>
      </c>
      <c r="B1088" s="2" t="s">
        <v>4</v>
      </c>
      <c r="C1088" s="8">
        <v>44850</v>
      </c>
      <c r="D1088" s="8">
        <v>44250</v>
      </c>
      <c r="E1088">
        <v>44250</v>
      </c>
      <c r="F1088" s="8">
        <v>5969782550</v>
      </c>
      <c r="G1088" s="1">
        <v>264162877837500</v>
      </c>
      <c r="H1088" s="1">
        <v>208688673513750</v>
      </c>
      <c r="I1088">
        <f t="shared" si="16"/>
        <v>0</v>
      </c>
    </row>
    <row r="1089" spans="1:9" x14ac:dyDescent="0.3">
      <c r="A1089">
        <v>20190509</v>
      </c>
      <c r="B1089" s="2" t="s">
        <v>4</v>
      </c>
      <c r="C1089" s="8">
        <v>44250</v>
      </c>
      <c r="D1089" s="8">
        <v>42450</v>
      </c>
      <c r="E1089">
        <v>42450</v>
      </c>
      <c r="F1089" s="8">
        <v>5969782550</v>
      </c>
      <c r="G1089" s="1">
        <v>253417269247500</v>
      </c>
      <c r="H1089" s="1">
        <v>200199642726750</v>
      </c>
      <c r="I1089">
        <f t="shared" si="16"/>
        <v>0</v>
      </c>
    </row>
    <row r="1090" spans="1:9" x14ac:dyDescent="0.3">
      <c r="A1090">
        <v>20190510</v>
      </c>
      <c r="B1090" s="2" t="s">
        <v>4</v>
      </c>
      <c r="C1090" s="8">
        <v>42450</v>
      </c>
      <c r="D1090" s="8">
        <v>42900</v>
      </c>
      <c r="E1090">
        <v>42900</v>
      </c>
      <c r="F1090" s="8">
        <v>5969782550</v>
      </c>
      <c r="G1090" s="1">
        <v>256103671395000</v>
      </c>
      <c r="H1090" s="1">
        <v>202321900423500</v>
      </c>
      <c r="I1090">
        <f t="shared" si="16"/>
        <v>0</v>
      </c>
    </row>
    <row r="1091" spans="1:9" x14ac:dyDescent="0.3">
      <c r="A1091">
        <v>20190513</v>
      </c>
      <c r="B1091" s="2" t="s">
        <v>4</v>
      </c>
      <c r="C1091" s="8">
        <v>42900</v>
      </c>
      <c r="D1091" s="8">
        <v>42650</v>
      </c>
      <c r="E1091">
        <v>42650</v>
      </c>
      <c r="F1091" s="8">
        <v>5969782550</v>
      </c>
      <c r="G1091" s="1">
        <v>254611225757500</v>
      </c>
      <c r="H1091" s="1">
        <v>201142868369750</v>
      </c>
      <c r="I1091">
        <f t="shared" si="16"/>
        <v>0</v>
      </c>
    </row>
    <row r="1092" spans="1:9" x14ac:dyDescent="0.3">
      <c r="A1092">
        <v>20190514</v>
      </c>
      <c r="B1092" s="2" t="s">
        <v>4</v>
      </c>
      <c r="C1092" s="8">
        <v>42650</v>
      </c>
      <c r="D1092" s="8">
        <v>42650</v>
      </c>
      <c r="E1092">
        <v>42650</v>
      </c>
      <c r="F1092" s="8">
        <v>5969782550</v>
      </c>
      <c r="G1092" s="1">
        <v>254611225757500</v>
      </c>
      <c r="H1092" s="1">
        <v>201142868369750</v>
      </c>
      <c r="I1092">
        <f t="shared" ref="I1092:I1137" si="17">IF(C1092*F1092=D1091*F1091,0,1)</f>
        <v>0</v>
      </c>
    </row>
    <row r="1093" spans="1:9" x14ac:dyDescent="0.3">
      <c r="A1093">
        <v>20190515</v>
      </c>
      <c r="B1093" s="2" t="s">
        <v>4</v>
      </c>
      <c r="C1093" s="8">
        <v>42650</v>
      </c>
      <c r="D1093" s="8">
        <v>42550</v>
      </c>
      <c r="E1093">
        <v>42550</v>
      </c>
      <c r="F1093" s="8">
        <v>5969782550</v>
      </c>
      <c r="G1093" s="1">
        <v>254014247502500</v>
      </c>
      <c r="H1093" s="1">
        <v>200671255548250</v>
      </c>
      <c r="I1093">
        <f t="shared" si="17"/>
        <v>0</v>
      </c>
    </row>
    <row r="1094" spans="1:9" x14ac:dyDescent="0.3">
      <c r="A1094">
        <v>20190516</v>
      </c>
      <c r="B1094" s="2" t="s">
        <v>4</v>
      </c>
      <c r="C1094" s="8">
        <v>42550</v>
      </c>
      <c r="D1094" s="8">
        <v>41550</v>
      </c>
      <c r="E1094">
        <v>41550</v>
      </c>
      <c r="F1094" s="8">
        <v>5969782550</v>
      </c>
      <c r="G1094" s="1">
        <v>248044464952500</v>
      </c>
      <c r="H1094" s="1">
        <v>195955127333250</v>
      </c>
      <c r="I1094">
        <f t="shared" si="17"/>
        <v>0</v>
      </c>
    </row>
    <row r="1095" spans="1:9" x14ac:dyDescent="0.3">
      <c r="A1095">
        <v>20190517</v>
      </c>
      <c r="B1095" s="2" t="s">
        <v>4</v>
      </c>
      <c r="C1095" s="8">
        <v>41550</v>
      </c>
      <c r="D1095" s="8">
        <v>41200</v>
      </c>
      <c r="E1095">
        <v>41200</v>
      </c>
      <c r="F1095" s="8">
        <v>5969782550</v>
      </c>
      <c r="G1095" s="1">
        <v>245955041060000</v>
      </c>
      <c r="H1095" s="1">
        <v>194304482458000</v>
      </c>
      <c r="I1095">
        <f t="shared" si="17"/>
        <v>0</v>
      </c>
    </row>
    <row r="1096" spans="1:9" x14ac:dyDescent="0.3">
      <c r="A1096">
        <v>20190520</v>
      </c>
      <c r="B1096" s="2" t="s">
        <v>4</v>
      </c>
      <c r="C1096" s="8">
        <v>41200</v>
      </c>
      <c r="D1096" s="8">
        <v>42000</v>
      </c>
      <c r="E1096">
        <v>42000</v>
      </c>
      <c r="F1096" s="8">
        <v>5969782550</v>
      </c>
      <c r="G1096" s="1">
        <v>250730867100000</v>
      </c>
      <c r="H1096" s="1">
        <v>198077385030000</v>
      </c>
      <c r="I1096">
        <f t="shared" si="17"/>
        <v>0</v>
      </c>
    </row>
    <row r="1097" spans="1:9" x14ac:dyDescent="0.3">
      <c r="A1097">
        <v>20190521</v>
      </c>
      <c r="B1097" s="2" t="s">
        <v>4</v>
      </c>
      <c r="C1097" s="8">
        <v>42000</v>
      </c>
      <c r="D1097" s="8">
        <v>43150</v>
      </c>
      <c r="E1097">
        <v>43150</v>
      </c>
      <c r="F1097" s="8">
        <v>5969782550</v>
      </c>
      <c r="G1097" s="1">
        <v>257596117032500</v>
      </c>
      <c r="H1097" s="1">
        <v>203500932477250</v>
      </c>
      <c r="I1097">
        <f t="shared" si="17"/>
        <v>0</v>
      </c>
    </row>
    <row r="1098" spans="1:9" x14ac:dyDescent="0.3">
      <c r="A1098">
        <v>20190522</v>
      </c>
      <c r="B1098" s="2" t="s">
        <v>4</v>
      </c>
      <c r="C1098" s="8">
        <v>43150</v>
      </c>
      <c r="D1098" s="8">
        <v>43500</v>
      </c>
      <c r="E1098">
        <v>43500</v>
      </c>
      <c r="F1098" s="8">
        <v>5969782550</v>
      </c>
      <c r="G1098" s="1">
        <v>259685540925000</v>
      </c>
      <c r="H1098" s="1">
        <v>205151577352500</v>
      </c>
      <c r="I1098">
        <f t="shared" si="17"/>
        <v>0</v>
      </c>
    </row>
    <row r="1099" spans="1:9" x14ac:dyDescent="0.3">
      <c r="A1099">
        <v>20190523</v>
      </c>
      <c r="B1099" s="2" t="s">
        <v>4</v>
      </c>
      <c r="C1099" s="8">
        <v>43500</v>
      </c>
      <c r="D1099" s="8">
        <v>43850</v>
      </c>
      <c r="E1099">
        <v>43850</v>
      </c>
      <c r="F1099" s="8">
        <v>5969782550</v>
      </c>
      <c r="G1099" s="1">
        <v>261774964817500</v>
      </c>
      <c r="H1099" s="1">
        <v>206802222227750</v>
      </c>
      <c r="I1099">
        <f t="shared" si="17"/>
        <v>0</v>
      </c>
    </row>
    <row r="1100" spans="1:9" x14ac:dyDescent="0.3">
      <c r="A1100">
        <v>20190524</v>
      </c>
      <c r="B1100" s="2" t="s">
        <v>4</v>
      </c>
      <c r="C1100" s="8">
        <v>43850</v>
      </c>
      <c r="D1100" s="8">
        <v>42700</v>
      </c>
      <c r="E1100">
        <v>42700</v>
      </c>
      <c r="F1100" s="8">
        <v>5969782550</v>
      </c>
      <c r="G1100" s="1">
        <v>254909714885000</v>
      </c>
      <c r="H1100" s="1">
        <v>201378674780500</v>
      </c>
      <c r="I1100">
        <f t="shared" si="17"/>
        <v>0</v>
      </c>
    </row>
    <row r="1101" spans="1:9" x14ac:dyDescent="0.3">
      <c r="A1101">
        <v>20190527</v>
      </c>
      <c r="B1101" s="2" t="s">
        <v>4</v>
      </c>
      <c r="C1101" s="8">
        <v>42700</v>
      </c>
      <c r="D1101" s="8">
        <v>42650</v>
      </c>
      <c r="E1101">
        <v>42650</v>
      </c>
      <c r="F1101" s="8">
        <v>5969782550</v>
      </c>
      <c r="G1101" s="1">
        <v>254611225757500</v>
      </c>
      <c r="H1101" s="1">
        <v>201142868369750</v>
      </c>
      <c r="I1101">
        <f t="shared" si="17"/>
        <v>0</v>
      </c>
    </row>
    <row r="1102" spans="1:9" x14ac:dyDescent="0.3">
      <c r="A1102">
        <v>20190528</v>
      </c>
      <c r="B1102" s="2" t="s">
        <v>4</v>
      </c>
      <c r="C1102" s="8">
        <v>42650</v>
      </c>
      <c r="D1102" s="8">
        <v>42550</v>
      </c>
      <c r="E1102">
        <v>42550</v>
      </c>
      <c r="F1102" s="8">
        <v>5969782550</v>
      </c>
      <c r="G1102" s="1">
        <v>254014247502500</v>
      </c>
      <c r="H1102" s="1">
        <v>200671255548250</v>
      </c>
      <c r="I1102">
        <f t="shared" si="17"/>
        <v>0</v>
      </c>
    </row>
    <row r="1103" spans="1:9" x14ac:dyDescent="0.3">
      <c r="A1103">
        <v>20190529</v>
      </c>
      <c r="B1103" s="2" t="s">
        <v>4</v>
      </c>
      <c r="C1103" s="8">
        <v>42550</v>
      </c>
      <c r="D1103" s="8">
        <v>41800</v>
      </c>
      <c r="E1103">
        <v>41800</v>
      </c>
      <c r="F1103" s="8">
        <v>5969782550</v>
      </c>
      <c r="G1103" s="1">
        <v>249536910590000</v>
      </c>
      <c r="H1103" s="1">
        <v>197134159387000</v>
      </c>
      <c r="I1103">
        <f t="shared" si="17"/>
        <v>0</v>
      </c>
    </row>
    <row r="1104" spans="1:9" x14ac:dyDescent="0.3">
      <c r="A1104">
        <v>20190530</v>
      </c>
      <c r="B1104" s="2" t="s">
        <v>4</v>
      </c>
      <c r="C1104" s="8">
        <v>41800</v>
      </c>
      <c r="D1104" s="8">
        <v>42550</v>
      </c>
      <c r="E1104">
        <v>42550</v>
      </c>
      <c r="F1104" s="8">
        <v>5969782550</v>
      </c>
      <c r="G1104" s="1">
        <v>254014247502500</v>
      </c>
      <c r="H1104" s="1">
        <v>200671255548250</v>
      </c>
      <c r="I1104">
        <f t="shared" si="17"/>
        <v>0</v>
      </c>
    </row>
    <row r="1105" spans="1:9" x14ac:dyDescent="0.3">
      <c r="A1105">
        <v>20190531</v>
      </c>
      <c r="B1105" s="2" t="s">
        <v>4</v>
      </c>
      <c r="C1105" s="8">
        <v>42550</v>
      </c>
      <c r="D1105" s="8">
        <v>42500</v>
      </c>
      <c r="E1105">
        <v>42500</v>
      </c>
      <c r="F1105" s="8">
        <v>5969782550</v>
      </c>
      <c r="G1105" s="1">
        <v>253715758375000</v>
      </c>
      <c r="H1105" s="1">
        <v>200435449137500</v>
      </c>
      <c r="I1105">
        <f t="shared" si="17"/>
        <v>0</v>
      </c>
    </row>
    <row r="1106" spans="1:9" x14ac:dyDescent="0.3">
      <c r="A1106">
        <v>20190603</v>
      </c>
      <c r="B1106" s="2" t="s">
        <v>4</v>
      </c>
      <c r="C1106" s="8">
        <v>42500</v>
      </c>
      <c r="D1106" s="8">
        <v>43800</v>
      </c>
      <c r="E1106">
        <v>43800</v>
      </c>
      <c r="F1106" s="8">
        <v>5969782550</v>
      </c>
      <c r="G1106" s="1">
        <v>261476475690000</v>
      </c>
      <c r="H1106" s="1">
        <v>206566415817000</v>
      </c>
      <c r="I1106">
        <f t="shared" si="17"/>
        <v>0</v>
      </c>
    </row>
    <row r="1107" spans="1:9" x14ac:dyDescent="0.3">
      <c r="A1107">
        <v>20190604</v>
      </c>
      <c r="B1107" s="2" t="s">
        <v>4</v>
      </c>
      <c r="C1107" s="8">
        <v>43800</v>
      </c>
      <c r="D1107" s="8">
        <v>43450</v>
      </c>
      <c r="E1107">
        <v>43450</v>
      </c>
      <c r="F1107" s="8">
        <v>5969782550</v>
      </c>
      <c r="G1107" s="1">
        <v>259387051797500</v>
      </c>
      <c r="H1107" s="1">
        <v>204915770941750</v>
      </c>
      <c r="I1107">
        <f t="shared" si="17"/>
        <v>0</v>
      </c>
    </row>
    <row r="1108" spans="1:9" x14ac:dyDescent="0.3">
      <c r="A1108">
        <v>20190605</v>
      </c>
      <c r="B1108" s="2" t="s">
        <v>4</v>
      </c>
      <c r="C1108" s="8">
        <v>43450</v>
      </c>
      <c r="D1108" s="8">
        <v>43900</v>
      </c>
      <c r="E1108">
        <v>43900</v>
      </c>
      <c r="F1108" s="8">
        <v>5969782550</v>
      </c>
      <c r="G1108" s="1">
        <v>262073453945000</v>
      </c>
      <c r="H1108" s="1">
        <v>207038028638500</v>
      </c>
      <c r="I1108">
        <f t="shared" si="17"/>
        <v>0</v>
      </c>
    </row>
    <row r="1109" spans="1:9" x14ac:dyDescent="0.3">
      <c r="A1109">
        <v>20190607</v>
      </c>
      <c r="B1109" s="2" t="s">
        <v>4</v>
      </c>
      <c r="C1109" s="8">
        <v>43900</v>
      </c>
      <c r="D1109" s="8">
        <v>44200</v>
      </c>
      <c r="E1109">
        <v>44200</v>
      </c>
      <c r="F1109" s="8">
        <v>5969782550</v>
      </c>
      <c r="G1109" s="1">
        <v>263864388710000</v>
      </c>
      <c r="H1109" s="1">
        <v>208452867103000</v>
      </c>
      <c r="I1109">
        <f t="shared" si="17"/>
        <v>0</v>
      </c>
    </row>
    <row r="1110" spans="1:9" x14ac:dyDescent="0.3">
      <c r="A1110">
        <v>20190610</v>
      </c>
      <c r="B1110" s="2" t="s">
        <v>4</v>
      </c>
      <c r="C1110" s="8">
        <v>44200</v>
      </c>
      <c r="D1110" s="8">
        <v>44800</v>
      </c>
      <c r="E1110">
        <v>44800</v>
      </c>
      <c r="F1110" s="8">
        <v>5969782550</v>
      </c>
      <c r="G1110" s="1">
        <v>267446258240000</v>
      </c>
      <c r="H1110" s="1">
        <v>211282544032000</v>
      </c>
      <c r="I1110">
        <f t="shared" si="17"/>
        <v>0</v>
      </c>
    </row>
    <row r="1111" spans="1:9" x14ac:dyDescent="0.3">
      <c r="A1111">
        <v>20190611</v>
      </c>
      <c r="B1111" s="2" t="s">
        <v>4</v>
      </c>
      <c r="C1111" s="8">
        <v>44800</v>
      </c>
      <c r="D1111" s="8">
        <v>44850</v>
      </c>
      <c r="E1111">
        <v>44850</v>
      </c>
      <c r="F1111" s="8">
        <v>5969782550</v>
      </c>
      <c r="G1111" s="1">
        <v>267744747367500</v>
      </c>
      <c r="H1111" s="1">
        <v>211518350442750</v>
      </c>
      <c r="I1111">
        <f t="shared" si="17"/>
        <v>0</v>
      </c>
    </row>
    <row r="1112" spans="1:9" x14ac:dyDescent="0.3">
      <c r="A1112">
        <v>20190612</v>
      </c>
      <c r="B1112" s="2" t="s">
        <v>4</v>
      </c>
      <c r="C1112" s="8">
        <v>44850</v>
      </c>
      <c r="D1112" s="8">
        <v>44600</v>
      </c>
      <c r="E1112">
        <v>44600</v>
      </c>
      <c r="F1112" s="8">
        <v>5969782550</v>
      </c>
      <c r="G1112" s="1">
        <v>266252301730000</v>
      </c>
      <c r="H1112" s="1">
        <v>210339318389000</v>
      </c>
      <c r="I1112">
        <f t="shared" si="17"/>
        <v>0</v>
      </c>
    </row>
    <row r="1113" spans="1:9" x14ac:dyDescent="0.3">
      <c r="A1113">
        <v>20190613</v>
      </c>
      <c r="B1113" s="2" t="s">
        <v>4</v>
      </c>
      <c r="C1113" s="8">
        <v>44600</v>
      </c>
      <c r="D1113" s="8">
        <v>43750</v>
      </c>
      <c r="E1113">
        <v>43750</v>
      </c>
      <c r="F1113" s="8">
        <v>5969782550</v>
      </c>
      <c r="G1113" s="1">
        <v>261177986562500</v>
      </c>
      <c r="H1113" s="1">
        <v>206330609406250</v>
      </c>
      <c r="I1113">
        <f t="shared" si="17"/>
        <v>0</v>
      </c>
    </row>
    <row r="1114" spans="1:9" x14ac:dyDescent="0.3">
      <c r="A1114">
        <v>20190614</v>
      </c>
      <c r="B1114" s="2" t="s">
        <v>4</v>
      </c>
      <c r="C1114" s="8">
        <v>43750</v>
      </c>
      <c r="D1114" s="8">
        <v>44000</v>
      </c>
      <c r="E1114">
        <v>44000</v>
      </c>
      <c r="F1114" s="8">
        <v>5969782550</v>
      </c>
      <c r="G1114" s="1">
        <v>262670432200000</v>
      </c>
      <c r="H1114" s="1">
        <v>207509641460000</v>
      </c>
      <c r="I1114">
        <f t="shared" si="17"/>
        <v>0</v>
      </c>
    </row>
    <row r="1115" spans="1:9" x14ac:dyDescent="0.3">
      <c r="A1115">
        <v>20190617</v>
      </c>
      <c r="B1115" s="2" t="s">
        <v>4</v>
      </c>
      <c r="C1115" s="8">
        <v>44000</v>
      </c>
      <c r="D1115" s="8">
        <v>43900</v>
      </c>
      <c r="E1115">
        <v>43900</v>
      </c>
      <c r="F1115" s="8">
        <v>5969782550</v>
      </c>
      <c r="G1115" s="1">
        <v>262073453945000</v>
      </c>
      <c r="H1115" s="1">
        <v>207038028638500</v>
      </c>
      <c r="I1115">
        <f t="shared" si="17"/>
        <v>0</v>
      </c>
    </row>
    <row r="1116" spans="1:9" x14ac:dyDescent="0.3">
      <c r="A1116">
        <v>20190618</v>
      </c>
      <c r="B1116" s="2" t="s">
        <v>4</v>
      </c>
      <c r="C1116" s="8">
        <v>43900</v>
      </c>
      <c r="D1116" s="8">
        <v>44350</v>
      </c>
      <c r="E1116">
        <v>44350</v>
      </c>
      <c r="F1116" s="8">
        <v>5969782550</v>
      </c>
      <c r="G1116" s="1">
        <v>264759856092500</v>
      </c>
      <c r="H1116" s="1">
        <v>209160286335250</v>
      </c>
      <c r="I1116">
        <f t="shared" si="17"/>
        <v>0</v>
      </c>
    </row>
    <row r="1117" spans="1:9" x14ac:dyDescent="0.3">
      <c r="A1117">
        <v>20190619</v>
      </c>
      <c r="B1117" s="2" t="s">
        <v>4</v>
      </c>
      <c r="C1117" s="8">
        <v>44350</v>
      </c>
      <c r="D1117" s="8">
        <v>45350</v>
      </c>
      <c r="E1117">
        <v>45350</v>
      </c>
      <c r="F1117" s="8">
        <v>5969782550</v>
      </c>
      <c r="G1117" s="1">
        <v>270729638642500</v>
      </c>
      <c r="H1117" s="1">
        <v>213876414550250</v>
      </c>
      <c r="I1117">
        <f t="shared" si="17"/>
        <v>0</v>
      </c>
    </row>
    <row r="1118" spans="1:9" x14ac:dyDescent="0.3">
      <c r="A1118">
        <v>20190620</v>
      </c>
      <c r="B1118" s="2" t="s">
        <v>4</v>
      </c>
      <c r="C1118" s="8">
        <v>45350</v>
      </c>
      <c r="D1118" s="8">
        <v>45500</v>
      </c>
      <c r="E1118">
        <v>45500</v>
      </c>
      <c r="F1118" s="8">
        <v>5969782550</v>
      </c>
      <c r="G1118" s="1">
        <v>271625106025000</v>
      </c>
      <c r="H1118" s="1">
        <v>214583833782500</v>
      </c>
      <c r="I1118">
        <f t="shared" si="17"/>
        <v>0</v>
      </c>
    </row>
    <row r="1119" spans="1:9" x14ac:dyDescent="0.3">
      <c r="A1119">
        <v>20190621</v>
      </c>
      <c r="B1119" s="2" t="s">
        <v>4</v>
      </c>
      <c r="C1119" s="8">
        <v>45500</v>
      </c>
      <c r="D1119" s="8">
        <v>45700</v>
      </c>
      <c r="E1119">
        <v>45700</v>
      </c>
      <c r="F1119" s="8">
        <v>5969782550</v>
      </c>
      <c r="G1119" s="1">
        <v>272819062535000</v>
      </c>
      <c r="H1119" s="1">
        <v>215527059425500</v>
      </c>
      <c r="I1119">
        <f t="shared" si="17"/>
        <v>0</v>
      </c>
    </row>
    <row r="1120" spans="1:9" x14ac:dyDescent="0.3">
      <c r="A1120">
        <v>20190624</v>
      </c>
      <c r="B1120" s="2" t="s">
        <v>4</v>
      </c>
      <c r="C1120" s="8">
        <v>45700</v>
      </c>
      <c r="D1120" s="8">
        <v>45500</v>
      </c>
      <c r="E1120">
        <v>45500</v>
      </c>
      <c r="F1120" s="8">
        <v>5969782550</v>
      </c>
      <c r="G1120" s="1">
        <v>271625106025000</v>
      </c>
      <c r="H1120" s="1">
        <v>214583833782500</v>
      </c>
      <c r="I1120">
        <f t="shared" si="17"/>
        <v>0</v>
      </c>
    </row>
    <row r="1121" spans="1:9" x14ac:dyDescent="0.3">
      <c r="A1121">
        <v>20190625</v>
      </c>
      <c r="B1121" s="2" t="s">
        <v>4</v>
      </c>
      <c r="C1121" s="8">
        <v>45500</v>
      </c>
      <c r="D1121" s="8">
        <v>45600</v>
      </c>
      <c r="E1121">
        <v>45600</v>
      </c>
      <c r="F1121" s="8">
        <v>5969782550</v>
      </c>
      <c r="G1121" s="1">
        <v>272222084280000</v>
      </c>
      <c r="H1121" s="1">
        <v>215055446604000</v>
      </c>
      <c r="I1121">
        <f t="shared" si="17"/>
        <v>0</v>
      </c>
    </row>
    <row r="1122" spans="1:9" x14ac:dyDescent="0.3">
      <c r="A1122">
        <v>20190626</v>
      </c>
      <c r="B1122" s="2" t="s">
        <v>4</v>
      </c>
      <c r="C1122" s="8">
        <v>45600</v>
      </c>
      <c r="D1122" s="8">
        <v>45700</v>
      </c>
      <c r="E1122">
        <v>45700</v>
      </c>
      <c r="F1122" s="8">
        <v>5969782550</v>
      </c>
      <c r="G1122" s="1">
        <v>272819062535000</v>
      </c>
      <c r="H1122" s="1">
        <v>215527059425500</v>
      </c>
      <c r="I1122">
        <f t="shared" si="17"/>
        <v>0</v>
      </c>
    </row>
    <row r="1123" spans="1:9" x14ac:dyDescent="0.3">
      <c r="A1123">
        <v>20190627</v>
      </c>
      <c r="B1123" s="2" t="s">
        <v>4</v>
      </c>
      <c r="C1123" s="8">
        <v>45700</v>
      </c>
      <c r="D1123" s="8">
        <v>46500</v>
      </c>
      <c r="E1123">
        <v>46500</v>
      </c>
      <c r="F1123" s="8">
        <v>5969782550</v>
      </c>
      <c r="G1123" s="1">
        <v>277594888575000</v>
      </c>
      <c r="H1123" s="1">
        <v>219299961997500</v>
      </c>
      <c r="I1123">
        <f t="shared" si="17"/>
        <v>0</v>
      </c>
    </row>
    <row r="1124" spans="1:9" x14ac:dyDescent="0.3">
      <c r="A1124">
        <v>20190628</v>
      </c>
      <c r="B1124" s="2" t="s">
        <v>4</v>
      </c>
      <c r="C1124" s="8">
        <v>46500</v>
      </c>
      <c r="D1124" s="8">
        <v>47000</v>
      </c>
      <c r="E1124">
        <v>47000</v>
      </c>
      <c r="F1124" s="8">
        <v>5969782550</v>
      </c>
      <c r="G1124" s="1">
        <v>280579779850000</v>
      </c>
      <c r="H1124" s="1">
        <v>221658026105000</v>
      </c>
      <c r="I1124">
        <f t="shared" si="17"/>
        <v>0</v>
      </c>
    </row>
    <row r="1125" spans="1:9" x14ac:dyDescent="0.3">
      <c r="A1125">
        <v>20190701</v>
      </c>
      <c r="B1125" s="2" t="s">
        <v>4</v>
      </c>
      <c r="C1125" s="8">
        <v>47000</v>
      </c>
      <c r="D1125" s="8">
        <v>46600</v>
      </c>
      <c r="E1125">
        <v>46600</v>
      </c>
      <c r="F1125" s="8">
        <v>5969782550</v>
      </c>
      <c r="G1125" s="1">
        <v>278191866830000</v>
      </c>
      <c r="H1125" s="1">
        <v>219771574819000</v>
      </c>
      <c r="I1125">
        <f t="shared" si="17"/>
        <v>0</v>
      </c>
    </row>
    <row r="1126" spans="1:9" x14ac:dyDescent="0.3">
      <c r="A1126">
        <v>20190702</v>
      </c>
      <c r="B1126" s="2" t="s">
        <v>4</v>
      </c>
      <c r="C1126" s="8">
        <v>46600</v>
      </c>
      <c r="D1126" s="8">
        <v>46250</v>
      </c>
      <c r="E1126">
        <v>46250</v>
      </c>
      <c r="F1126" s="8">
        <v>5969782550</v>
      </c>
      <c r="G1126" s="1">
        <v>276102442937500</v>
      </c>
      <c r="H1126" s="1">
        <v>218120929943750</v>
      </c>
      <c r="I1126">
        <f t="shared" si="17"/>
        <v>0</v>
      </c>
    </row>
    <row r="1127" spans="1:9" x14ac:dyDescent="0.3">
      <c r="A1127">
        <v>20190703</v>
      </c>
      <c r="B1127" s="2" t="s">
        <v>4</v>
      </c>
      <c r="C1127" s="8">
        <v>46250</v>
      </c>
      <c r="D1127" s="8">
        <v>45400</v>
      </c>
      <c r="E1127">
        <v>45400</v>
      </c>
      <c r="F1127" s="8">
        <v>5969782550</v>
      </c>
      <c r="G1127" s="1">
        <v>271028127770000</v>
      </c>
      <c r="H1127" s="1">
        <v>214112220961000</v>
      </c>
      <c r="I1127">
        <f t="shared" si="17"/>
        <v>0</v>
      </c>
    </row>
    <row r="1128" spans="1:9" x14ac:dyDescent="0.3">
      <c r="A1128">
        <v>20190704</v>
      </c>
      <c r="B1128" s="2" t="s">
        <v>4</v>
      </c>
      <c r="C1128" s="8">
        <v>45400</v>
      </c>
      <c r="D1128" s="8">
        <v>46000</v>
      </c>
      <c r="E1128">
        <v>46000</v>
      </c>
      <c r="F1128" s="8">
        <v>5969782550</v>
      </c>
      <c r="G1128" s="1">
        <v>274609997300000</v>
      </c>
      <c r="H1128" s="1">
        <v>216941897890000</v>
      </c>
      <c r="I1128">
        <f t="shared" si="17"/>
        <v>0</v>
      </c>
    </row>
    <row r="1129" spans="1:9" x14ac:dyDescent="0.3">
      <c r="A1129">
        <v>20190705</v>
      </c>
      <c r="B1129" s="2" t="s">
        <v>4</v>
      </c>
      <c r="C1129" s="8">
        <v>46000</v>
      </c>
      <c r="D1129" s="8">
        <v>45650</v>
      </c>
      <c r="E1129">
        <v>45650</v>
      </c>
      <c r="F1129" s="8">
        <v>5969782550</v>
      </c>
      <c r="G1129" s="1">
        <v>272520573407500</v>
      </c>
      <c r="H1129" s="1">
        <v>215291253014750</v>
      </c>
      <c r="I1129">
        <f t="shared" si="17"/>
        <v>0</v>
      </c>
    </row>
    <row r="1130" spans="1:9" x14ac:dyDescent="0.3">
      <c r="A1130">
        <v>20190708</v>
      </c>
      <c r="B1130" s="2" t="s">
        <v>4</v>
      </c>
      <c r="C1130" s="8">
        <v>45650</v>
      </c>
      <c r="D1130" s="8">
        <v>44400</v>
      </c>
      <c r="E1130">
        <v>44400</v>
      </c>
      <c r="F1130" s="8">
        <v>5969782550</v>
      </c>
      <c r="G1130" s="1">
        <v>265058345220000</v>
      </c>
      <c r="H1130" s="1">
        <v>209396092746000</v>
      </c>
      <c r="I1130">
        <f t="shared" si="17"/>
        <v>0</v>
      </c>
    </row>
    <row r="1131" spans="1:9" x14ac:dyDescent="0.3">
      <c r="A1131">
        <v>20190709</v>
      </c>
      <c r="B1131" s="2" t="s">
        <v>4</v>
      </c>
      <c r="C1131" s="8">
        <v>44400</v>
      </c>
      <c r="D1131" s="8">
        <v>45100</v>
      </c>
      <c r="E1131">
        <v>45100</v>
      </c>
      <c r="F1131" s="8">
        <v>5969782550</v>
      </c>
      <c r="G1131" s="1">
        <v>269237193005000</v>
      </c>
      <c r="H1131" s="1">
        <v>212697382496500</v>
      </c>
      <c r="I1131">
        <f t="shared" si="17"/>
        <v>0</v>
      </c>
    </row>
    <row r="1132" spans="1:9" x14ac:dyDescent="0.3">
      <c r="A1132">
        <v>20190710</v>
      </c>
      <c r="B1132" s="2" t="s">
        <v>4</v>
      </c>
      <c r="C1132" s="8">
        <v>45100</v>
      </c>
      <c r="D1132" s="8">
        <v>45550</v>
      </c>
      <c r="E1132">
        <v>45550</v>
      </c>
      <c r="F1132" s="8">
        <v>5969782550</v>
      </c>
      <c r="G1132" s="1">
        <v>271923595152500</v>
      </c>
      <c r="H1132" s="1">
        <v>214819640193250</v>
      </c>
      <c r="I1132">
        <f t="shared" si="17"/>
        <v>0</v>
      </c>
    </row>
    <row r="1133" spans="1:9" x14ac:dyDescent="0.3">
      <c r="A1133">
        <v>20190711</v>
      </c>
      <c r="B1133" s="2" t="s">
        <v>4</v>
      </c>
      <c r="C1133" s="8">
        <v>45550</v>
      </c>
      <c r="D1133" s="8">
        <v>46200</v>
      </c>
      <c r="E1133">
        <v>46200</v>
      </c>
      <c r="F1133" s="8">
        <v>5969782550</v>
      </c>
      <c r="G1133" s="1">
        <v>275803953810000</v>
      </c>
      <c r="H1133" s="1">
        <v>217885123533000</v>
      </c>
      <c r="I1133">
        <f t="shared" si="17"/>
        <v>0</v>
      </c>
    </row>
    <row r="1134" spans="1:9" x14ac:dyDescent="0.3">
      <c r="A1134">
        <v>20190712</v>
      </c>
      <c r="B1134" s="2" t="s">
        <v>4</v>
      </c>
      <c r="C1134" s="8">
        <v>46200</v>
      </c>
      <c r="D1134" s="8">
        <v>46300</v>
      </c>
      <c r="E1134">
        <v>46300</v>
      </c>
      <c r="F1134" s="8">
        <v>5969782550</v>
      </c>
      <c r="G1134" s="1">
        <v>276400932065000</v>
      </c>
      <c r="H1134" s="1">
        <v>218356736354500</v>
      </c>
      <c r="I1134">
        <f t="shared" si="17"/>
        <v>0</v>
      </c>
    </row>
    <row r="1135" spans="1:9" x14ac:dyDescent="0.3">
      <c r="A1135">
        <v>20190715</v>
      </c>
      <c r="B1135" s="2" t="s">
        <v>4</v>
      </c>
      <c r="C1135" s="8">
        <v>46300</v>
      </c>
      <c r="D1135" s="8">
        <v>46450</v>
      </c>
      <c r="E1135">
        <v>46450</v>
      </c>
      <c r="F1135" s="8">
        <v>5969782550</v>
      </c>
      <c r="G1135" s="1">
        <v>277296399447500</v>
      </c>
      <c r="H1135" s="1">
        <v>219064155586750</v>
      </c>
      <c r="I1135">
        <f t="shared" si="17"/>
        <v>0</v>
      </c>
    </row>
    <row r="1136" spans="1:9" x14ac:dyDescent="0.3">
      <c r="A1136">
        <v>20190716</v>
      </c>
      <c r="B1136" s="2" t="s">
        <v>4</v>
      </c>
      <c r="C1136" s="8">
        <v>46450</v>
      </c>
      <c r="D1136" s="8">
        <v>46850</v>
      </c>
      <c r="E1136">
        <v>46850</v>
      </c>
      <c r="F1136" s="8">
        <v>5969782550</v>
      </c>
      <c r="G1136" s="1">
        <v>279684312467500</v>
      </c>
      <c r="H1136" s="1">
        <v>220950606872750</v>
      </c>
      <c r="I1136">
        <f t="shared" si="17"/>
        <v>0</v>
      </c>
    </row>
    <row r="1137" spans="1:9" x14ac:dyDescent="0.3">
      <c r="A1137">
        <v>20190717</v>
      </c>
      <c r="B1137" s="2" t="s">
        <v>4</v>
      </c>
      <c r="C1137" s="8">
        <v>46850</v>
      </c>
      <c r="D1137" s="8">
        <v>46050</v>
      </c>
      <c r="E1137">
        <v>46050</v>
      </c>
      <c r="F1137" s="8">
        <v>5969782550</v>
      </c>
      <c r="G1137" s="1">
        <v>274908486427500</v>
      </c>
      <c r="H1137" s="1">
        <v>217177704300750</v>
      </c>
      <c r="I1137">
        <f t="shared" si="17"/>
        <v>0</v>
      </c>
    </row>
  </sheetData>
  <autoFilter ref="A1:J1137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60" sqref="E760:E1137"/>
    </sheetView>
  </sheetViews>
  <sheetFormatPr defaultColWidth="8.875" defaultRowHeight="16.5" x14ac:dyDescent="0.3"/>
  <cols>
    <col min="1" max="1" width="9.5" bestFit="1" customWidth="1"/>
    <col min="3" max="4" width="9.125" style="8" bestFit="1" customWidth="1"/>
    <col min="5" max="5" width="11.375" style="1" bestFit="1" customWidth="1"/>
    <col min="6" max="6" width="16.875" style="9" bestFit="1" customWidth="1"/>
    <col min="7" max="7" width="16.875" style="1" bestFit="1" customWidth="1"/>
    <col min="8" max="8" width="16.875" bestFit="1" customWidth="1"/>
    <col min="9" max="9" width="9.125" bestFit="1" customWidth="1"/>
    <col min="10" max="10" width="29" bestFit="1" customWidth="1"/>
  </cols>
  <sheetData>
    <row r="1" spans="1:9" x14ac:dyDescent="0.3">
      <c r="A1" s="3" t="s">
        <v>0</v>
      </c>
      <c r="B1" s="3" t="s">
        <v>1</v>
      </c>
      <c r="C1" s="40" t="s">
        <v>11</v>
      </c>
      <c r="D1" s="40" t="s">
        <v>2</v>
      </c>
      <c r="E1" s="3" t="s">
        <v>3</v>
      </c>
      <c r="F1" s="40" t="s">
        <v>6</v>
      </c>
      <c r="G1" s="4" t="s">
        <v>7</v>
      </c>
      <c r="H1" s="3" t="s">
        <v>8</v>
      </c>
      <c r="I1" s="3" t="s">
        <v>31</v>
      </c>
    </row>
    <row r="2" spans="1:9" x14ac:dyDescent="0.3">
      <c r="A2">
        <v>20141201</v>
      </c>
      <c r="B2" s="2" t="s">
        <v>10</v>
      </c>
      <c r="C2" s="8">
        <v>39850</v>
      </c>
      <c r="D2" s="8">
        <v>40400</v>
      </c>
      <c r="E2">
        <v>36022</v>
      </c>
      <c r="F2" s="9">
        <v>103569771</v>
      </c>
      <c r="G2" s="1">
        <v>3987954032355</v>
      </c>
      <c r="H2" s="1">
        <v>3138164051200</v>
      </c>
      <c r="I2" t="e">
        <f>IF(C2*F2=D1*F1,0,1)</f>
        <v>#VALUE!</v>
      </c>
    </row>
    <row r="3" spans="1:9" x14ac:dyDescent="0.3">
      <c r="A3">
        <v>20141202</v>
      </c>
      <c r="B3" s="2" t="s">
        <v>10</v>
      </c>
      <c r="C3" s="8">
        <v>40400</v>
      </c>
      <c r="D3" s="8">
        <v>40200</v>
      </c>
      <c r="E3">
        <v>35842</v>
      </c>
      <c r="F3" s="9">
        <v>103569771</v>
      </c>
      <c r="G3" s="1">
        <v>3968275775865</v>
      </c>
      <c r="H3" s="1">
        <v>3122628585600</v>
      </c>
      <c r="I3">
        <f t="shared" ref="I3:I66" si="0">IF(C3*F3=D2*F2,0,1)</f>
        <v>0</v>
      </c>
    </row>
    <row r="4" spans="1:9" x14ac:dyDescent="0.3">
      <c r="A4">
        <v>20141203</v>
      </c>
      <c r="B4" s="2" t="s">
        <v>9</v>
      </c>
      <c r="C4" s="8">
        <v>40200</v>
      </c>
      <c r="D4" s="8">
        <v>40100</v>
      </c>
      <c r="E4">
        <v>35753</v>
      </c>
      <c r="F4" s="9">
        <v>103569771</v>
      </c>
      <c r="G4" s="1">
        <v>3958436647620</v>
      </c>
      <c r="H4" s="1">
        <v>3114860852800</v>
      </c>
      <c r="I4">
        <f t="shared" si="0"/>
        <v>0</v>
      </c>
    </row>
    <row r="5" spans="1:9" x14ac:dyDescent="0.3">
      <c r="A5">
        <v>20141204</v>
      </c>
      <c r="B5" s="2" t="s">
        <v>9</v>
      </c>
      <c r="C5" s="8">
        <v>40100</v>
      </c>
      <c r="D5" s="8">
        <v>40900</v>
      </c>
      <c r="E5">
        <v>36467</v>
      </c>
      <c r="F5" s="9">
        <v>103569771</v>
      </c>
      <c r="G5" s="1">
        <v>4037356813122</v>
      </c>
      <c r="H5" s="1">
        <v>3177002715200</v>
      </c>
      <c r="I5">
        <f t="shared" si="0"/>
        <v>0</v>
      </c>
    </row>
    <row r="6" spans="1:9" x14ac:dyDescent="0.3">
      <c r="A6">
        <v>20141205</v>
      </c>
      <c r="B6" s="2" t="s">
        <v>9</v>
      </c>
      <c r="C6" s="8">
        <v>40900</v>
      </c>
      <c r="D6" s="8">
        <v>40650</v>
      </c>
      <c r="E6">
        <v>36244</v>
      </c>
      <c r="F6" s="9">
        <v>103569771</v>
      </c>
      <c r="G6" s="1">
        <v>4012707207624</v>
      </c>
      <c r="H6" s="1">
        <v>3157583383200</v>
      </c>
      <c r="I6">
        <f t="shared" si="0"/>
        <v>0</v>
      </c>
    </row>
    <row r="7" spans="1:9" x14ac:dyDescent="0.3">
      <c r="A7">
        <v>20141208</v>
      </c>
      <c r="B7" s="2" t="s">
        <v>9</v>
      </c>
      <c r="C7" s="8">
        <v>40650</v>
      </c>
      <c r="D7" s="8">
        <v>40000</v>
      </c>
      <c r="E7">
        <v>35665</v>
      </c>
      <c r="F7" s="9">
        <v>103569771</v>
      </c>
      <c r="G7" s="1">
        <v>3948493949604</v>
      </c>
      <c r="H7" s="1">
        <v>3107093120000</v>
      </c>
      <c r="I7">
        <f t="shared" si="0"/>
        <v>0</v>
      </c>
    </row>
    <row r="8" spans="1:9" x14ac:dyDescent="0.3">
      <c r="A8">
        <v>20141209</v>
      </c>
      <c r="B8" s="2" t="s">
        <v>9</v>
      </c>
      <c r="C8" s="8">
        <v>40000</v>
      </c>
      <c r="D8" s="8">
        <v>39150</v>
      </c>
      <c r="E8">
        <v>34907</v>
      </c>
      <c r="F8" s="9">
        <v>103569771</v>
      </c>
      <c r="G8" s="1">
        <v>3864602435094</v>
      </c>
      <c r="H8" s="1">
        <v>3041067391200</v>
      </c>
      <c r="I8">
        <f t="shared" si="0"/>
        <v>0</v>
      </c>
    </row>
    <row r="9" spans="1:9" x14ac:dyDescent="0.3">
      <c r="A9">
        <v>20141210</v>
      </c>
      <c r="B9" s="2" t="s">
        <v>9</v>
      </c>
      <c r="C9" s="8">
        <v>39150</v>
      </c>
      <c r="D9" s="8">
        <v>38050</v>
      </c>
      <c r="E9">
        <v>33926</v>
      </c>
      <c r="F9" s="9">
        <v>103569771</v>
      </c>
      <c r="G9" s="1">
        <v>3756061315086</v>
      </c>
      <c r="H9" s="1">
        <v>2955622330400</v>
      </c>
      <c r="I9">
        <f t="shared" si="0"/>
        <v>0</v>
      </c>
    </row>
    <row r="10" spans="1:9" x14ac:dyDescent="0.3">
      <c r="A10">
        <v>20141211</v>
      </c>
      <c r="B10" s="2" t="s">
        <v>9</v>
      </c>
      <c r="C10" s="8">
        <v>38050</v>
      </c>
      <c r="D10" s="8">
        <v>37700</v>
      </c>
      <c r="E10">
        <v>33613</v>
      </c>
      <c r="F10" s="9">
        <v>103569771</v>
      </c>
      <c r="G10" s="1">
        <v>3721469011572</v>
      </c>
      <c r="H10" s="1">
        <v>2928435265600</v>
      </c>
      <c r="I10">
        <f t="shared" si="0"/>
        <v>0</v>
      </c>
    </row>
    <row r="11" spans="1:9" x14ac:dyDescent="0.3">
      <c r="A11">
        <v>20141212</v>
      </c>
      <c r="B11" s="2" t="s">
        <v>9</v>
      </c>
      <c r="C11" s="8">
        <v>37700</v>
      </c>
      <c r="D11" s="8">
        <v>37700</v>
      </c>
      <c r="E11">
        <v>33613</v>
      </c>
      <c r="F11" s="9">
        <v>103569771</v>
      </c>
      <c r="G11" s="1">
        <v>3721469011572</v>
      </c>
      <c r="H11" s="1">
        <v>2928435265600</v>
      </c>
      <c r="I11">
        <f t="shared" si="0"/>
        <v>0</v>
      </c>
    </row>
    <row r="12" spans="1:9" x14ac:dyDescent="0.3">
      <c r="A12">
        <v>20141215</v>
      </c>
      <c r="B12" s="2" t="s">
        <v>9</v>
      </c>
      <c r="C12" s="8">
        <v>37700</v>
      </c>
      <c r="D12" s="8">
        <v>38500</v>
      </c>
      <c r="E12">
        <v>34328</v>
      </c>
      <c r="F12" s="9">
        <v>103569771</v>
      </c>
      <c r="G12" s="1">
        <v>3800492746845</v>
      </c>
      <c r="H12" s="1">
        <v>2990577128000</v>
      </c>
      <c r="I12">
        <f t="shared" si="0"/>
        <v>0</v>
      </c>
    </row>
    <row r="13" spans="1:9" x14ac:dyDescent="0.3">
      <c r="A13">
        <v>20141216</v>
      </c>
      <c r="B13" s="2" t="s">
        <v>9</v>
      </c>
      <c r="C13" s="8">
        <v>38500</v>
      </c>
      <c r="D13" s="8">
        <v>39750</v>
      </c>
      <c r="E13">
        <v>35442</v>
      </c>
      <c r="F13" s="9">
        <v>103569771</v>
      </c>
      <c r="G13" s="1">
        <v>3923844344106</v>
      </c>
      <c r="H13" s="1">
        <v>3087673788000</v>
      </c>
      <c r="I13">
        <f t="shared" si="0"/>
        <v>0</v>
      </c>
    </row>
    <row r="14" spans="1:9" x14ac:dyDescent="0.3">
      <c r="A14">
        <v>20141217</v>
      </c>
      <c r="B14" s="2" t="s">
        <v>9</v>
      </c>
      <c r="C14" s="8">
        <v>39750</v>
      </c>
      <c r="D14" s="8">
        <v>38700</v>
      </c>
      <c r="E14">
        <v>34504</v>
      </c>
      <c r="F14" s="9">
        <v>103569771</v>
      </c>
      <c r="G14" s="1">
        <v>3820171003335</v>
      </c>
      <c r="H14" s="1">
        <v>3006112593600</v>
      </c>
      <c r="I14">
        <f t="shared" si="0"/>
        <v>0</v>
      </c>
    </row>
    <row r="15" spans="1:9" x14ac:dyDescent="0.3">
      <c r="A15">
        <v>20141218</v>
      </c>
      <c r="B15" s="2" t="s">
        <v>9</v>
      </c>
      <c r="C15" s="8">
        <v>38700</v>
      </c>
      <c r="D15" s="8">
        <v>38100</v>
      </c>
      <c r="E15">
        <v>33971</v>
      </c>
      <c r="F15" s="9">
        <v>103569771</v>
      </c>
      <c r="G15" s="1">
        <v>3760929094323</v>
      </c>
      <c r="H15" s="1">
        <v>2959506196800</v>
      </c>
      <c r="I15">
        <f t="shared" si="0"/>
        <v>0</v>
      </c>
    </row>
    <row r="16" spans="1:9" x14ac:dyDescent="0.3">
      <c r="A16">
        <v>20141219</v>
      </c>
      <c r="B16" s="2" t="s">
        <v>9</v>
      </c>
      <c r="C16" s="8">
        <v>38100</v>
      </c>
      <c r="D16" s="8">
        <v>38550</v>
      </c>
      <c r="E16">
        <v>34372</v>
      </c>
      <c r="F16" s="9">
        <v>103569771</v>
      </c>
      <c r="G16" s="1">
        <v>3805360526082</v>
      </c>
      <c r="H16" s="1">
        <v>2994460994400</v>
      </c>
      <c r="I16">
        <f t="shared" si="0"/>
        <v>0</v>
      </c>
    </row>
    <row r="17" spans="1:10" x14ac:dyDescent="0.3">
      <c r="A17">
        <v>20141222</v>
      </c>
      <c r="B17" s="2" t="s">
        <v>9</v>
      </c>
      <c r="C17" s="8">
        <v>38550</v>
      </c>
      <c r="D17" s="8">
        <v>39650</v>
      </c>
      <c r="E17">
        <v>35352</v>
      </c>
      <c r="F17" s="9">
        <v>103569771</v>
      </c>
      <c r="G17" s="1">
        <v>3914005215861</v>
      </c>
      <c r="H17" s="1">
        <v>3079906055200</v>
      </c>
      <c r="I17">
        <f t="shared" si="0"/>
        <v>0</v>
      </c>
    </row>
    <row r="18" spans="1:10" x14ac:dyDescent="0.3">
      <c r="A18">
        <v>20141223</v>
      </c>
      <c r="B18" s="2" t="s">
        <v>9</v>
      </c>
      <c r="C18" s="8">
        <v>39650</v>
      </c>
      <c r="D18" s="8">
        <v>39500</v>
      </c>
      <c r="E18">
        <v>35220</v>
      </c>
      <c r="F18" s="9">
        <v>103569771</v>
      </c>
      <c r="G18" s="1">
        <v>3899194738608</v>
      </c>
      <c r="H18" s="1">
        <v>3068254456000</v>
      </c>
      <c r="I18">
        <f t="shared" si="0"/>
        <v>0</v>
      </c>
    </row>
    <row r="19" spans="1:10" x14ac:dyDescent="0.3">
      <c r="A19">
        <v>20141224</v>
      </c>
      <c r="B19" s="2" t="s">
        <v>9</v>
      </c>
      <c r="C19" s="8">
        <v>39500</v>
      </c>
      <c r="D19" s="8">
        <v>39700</v>
      </c>
      <c r="E19">
        <v>35397</v>
      </c>
      <c r="F19" s="9">
        <v>103569771</v>
      </c>
      <c r="G19" s="1">
        <v>3918872995098</v>
      </c>
      <c r="H19" s="1">
        <v>3083789921600</v>
      </c>
      <c r="I19">
        <f t="shared" si="0"/>
        <v>0</v>
      </c>
    </row>
    <row r="20" spans="1:10" x14ac:dyDescent="0.3">
      <c r="A20">
        <v>20141226</v>
      </c>
      <c r="B20" s="2" t="s">
        <v>9</v>
      </c>
      <c r="C20" s="8">
        <v>39700</v>
      </c>
      <c r="D20" s="8">
        <v>39450</v>
      </c>
      <c r="E20">
        <v>35174</v>
      </c>
      <c r="F20" s="9">
        <v>103569771</v>
      </c>
      <c r="G20" s="1">
        <v>3894223389600</v>
      </c>
      <c r="H20" s="1">
        <v>3064370589600</v>
      </c>
      <c r="I20">
        <f t="shared" si="0"/>
        <v>0</v>
      </c>
    </row>
    <row r="21" spans="1:10" x14ac:dyDescent="0.3">
      <c r="A21" s="8">
        <v>20141229</v>
      </c>
      <c r="B21" s="10" t="s">
        <v>9</v>
      </c>
      <c r="C21" s="8">
        <v>37600</v>
      </c>
      <c r="D21" s="8">
        <v>38750</v>
      </c>
      <c r="E21" s="8">
        <v>34551</v>
      </c>
      <c r="F21" s="9">
        <v>103569771</v>
      </c>
      <c r="G21" s="9">
        <v>4013328626250</v>
      </c>
      <c r="H21" s="9">
        <v>3009996460000</v>
      </c>
      <c r="I21" s="8">
        <f t="shared" si="0"/>
        <v>1</v>
      </c>
      <c r="J21" t="s">
        <v>36</v>
      </c>
    </row>
    <row r="22" spans="1:10" x14ac:dyDescent="0.3">
      <c r="A22">
        <v>20141230</v>
      </c>
      <c r="B22" s="2" t="s">
        <v>9</v>
      </c>
      <c r="C22" s="8">
        <v>38750</v>
      </c>
      <c r="D22" s="8">
        <v>38850</v>
      </c>
      <c r="E22">
        <v>34640</v>
      </c>
      <c r="F22" s="9">
        <v>103569771</v>
      </c>
      <c r="G22" s="1">
        <v>4023685603350</v>
      </c>
      <c r="H22" s="1">
        <v>3017764192800</v>
      </c>
      <c r="I22">
        <f t="shared" si="0"/>
        <v>0</v>
      </c>
    </row>
    <row r="23" spans="1:10" x14ac:dyDescent="0.3">
      <c r="A23">
        <v>20150102</v>
      </c>
      <c r="B23" s="2" t="s">
        <v>9</v>
      </c>
      <c r="C23" s="8">
        <v>38850</v>
      </c>
      <c r="D23" s="8">
        <v>39150</v>
      </c>
      <c r="E23">
        <v>34907</v>
      </c>
      <c r="F23" s="9">
        <v>103569771</v>
      </c>
      <c r="G23" s="1">
        <v>4054756534650</v>
      </c>
      <c r="H23" s="1">
        <v>3041067391200</v>
      </c>
      <c r="I23">
        <f t="shared" si="0"/>
        <v>0</v>
      </c>
    </row>
    <row r="24" spans="1:10" x14ac:dyDescent="0.3">
      <c r="A24">
        <v>20150105</v>
      </c>
      <c r="B24" s="2" t="s">
        <v>9</v>
      </c>
      <c r="C24" s="8">
        <v>39150</v>
      </c>
      <c r="D24" s="8">
        <v>38950</v>
      </c>
      <c r="E24">
        <v>34728</v>
      </c>
      <c r="F24" s="9">
        <v>103569771</v>
      </c>
      <c r="G24" s="1">
        <v>4034042580450</v>
      </c>
      <c r="H24" s="1">
        <v>3025531925600</v>
      </c>
      <c r="I24">
        <f t="shared" si="0"/>
        <v>0</v>
      </c>
    </row>
    <row r="25" spans="1:10" x14ac:dyDescent="0.3">
      <c r="A25">
        <v>20150106</v>
      </c>
      <c r="B25" s="2" t="s">
        <v>9</v>
      </c>
      <c r="C25" s="8">
        <v>38950</v>
      </c>
      <c r="D25" s="8">
        <v>38250</v>
      </c>
      <c r="E25">
        <v>34104</v>
      </c>
      <c r="F25" s="9">
        <v>103569771</v>
      </c>
      <c r="G25" s="1">
        <v>3961543740750</v>
      </c>
      <c r="H25" s="1">
        <v>2971157796000</v>
      </c>
      <c r="I25">
        <f t="shared" si="0"/>
        <v>0</v>
      </c>
    </row>
    <row r="26" spans="1:10" x14ac:dyDescent="0.3">
      <c r="A26">
        <v>20150107</v>
      </c>
      <c r="B26" s="2" t="s">
        <v>9</v>
      </c>
      <c r="C26" s="8">
        <v>38250</v>
      </c>
      <c r="D26" s="8">
        <v>37900</v>
      </c>
      <c r="E26">
        <v>33792</v>
      </c>
      <c r="F26" s="9">
        <v>103569771</v>
      </c>
      <c r="G26" s="1">
        <v>3925294320900</v>
      </c>
      <c r="H26" s="1">
        <v>2943970731200</v>
      </c>
      <c r="I26">
        <f t="shared" si="0"/>
        <v>0</v>
      </c>
    </row>
    <row r="27" spans="1:10" x14ac:dyDescent="0.3">
      <c r="A27">
        <v>20150108</v>
      </c>
      <c r="B27" s="2" t="s">
        <v>9</v>
      </c>
      <c r="C27" s="8">
        <v>37900</v>
      </c>
      <c r="D27" s="8">
        <v>38100</v>
      </c>
      <c r="E27">
        <v>33971</v>
      </c>
      <c r="F27" s="9">
        <v>103569771</v>
      </c>
      <c r="G27" s="1">
        <v>3946008275100</v>
      </c>
      <c r="H27" s="1">
        <v>2959506196800</v>
      </c>
      <c r="I27">
        <f t="shared" si="0"/>
        <v>0</v>
      </c>
    </row>
    <row r="28" spans="1:10" x14ac:dyDescent="0.3">
      <c r="A28">
        <v>20150109</v>
      </c>
      <c r="B28" s="2" t="s">
        <v>9</v>
      </c>
      <c r="C28" s="8">
        <v>38100</v>
      </c>
      <c r="D28" s="8">
        <v>38400</v>
      </c>
      <c r="E28">
        <v>34238</v>
      </c>
      <c r="F28" s="9">
        <v>103569771</v>
      </c>
      <c r="G28" s="1">
        <v>3977079206400</v>
      </c>
      <c r="H28" s="1">
        <v>2982809395200</v>
      </c>
      <c r="I28">
        <f t="shared" si="0"/>
        <v>0</v>
      </c>
    </row>
    <row r="29" spans="1:10" x14ac:dyDescent="0.3">
      <c r="A29">
        <v>20150112</v>
      </c>
      <c r="B29" s="2" t="s">
        <v>9</v>
      </c>
      <c r="C29" s="8">
        <v>38400</v>
      </c>
      <c r="D29" s="8">
        <v>38500</v>
      </c>
      <c r="E29">
        <v>34328</v>
      </c>
      <c r="F29" s="9">
        <v>103569771</v>
      </c>
      <c r="G29" s="1">
        <v>3987436183500</v>
      </c>
      <c r="H29" s="1">
        <v>2990577128000</v>
      </c>
      <c r="I29">
        <f t="shared" si="0"/>
        <v>0</v>
      </c>
    </row>
    <row r="30" spans="1:10" x14ac:dyDescent="0.3">
      <c r="A30">
        <v>20150113</v>
      </c>
      <c r="B30" s="2" t="s">
        <v>9</v>
      </c>
      <c r="C30" s="8">
        <v>38500</v>
      </c>
      <c r="D30" s="8">
        <v>39700</v>
      </c>
      <c r="E30">
        <v>35397</v>
      </c>
      <c r="F30" s="9">
        <v>103569771</v>
      </c>
      <c r="G30" s="1">
        <v>4111719908700</v>
      </c>
      <c r="H30" s="1">
        <v>3083789921600</v>
      </c>
      <c r="I30">
        <f t="shared" si="0"/>
        <v>0</v>
      </c>
    </row>
    <row r="31" spans="1:10" x14ac:dyDescent="0.3">
      <c r="A31">
        <v>20150114</v>
      </c>
      <c r="B31" s="2" t="s">
        <v>9</v>
      </c>
      <c r="C31" s="8">
        <v>39700</v>
      </c>
      <c r="D31" s="8">
        <v>40250</v>
      </c>
      <c r="E31">
        <v>35888</v>
      </c>
      <c r="F31" s="9">
        <v>103569771</v>
      </c>
      <c r="G31" s="1">
        <v>4168683282750</v>
      </c>
      <c r="H31" s="1">
        <v>3126512452000</v>
      </c>
      <c r="I31">
        <f t="shared" si="0"/>
        <v>0</v>
      </c>
    </row>
    <row r="32" spans="1:10" x14ac:dyDescent="0.3">
      <c r="A32">
        <v>20150115</v>
      </c>
      <c r="B32" s="2" t="s">
        <v>9</v>
      </c>
      <c r="C32" s="8">
        <v>40250</v>
      </c>
      <c r="D32" s="8">
        <v>41150</v>
      </c>
      <c r="E32">
        <v>36689</v>
      </c>
      <c r="F32" s="9">
        <v>103569771</v>
      </c>
      <c r="G32" s="1">
        <v>4261896076650</v>
      </c>
      <c r="H32" s="1">
        <v>3196422047200</v>
      </c>
      <c r="I32">
        <f t="shared" si="0"/>
        <v>0</v>
      </c>
    </row>
    <row r="33" spans="1:9" x14ac:dyDescent="0.3">
      <c r="A33">
        <v>20150116</v>
      </c>
      <c r="B33" s="2" t="s">
        <v>9</v>
      </c>
      <c r="C33" s="8">
        <v>41150</v>
      </c>
      <c r="D33" s="8">
        <v>40450</v>
      </c>
      <c r="E33">
        <v>36065</v>
      </c>
      <c r="F33" s="9">
        <v>103569771</v>
      </c>
      <c r="G33" s="1">
        <v>4189397236950</v>
      </c>
      <c r="H33" s="1">
        <v>3142047917600</v>
      </c>
      <c r="I33">
        <f t="shared" si="0"/>
        <v>0</v>
      </c>
    </row>
    <row r="34" spans="1:9" x14ac:dyDescent="0.3">
      <c r="A34">
        <v>20150119</v>
      </c>
      <c r="B34" s="2" t="s">
        <v>9</v>
      </c>
      <c r="C34" s="8">
        <v>40450</v>
      </c>
      <c r="D34" s="8">
        <v>40700</v>
      </c>
      <c r="E34">
        <v>36288</v>
      </c>
      <c r="F34" s="9">
        <v>103569771</v>
      </c>
      <c r="G34" s="1">
        <v>4215289679700</v>
      </c>
      <c r="H34" s="1">
        <v>3161467249600</v>
      </c>
      <c r="I34">
        <f t="shared" si="0"/>
        <v>0</v>
      </c>
    </row>
    <row r="35" spans="1:9" x14ac:dyDescent="0.3">
      <c r="A35">
        <v>20150120</v>
      </c>
      <c r="B35" s="2" t="s">
        <v>9</v>
      </c>
      <c r="C35" s="8">
        <v>40700</v>
      </c>
      <c r="D35" s="8">
        <v>40450</v>
      </c>
      <c r="E35">
        <v>36065</v>
      </c>
      <c r="F35" s="9">
        <v>103569771</v>
      </c>
      <c r="G35" s="1">
        <v>4189397236950</v>
      </c>
      <c r="H35" s="1">
        <v>3142047917600</v>
      </c>
      <c r="I35">
        <f t="shared" si="0"/>
        <v>0</v>
      </c>
    </row>
    <row r="36" spans="1:9" x14ac:dyDescent="0.3">
      <c r="A36">
        <v>20150121</v>
      </c>
      <c r="B36" s="2" t="s">
        <v>9</v>
      </c>
      <c r="C36" s="8">
        <v>40450</v>
      </c>
      <c r="D36" s="8">
        <v>39950</v>
      </c>
      <c r="E36">
        <v>35620</v>
      </c>
      <c r="F36" s="9">
        <v>103569771</v>
      </c>
      <c r="G36" s="1">
        <v>4137612351450</v>
      </c>
      <c r="H36" s="1">
        <v>3103209253600</v>
      </c>
      <c r="I36">
        <f t="shared" si="0"/>
        <v>0</v>
      </c>
    </row>
    <row r="37" spans="1:9" x14ac:dyDescent="0.3">
      <c r="A37">
        <v>20150122</v>
      </c>
      <c r="B37" s="2" t="s">
        <v>9</v>
      </c>
      <c r="C37" s="8">
        <v>39950</v>
      </c>
      <c r="D37" s="8">
        <v>39250</v>
      </c>
      <c r="E37">
        <v>34997</v>
      </c>
      <c r="F37" s="9">
        <v>103569771</v>
      </c>
      <c r="G37" s="1">
        <v>4065113511750</v>
      </c>
      <c r="H37" s="1">
        <v>3048835124000</v>
      </c>
      <c r="I37">
        <f t="shared" si="0"/>
        <v>0</v>
      </c>
    </row>
    <row r="38" spans="1:9" x14ac:dyDescent="0.3">
      <c r="A38">
        <v>20150123</v>
      </c>
      <c r="B38" s="2" t="s">
        <v>9</v>
      </c>
      <c r="C38" s="8">
        <v>39250</v>
      </c>
      <c r="D38" s="8">
        <v>40400</v>
      </c>
      <c r="E38">
        <v>36022</v>
      </c>
      <c r="F38" s="9">
        <v>103569771</v>
      </c>
      <c r="G38" s="1">
        <v>4184218748400</v>
      </c>
      <c r="H38" s="1">
        <v>3138164051200</v>
      </c>
      <c r="I38">
        <f t="shared" si="0"/>
        <v>0</v>
      </c>
    </row>
    <row r="39" spans="1:9" x14ac:dyDescent="0.3">
      <c r="A39">
        <v>20150126</v>
      </c>
      <c r="B39" s="2" t="s">
        <v>9</v>
      </c>
      <c r="C39" s="8">
        <v>40400</v>
      </c>
      <c r="D39" s="8">
        <v>40000</v>
      </c>
      <c r="E39">
        <v>35665</v>
      </c>
      <c r="F39" s="9">
        <v>103569771</v>
      </c>
      <c r="G39" s="1">
        <v>4142790840000</v>
      </c>
      <c r="H39" s="1">
        <v>3107093120000</v>
      </c>
      <c r="I39">
        <f t="shared" si="0"/>
        <v>0</v>
      </c>
    </row>
    <row r="40" spans="1:9" x14ac:dyDescent="0.3">
      <c r="A40">
        <v>20150127</v>
      </c>
      <c r="B40" s="2" t="s">
        <v>9</v>
      </c>
      <c r="C40" s="8">
        <v>40000</v>
      </c>
      <c r="D40" s="8">
        <v>39500</v>
      </c>
      <c r="E40">
        <v>35220</v>
      </c>
      <c r="F40" s="9">
        <v>103569771</v>
      </c>
      <c r="G40" s="1">
        <v>4091005954500</v>
      </c>
      <c r="H40" s="1">
        <v>3068254456000</v>
      </c>
      <c r="I40">
        <f t="shared" si="0"/>
        <v>0</v>
      </c>
    </row>
    <row r="41" spans="1:9" x14ac:dyDescent="0.3">
      <c r="A41">
        <v>20150128</v>
      </c>
      <c r="B41" s="2" t="s">
        <v>9</v>
      </c>
      <c r="C41" s="8">
        <v>39500</v>
      </c>
      <c r="D41" s="8">
        <v>39600</v>
      </c>
      <c r="E41">
        <v>35308</v>
      </c>
      <c r="F41" s="9">
        <v>103569771</v>
      </c>
      <c r="G41" s="1">
        <v>4101362931600</v>
      </c>
      <c r="H41" s="1">
        <v>3076022188800</v>
      </c>
      <c r="I41">
        <f t="shared" si="0"/>
        <v>0</v>
      </c>
    </row>
    <row r="42" spans="1:9" x14ac:dyDescent="0.3">
      <c r="A42">
        <v>20150129</v>
      </c>
      <c r="B42" s="2" t="s">
        <v>9</v>
      </c>
      <c r="C42" s="8">
        <v>39600</v>
      </c>
      <c r="D42" s="8">
        <v>40100</v>
      </c>
      <c r="E42">
        <v>35753</v>
      </c>
      <c r="F42" s="9">
        <v>103569771</v>
      </c>
      <c r="G42" s="1">
        <v>4153147817100</v>
      </c>
      <c r="H42" s="1">
        <v>3114860852800</v>
      </c>
      <c r="I42">
        <f t="shared" si="0"/>
        <v>0</v>
      </c>
    </row>
    <row r="43" spans="1:9" x14ac:dyDescent="0.3">
      <c r="A43">
        <v>20150130</v>
      </c>
      <c r="B43" s="2" t="s">
        <v>9</v>
      </c>
      <c r="C43" s="8">
        <v>40100</v>
      </c>
      <c r="D43" s="8">
        <v>40700</v>
      </c>
      <c r="E43">
        <v>36288</v>
      </c>
      <c r="F43" s="9">
        <v>103569771</v>
      </c>
      <c r="G43" s="1">
        <v>4215289679700</v>
      </c>
      <c r="H43" s="1">
        <v>3161467249600</v>
      </c>
      <c r="I43">
        <f t="shared" si="0"/>
        <v>0</v>
      </c>
    </row>
    <row r="44" spans="1:9" x14ac:dyDescent="0.3">
      <c r="A44">
        <v>20150202</v>
      </c>
      <c r="B44" s="2" t="s">
        <v>9</v>
      </c>
      <c r="C44" s="8">
        <v>40700</v>
      </c>
      <c r="D44" s="8">
        <v>41500</v>
      </c>
      <c r="E44">
        <v>37002</v>
      </c>
      <c r="F44" s="9">
        <v>103569771</v>
      </c>
      <c r="G44" s="1">
        <v>4298145496500</v>
      </c>
      <c r="H44" s="1">
        <v>3223609112000</v>
      </c>
      <c r="I44">
        <f t="shared" si="0"/>
        <v>0</v>
      </c>
    </row>
    <row r="45" spans="1:9" x14ac:dyDescent="0.3">
      <c r="A45">
        <v>20150203</v>
      </c>
      <c r="B45" s="2" t="s">
        <v>9</v>
      </c>
      <c r="C45" s="8">
        <v>41500</v>
      </c>
      <c r="D45" s="8">
        <v>42900</v>
      </c>
      <c r="E45">
        <v>38251</v>
      </c>
      <c r="F45" s="9">
        <v>103569771</v>
      </c>
      <c r="G45" s="1">
        <v>4443143175900</v>
      </c>
      <c r="H45" s="1">
        <v>3332357371200</v>
      </c>
      <c r="I45">
        <f t="shared" si="0"/>
        <v>0</v>
      </c>
    </row>
    <row r="46" spans="1:9" x14ac:dyDescent="0.3">
      <c r="A46">
        <v>20150204</v>
      </c>
      <c r="B46" s="2" t="s">
        <v>9</v>
      </c>
      <c r="C46" s="8">
        <v>42900</v>
      </c>
      <c r="D46" s="8">
        <v>42400</v>
      </c>
      <c r="E46">
        <v>37804</v>
      </c>
      <c r="F46" s="9">
        <v>103569771</v>
      </c>
      <c r="G46" s="1">
        <v>4391358290400</v>
      </c>
      <c r="H46" s="1">
        <v>3293518707200</v>
      </c>
      <c r="I46">
        <f t="shared" si="0"/>
        <v>0</v>
      </c>
    </row>
    <row r="47" spans="1:9" x14ac:dyDescent="0.3">
      <c r="A47">
        <v>20150205</v>
      </c>
      <c r="B47" s="2" t="s">
        <v>9</v>
      </c>
      <c r="C47" s="8">
        <v>42400</v>
      </c>
      <c r="D47" s="8">
        <v>42400</v>
      </c>
      <c r="E47">
        <v>37804</v>
      </c>
      <c r="F47" s="9">
        <v>103569771</v>
      </c>
      <c r="G47" s="1">
        <v>4391358290400</v>
      </c>
      <c r="H47" s="1">
        <v>3293518707200</v>
      </c>
      <c r="I47">
        <f t="shared" si="0"/>
        <v>0</v>
      </c>
    </row>
    <row r="48" spans="1:9" x14ac:dyDescent="0.3">
      <c r="A48">
        <v>20150206</v>
      </c>
      <c r="B48" s="2" t="s">
        <v>9</v>
      </c>
      <c r="C48" s="8">
        <v>42400</v>
      </c>
      <c r="D48" s="8">
        <v>47100</v>
      </c>
      <c r="E48">
        <v>41997</v>
      </c>
      <c r="F48" s="9">
        <v>103569771</v>
      </c>
      <c r="G48" s="1">
        <v>4878136214100</v>
      </c>
      <c r="H48" s="1">
        <v>3658602148800</v>
      </c>
      <c r="I48">
        <f t="shared" si="0"/>
        <v>0</v>
      </c>
    </row>
    <row r="49" spans="1:10" x14ac:dyDescent="0.3">
      <c r="A49">
        <v>20150209</v>
      </c>
      <c r="B49" s="2" t="s">
        <v>9</v>
      </c>
      <c r="C49" s="8">
        <v>47100</v>
      </c>
      <c r="D49" s="8">
        <v>49300</v>
      </c>
      <c r="E49">
        <v>43957</v>
      </c>
      <c r="F49" s="9">
        <v>103569771</v>
      </c>
      <c r="G49" s="1">
        <v>5105989710300</v>
      </c>
      <c r="H49" s="1">
        <v>3829492270400</v>
      </c>
      <c r="I49">
        <f t="shared" si="0"/>
        <v>0</v>
      </c>
    </row>
    <row r="50" spans="1:10" x14ac:dyDescent="0.3">
      <c r="A50">
        <v>20150210</v>
      </c>
      <c r="B50" s="2" t="s">
        <v>9</v>
      </c>
      <c r="C50" s="8">
        <v>49300</v>
      </c>
      <c r="D50" s="8">
        <v>48800</v>
      </c>
      <c r="E50">
        <v>43512</v>
      </c>
      <c r="F50" s="9">
        <v>103569771</v>
      </c>
      <c r="G50" s="1">
        <v>5054204824800</v>
      </c>
      <c r="H50" s="1">
        <v>3790653606400</v>
      </c>
      <c r="I50">
        <f t="shared" si="0"/>
        <v>0</v>
      </c>
    </row>
    <row r="51" spans="1:10" x14ac:dyDescent="0.3">
      <c r="A51">
        <v>20150211</v>
      </c>
      <c r="B51" s="2" t="s">
        <v>9</v>
      </c>
      <c r="C51" s="8">
        <v>48800</v>
      </c>
      <c r="D51" s="8">
        <v>49600</v>
      </c>
      <c r="E51">
        <v>44225</v>
      </c>
      <c r="F51" s="9">
        <v>103569771</v>
      </c>
      <c r="G51" s="1">
        <v>5137060641600</v>
      </c>
      <c r="H51" s="1">
        <v>3852795468800</v>
      </c>
      <c r="I51">
        <f t="shared" si="0"/>
        <v>0</v>
      </c>
    </row>
    <row r="52" spans="1:10" x14ac:dyDescent="0.3">
      <c r="A52">
        <v>20150212</v>
      </c>
      <c r="B52" s="2" t="s">
        <v>9</v>
      </c>
      <c r="C52" s="8">
        <v>49600</v>
      </c>
      <c r="D52" s="8">
        <v>50500</v>
      </c>
      <c r="E52">
        <v>45027</v>
      </c>
      <c r="F52" s="9">
        <v>103569771</v>
      </c>
      <c r="G52" s="1">
        <v>5230273435500</v>
      </c>
      <c r="H52" s="1">
        <v>3922705064000</v>
      </c>
      <c r="I52">
        <f t="shared" si="0"/>
        <v>0</v>
      </c>
    </row>
    <row r="53" spans="1:10" x14ac:dyDescent="0.3">
      <c r="A53">
        <v>20150213</v>
      </c>
      <c r="B53" s="2" t="s">
        <v>9</v>
      </c>
      <c r="C53" s="8">
        <v>50500</v>
      </c>
      <c r="D53" s="8">
        <v>58000</v>
      </c>
      <c r="E53">
        <v>51715</v>
      </c>
      <c r="F53" s="9">
        <v>103569771</v>
      </c>
      <c r="G53" s="1">
        <v>6007046718000</v>
      </c>
      <c r="H53" s="1">
        <v>4505285024000</v>
      </c>
      <c r="I53">
        <f t="shared" si="0"/>
        <v>0</v>
      </c>
    </row>
    <row r="54" spans="1:10" x14ac:dyDescent="0.3">
      <c r="A54">
        <v>20150216</v>
      </c>
      <c r="B54" s="2" t="s">
        <v>9</v>
      </c>
      <c r="C54" s="8">
        <v>58000</v>
      </c>
      <c r="D54" s="8">
        <v>66700</v>
      </c>
      <c r="E54">
        <v>59472</v>
      </c>
      <c r="F54" s="9">
        <v>103569771</v>
      </c>
      <c r="G54" s="1">
        <v>6908103725700</v>
      </c>
      <c r="H54" s="1">
        <v>5181077777600</v>
      </c>
      <c r="I54">
        <f t="shared" si="0"/>
        <v>0</v>
      </c>
    </row>
    <row r="55" spans="1:10" x14ac:dyDescent="0.3">
      <c r="A55">
        <v>20150217</v>
      </c>
      <c r="B55" s="2" t="s">
        <v>9</v>
      </c>
      <c r="C55" s="8">
        <v>66700</v>
      </c>
      <c r="D55" s="8">
        <v>64800</v>
      </c>
      <c r="E55">
        <v>57779</v>
      </c>
      <c r="F55" s="9">
        <v>103569771</v>
      </c>
      <c r="G55" s="1">
        <v>6711321160800</v>
      </c>
      <c r="H55" s="1">
        <v>5033490854400</v>
      </c>
      <c r="I55">
        <f t="shared" si="0"/>
        <v>0</v>
      </c>
    </row>
    <row r="56" spans="1:10" x14ac:dyDescent="0.3">
      <c r="A56">
        <v>20150223</v>
      </c>
      <c r="B56" s="2" t="s">
        <v>9</v>
      </c>
      <c r="C56" s="8">
        <v>64800</v>
      </c>
      <c r="D56" s="8">
        <v>73600</v>
      </c>
      <c r="E56">
        <v>65625</v>
      </c>
      <c r="F56" s="9">
        <v>103569771</v>
      </c>
      <c r="G56" s="1">
        <v>7622735145600</v>
      </c>
      <c r="H56" s="1">
        <v>5717051340800</v>
      </c>
      <c r="I56">
        <f t="shared" si="0"/>
        <v>0</v>
      </c>
    </row>
    <row r="57" spans="1:10" x14ac:dyDescent="0.3">
      <c r="A57" s="8">
        <v>20150224</v>
      </c>
      <c r="B57" s="10" t="s">
        <v>9</v>
      </c>
      <c r="C57" s="8">
        <v>73600</v>
      </c>
      <c r="D57" s="8">
        <v>72000</v>
      </c>
      <c r="E57" s="8">
        <v>64198</v>
      </c>
      <c r="F57" s="9">
        <v>103571331</v>
      </c>
      <c r="G57" s="9">
        <v>7457135832000</v>
      </c>
      <c r="H57" s="9">
        <v>5592851856000</v>
      </c>
      <c r="I57" s="8">
        <f t="shared" si="0"/>
        <v>1</v>
      </c>
      <c r="J57" t="s">
        <v>37</v>
      </c>
    </row>
    <row r="58" spans="1:10" x14ac:dyDescent="0.3">
      <c r="A58">
        <v>20150225</v>
      </c>
      <c r="B58" s="2" t="s">
        <v>9</v>
      </c>
      <c r="C58" s="8">
        <v>72000</v>
      </c>
      <c r="D58" s="8">
        <v>67800</v>
      </c>
      <c r="E58">
        <v>60454</v>
      </c>
      <c r="F58" s="9">
        <v>103571331</v>
      </c>
      <c r="G58" s="1">
        <v>7022136241800</v>
      </c>
      <c r="H58" s="1">
        <v>5266602164400</v>
      </c>
      <c r="I58">
        <f t="shared" si="0"/>
        <v>0</v>
      </c>
    </row>
    <row r="59" spans="1:10" x14ac:dyDescent="0.3">
      <c r="A59">
        <v>20150226</v>
      </c>
      <c r="B59" s="2" t="s">
        <v>9</v>
      </c>
      <c r="C59" s="8">
        <v>67800</v>
      </c>
      <c r="D59" s="8">
        <v>66800</v>
      </c>
      <c r="E59">
        <v>59562</v>
      </c>
      <c r="F59" s="9">
        <v>103571331</v>
      </c>
      <c r="G59" s="1">
        <v>6918564910800</v>
      </c>
      <c r="H59" s="1">
        <v>5188923666400</v>
      </c>
      <c r="I59">
        <f t="shared" si="0"/>
        <v>0</v>
      </c>
    </row>
    <row r="60" spans="1:10" x14ac:dyDescent="0.3">
      <c r="A60">
        <v>20150227</v>
      </c>
      <c r="B60" s="2" t="s">
        <v>9</v>
      </c>
      <c r="C60" s="8">
        <v>66800</v>
      </c>
      <c r="D60" s="8">
        <v>65500</v>
      </c>
      <c r="E60">
        <v>58403</v>
      </c>
      <c r="F60" s="9">
        <v>103571331</v>
      </c>
      <c r="G60" s="1">
        <v>6783922180500</v>
      </c>
      <c r="H60" s="1">
        <v>5087941619000</v>
      </c>
      <c r="I60">
        <f t="shared" si="0"/>
        <v>0</v>
      </c>
    </row>
    <row r="61" spans="1:10" x14ac:dyDescent="0.3">
      <c r="A61">
        <v>20150302</v>
      </c>
      <c r="B61" s="2" t="s">
        <v>9</v>
      </c>
      <c r="C61" s="8">
        <v>65500</v>
      </c>
      <c r="D61" s="8">
        <v>62300</v>
      </c>
      <c r="E61">
        <v>55550</v>
      </c>
      <c r="F61" s="9">
        <v>103571331</v>
      </c>
      <c r="G61" s="1">
        <v>6452493921300</v>
      </c>
      <c r="H61" s="1">
        <v>4839370425400</v>
      </c>
      <c r="I61">
        <f t="shared" si="0"/>
        <v>0</v>
      </c>
    </row>
    <row r="62" spans="1:10" x14ac:dyDescent="0.3">
      <c r="A62">
        <v>20150303</v>
      </c>
      <c r="B62" s="2" t="s">
        <v>9</v>
      </c>
      <c r="C62" s="8">
        <v>62300</v>
      </c>
      <c r="D62" s="8">
        <v>64600</v>
      </c>
      <c r="E62">
        <v>57600</v>
      </c>
      <c r="F62" s="9">
        <v>103571331</v>
      </c>
      <c r="G62" s="1">
        <v>6690707982600</v>
      </c>
      <c r="H62" s="1">
        <v>5018030970800</v>
      </c>
      <c r="I62">
        <f t="shared" si="0"/>
        <v>0</v>
      </c>
    </row>
    <row r="63" spans="1:10" x14ac:dyDescent="0.3">
      <c r="A63">
        <v>20150304</v>
      </c>
      <c r="B63" s="2" t="s">
        <v>9</v>
      </c>
      <c r="C63" s="8">
        <v>64600</v>
      </c>
      <c r="D63" s="8">
        <v>65800</v>
      </c>
      <c r="E63">
        <v>58670</v>
      </c>
      <c r="F63" s="9">
        <v>103571331</v>
      </c>
      <c r="G63" s="1">
        <v>6814993579800</v>
      </c>
      <c r="H63" s="1">
        <v>5111245168400</v>
      </c>
      <c r="I63">
        <f t="shared" si="0"/>
        <v>0</v>
      </c>
    </row>
    <row r="64" spans="1:10" x14ac:dyDescent="0.3">
      <c r="A64">
        <v>20150305</v>
      </c>
      <c r="B64" s="2" t="s">
        <v>9</v>
      </c>
      <c r="C64" s="8">
        <v>65800</v>
      </c>
      <c r="D64" s="8">
        <v>64400</v>
      </c>
      <c r="E64">
        <v>57421</v>
      </c>
      <c r="F64" s="9">
        <v>103571331</v>
      </c>
      <c r="G64" s="1">
        <v>6669993716400</v>
      </c>
      <c r="H64" s="1">
        <v>5002495271200</v>
      </c>
      <c r="I64">
        <f t="shared" si="0"/>
        <v>0</v>
      </c>
    </row>
    <row r="65" spans="1:9" x14ac:dyDescent="0.3">
      <c r="A65">
        <v>20150306</v>
      </c>
      <c r="B65" s="2" t="s">
        <v>9</v>
      </c>
      <c r="C65" s="8">
        <v>64400</v>
      </c>
      <c r="D65" s="8">
        <v>69500</v>
      </c>
      <c r="E65">
        <v>61969</v>
      </c>
      <c r="F65" s="9">
        <v>103571331</v>
      </c>
      <c r="G65" s="1">
        <v>7198207504500</v>
      </c>
      <c r="H65" s="1">
        <v>5398655611000</v>
      </c>
      <c r="I65">
        <f t="shared" si="0"/>
        <v>0</v>
      </c>
    </row>
    <row r="66" spans="1:9" x14ac:dyDescent="0.3">
      <c r="A66">
        <v>20150309</v>
      </c>
      <c r="B66" s="2" t="s">
        <v>9</v>
      </c>
      <c r="C66" s="8">
        <v>69500</v>
      </c>
      <c r="D66" s="8">
        <v>67600</v>
      </c>
      <c r="E66">
        <v>60275</v>
      </c>
      <c r="F66" s="9">
        <v>103571331</v>
      </c>
      <c r="G66" s="1">
        <v>7001421975600</v>
      </c>
      <c r="H66" s="1">
        <v>5251066464800</v>
      </c>
      <c r="I66">
        <f t="shared" si="0"/>
        <v>0</v>
      </c>
    </row>
    <row r="67" spans="1:9" x14ac:dyDescent="0.3">
      <c r="A67">
        <v>20150310</v>
      </c>
      <c r="B67" s="2" t="s">
        <v>9</v>
      </c>
      <c r="C67" s="8">
        <v>67600</v>
      </c>
      <c r="D67" s="8">
        <v>65200</v>
      </c>
      <c r="E67">
        <v>58134</v>
      </c>
      <c r="F67" s="9">
        <v>103571331</v>
      </c>
      <c r="G67" s="1">
        <v>6752850781200</v>
      </c>
      <c r="H67" s="1">
        <v>5064638069600</v>
      </c>
      <c r="I67">
        <f t="shared" ref="I67:I130" si="1">IF(C67*F67=D66*F66,0,1)</f>
        <v>0</v>
      </c>
    </row>
    <row r="68" spans="1:9" x14ac:dyDescent="0.3">
      <c r="A68">
        <v>20150311</v>
      </c>
      <c r="B68" s="2" t="s">
        <v>9</v>
      </c>
      <c r="C68" s="8">
        <v>65200</v>
      </c>
      <c r="D68" s="8">
        <v>64900</v>
      </c>
      <c r="E68">
        <v>57867</v>
      </c>
      <c r="F68" s="9">
        <v>103571331</v>
      </c>
      <c r="G68" s="1">
        <v>6721779381900</v>
      </c>
      <c r="H68" s="1">
        <v>5041334520200</v>
      </c>
      <c r="I68">
        <f t="shared" si="1"/>
        <v>0</v>
      </c>
    </row>
    <row r="69" spans="1:9" x14ac:dyDescent="0.3">
      <c r="A69">
        <v>20150312</v>
      </c>
      <c r="B69" s="2" t="s">
        <v>9</v>
      </c>
      <c r="C69" s="8">
        <v>64900</v>
      </c>
      <c r="D69" s="8">
        <v>65800</v>
      </c>
      <c r="E69">
        <v>58670</v>
      </c>
      <c r="F69" s="9">
        <v>103571331</v>
      </c>
      <c r="G69" s="1">
        <v>6814993579800</v>
      </c>
      <c r="H69" s="1">
        <v>5111245168400</v>
      </c>
      <c r="I69">
        <f t="shared" si="1"/>
        <v>0</v>
      </c>
    </row>
    <row r="70" spans="1:9" x14ac:dyDescent="0.3">
      <c r="A70">
        <v>20150313</v>
      </c>
      <c r="B70" s="2" t="s">
        <v>9</v>
      </c>
      <c r="C70" s="8">
        <v>65800</v>
      </c>
      <c r="D70" s="8">
        <v>66700</v>
      </c>
      <c r="E70">
        <v>59472</v>
      </c>
      <c r="F70" s="9">
        <v>103571331</v>
      </c>
      <c r="G70" s="1">
        <v>6908207777700</v>
      </c>
      <c r="H70" s="1">
        <v>5181155816600</v>
      </c>
      <c r="I70">
        <f t="shared" si="1"/>
        <v>0</v>
      </c>
    </row>
    <row r="71" spans="1:9" x14ac:dyDescent="0.3">
      <c r="A71">
        <v>20150316</v>
      </c>
      <c r="B71" s="2" t="s">
        <v>9</v>
      </c>
      <c r="C71" s="8">
        <v>66700</v>
      </c>
      <c r="D71" s="8">
        <v>68200</v>
      </c>
      <c r="E71">
        <v>60810</v>
      </c>
      <c r="F71" s="9">
        <v>103571331</v>
      </c>
      <c r="G71" s="1">
        <v>7063564774200</v>
      </c>
      <c r="H71" s="1">
        <v>5297673563600</v>
      </c>
      <c r="I71">
        <f t="shared" si="1"/>
        <v>0</v>
      </c>
    </row>
    <row r="72" spans="1:9" x14ac:dyDescent="0.3">
      <c r="A72">
        <v>20150317</v>
      </c>
      <c r="B72" s="2" t="s">
        <v>9</v>
      </c>
      <c r="C72" s="8">
        <v>68200</v>
      </c>
      <c r="D72" s="8">
        <v>67800</v>
      </c>
      <c r="E72">
        <v>60454</v>
      </c>
      <c r="F72" s="9">
        <v>103571331</v>
      </c>
      <c r="G72" s="1">
        <v>7022136241800</v>
      </c>
      <c r="H72" s="1">
        <v>5266602164400</v>
      </c>
      <c r="I72">
        <f t="shared" si="1"/>
        <v>0</v>
      </c>
    </row>
    <row r="73" spans="1:9" x14ac:dyDescent="0.3">
      <c r="A73">
        <v>20150318</v>
      </c>
      <c r="B73" s="2" t="s">
        <v>9</v>
      </c>
      <c r="C73" s="8">
        <v>67800</v>
      </c>
      <c r="D73" s="8">
        <v>64800</v>
      </c>
      <c r="E73">
        <v>57779</v>
      </c>
      <c r="F73" s="9">
        <v>103571331</v>
      </c>
      <c r="G73" s="1">
        <v>6711422248800</v>
      </c>
      <c r="H73" s="1">
        <v>5033566670400</v>
      </c>
      <c r="I73">
        <f t="shared" si="1"/>
        <v>0</v>
      </c>
    </row>
    <row r="74" spans="1:9" x14ac:dyDescent="0.3">
      <c r="A74">
        <v>20150319</v>
      </c>
      <c r="B74" s="2" t="s">
        <v>9</v>
      </c>
      <c r="C74" s="8">
        <v>64800</v>
      </c>
      <c r="D74" s="8">
        <v>68000</v>
      </c>
      <c r="E74">
        <v>60632</v>
      </c>
      <c r="F74" s="9">
        <v>103571331</v>
      </c>
      <c r="G74" s="1">
        <v>7042850508000</v>
      </c>
      <c r="H74" s="1">
        <v>5282137864000</v>
      </c>
      <c r="I74">
        <f t="shared" si="1"/>
        <v>0</v>
      </c>
    </row>
    <row r="75" spans="1:9" x14ac:dyDescent="0.3">
      <c r="A75">
        <v>20150320</v>
      </c>
      <c r="B75" s="2" t="s">
        <v>9</v>
      </c>
      <c r="C75" s="8">
        <v>68000</v>
      </c>
      <c r="D75" s="8">
        <v>67000</v>
      </c>
      <c r="E75">
        <v>59740</v>
      </c>
      <c r="F75" s="9">
        <v>103571331</v>
      </c>
      <c r="G75" s="1">
        <v>6939279177000</v>
      </c>
      <c r="H75" s="1">
        <v>5204459366000</v>
      </c>
      <c r="I75">
        <f t="shared" si="1"/>
        <v>0</v>
      </c>
    </row>
    <row r="76" spans="1:9" x14ac:dyDescent="0.3">
      <c r="A76">
        <v>20150323</v>
      </c>
      <c r="B76" s="2" t="s">
        <v>9</v>
      </c>
      <c r="C76" s="8">
        <v>67000</v>
      </c>
      <c r="D76" s="8">
        <v>66400</v>
      </c>
      <c r="E76">
        <v>59205</v>
      </c>
      <c r="F76" s="9">
        <v>103571331</v>
      </c>
      <c r="G76" s="1">
        <v>6877136378400</v>
      </c>
      <c r="H76" s="1">
        <v>5157852267200</v>
      </c>
      <c r="I76">
        <f t="shared" si="1"/>
        <v>0</v>
      </c>
    </row>
    <row r="77" spans="1:9" x14ac:dyDescent="0.3">
      <c r="A77">
        <v>20150324</v>
      </c>
      <c r="B77" s="2" t="s">
        <v>9</v>
      </c>
      <c r="C77" s="8">
        <v>66400</v>
      </c>
      <c r="D77" s="8">
        <v>66200</v>
      </c>
      <c r="E77">
        <v>59026</v>
      </c>
      <c r="F77" s="9">
        <v>103571331</v>
      </c>
      <c r="G77" s="1">
        <v>6856422112200</v>
      </c>
      <c r="H77" s="1">
        <v>5142316567600</v>
      </c>
      <c r="I77">
        <f t="shared" si="1"/>
        <v>0</v>
      </c>
    </row>
    <row r="78" spans="1:9" x14ac:dyDescent="0.3">
      <c r="A78">
        <v>20150325</v>
      </c>
      <c r="B78" s="2" t="s">
        <v>9</v>
      </c>
      <c r="C78" s="8">
        <v>66200</v>
      </c>
      <c r="D78" s="8">
        <v>76100</v>
      </c>
      <c r="E78">
        <v>67855</v>
      </c>
      <c r="F78" s="9">
        <v>103571331</v>
      </c>
      <c r="G78" s="1">
        <v>7881778289100</v>
      </c>
      <c r="H78" s="1">
        <v>5911333697800</v>
      </c>
      <c r="I78">
        <f t="shared" si="1"/>
        <v>0</v>
      </c>
    </row>
    <row r="79" spans="1:9" x14ac:dyDescent="0.3">
      <c r="A79">
        <v>20150326</v>
      </c>
      <c r="B79" s="2" t="s">
        <v>9</v>
      </c>
      <c r="C79" s="8">
        <v>76100</v>
      </c>
      <c r="D79" s="8">
        <v>70200</v>
      </c>
      <c r="E79">
        <v>62593</v>
      </c>
      <c r="F79" s="9">
        <v>103571331</v>
      </c>
      <c r="G79" s="1">
        <v>7270707436200</v>
      </c>
      <c r="H79" s="1">
        <v>5453030559600</v>
      </c>
      <c r="I79">
        <f t="shared" si="1"/>
        <v>0</v>
      </c>
    </row>
    <row r="80" spans="1:9" x14ac:dyDescent="0.3">
      <c r="A80">
        <v>20150327</v>
      </c>
      <c r="B80" s="2" t="s">
        <v>9</v>
      </c>
      <c r="C80" s="8">
        <v>70200</v>
      </c>
      <c r="D80" s="8">
        <v>70200</v>
      </c>
      <c r="E80">
        <v>62593</v>
      </c>
      <c r="F80" s="9">
        <v>103571331</v>
      </c>
      <c r="G80" s="1">
        <v>7270707436200</v>
      </c>
      <c r="H80" s="1">
        <v>5453030559600</v>
      </c>
      <c r="I80">
        <f t="shared" si="1"/>
        <v>0</v>
      </c>
    </row>
    <row r="81" spans="1:10" x14ac:dyDescent="0.3">
      <c r="A81">
        <v>20150330</v>
      </c>
      <c r="B81" s="2" t="s">
        <v>9</v>
      </c>
      <c r="C81" s="8">
        <v>70200</v>
      </c>
      <c r="D81" s="8">
        <v>68500</v>
      </c>
      <c r="E81">
        <v>61078</v>
      </c>
      <c r="F81" s="9">
        <v>103571331</v>
      </c>
      <c r="G81" s="1">
        <v>7094636173500</v>
      </c>
      <c r="H81" s="1">
        <v>5320977113000</v>
      </c>
      <c r="I81">
        <f t="shared" si="1"/>
        <v>0</v>
      </c>
    </row>
    <row r="82" spans="1:10" x14ac:dyDescent="0.3">
      <c r="A82">
        <v>20150331</v>
      </c>
      <c r="B82" s="2" t="s">
        <v>9</v>
      </c>
      <c r="C82" s="8">
        <v>68500</v>
      </c>
      <c r="D82" s="8">
        <v>69900</v>
      </c>
      <c r="E82">
        <v>62327</v>
      </c>
      <c r="F82" s="9">
        <v>103571331</v>
      </c>
      <c r="G82" s="1">
        <v>7239636036900</v>
      </c>
      <c r="H82" s="1">
        <v>5429727010200</v>
      </c>
      <c r="I82">
        <f t="shared" si="1"/>
        <v>0</v>
      </c>
    </row>
    <row r="83" spans="1:10" x14ac:dyDescent="0.3">
      <c r="A83">
        <v>20150401</v>
      </c>
      <c r="B83" s="2" t="s">
        <v>9</v>
      </c>
      <c r="C83" s="8">
        <v>69900</v>
      </c>
      <c r="D83" s="8">
        <v>69400</v>
      </c>
      <c r="E83">
        <v>61880</v>
      </c>
      <c r="F83" s="9">
        <v>103571331</v>
      </c>
      <c r="G83" s="1">
        <v>7187850371400</v>
      </c>
      <c r="H83" s="1">
        <v>5390887761200</v>
      </c>
      <c r="I83">
        <f t="shared" si="1"/>
        <v>0</v>
      </c>
    </row>
    <row r="84" spans="1:10" x14ac:dyDescent="0.3">
      <c r="A84">
        <v>20150402</v>
      </c>
      <c r="B84" s="2" t="s">
        <v>9</v>
      </c>
      <c r="C84" s="8">
        <v>69400</v>
      </c>
      <c r="D84" s="8">
        <v>71000</v>
      </c>
      <c r="E84">
        <v>63307</v>
      </c>
      <c r="F84" s="9">
        <v>103571331</v>
      </c>
      <c r="G84" s="1">
        <v>7353564501000</v>
      </c>
      <c r="H84" s="1">
        <v>5515173358000</v>
      </c>
      <c r="I84">
        <f t="shared" si="1"/>
        <v>0</v>
      </c>
    </row>
    <row r="85" spans="1:10" x14ac:dyDescent="0.3">
      <c r="A85">
        <v>20150403</v>
      </c>
      <c r="B85" s="2" t="s">
        <v>9</v>
      </c>
      <c r="C85" s="8">
        <v>71000</v>
      </c>
      <c r="D85" s="8">
        <v>71800</v>
      </c>
      <c r="E85">
        <v>64019</v>
      </c>
      <c r="F85" s="9">
        <v>103571331</v>
      </c>
      <c r="G85" s="1">
        <v>7436421565800</v>
      </c>
      <c r="H85" s="1">
        <v>5577316156400</v>
      </c>
      <c r="I85">
        <f t="shared" si="1"/>
        <v>0</v>
      </c>
    </row>
    <row r="86" spans="1:10" x14ac:dyDescent="0.3">
      <c r="A86">
        <v>20150406</v>
      </c>
      <c r="B86" s="2" t="s">
        <v>9</v>
      </c>
      <c r="C86" s="8">
        <v>71800</v>
      </c>
      <c r="D86" s="8">
        <v>71800</v>
      </c>
      <c r="E86">
        <v>64019</v>
      </c>
      <c r="F86" s="9">
        <v>103571331</v>
      </c>
      <c r="G86" s="1">
        <v>7436421565800</v>
      </c>
      <c r="H86" s="1">
        <v>5577316156400</v>
      </c>
      <c r="I86">
        <f t="shared" si="1"/>
        <v>0</v>
      </c>
    </row>
    <row r="87" spans="1:10" x14ac:dyDescent="0.3">
      <c r="A87">
        <v>20150407</v>
      </c>
      <c r="B87" s="2" t="s">
        <v>9</v>
      </c>
      <c r="C87" s="8">
        <v>71800</v>
      </c>
      <c r="D87" s="8">
        <v>75500</v>
      </c>
      <c r="E87">
        <v>67319</v>
      </c>
      <c r="F87" s="9">
        <v>103571331</v>
      </c>
      <c r="G87" s="1">
        <v>7819635490500</v>
      </c>
      <c r="H87" s="1">
        <v>5864726599000</v>
      </c>
      <c r="I87">
        <f t="shared" si="1"/>
        <v>0</v>
      </c>
    </row>
    <row r="88" spans="1:10" x14ac:dyDescent="0.3">
      <c r="A88">
        <v>20150408</v>
      </c>
      <c r="B88" s="2" t="s">
        <v>9</v>
      </c>
      <c r="C88" s="8">
        <v>75500</v>
      </c>
      <c r="D88" s="8">
        <v>74700</v>
      </c>
      <c r="E88">
        <v>66606</v>
      </c>
      <c r="F88" s="9">
        <v>103571331</v>
      </c>
      <c r="G88" s="1">
        <v>7736778425700</v>
      </c>
      <c r="H88" s="1">
        <v>5802583800600</v>
      </c>
      <c r="I88">
        <f t="shared" si="1"/>
        <v>0</v>
      </c>
    </row>
    <row r="89" spans="1:10" x14ac:dyDescent="0.3">
      <c r="A89">
        <v>20150409</v>
      </c>
      <c r="B89" s="2" t="s">
        <v>9</v>
      </c>
      <c r="C89" s="8">
        <v>74700</v>
      </c>
      <c r="D89" s="8">
        <v>73500</v>
      </c>
      <c r="E89">
        <v>65536</v>
      </c>
      <c r="F89" s="9">
        <v>103571331</v>
      </c>
      <c r="G89" s="1">
        <v>7612492828500</v>
      </c>
      <c r="H89" s="1">
        <v>5709369603000</v>
      </c>
      <c r="I89">
        <f t="shared" si="1"/>
        <v>0</v>
      </c>
    </row>
    <row r="90" spans="1:10" x14ac:dyDescent="0.3">
      <c r="A90" s="8">
        <v>20150410</v>
      </c>
      <c r="B90" s="10" t="s">
        <v>9</v>
      </c>
      <c r="C90" s="8">
        <v>73500</v>
      </c>
      <c r="D90" s="8">
        <v>75600</v>
      </c>
      <c r="E90" s="8">
        <v>67409</v>
      </c>
      <c r="F90" s="9">
        <v>108679464</v>
      </c>
      <c r="G90" s="9">
        <v>8216167478400</v>
      </c>
      <c r="H90" s="9">
        <v>6162125608800</v>
      </c>
      <c r="I90" s="8">
        <f t="shared" si="1"/>
        <v>1</v>
      </c>
      <c r="J90" t="s">
        <v>38</v>
      </c>
    </row>
    <row r="91" spans="1:10" x14ac:dyDescent="0.3">
      <c r="A91">
        <v>20150413</v>
      </c>
      <c r="B91" s="2" t="s">
        <v>9</v>
      </c>
      <c r="C91" s="8">
        <v>75600</v>
      </c>
      <c r="D91" s="8">
        <v>86900</v>
      </c>
      <c r="E91">
        <v>77484</v>
      </c>
      <c r="F91" s="9">
        <v>108679464</v>
      </c>
      <c r="G91" s="1">
        <v>9444245421600</v>
      </c>
      <c r="H91" s="1">
        <v>7083184066200</v>
      </c>
      <c r="I91">
        <f t="shared" si="1"/>
        <v>0</v>
      </c>
    </row>
    <row r="92" spans="1:10" x14ac:dyDescent="0.3">
      <c r="A92">
        <v>20150414</v>
      </c>
      <c r="B92" s="2" t="s">
        <v>9</v>
      </c>
      <c r="C92" s="8">
        <v>86900</v>
      </c>
      <c r="D92" s="8">
        <v>91800</v>
      </c>
      <c r="E92">
        <v>81853</v>
      </c>
      <c r="F92" s="9">
        <v>108679464</v>
      </c>
      <c r="G92" s="1">
        <v>9976774795200</v>
      </c>
      <c r="H92" s="1">
        <v>7482581096400</v>
      </c>
      <c r="I92">
        <f t="shared" si="1"/>
        <v>0</v>
      </c>
    </row>
    <row r="93" spans="1:10" x14ac:dyDescent="0.3">
      <c r="A93">
        <v>20150415</v>
      </c>
      <c r="B93" s="2" t="s">
        <v>9</v>
      </c>
      <c r="C93" s="8">
        <v>91800</v>
      </c>
      <c r="D93" s="8">
        <v>92300</v>
      </c>
      <c r="E93">
        <v>82300</v>
      </c>
      <c r="F93" s="9">
        <v>108679464</v>
      </c>
      <c r="G93" s="1">
        <v>10031114527200</v>
      </c>
      <c r="H93" s="1">
        <v>7523335895400</v>
      </c>
      <c r="I93">
        <f t="shared" si="1"/>
        <v>0</v>
      </c>
    </row>
    <row r="94" spans="1:10" x14ac:dyDescent="0.3">
      <c r="A94">
        <v>20150416</v>
      </c>
      <c r="B94" s="2" t="s">
        <v>9</v>
      </c>
      <c r="C94" s="8">
        <v>92300</v>
      </c>
      <c r="D94" s="8">
        <v>87400</v>
      </c>
      <c r="E94">
        <v>77930</v>
      </c>
      <c r="F94" s="9">
        <v>108679464</v>
      </c>
      <c r="G94" s="1">
        <v>9498585153600</v>
      </c>
      <c r="H94" s="1">
        <v>7123938865200</v>
      </c>
      <c r="I94">
        <f t="shared" si="1"/>
        <v>0</v>
      </c>
    </row>
    <row r="95" spans="1:10" x14ac:dyDescent="0.3">
      <c r="A95">
        <v>20150417</v>
      </c>
      <c r="B95" s="2" t="s">
        <v>9</v>
      </c>
      <c r="C95" s="8">
        <v>87400</v>
      </c>
      <c r="D95" s="8">
        <v>87500</v>
      </c>
      <c r="E95">
        <v>78019</v>
      </c>
      <c r="F95" s="9">
        <v>108679464</v>
      </c>
      <c r="G95" s="1">
        <v>9509453100000</v>
      </c>
      <c r="H95" s="1">
        <v>7132089825000</v>
      </c>
      <c r="I95">
        <f t="shared" si="1"/>
        <v>0</v>
      </c>
    </row>
    <row r="96" spans="1:10" x14ac:dyDescent="0.3">
      <c r="A96">
        <v>20150420</v>
      </c>
      <c r="B96" s="2" t="s">
        <v>9</v>
      </c>
      <c r="C96" s="8">
        <v>87500</v>
      </c>
      <c r="D96" s="8">
        <v>84900</v>
      </c>
      <c r="E96">
        <v>75701</v>
      </c>
      <c r="F96" s="9">
        <v>108679464</v>
      </c>
      <c r="G96" s="1">
        <v>9226886493600</v>
      </c>
      <c r="H96" s="1">
        <v>6920164870200</v>
      </c>
      <c r="I96">
        <f t="shared" si="1"/>
        <v>0</v>
      </c>
    </row>
    <row r="97" spans="1:10" x14ac:dyDescent="0.3">
      <c r="A97">
        <v>20150421</v>
      </c>
      <c r="B97" s="2" t="s">
        <v>9</v>
      </c>
      <c r="C97" s="8">
        <v>84900</v>
      </c>
      <c r="D97" s="8">
        <v>85700</v>
      </c>
      <c r="E97">
        <v>76414</v>
      </c>
      <c r="F97" s="9">
        <v>108679464</v>
      </c>
      <c r="G97" s="1">
        <v>9313830064800</v>
      </c>
      <c r="H97" s="1">
        <v>6985372548600</v>
      </c>
      <c r="I97">
        <f t="shared" si="1"/>
        <v>0</v>
      </c>
    </row>
    <row r="98" spans="1:10" x14ac:dyDescent="0.3">
      <c r="A98">
        <v>20150422</v>
      </c>
      <c r="B98" s="2" t="s">
        <v>9</v>
      </c>
      <c r="C98" s="8">
        <v>85700</v>
      </c>
      <c r="D98" s="8">
        <v>84900</v>
      </c>
      <c r="E98">
        <v>75701</v>
      </c>
      <c r="F98" s="9">
        <v>108679464</v>
      </c>
      <c r="G98" s="1">
        <v>9226886493600</v>
      </c>
      <c r="H98" s="1">
        <v>6920164870200</v>
      </c>
      <c r="I98">
        <f t="shared" si="1"/>
        <v>0</v>
      </c>
    </row>
    <row r="99" spans="1:10" x14ac:dyDescent="0.3">
      <c r="A99" s="8">
        <v>20150423</v>
      </c>
      <c r="B99" s="10" t="s">
        <v>9</v>
      </c>
      <c r="C99" s="8">
        <v>84900</v>
      </c>
      <c r="D99" s="8">
        <v>80800</v>
      </c>
      <c r="E99" s="8">
        <v>72045</v>
      </c>
      <c r="F99" s="9">
        <v>108795685</v>
      </c>
      <c r="G99" s="9">
        <v>8790691348000</v>
      </c>
      <c r="H99" s="9">
        <v>6593018450400</v>
      </c>
      <c r="I99" s="8">
        <f t="shared" si="1"/>
        <v>1</v>
      </c>
      <c r="J99" t="s">
        <v>39</v>
      </c>
    </row>
    <row r="100" spans="1:10" x14ac:dyDescent="0.3">
      <c r="A100">
        <v>20150424</v>
      </c>
      <c r="B100" s="2" t="s">
        <v>9</v>
      </c>
      <c r="C100" s="8">
        <v>80800</v>
      </c>
      <c r="D100" s="8">
        <v>81600</v>
      </c>
      <c r="E100">
        <v>72758</v>
      </c>
      <c r="F100" s="9">
        <v>108795685</v>
      </c>
      <c r="G100" s="1">
        <v>8877727896000</v>
      </c>
      <c r="H100" s="1">
        <v>6658295860800</v>
      </c>
      <c r="I100">
        <f t="shared" si="1"/>
        <v>0</v>
      </c>
    </row>
    <row r="101" spans="1:10" x14ac:dyDescent="0.3">
      <c r="A101">
        <v>20150427</v>
      </c>
      <c r="B101" s="2" t="s">
        <v>9</v>
      </c>
      <c r="C101" s="8">
        <v>81600</v>
      </c>
      <c r="D101" s="8">
        <v>81900</v>
      </c>
      <c r="E101">
        <v>73025</v>
      </c>
      <c r="F101" s="9">
        <v>108795685</v>
      </c>
      <c r="G101" s="1">
        <v>8910366601500</v>
      </c>
      <c r="H101" s="1">
        <v>6682774889700</v>
      </c>
      <c r="I101">
        <f t="shared" si="1"/>
        <v>0</v>
      </c>
    </row>
    <row r="102" spans="1:10" x14ac:dyDescent="0.3">
      <c r="A102">
        <v>20150428</v>
      </c>
      <c r="B102" s="2" t="s">
        <v>9</v>
      </c>
      <c r="C102" s="8">
        <v>81900</v>
      </c>
      <c r="D102" s="8">
        <v>86500</v>
      </c>
      <c r="E102">
        <v>77127</v>
      </c>
      <c r="F102" s="9">
        <v>108795685</v>
      </c>
      <c r="G102" s="1">
        <v>9410826752500</v>
      </c>
      <c r="H102" s="1">
        <v>7058119999500</v>
      </c>
      <c r="I102">
        <f t="shared" si="1"/>
        <v>0</v>
      </c>
    </row>
    <row r="103" spans="1:10" x14ac:dyDescent="0.3">
      <c r="A103" s="8">
        <v>20150429</v>
      </c>
      <c r="B103" s="10" t="s">
        <v>9</v>
      </c>
      <c r="C103" s="8">
        <v>86500</v>
      </c>
      <c r="D103" s="8">
        <v>85300</v>
      </c>
      <c r="E103" s="8">
        <v>76057</v>
      </c>
      <c r="F103" s="9">
        <v>108940961</v>
      </c>
      <c r="G103" s="9">
        <v>9292663973300</v>
      </c>
      <c r="H103" s="9">
        <v>6969497916000</v>
      </c>
      <c r="I103" s="8">
        <f t="shared" si="1"/>
        <v>1</v>
      </c>
      <c r="J103" t="s">
        <v>39</v>
      </c>
    </row>
    <row r="104" spans="1:10" x14ac:dyDescent="0.3">
      <c r="A104">
        <v>20150430</v>
      </c>
      <c r="B104" s="2" t="s">
        <v>9</v>
      </c>
      <c r="C104" s="8">
        <v>85300</v>
      </c>
      <c r="D104" s="8">
        <v>85700</v>
      </c>
      <c r="E104">
        <v>76414</v>
      </c>
      <c r="F104" s="9">
        <v>108940961</v>
      </c>
      <c r="G104" s="1">
        <v>9336240357700</v>
      </c>
      <c r="H104" s="1">
        <v>7002180204000</v>
      </c>
      <c r="I104">
        <f t="shared" si="1"/>
        <v>0</v>
      </c>
    </row>
    <row r="105" spans="1:10" x14ac:dyDescent="0.3">
      <c r="A105">
        <v>20150504</v>
      </c>
      <c r="B105" s="2" t="s">
        <v>9</v>
      </c>
      <c r="C105" s="8">
        <v>85700</v>
      </c>
      <c r="D105" s="8">
        <v>85100</v>
      </c>
      <c r="E105">
        <v>75879</v>
      </c>
      <c r="F105" s="9">
        <v>108940961</v>
      </c>
      <c r="G105" s="1">
        <v>9270875781100</v>
      </c>
      <c r="H105" s="1">
        <v>6953156772000</v>
      </c>
      <c r="I105">
        <f t="shared" si="1"/>
        <v>0</v>
      </c>
    </row>
    <row r="106" spans="1:10" x14ac:dyDescent="0.3">
      <c r="A106">
        <v>20150506</v>
      </c>
      <c r="B106" s="2" t="s">
        <v>9</v>
      </c>
      <c r="C106" s="8">
        <v>85100</v>
      </c>
      <c r="D106" s="8">
        <v>84600</v>
      </c>
      <c r="E106">
        <v>75433</v>
      </c>
      <c r="F106" s="9">
        <v>108940961</v>
      </c>
      <c r="G106" s="1">
        <v>9216405300600</v>
      </c>
      <c r="H106" s="1">
        <v>6912303912000</v>
      </c>
      <c r="I106">
        <f t="shared" si="1"/>
        <v>0</v>
      </c>
    </row>
    <row r="107" spans="1:10" x14ac:dyDescent="0.3">
      <c r="A107" s="8">
        <v>20150507</v>
      </c>
      <c r="B107" s="10" t="s">
        <v>9</v>
      </c>
      <c r="C107" s="8">
        <v>84600</v>
      </c>
      <c r="D107" s="8">
        <v>82700</v>
      </c>
      <c r="E107" s="8">
        <v>73739</v>
      </c>
      <c r="F107" s="9">
        <v>109472257</v>
      </c>
      <c r="G107" s="9">
        <v>9053355653900</v>
      </c>
      <c r="H107" s="9">
        <v>6790016678400</v>
      </c>
      <c r="I107" s="8">
        <f t="shared" si="1"/>
        <v>1</v>
      </c>
      <c r="J107" t="s">
        <v>39</v>
      </c>
    </row>
    <row r="108" spans="1:10" x14ac:dyDescent="0.3">
      <c r="A108" s="8">
        <v>20150508</v>
      </c>
      <c r="B108" s="10" t="s">
        <v>9</v>
      </c>
      <c r="C108" s="8">
        <v>82700</v>
      </c>
      <c r="D108" s="8">
        <v>83500</v>
      </c>
      <c r="E108" s="8">
        <v>74452</v>
      </c>
      <c r="F108" s="9">
        <v>109660372</v>
      </c>
      <c r="G108" s="9">
        <v>9156641062000</v>
      </c>
      <c r="H108" s="9">
        <v>6867480796500</v>
      </c>
      <c r="I108" s="8">
        <f t="shared" si="1"/>
        <v>1</v>
      </c>
      <c r="J108" t="s">
        <v>37</v>
      </c>
    </row>
    <row r="109" spans="1:10" x14ac:dyDescent="0.3">
      <c r="A109" s="8">
        <v>20150511</v>
      </c>
      <c r="B109" s="10" t="s">
        <v>9</v>
      </c>
      <c r="C109" s="8">
        <v>83500</v>
      </c>
      <c r="D109" s="8">
        <v>82000</v>
      </c>
      <c r="E109" s="8">
        <v>73114</v>
      </c>
      <c r="F109" s="9">
        <v>109930171</v>
      </c>
      <c r="G109" s="9">
        <v>9014274022000</v>
      </c>
      <c r="H109" s="9">
        <v>6760705496000</v>
      </c>
      <c r="I109" s="8">
        <f t="shared" si="1"/>
        <v>1</v>
      </c>
      <c r="J109" t="s">
        <v>39</v>
      </c>
    </row>
    <row r="110" spans="1:10" x14ac:dyDescent="0.3">
      <c r="A110">
        <v>20150512</v>
      </c>
      <c r="B110" s="2" t="s">
        <v>9</v>
      </c>
      <c r="C110" s="8">
        <v>82000</v>
      </c>
      <c r="D110" s="8">
        <v>80500</v>
      </c>
      <c r="E110">
        <v>71778</v>
      </c>
      <c r="F110" s="9">
        <v>109930171</v>
      </c>
      <c r="G110" s="1">
        <v>8849378765500</v>
      </c>
      <c r="H110" s="1">
        <v>6637034054000</v>
      </c>
      <c r="I110">
        <f t="shared" si="1"/>
        <v>0</v>
      </c>
    </row>
    <row r="111" spans="1:10" x14ac:dyDescent="0.3">
      <c r="A111" s="8">
        <v>20150513</v>
      </c>
      <c r="B111" s="10" t="s">
        <v>9</v>
      </c>
      <c r="C111" s="8">
        <v>80500</v>
      </c>
      <c r="D111" s="8">
        <v>81800</v>
      </c>
      <c r="E111" s="8">
        <v>72936</v>
      </c>
      <c r="F111" s="9">
        <v>110179216</v>
      </c>
      <c r="G111" s="9">
        <v>9012659868800</v>
      </c>
      <c r="H111" s="9">
        <v>6759494901600</v>
      </c>
      <c r="I111" s="8">
        <f t="shared" si="1"/>
        <v>1</v>
      </c>
      <c r="J111" t="s">
        <v>39</v>
      </c>
    </row>
    <row r="112" spans="1:10" x14ac:dyDescent="0.3">
      <c r="A112">
        <v>20150514</v>
      </c>
      <c r="B112" s="2" t="s">
        <v>9</v>
      </c>
      <c r="C112" s="8">
        <v>81800</v>
      </c>
      <c r="D112" s="8">
        <v>81800</v>
      </c>
      <c r="E112">
        <v>72936</v>
      </c>
      <c r="F112" s="9">
        <v>110179216</v>
      </c>
      <c r="G112" s="1">
        <v>9012659868800</v>
      </c>
      <c r="H112" s="1">
        <v>6759494901600</v>
      </c>
      <c r="I112">
        <f t="shared" si="1"/>
        <v>0</v>
      </c>
    </row>
    <row r="113" spans="1:10" x14ac:dyDescent="0.3">
      <c r="A113" s="8">
        <v>20150515</v>
      </c>
      <c r="B113" s="10" t="s">
        <v>9</v>
      </c>
      <c r="C113" s="8">
        <v>81800</v>
      </c>
      <c r="D113" s="8">
        <v>83200</v>
      </c>
      <c r="E113" s="8">
        <v>74185</v>
      </c>
      <c r="F113" s="9">
        <v>110756174</v>
      </c>
      <c r="G113" s="9">
        <v>9214913676800</v>
      </c>
      <c r="H113" s="9">
        <v>6911185216000</v>
      </c>
      <c r="I113" s="8">
        <f t="shared" si="1"/>
        <v>1</v>
      </c>
      <c r="J113" t="s">
        <v>39</v>
      </c>
    </row>
    <row r="114" spans="1:10" x14ac:dyDescent="0.3">
      <c r="A114">
        <v>20150518</v>
      </c>
      <c r="B114" s="2" t="s">
        <v>9</v>
      </c>
      <c r="C114" s="8">
        <v>83200</v>
      </c>
      <c r="D114" s="8">
        <v>81600</v>
      </c>
      <c r="E114">
        <v>72758</v>
      </c>
      <c r="F114" s="9">
        <v>110756174</v>
      </c>
      <c r="G114" s="1">
        <v>9037703798400</v>
      </c>
      <c r="H114" s="1">
        <v>6778277808000</v>
      </c>
      <c r="I114">
        <f t="shared" si="1"/>
        <v>0</v>
      </c>
    </row>
    <row r="115" spans="1:10" x14ac:dyDescent="0.3">
      <c r="A115">
        <v>20150519</v>
      </c>
      <c r="B115" s="2" t="s">
        <v>9</v>
      </c>
      <c r="C115" s="8">
        <v>81600</v>
      </c>
      <c r="D115" s="8">
        <v>80900</v>
      </c>
      <c r="E115">
        <v>72133</v>
      </c>
      <c r="F115" s="9">
        <v>110756174</v>
      </c>
      <c r="G115" s="1">
        <v>8960174476600</v>
      </c>
      <c r="H115" s="1">
        <v>6720130817000</v>
      </c>
      <c r="I115">
        <f t="shared" si="1"/>
        <v>0</v>
      </c>
    </row>
    <row r="116" spans="1:10" x14ac:dyDescent="0.3">
      <c r="A116" s="8">
        <v>20150520</v>
      </c>
      <c r="B116" s="10" t="s">
        <v>9</v>
      </c>
      <c r="C116" s="8">
        <v>80900</v>
      </c>
      <c r="D116" s="8">
        <v>79900</v>
      </c>
      <c r="E116" s="8">
        <v>71242</v>
      </c>
      <c r="F116" s="9">
        <v>110818433</v>
      </c>
      <c r="G116" s="9">
        <v>8854392796700</v>
      </c>
      <c r="H116" s="9">
        <v>6640794537600</v>
      </c>
      <c r="I116" s="8">
        <f t="shared" si="1"/>
        <v>1</v>
      </c>
      <c r="J116" t="s">
        <v>39</v>
      </c>
    </row>
    <row r="117" spans="1:10" x14ac:dyDescent="0.3">
      <c r="A117" s="8">
        <v>20150521</v>
      </c>
      <c r="B117" s="10" t="s">
        <v>9</v>
      </c>
      <c r="C117" s="8">
        <v>79900</v>
      </c>
      <c r="D117" s="8">
        <v>78900</v>
      </c>
      <c r="E117" s="8">
        <v>70350</v>
      </c>
      <c r="F117" s="9">
        <v>110959559</v>
      </c>
      <c r="G117" s="9">
        <v>8754709205100</v>
      </c>
      <c r="H117" s="9">
        <v>6566031884100</v>
      </c>
      <c r="I117" s="8">
        <f t="shared" si="1"/>
        <v>1</v>
      </c>
      <c r="J117" t="s">
        <v>39</v>
      </c>
    </row>
    <row r="118" spans="1:10" x14ac:dyDescent="0.3">
      <c r="A118">
        <v>20150522</v>
      </c>
      <c r="B118" s="2" t="s">
        <v>9</v>
      </c>
      <c r="C118" s="8">
        <v>78900</v>
      </c>
      <c r="D118" s="8">
        <v>77500</v>
      </c>
      <c r="E118">
        <v>69104</v>
      </c>
      <c r="F118" s="9">
        <v>110959559</v>
      </c>
      <c r="G118" s="1">
        <v>8599365822500</v>
      </c>
      <c r="H118" s="1">
        <v>6449524347500</v>
      </c>
      <c r="I118">
        <f t="shared" si="1"/>
        <v>0</v>
      </c>
    </row>
    <row r="119" spans="1:10" x14ac:dyDescent="0.3">
      <c r="A119">
        <v>20150526</v>
      </c>
      <c r="B119" s="2" t="s">
        <v>9</v>
      </c>
      <c r="C119" s="8">
        <v>77500</v>
      </c>
      <c r="D119" s="8">
        <v>71600</v>
      </c>
      <c r="E119">
        <v>63841</v>
      </c>
      <c r="F119" s="9">
        <v>110959559</v>
      </c>
      <c r="G119" s="1">
        <v>7944704424400</v>
      </c>
      <c r="H119" s="1">
        <v>5958528300400</v>
      </c>
      <c r="I119">
        <f t="shared" si="1"/>
        <v>0</v>
      </c>
    </row>
    <row r="120" spans="1:10" x14ac:dyDescent="0.3">
      <c r="A120">
        <v>20150527</v>
      </c>
      <c r="B120" s="2" t="s">
        <v>9</v>
      </c>
      <c r="C120" s="8">
        <v>71600</v>
      </c>
      <c r="D120" s="8">
        <v>70600</v>
      </c>
      <c r="E120">
        <v>62949</v>
      </c>
      <c r="F120" s="9">
        <v>110959559</v>
      </c>
      <c r="G120" s="1">
        <v>7833744865400</v>
      </c>
      <c r="H120" s="1">
        <v>5875308631400</v>
      </c>
      <c r="I120">
        <f t="shared" si="1"/>
        <v>0</v>
      </c>
    </row>
    <row r="121" spans="1:10" x14ac:dyDescent="0.3">
      <c r="A121" s="8">
        <v>20150528</v>
      </c>
      <c r="B121" s="10" t="s">
        <v>9</v>
      </c>
      <c r="C121" s="8">
        <v>70600</v>
      </c>
      <c r="D121" s="8">
        <v>71500</v>
      </c>
      <c r="E121" s="8">
        <v>63753</v>
      </c>
      <c r="F121" s="9">
        <v>111017670</v>
      </c>
      <c r="G121" s="9">
        <v>7937763405000</v>
      </c>
      <c r="H121" s="9">
        <v>5953322518000</v>
      </c>
      <c r="I121" s="8">
        <f t="shared" si="1"/>
        <v>1</v>
      </c>
      <c r="J121" t="s">
        <v>39</v>
      </c>
    </row>
    <row r="122" spans="1:10" x14ac:dyDescent="0.3">
      <c r="A122">
        <v>20150529</v>
      </c>
      <c r="B122" s="2" t="s">
        <v>9</v>
      </c>
      <c r="C122" s="8">
        <v>71500</v>
      </c>
      <c r="D122" s="8">
        <v>69000</v>
      </c>
      <c r="E122">
        <v>61523</v>
      </c>
      <c r="F122" s="9">
        <v>111017670</v>
      </c>
      <c r="G122" s="1">
        <v>7660219230000</v>
      </c>
      <c r="H122" s="1">
        <v>5745164388000</v>
      </c>
      <c r="I122">
        <f t="shared" si="1"/>
        <v>0</v>
      </c>
    </row>
    <row r="123" spans="1:10" x14ac:dyDescent="0.3">
      <c r="A123" s="8">
        <v>20150601</v>
      </c>
      <c r="B123" s="10" t="s">
        <v>9</v>
      </c>
      <c r="C123" s="8">
        <v>69000</v>
      </c>
      <c r="D123" s="8">
        <v>70700</v>
      </c>
      <c r="E123" s="8">
        <v>63039</v>
      </c>
      <c r="F123" s="9">
        <v>111121438</v>
      </c>
      <c r="G123" s="9">
        <v>7856285666600</v>
      </c>
      <c r="H123" s="9">
        <v>5892214214600</v>
      </c>
      <c r="I123" s="8">
        <f t="shared" si="1"/>
        <v>1</v>
      </c>
      <c r="J123" t="s">
        <v>39</v>
      </c>
    </row>
    <row r="124" spans="1:10" x14ac:dyDescent="0.3">
      <c r="A124">
        <v>20150602</v>
      </c>
      <c r="B124" s="2" t="s">
        <v>9</v>
      </c>
      <c r="C124" s="8">
        <v>70700</v>
      </c>
      <c r="D124" s="8">
        <v>69600</v>
      </c>
      <c r="E124">
        <v>62058</v>
      </c>
      <c r="F124" s="9">
        <v>111121438</v>
      </c>
      <c r="G124" s="1">
        <v>7734052084800</v>
      </c>
      <c r="H124" s="1">
        <v>5800539028800</v>
      </c>
      <c r="I124">
        <f t="shared" si="1"/>
        <v>0</v>
      </c>
    </row>
    <row r="125" spans="1:10" x14ac:dyDescent="0.3">
      <c r="A125" s="8">
        <v>20150603</v>
      </c>
      <c r="B125" s="10" t="s">
        <v>9</v>
      </c>
      <c r="C125" s="8">
        <v>69600</v>
      </c>
      <c r="D125" s="8">
        <v>65300</v>
      </c>
      <c r="E125" s="8">
        <v>58224</v>
      </c>
      <c r="F125" s="9">
        <v>111138041</v>
      </c>
      <c r="G125" s="9">
        <v>7257314077300</v>
      </c>
      <c r="H125" s="9">
        <v>5442985509000</v>
      </c>
      <c r="I125" s="8">
        <f t="shared" si="1"/>
        <v>1</v>
      </c>
      <c r="J125" t="s">
        <v>39</v>
      </c>
    </row>
    <row r="126" spans="1:10" x14ac:dyDescent="0.3">
      <c r="A126">
        <v>20150604</v>
      </c>
      <c r="B126" s="2" t="s">
        <v>9</v>
      </c>
      <c r="C126" s="8">
        <v>65300</v>
      </c>
      <c r="D126" s="8">
        <v>68000</v>
      </c>
      <c r="E126">
        <v>60632</v>
      </c>
      <c r="F126" s="9">
        <v>111138041</v>
      </c>
      <c r="G126" s="1">
        <v>7557386788000</v>
      </c>
      <c r="H126" s="1">
        <v>5668040040000</v>
      </c>
      <c r="I126">
        <f t="shared" si="1"/>
        <v>0</v>
      </c>
    </row>
    <row r="127" spans="1:10" x14ac:dyDescent="0.3">
      <c r="A127" s="8">
        <v>20150605</v>
      </c>
      <c r="B127" s="10" t="s">
        <v>9</v>
      </c>
      <c r="C127" s="8">
        <v>68000</v>
      </c>
      <c r="D127" s="8">
        <v>72300</v>
      </c>
      <c r="E127" s="8">
        <v>64465</v>
      </c>
      <c r="F127" s="9">
        <v>111221056</v>
      </c>
      <c r="G127" s="9">
        <v>8041282348800</v>
      </c>
      <c r="H127" s="9">
        <v>6030961761600</v>
      </c>
      <c r="I127" s="8">
        <f t="shared" si="1"/>
        <v>1</v>
      </c>
      <c r="J127" t="s">
        <v>39</v>
      </c>
    </row>
    <row r="128" spans="1:10" x14ac:dyDescent="0.3">
      <c r="A128">
        <v>20150608</v>
      </c>
      <c r="B128" s="2" t="s">
        <v>9</v>
      </c>
      <c r="C128" s="8">
        <v>72300</v>
      </c>
      <c r="D128" s="8">
        <v>79500</v>
      </c>
      <c r="E128">
        <v>70886</v>
      </c>
      <c r="F128" s="9">
        <v>111221056</v>
      </c>
      <c r="G128" s="1">
        <v>8842073952000</v>
      </c>
      <c r="H128" s="1">
        <v>6631555464000</v>
      </c>
      <c r="I128">
        <f t="shared" si="1"/>
        <v>0</v>
      </c>
    </row>
    <row r="129" spans="1:10" x14ac:dyDescent="0.3">
      <c r="A129">
        <v>20150609</v>
      </c>
      <c r="B129" s="2" t="s">
        <v>9</v>
      </c>
      <c r="C129" s="8">
        <v>79500</v>
      </c>
      <c r="D129" s="8">
        <v>77900</v>
      </c>
      <c r="E129">
        <v>69458</v>
      </c>
      <c r="F129" s="9">
        <v>111221056</v>
      </c>
      <c r="G129" s="1">
        <v>8664120262400</v>
      </c>
      <c r="H129" s="1">
        <v>6498090196800</v>
      </c>
      <c r="I129">
        <f t="shared" si="1"/>
        <v>0</v>
      </c>
    </row>
    <row r="130" spans="1:10" x14ac:dyDescent="0.3">
      <c r="A130">
        <v>20150610</v>
      </c>
      <c r="B130" s="2" t="s">
        <v>9</v>
      </c>
      <c r="C130" s="8">
        <v>77900</v>
      </c>
      <c r="D130" s="8">
        <v>75100</v>
      </c>
      <c r="E130">
        <v>66962</v>
      </c>
      <c r="F130" s="9">
        <v>111221056</v>
      </c>
      <c r="G130" s="1">
        <v>8352701305600</v>
      </c>
      <c r="H130" s="1">
        <v>6264525979200</v>
      </c>
      <c r="I130">
        <f t="shared" si="1"/>
        <v>0</v>
      </c>
    </row>
    <row r="131" spans="1:10" x14ac:dyDescent="0.3">
      <c r="A131" s="8">
        <v>20150611</v>
      </c>
      <c r="B131" s="10" t="s">
        <v>9</v>
      </c>
      <c r="C131" s="8">
        <v>75100</v>
      </c>
      <c r="D131" s="8">
        <v>74300</v>
      </c>
      <c r="E131" s="8">
        <v>66248</v>
      </c>
      <c r="F131" s="9">
        <v>111457649</v>
      </c>
      <c r="G131" s="9">
        <v>8281303320700</v>
      </c>
      <c r="H131" s="9">
        <v>6210977434800</v>
      </c>
      <c r="I131" s="8">
        <f t="shared" ref="I131:I194" si="2">IF(C131*F131=D130*F130,0,1)</f>
        <v>1</v>
      </c>
      <c r="J131" t="s">
        <v>39</v>
      </c>
    </row>
    <row r="132" spans="1:10" x14ac:dyDescent="0.3">
      <c r="A132">
        <v>20150612</v>
      </c>
      <c r="B132" s="2" t="s">
        <v>9</v>
      </c>
      <c r="C132" s="8">
        <v>74300</v>
      </c>
      <c r="D132" s="8">
        <v>74300</v>
      </c>
      <c r="E132">
        <v>66248</v>
      </c>
      <c r="F132" s="9">
        <v>111457649</v>
      </c>
      <c r="G132" s="1">
        <v>8281303320700</v>
      </c>
      <c r="H132" s="1">
        <v>6210977434800</v>
      </c>
      <c r="I132">
        <f t="shared" si="2"/>
        <v>0</v>
      </c>
    </row>
    <row r="133" spans="1:10" x14ac:dyDescent="0.3">
      <c r="A133">
        <v>20150615</v>
      </c>
      <c r="B133" s="2" t="s">
        <v>9</v>
      </c>
      <c r="C133" s="8">
        <v>74300</v>
      </c>
      <c r="D133" s="8">
        <v>75100</v>
      </c>
      <c r="E133">
        <v>66962</v>
      </c>
      <c r="F133" s="9">
        <v>111457649</v>
      </c>
      <c r="G133" s="1">
        <v>8370469439900</v>
      </c>
      <c r="H133" s="1">
        <v>6277852023600</v>
      </c>
      <c r="I133">
        <f t="shared" si="2"/>
        <v>0</v>
      </c>
    </row>
    <row r="134" spans="1:10" x14ac:dyDescent="0.3">
      <c r="A134" s="8">
        <v>20150616</v>
      </c>
      <c r="B134" s="10" t="s">
        <v>9</v>
      </c>
      <c r="C134" s="8">
        <v>75100</v>
      </c>
      <c r="D134" s="8">
        <v>72800</v>
      </c>
      <c r="E134" s="8">
        <v>64910</v>
      </c>
      <c r="F134" s="9">
        <v>111607077</v>
      </c>
      <c r="G134" s="9">
        <v>8124995205600</v>
      </c>
      <c r="H134" s="9">
        <v>6093746349600</v>
      </c>
      <c r="I134" s="8">
        <f t="shared" si="2"/>
        <v>1</v>
      </c>
      <c r="J134" t="s">
        <v>39</v>
      </c>
    </row>
    <row r="135" spans="1:10" x14ac:dyDescent="0.3">
      <c r="A135">
        <v>20150617</v>
      </c>
      <c r="B135" s="2" t="s">
        <v>9</v>
      </c>
      <c r="C135" s="8">
        <v>72800</v>
      </c>
      <c r="D135" s="8">
        <v>79100</v>
      </c>
      <c r="E135">
        <v>70530</v>
      </c>
      <c r="F135" s="9">
        <v>111607077</v>
      </c>
      <c r="G135" s="1">
        <v>8828119790700</v>
      </c>
      <c r="H135" s="1">
        <v>6621089783700</v>
      </c>
      <c r="I135">
        <f t="shared" si="2"/>
        <v>0</v>
      </c>
    </row>
    <row r="136" spans="1:10" x14ac:dyDescent="0.3">
      <c r="A136" s="8">
        <v>20150618</v>
      </c>
      <c r="B136" s="10" t="s">
        <v>9</v>
      </c>
      <c r="C136" s="8">
        <v>79100</v>
      </c>
      <c r="D136" s="8">
        <v>80100</v>
      </c>
      <c r="E136" s="8">
        <v>71421</v>
      </c>
      <c r="F136" s="9">
        <v>111631981</v>
      </c>
      <c r="G136" s="9">
        <v>8941721678100</v>
      </c>
      <c r="H136" s="9">
        <v>6706291198500</v>
      </c>
      <c r="I136" s="8">
        <f t="shared" si="2"/>
        <v>1</v>
      </c>
      <c r="J136" t="s">
        <v>39</v>
      </c>
    </row>
    <row r="137" spans="1:10" x14ac:dyDescent="0.3">
      <c r="A137">
        <v>20150619</v>
      </c>
      <c r="B137" s="2" t="s">
        <v>9</v>
      </c>
      <c r="C137" s="8">
        <v>80100</v>
      </c>
      <c r="D137" s="8">
        <v>80100</v>
      </c>
      <c r="E137">
        <v>71421</v>
      </c>
      <c r="F137" s="9">
        <v>111631981</v>
      </c>
      <c r="G137" s="1">
        <v>8941721678100</v>
      </c>
      <c r="H137" s="1">
        <v>6706291198500</v>
      </c>
      <c r="I137">
        <f t="shared" si="2"/>
        <v>0</v>
      </c>
    </row>
    <row r="138" spans="1:10" x14ac:dyDescent="0.3">
      <c r="A138">
        <v>20150622</v>
      </c>
      <c r="B138" s="2" t="s">
        <v>9</v>
      </c>
      <c r="C138" s="8">
        <v>80100</v>
      </c>
      <c r="D138" s="8">
        <v>84800</v>
      </c>
      <c r="E138">
        <v>75611</v>
      </c>
      <c r="F138" s="9">
        <v>111631981</v>
      </c>
      <c r="G138" s="1">
        <v>9466391988800</v>
      </c>
      <c r="H138" s="1">
        <v>7099793928000</v>
      </c>
      <c r="I138">
        <f t="shared" si="2"/>
        <v>0</v>
      </c>
    </row>
    <row r="139" spans="1:10" x14ac:dyDescent="0.3">
      <c r="A139" s="8">
        <v>20150623</v>
      </c>
      <c r="B139" s="10" t="s">
        <v>9</v>
      </c>
      <c r="C139" s="8">
        <v>84800</v>
      </c>
      <c r="D139" s="8">
        <v>82800</v>
      </c>
      <c r="E139" s="8">
        <v>73829</v>
      </c>
      <c r="F139" s="9">
        <v>111777258</v>
      </c>
      <c r="G139" s="9">
        <v>9255156962400</v>
      </c>
      <c r="H139" s="9">
        <v>6941367680400</v>
      </c>
      <c r="I139" s="8">
        <f t="shared" si="2"/>
        <v>1</v>
      </c>
      <c r="J139" t="s">
        <v>39</v>
      </c>
    </row>
    <row r="140" spans="1:10" x14ac:dyDescent="0.3">
      <c r="A140">
        <v>20150624</v>
      </c>
      <c r="B140" s="2" t="s">
        <v>9</v>
      </c>
      <c r="C140" s="8">
        <v>82800</v>
      </c>
      <c r="D140" s="8">
        <v>83000</v>
      </c>
      <c r="E140">
        <v>74006</v>
      </c>
      <c r="F140" s="9">
        <v>111777258</v>
      </c>
      <c r="G140" s="1">
        <v>9277512414000</v>
      </c>
      <c r="H140" s="1">
        <v>6958134269000</v>
      </c>
      <c r="I140">
        <f t="shared" si="2"/>
        <v>0</v>
      </c>
    </row>
    <row r="141" spans="1:10" x14ac:dyDescent="0.3">
      <c r="A141">
        <v>20150625</v>
      </c>
      <c r="B141" s="2" t="s">
        <v>9</v>
      </c>
      <c r="C141" s="8">
        <v>83000</v>
      </c>
      <c r="D141" s="8">
        <v>81700</v>
      </c>
      <c r="E141">
        <v>72848</v>
      </c>
      <c r="F141" s="9">
        <v>111777258</v>
      </c>
      <c r="G141" s="1">
        <v>9132201978600</v>
      </c>
      <c r="H141" s="1">
        <v>6849151443100</v>
      </c>
      <c r="I141">
        <f t="shared" si="2"/>
        <v>0</v>
      </c>
    </row>
    <row r="142" spans="1:10" x14ac:dyDescent="0.3">
      <c r="A142">
        <v>20150626</v>
      </c>
      <c r="B142" s="2" t="s">
        <v>9</v>
      </c>
      <c r="C142" s="8">
        <v>81700</v>
      </c>
      <c r="D142" s="8">
        <v>79500</v>
      </c>
      <c r="E142">
        <v>70886</v>
      </c>
      <c r="F142" s="9">
        <v>111777258</v>
      </c>
      <c r="G142" s="1">
        <v>8886292011000</v>
      </c>
      <c r="H142" s="1">
        <v>6664718968500</v>
      </c>
      <c r="I142">
        <f t="shared" si="2"/>
        <v>0</v>
      </c>
    </row>
    <row r="143" spans="1:10" x14ac:dyDescent="0.3">
      <c r="A143">
        <v>20150629</v>
      </c>
      <c r="B143" s="2" t="s">
        <v>9</v>
      </c>
      <c r="C143" s="8">
        <v>79500</v>
      </c>
      <c r="D143" s="8">
        <v>78600</v>
      </c>
      <c r="E143">
        <v>70083</v>
      </c>
      <c r="F143" s="9">
        <v>111777258</v>
      </c>
      <c r="G143" s="1">
        <v>8785692478800</v>
      </c>
      <c r="H143" s="1">
        <v>6589269319800</v>
      </c>
      <c r="I143">
        <f t="shared" si="2"/>
        <v>0</v>
      </c>
    </row>
    <row r="144" spans="1:10" x14ac:dyDescent="0.3">
      <c r="A144">
        <v>20150630</v>
      </c>
      <c r="B144" s="2" t="s">
        <v>9</v>
      </c>
      <c r="C144" s="8">
        <v>78600</v>
      </c>
      <c r="D144" s="8">
        <v>78000</v>
      </c>
      <c r="E144">
        <v>69549</v>
      </c>
      <c r="F144" s="9">
        <v>111777258</v>
      </c>
      <c r="G144" s="1">
        <v>8718626124000</v>
      </c>
      <c r="H144" s="1">
        <v>6538969554000</v>
      </c>
      <c r="I144">
        <f t="shared" si="2"/>
        <v>0</v>
      </c>
    </row>
    <row r="145" spans="1:10" x14ac:dyDescent="0.3">
      <c r="A145">
        <v>20150701</v>
      </c>
      <c r="B145" s="2" t="s">
        <v>9</v>
      </c>
      <c r="C145" s="8">
        <v>78000</v>
      </c>
      <c r="D145" s="8">
        <v>82000</v>
      </c>
      <c r="E145">
        <v>73114</v>
      </c>
      <c r="F145" s="9">
        <v>111777258</v>
      </c>
      <c r="G145" s="1">
        <v>9165735156000</v>
      </c>
      <c r="H145" s="1">
        <v>6874301326000</v>
      </c>
      <c r="I145">
        <f t="shared" si="2"/>
        <v>0</v>
      </c>
    </row>
    <row r="146" spans="1:10" x14ac:dyDescent="0.3">
      <c r="A146">
        <v>20150702</v>
      </c>
      <c r="B146" s="2" t="s">
        <v>9</v>
      </c>
      <c r="C146" s="8">
        <v>82000</v>
      </c>
      <c r="D146" s="8">
        <v>82700</v>
      </c>
      <c r="E146">
        <v>73739</v>
      </c>
      <c r="F146" s="9">
        <v>111777258</v>
      </c>
      <c r="G146" s="1">
        <v>9243979236600</v>
      </c>
      <c r="H146" s="1">
        <v>6932984386100</v>
      </c>
      <c r="I146">
        <f t="shared" si="2"/>
        <v>0</v>
      </c>
    </row>
    <row r="147" spans="1:10" x14ac:dyDescent="0.3">
      <c r="A147">
        <v>20150703</v>
      </c>
      <c r="B147" s="2" t="s">
        <v>9</v>
      </c>
      <c r="C147" s="8">
        <v>82700</v>
      </c>
      <c r="D147" s="8">
        <v>80300</v>
      </c>
      <c r="E147">
        <v>71599</v>
      </c>
      <c r="F147" s="9">
        <v>111777258</v>
      </c>
      <c r="G147" s="1">
        <v>8975713817400</v>
      </c>
      <c r="H147" s="1">
        <v>6731785322900</v>
      </c>
      <c r="I147">
        <f t="shared" si="2"/>
        <v>0</v>
      </c>
    </row>
    <row r="148" spans="1:10" x14ac:dyDescent="0.3">
      <c r="A148">
        <v>20150706</v>
      </c>
      <c r="B148" s="2" t="s">
        <v>9</v>
      </c>
      <c r="C148" s="8">
        <v>80300</v>
      </c>
      <c r="D148" s="8">
        <v>78600</v>
      </c>
      <c r="E148">
        <v>70083</v>
      </c>
      <c r="F148" s="9">
        <v>111777258</v>
      </c>
      <c r="G148" s="1">
        <v>8785692478800</v>
      </c>
      <c r="H148" s="1">
        <v>6589269319800</v>
      </c>
      <c r="I148">
        <f t="shared" si="2"/>
        <v>0</v>
      </c>
    </row>
    <row r="149" spans="1:10" x14ac:dyDescent="0.3">
      <c r="A149">
        <v>20150707</v>
      </c>
      <c r="B149" s="2" t="s">
        <v>9</v>
      </c>
      <c r="C149" s="8">
        <v>78600</v>
      </c>
      <c r="D149" s="8">
        <v>81000</v>
      </c>
      <c r="E149">
        <v>72223</v>
      </c>
      <c r="F149" s="9">
        <v>111777258</v>
      </c>
      <c r="G149" s="1">
        <v>9053957898000</v>
      </c>
      <c r="H149" s="1">
        <v>6790468383000</v>
      </c>
      <c r="I149">
        <f t="shared" si="2"/>
        <v>0</v>
      </c>
    </row>
    <row r="150" spans="1:10" x14ac:dyDescent="0.3">
      <c r="A150">
        <v>20150708</v>
      </c>
      <c r="B150" s="2" t="s">
        <v>9</v>
      </c>
      <c r="C150" s="8">
        <v>81000</v>
      </c>
      <c r="D150" s="8">
        <v>77300</v>
      </c>
      <c r="E150">
        <v>68924</v>
      </c>
      <c r="F150" s="9">
        <v>111777258</v>
      </c>
      <c r="G150" s="1">
        <v>8640382043400</v>
      </c>
      <c r="H150" s="1">
        <v>6480286493900</v>
      </c>
      <c r="I150">
        <f t="shared" si="2"/>
        <v>0</v>
      </c>
    </row>
    <row r="151" spans="1:10" x14ac:dyDescent="0.3">
      <c r="A151" s="8">
        <v>20150709</v>
      </c>
      <c r="B151" s="10" t="s">
        <v>9</v>
      </c>
      <c r="C151" s="8">
        <v>77300</v>
      </c>
      <c r="D151" s="8">
        <v>77000</v>
      </c>
      <c r="E151" s="8">
        <v>68657</v>
      </c>
      <c r="F151" s="9">
        <v>111810464</v>
      </c>
      <c r="G151" s="9">
        <v>8609405728000</v>
      </c>
      <c r="H151" s="9">
        <v>6457054296000</v>
      </c>
      <c r="I151" s="8">
        <f t="shared" si="2"/>
        <v>1</v>
      </c>
      <c r="J151" t="s">
        <v>39</v>
      </c>
    </row>
    <row r="152" spans="1:10" x14ac:dyDescent="0.3">
      <c r="A152">
        <v>20150710</v>
      </c>
      <c r="B152" s="2" t="s">
        <v>9</v>
      </c>
      <c r="C152" s="8">
        <v>77000</v>
      </c>
      <c r="D152" s="8">
        <v>76100</v>
      </c>
      <c r="E152">
        <v>67855</v>
      </c>
      <c r="F152" s="9">
        <v>111810464</v>
      </c>
      <c r="G152" s="1">
        <v>8508776310400</v>
      </c>
      <c r="H152" s="1">
        <v>6381582232800</v>
      </c>
      <c r="I152">
        <f t="shared" si="2"/>
        <v>0</v>
      </c>
    </row>
    <row r="153" spans="1:10" x14ac:dyDescent="0.3">
      <c r="A153">
        <v>20150713</v>
      </c>
      <c r="B153" s="2" t="s">
        <v>9</v>
      </c>
      <c r="C153" s="8">
        <v>76100</v>
      </c>
      <c r="D153" s="8">
        <v>78500</v>
      </c>
      <c r="E153">
        <v>69995</v>
      </c>
      <c r="F153" s="9">
        <v>111810464</v>
      </c>
      <c r="G153" s="1">
        <v>8777121424000</v>
      </c>
      <c r="H153" s="1">
        <v>6582841068000</v>
      </c>
      <c r="I153">
        <f t="shared" si="2"/>
        <v>0</v>
      </c>
    </row>
    <row r="154" spans="1:10" x14ac:dyDescent="0.3">
      <c r="A154">
        <v>20150714</v>
      </c>
      <c r="B154" s="2" t="s">
        <v>9</v>
      </c>
      <c r="C154" s="8">
        <v>78500</v>
      </c>
      <c r="D154" s="8">
        <v>78100</v>
      </c>
      <c r="E154">
        <v>69637</v>
      </c>
      <c r="F154" s="9">
        <v>111810464</v>
      </c>
      <c r="G154" s="1">
        <v>8732397238400</v>
      </c>
      <c r="H154" s="1">
        <v>6549297928800</v>
      </c>
      <c r="I154">
        <f t="shared" si="2"/>
        <v>0</v>
      </c>
    </row>
    <row r="155" spans="1:10" x14ac:dyDescent="0.3">
      <c r="A155">
        <v>20150715</v>
      </c>
      <c r="B155" s="2" t="s">
        <v>9</v>
      </c>
      <c r="C155" s="8">
        <v>78100</v>
      </c>
      <c r="D155" s="8">
        <v>83000</v>
      </c>
      <c r="E155">
        <v>74006</v>
      </c>
      <c r="F155" s="9">
        <v>111810464</v>
      </c>
      <c r="G155" s="1">
        <v>9280268512000</v>
      </c>
      <c r="H155" s="1">
        <v>6960201384000</v>
      </c>
      <c r="I155">
        <f t="shared" si="2"/>
        <v>0</v>
      </c>
    </row>
    <row r="156" spans="1:10" x14ac:dyDescent="0.3">
      <c r="A156" s="8">
        <v>20150716</v>
      </c>
      <c r="B156" s="10" t="s">
        <v>9</v>
      </c>
      <c r="C156" s="8">
        <v>83000</v>
      </c>
      <c r="D156" s="8">
        <v>83100</v>
      </c>
      <c r="E156" s="8">
        <v>74096</v>
      </c>
      <c r="F156" s="9">
        <v>111980646</v>
      </c>
      <c r="G156" s="9">
        <v>9305591682600</v>
      </c>
      <c r="H156" s="9">
        <v>6979193720400</v>
      </c>
      <c r="I156" s="8">
        <f t="shared" si="2"/>
        <v>1</v>
      </c>
      <c r="J156" t="s">
        <v>39</v>
      </c>
    </row>
    <row r="157" spans="1:10" x14ac:dyDescent="0.3">
      <c r="A157">
        <v>20150717</v>
      </c>
      <c r="B157" s="2" t="s">
        <v>9</v>
      </c>
      <c r="C157" s="8">
        <v>83100</v>
      </c>
      <c r="D157" s="8">
        <v>83000</v>
      </c>
      <c r="E157">
        <v>74006</v>
      </c>
      <c r="F157" s="9">
        <v>111980646</v>
      </c>
      <c r="G157" s="1">
        <v>9294393618000</v>
      </c>
      <c r="H157" s="1">
        <v>6970795172000</v>
      </c>
      <c r="I157">
        <f t="shared" si="2"/>
        <v>0</v>
      </c>
    </row>
    <row r="158" spans="1:10" x14ac:dyDescent="0.3">
      <c r="A158">
        <v>20150720</v>
      </c>
      <c r="B158" s="2" t="s">
        <v>9</v>
      </c>
      <c r="C158" s="8">
        <v>83000</v>
      </c>
      <c r="D158" s="8">
        <v>81800</v>
      </c>
      <c r="E158">
        <v>72936</v>
      </c>
      <c r="F158" s="9">
        <v>111980646</v>
      </c>
      <c r="G158" s="1">
        <v>9160016842800</v>
      </c>
      <c r="H158" s="1">
        <v>6870012591200</v>
      </c>
      <c r="I158">
        <f t="shared" si="2"/>
        <v>0</v>
      </c>
    </row>
    <row r="159" spans="1:10" x14ac:dyDescent="0.3">
      <c r="A159">
        <v>20150721</v>
      </c>
      <c r="B159" s="2" t="s">
        <v>9</v>
      </c>
      <c r="C159" s="8">
        <v>81800</v>
      </c>
      <c r="D159" s="8">
        <v>80900</v>
      </c>
      <c r="E159">
        <v>72133</v>
      </c>
      <c r="F159" s="9">
        <v>111980646</v>
      </c>
      <c r="G159" s="1">
        <v>9059234261400</v>
      </c>
      <c r="H159" s="1">
        <v>6794425655600</v>
      </c>
      <c r="I159">
        <f t="shared" si="2"/>
        <v>0</v>
      </c>
    </row>
    <row r="160" spans="1:10" x14ac:dyDescent="0.3">
      <c r="A160">
        <v>20150722</v>
      </c>
      <c r="B160" s="2" t="s">
        <v>9</v>
      </c>
      <c r="C160" s="8">
        <v>80900</v>
      </c>
      <c r="D160" s="8">
        <v>81700</v>
      </c>
      <c r="E160">
        <v>72848</v>
      </c>
      <c r="F160" s="9">
        <v>111980646</v>
      </c>
      <c r="G160" s="1">
        <v>9148818778200</v>
      </c>
      <c r="H160" s="1">
        <v>6861614042800</v>
      </c>
      <c r="I160">
        <f t="shared" si="2"/>
        <v>0</v>
      </c>
    </row>
    <row r="161" spans="1:10" x14ac:dyDescent="0.3">
      <c r="A161" s="8">
        <v>20150723</v>
      </c>
      <c r="B161" s="10" t="s">
        <v>9</v>
      </c>
      <c r="C161" s="8">
        <v>81700</v>
      </c>
      <c r="D161" s="8">
        <v>80500</v>
      </c>
      <c r="E161" s="8">
        <v>71778</v>
      </c>
      <c r="F161" s="9">
        <v>111997249</v>
      </c>
      <c r="G161" s="9">
        <v>9015778544500</v>
      </c>
      <c r="H161" s="9">
        <v>6761833848000</v>
      </c>
      <c r="I161" s="8">
        <f t="shared" si="2"/>
        <v>1</v>
      </c>
      <c r="J161" t="s">
        <v>39</v>
      </c>
    </row>
    <row r="162" spans="1:10" x14ac:dyDescent="0.3">
      <c r="A162">
        <v>20150724</v>
      </c>
      <c r="B162" s="2" t="s">
        <v>9</v>
      </c>
      <c r="C162" s="8">
        <v>80500</v>
      </c>
      <c r="D162" s="8">
        <v>81800</v>
      </c>
      <c r="E162">
        <v>72936</v>
      </c>
      <c r="F162" s="9">
        <v>111997249</v>
      </c>
      <c r="G162" s="1">
        <v>9161374968200</v>
      </c>
      <c r="H162" s="1">
        <v>6871031164800</v>
      </c>
      <c r="I162">
        <f t="shared" si="2"/>
        <v>0</v>
      </c>
    </row>
    <row r="163" spans="1:10" x14ac:dyDescent="0.3">
      <c r="A163">
        <v>20150727</v>
      </c>
      <c r="B163" s="2" t="s">
        <v>9</v>
      </c>
      <c r="C163" s="8">
        <v>81800</v>
      </c>
      <c r="D163" s="8">
        <v>79100</v>
      </c>
      <c r="E163">
        <v>70530</v>
      </c>
      <c r="F163" s="9">
        <v>111997249</v>
      </c>
      <c r="G163" s="1">
        <v>8858982395900</v>
      </c>
      <c r="H163" s="1">
        <v>6644236737600</v>
      </c>
      <c r="I163">
        <f t="shared" si="2"/>
        <v>0</v>
      </c>
    </row>
    <row r="164" spans="1:10" x14ac:dyDescent="0.3">
      <c r="A164">
        <v>20150728</v>
      </c>
      <c r="B164" s="2" t="s">
        <v>9</v>
      </c>
      <c r="C164" s="8">
        <v>79100</v>
      </c>
      <c r="D164" s="8">
        <v>78300</v>
      </c>
      <c r="E164">
        <v>69816</v>
      </c>
      <c r="F164" s="9">
        <v>111997249</v>
      </c>
      <c r="G164" s="1">
        <v>8769384596700</v>
      </c>
      <c r="H164" s="1">
        <v>6577038388800</v>
      </c>
      <c r="I164">
        <f t="shared" si="2"/>
        <v>0</v>
      </c>
    </row>
    <row r="165" spans="1:10" x14ac:dyDescent="0.3">
      <c r="A165">
        <v>20150729</v>
      </c>
      <c r="B165" s="2" t="s">
        <v>9</v>
      </c>
      <c r="C165" s="8">
        <v>78300</v>
      </c>
      <c r="D165" s="8">
        <v>76200</v>
      </c>
      <c r="E165">
        <v>67943</v>
      </c>
      <c r="F165" s="9">
        <v>111997249</v>
      </c>
      <c r="G165" s="1">
        <v>8534190373800</v>
      </c>
      <c r="H165" s="1">
        <v>6400642723200</v>
      </c>
      <c r="I165">
        <f t="shared" si="2"/>
        <v>0</v>
      </c>
    </row>
    <row r="166" spans="1:10" x14ac:dyDescent="0.3">
      <c r="A166" s="8">
        <v>20150730</v>
      </c>
      <c r="B166" s="10" t="s">
        <v>9</v>
      </c>
      <c r="C166" s="8">
        <v>76200</v>
      </c>
      <c r="D166" s="8">
        <v>76400</v>
      </c>
      <c r="E166" s="8">
        <v>68121</v>
      </c>
      <c r="F166" s="9">
        <v>112013851</v>
      </c>
      <c r="G166" s="9">
        <v>8557858216400</v>
      </c>
      <c r="H166" s="9">
        <v>6418393643200</v>
      </c>
      <c r="I166" s="8">
        <f t="shared" si="2"/>
        <v>1</v>
      </c>
      <c r="J166" t="s">
        <v>39</v>
      </c>
    </row>
    <row r="167" spans="1:10" x14ac:dyDescent="0.3">
      <c r="A167">
        <v>20150731</v>
      </c>
      <c r="B167" s="2" t="s">
        <v>9</v>
      </c>
      <c r="C167" s="8">
        <v>76400</v>
      </c>
      <c r="D167" s="8">
        <v>77900</v>
      </c>
      <c r="E167">
        <v>69458</v>
      </c>
      <c r="F167" s="9">
        <v>112013851</v>
      </c>
      <c r="G167" s="1">
        <v>8725878992900</v>
      </c>
      <c r="H167" s="1">
        <v>6544409225200</v>
      </c>
      <c r="I167">
        <f t="shared" si="2"/>
        <v>0</v>
      </c>
    </row>
    <row r="168" spans="1:10" x14ac:dyDescent="0.3">
      <c r="A168">
        <v>20150803</v>
      </c>
      <c r="B168" s="2" t="s">
        <v>9</v>
      </c>
      <c r="C168" s="8">
        <v>77900</v>
      </c>
      <c r="D168" s="8">
        <v>76900</v>
      </c>
      <c r="E168">
        <v>68567</v>
      </c>
      <c r="F168" s="9">
        <v>112013851</v>
      </c>
      <c r="G168" s="1">
        <v>8613865141900</v>
      </c>
      <c r="H168" s="1">
        <v>6460398837200</v>
      </c>
      <c r="I168">
        <f t="shared" si="2"/>
        <v>0</v>
      </c>
    </row>
    <row r="169" spans="1:10" x14ac:dyDescent="0.3">
      <c r="A169">
        <v>20150804</v>
      </c>
      <c r="B169" s="2" t="s">
        <v>9</v>
      </c>
      <c r="C169" s="8">
        <v>76900</v>
      </c>
      <c r="D169" s="8">
        <v>80500</v>
      </c>
      <c r="E169">
        <v>71778</v>
      </c>
      <c r="F169" s="9">
        <v>112013851</v>
      </c>
      <c r="G169" s="1">
        <v>9017115005500</v>
      </c>
      <c r="H169" s="1">
        <v>6762836234000</v>
      </c>
      <c r="I169">
        <f t="shared" si="2"/>
        <v>0</v>
      </c>
    </row>
    <row r="170" spans="1:10" x14ac:dyDescent="0.3">
      <c r="A170">
        <v>20150805</v>
      </c>
      <c r="B170" s="2" t="s">
        <v>9</v>
      </c>
      <c r="C170" s="8">
        <v>80500</v>
      </c>
      <c r="D170" s="8">
        <v>83000</v>
      </c>
      <c r="E170">
        <v>74006</v>
      </c>
      <c r="F170" s="9">
        <v>112013851</v>
      </c>
      <c r="G170" s="1">
        <v>9297149633000</v>
      </c>
      <c r="H170" s="1">
        <v>6972862204000</v>
      </c>
      <c r="I170">
        <f t="shared" si="2"/>
        <v>0</v>
      </c>
    </row>
    <row r="171" spans="1:10" x14ac:dyDescent="0.3">
      <c r="A171">
        <v>20150806</v>
      </c>
      <c r="B171" s="2" t="s">
        <v>9</v>
      </c>
      <c r="C171" s="8">
        <v>83000</v>
      </c>
      <c r="D171" s="8">
        <v>84300</v>
      </c>
      <c r="E171">
        <v>75166</v>
      </c>
      <c r="F171" s="9">
        <v>112013851</v>
      </c>
      <c r="G171" s="1">
        <v>9442767639300</v>
      </c>
      <c r="H171" s="1">
        <v>7082075708400</v>
      </c>
      <c r="I171">
        <f t="shared" si="2"/>
        <v>0</v>
      </c>
    </row>
    <row r="172" spans="1:10" x14ac:dyDescent="0.3">
      <c r="A172">
        <v>20150807</v>
      </c>
      <c r="B172" s="2" t="s">
        <v>9</v>
      </c>
      <c r="C172" s="8">
        <v>84300</v>
      </c>
      <c r="D172" s="8">
        <v>82100</v>
      </c>
      <c r="E172">
        <v>73205</v>
      </c>
      <c r="F172" s="9">
        <v>112013851</v>
      </c>
      <c r="G172" s="1">
        <v>9196337167100</v>
      </c>
      <c r="H172" s="1">
        <v>6897252854800</v>
      </c>
      <c r="I172">
        <f t="shared" si="2"/>
        <v>0</v>
      </c>
    </row>
    <row r="173" spans="1:10" x14ac:dyDescent="0.3">
      <c r="A173">
        <v>20150810</v>
      </c>
      <c r="B173" s="2" t="s">
        <v>9</v>
      </c>
      <c r="C173" s="8">
        <v>82100</v>
      </c>
      <c r="D173" s="8">
        <v>84000</v>
      </c>
      <c r="E173">
        <v>74898</v>
      </c>
      <c r="F173" s="9">
        <v>112013851</v>
      </c>
      <c r="G173" s="1">
        <v>9409163484000</v>
      </c>
      <c r="H173" s="1">
        <v>7056872592000</v>
      </c>
      <c r="I173">
        <f t="shared" si="2"/>
        <v>0</v>
      </c>
    </row>
    <row r="174" spans="1:10" x14ac:dyDescent="0.3">
      <c r="A174">
        <v>20150811</v>
      </c>
      <c r="B174" s="2" t="s">
        <v>9</v>
      </c>
      <c r="C174" s="8">
        <v>84000</v>
      </c>
      <c r="D174" s="8">
        <v>80500</v>
      </c>
      <c r="E174">
        <v>71778</v>
      </c>
      <c r="F174" s="9">
        <v>112013851</v>
      </c>
      <c r="G174" s="1">
        <v>9017115005500</v>
      </c>
      <c r="H174" s="1">
        <v>6762836234000</v>
      </c>
      <c r="I174">
        <f t="shared" si="2"/>
        <v>0</v>
      </c>
    </row>
    <row r="175" spans="1:10" x14ac:dyDescent="0.3">
      <c r="A175" s="8">
        <v>20150812</v>
      </c>
      <c r="B175" s="10" t="s">
        <v>9</v>
      </c>
      <c r="C175" s="8">
        <v>80500</v>
      </c>
      <c r="D175" s="8">
        <v>81100</v>
      </c>
      <c r="E175" s="8">
        <v>72312</v>
      </c>
      <c r="F175" s="9">
        <v>112026287</v>
      </c>
      <c r="G175" s="9">
        <v>9085331875700</v>
      </c>
      <c r="H175" s="9">
        <v>6813998886500</v>
      </c>
      <c r="I175" s="8">
        <f t="shared" si="2"/>
        <v>1</v>
      </c>
      <c r="J175" t="s">
        <v>37</v>
      </c>
    </row>
    <row r="176" spans="1:10" x14ac:dyDescent="0.3">
      <c r="A176">
        <v>20150813</v>
      </c>
      <c r="B176" s="2" t="s">
        <v>9</v>
      </c>
      <c r="C176" s="8">
        <v>81100</v>
      </c>
      <c r="D176" s="8">
        <v>81300</v>
      </c>
      <c r="E176">
        <v>72491</v>
      </c>
      <c r="F176" s="9">
        <v>112026287</v>
      </c>
      <c r="G176" s="1">
        <v>9107737133100</v>
      </c>
      <c r="H176" s="1">
        <v>6830802829500</v>
      </c>
      <c r="I176">
        <f t="shared" si="2"/>
        <v>0</v>
      </c>
    </row>
    <row r="177" spans="1:9" x14ac:dyDescent="0.3">
      <c r="A177">
        <v>20150817</v>
      </c>
      <c r="B177" s="2" t="s">
        <v>9</v>
      </c>
      <c r="C177" s="8">
        <v>81300</v>
      </c>
      <c r="D177" s="8">
        <v>79500</v>
      </c>
      <c r="E177">
        <v>70886</v>
      </c>
      <c r="F177" s="9">
        <v>112026287</v>
      </c>
      <c r="G177" s="1">
        <v>8906089816500</v>
      </c>
      <c r="H177" s="1">
        <v>6679567342500</v>
      </c>
      <c r="I177">
        <f t="shared" si="2"/>
        <v>0</v>
      </c>
    </row>
    <row r="178" spans="1:9" x14ac:dyDescent="0.3">
      <c r="A178">
        <v>20150818</v>
      </c>
      <c r="B178" s="2" t="s">
        <v>9</v>
      </c>
      <c r="C178" s="8">
        <v>79500</v>
      </c>
      <c r="D178" s="8">
        <v>77700</v>
      </c>
      <c r="E178">
        <v>69281</v>
      </c>
      <c r="F178" s="9">
        <v>112026287</v>
      </c>
      <c r="G178" s="1">
        <v>8704442499900</v>
      </c>
      <c r="H178" s="1">
        <v>6528331855500</v>
      </c>
      <c r="I178">
        <f t="shared" si="2"/>
        <v>0</v>
      </c>
    </row>
    <row r="179" spans="1:9" x14ac:dyDescent="0.3">
      <c r="A179">
        <v>20150819</v>
      </c>
      <c r="B179" s="2" t="s">
        <v>9</v>
      </c>
      <c r="C179" s="8">
        <v>77700</v>
      </c>
      <c r="D179" s="8">
        <v>73600</v>
      </c>
      <c r="E179">
        <v>65625</v>
      </c>
      <c r="F179" s="9">
        <v>112026287</v>
      </c>
      <c r="G179" s="1">
        <v>8245134723200</v>
      </c>
      <c r="H179" s="1">
        <v>6183851024000</v>
      </c>
      <c r="I179">
        <f t="shared" si="2"/>
        <v>0</v>
      </c>
    </row>
    <row r="180" spans="1:9" x14ac:dyDescent="0.3">
      <c r="A180">
        <v>20150820</v>
      </c>
      <c r="B180" s="2" t="s">
        <v>9</v>
      </c>
      <c r="C180" s="8">
        <v>73600</v>
      </c>
      <c r="D180" s="8">
        <v>70100</v>
      </c>
      <c r="E180">
        <v>62504</v>
      </c>
      <c r="F180" s="9">
        <v>112026287</v>
      </c>
      <c r="G180" s="1">
        <v>7853042718700</v>
      </c>
      <c r="H180" s="1">
        <v>5889782021500</v>
      </c>
      <c r="I180">
        <f t="shared" si="2"/>
        <v>0</v>
      </c>
    </row>
    <row r="181" spans="1:9" x14ac:dyDescent="0.3">
      <c r="A181">
        <v>20150821</v>
      </c>
      <c r="B181" s="2" t="s">
        <v>9</v>
      </c>
      <c r="C181" s="8">
        <v>70100</v>
      </c>
      <c r="D181" s="8">
        <v>65000</v>
      </c>
      <c r="E181">
        <v>57957</v>
      </c>
      <c r="F181" s="9">
        <v>112026287</v>
      </c>
      <c r="G181" s="1">
        <v>7281708655000</v>
      </c>
      <c r="H181" s="1">
        <v>5461281475000</v>
      </c>
      <c r="I181">
        <f t="shared" si="2"/>
        <v>0</v>
      </c>
    </row>
    <row r="182" spans="1:9" x14ac:dyDescent="0.3">
      <c r="A182">
        <v>20150824</v>
      </c>
      <c r="B182" s="2" t="s">
        <v>9</v>
      </c>
      <c r="C182" s="8">
        <v>65000</v>
      </c>
      <c r="D182" s="8">
        <v>61700</v>
      </c>
      <c r="E182">
        <v>55015</v>
      </c>
      <c r="F182" s="9">
        <v>112026287</v>
      </c>
      <c r="G182" s="1">
        <v>6912021907900</v>
      </c>
      <c r="H182" s="1">
        <v>5184016415500</v>
      </c>
      <c r="I182">
        <f t="shared" si="2"/>
        <v>0</v>
      </c>
    </row>
    <row r="183" spans="1:9" x14ac:dyDescent="0.3">
      <c r="A183">
        <v>20150825</v>
      </c>
      <c r="B183" s="2" t="s">
        <v>9</v>
      </c>
      <c r="C183" s="8">
        <v>61700</v>
      </c>
      <c r="D183" s="8">
        <v>70500</v>
      </c>
      <c r="E183">
        <v>62861</v>
      </c>
      <c r="F183" s="9">
        <v>112026287</v>
      </c>
      <c r="G183" s="1">
        <v>7897853233500</v>
      </c>
      <c r="H183" s="1">
        <v>5923389907500</v>
      </c>
      <c r="I183">
        <f t="shared" si="2"/>
        <v>0</v>
      </c>
    </row>
    <row r="184" spans="1:9" x14ac:dyDescent="0.3">
      <c r="A184">
        <v>20150826</v>
      </c>
      <c r="B184" s="2" t="s">
        <v>9</v>
      </c>
      <c r="C184" s="8">
        <v>70500</v>
      </c>
      <c r="D184" s="8">
        <v>71600</v>
      </c>
      <c r="E184">
        <v>63841</v>
      </c>
      <c r="F184" s="9">
        <v>112026287</v>
      </c>
      <c r="G184" s="1">
        <v>8021082149200</v>
      </c>
      <c r="H184" s="1">
        <v>6015811594000</v>
      </c>
      <c r="I184">
        <f t="shared" si="2"/>
        <v>0</v>
      </c>
    </row>
    <row r="185" spans="1:9" x14ac:dyDescent="0.3">
      <c r="A185">
        <v>20150827</v>
      </c>
      <c r="B185" s="2" t="s">
        <v>9</v>
      </c>
      <c r="C185" s="8">
        <v>71600</v>
      </c>
      <c r="D185" s="8">
        <v>71600</v>
      </c>
      <c r="E185">
        <v>63841</v>
      </c>
      <c r="F185" s="9">
        <v>112026287</v>
      </c>
      <c r="G185" s="1">
        <v>8021082149200</v>
      </c>
      <c r="H185" s="1">
        <v>6015811594000</v>
      </c>
      <c r="I185">
        <f t="shared" si="2"/>
        <v>0</v>
      </c>
    </row>
    <row r="186" spans="1:9" x14ac:dyDescent="0.3">
      <c r="A186">
        <v>20150828</v>
      </c>
      <c r="B186" s="2" t="s">
        <v>9</v>
      </c>
      <c r="C186" s="8">
        <v>71600</v>
      </c>
      <c r="D186" s="8">
        <v>72500</v>
      </c>
      <c r="E186">
        <v>64644</v>
      </c>
      <c r="F186" s="9">
        <v>112026287</v>
      </c>
      <c r="G186" s="1">
        <v>8121905807500</v>
      </c>
      <c r="H186" s="1">
        <v>6091429337500</v>
      </c>
      <c r="I186">
        <f t="shared" si="2"/>
        <v>0</v>
      </c>
    </row>
    <row r="187" spans="1:9" x14ac:dyDescent="0.3">
      <c r="A187">
        <v>20150831</v>
      </c>
      <c r="B187" s="2" t="s">
        <v>9</v>
      </c>
      <c r="C187" s="8">
        <v>72500</v>
      </c>
      <c r="D187" s="8">
        <v>71000</v>
      </c>
      <c r="E187">
        <v>63307</v>
      </c>
      <c r="F187" s="9">
        <v>112026287</v>
      </c>
      <c r="G187" s="1">
        <v>7953866377000</v>
      </c>
      <c r="H187" s="1">
        <v>5965399765000</v>
      </c>
      <c r="I187">
        <f t="shared" si="2"/>
        <v>0</v>
      </c>
    </row>
    <row r="188" spans="1:9" x14ac:dyDescent="0.3">
      <c r="A188">
        <v>20150901</v>
      </c>
      <c r="B188" s="2" t="s">
        <v>9</v>
      </c>
      <c r="C188" s="8">
        <v>71000</v>
      </c>
      <c r="D188" s="8">
        <v>70300</v>
      </c>
      <c r="E188">
        <v>62682</v>
      </c>
      <c r="F188" s="9">
        <v>112026287</v>
      </c>
      <c r="G188" s="1">
        <v>7875447976100</v>
      </c>
      <c r="H188" s="1">
        <v>5906585964500</v>
      </c>
      <c r="I188">
        <f t="shared" si="2"/>
        <v>0</v>
      </c>
    </row>
    <row r="189" spans="1:9" x14ac:dyDescent="0.3">
      <c r="A189">
        <v>20150902</v>
      </c>
      <c r="B189" s="2" t="s">
        <v>9</v>
      </c>
      <c r="C189" s="8">
        <v>70300</v>
      </c>
      <c r="D189" s="8">
        <v>71000</v>
      </c>
      <c r="E189">
        <v>63307</v>
      </c>
      <c r="F189" s="9">
        <v>112026287</v>
      </c>
      <c r="G189" s="1">
        <v>7953866377000</v>
      </c>
      <c r="H189" s="1">
        <v>5965399765000</v>
      </c>
      <c r="I189">
        <f t="shared" si="2"/>
        <v>0</v>
      </c>
    </row>
    <row r="190" spans="1:9" x14ac:dyDescent="0.3">
      <c r="A190">
        <v>20150903</v>
      </c>
      <c r="B190" s="2" t="s">
        <v>9</v>
      </c>
      <c r="C190" s="8">
        <v>71000</v>
      </c>
      <c r="D190" s="8">
        <v>69300</v>
      </c>
      <c r="E190">
        <v>61790</v>
      </c>
      <c r="F190" s="9">
        <v>112026287</v>
      </c>
      <c r="G190" s="1">
        <v>7763421689100</v>
      </c>
      <c r="H190" s="1">
        <v>5822566249500</v>
      </c>
      <c r="I190">
        <f t="shared" si="2"/>
        <v>0</v>
      </c>
    </row>
    <row r="191" spans="1:9" x14ac:dyDescent="0.3">
      <c r="A191">
        <v>20150904</v>
      </c>
      <c r="B191" s="2" t="s">
        <v>9</v>
      </c>
      <c r="C191" s="8">
        <v>69300</v>
      </c>
      <c r="D191" s="8">
        <v>67000</v>
      </c>
      <c r="E191">
        <v>59740</v>
      </c>
      <c r="F191" s="9">
        <v>112026287</v>
      </c>
      <c r="G191" s="1">
        <v>7505761229000</v>
      </c>
      <c r="H191" s="1">
        <v>5629320905000</v>
      </c>
      <c r="I191">
        <f t="shared" si="2"/>
        <v>0</v>
      </c>
    </row>
    <row r="192" spans="1:9" x14ac:dyDescent="0.3">
      <c r="A192">
        <v>20150907</v>
      </c>
      <c r="B192" s="2" t="s">
        <v>9</v>
      </c>
      <c r="C192" s="8">
        <v>67000</v>
      </c>
      <c r="D192" s="8">
        <v>67600</v>
      </c>
      <c r="E192">
        <v>60275</v>
      </c>
      <c r="F192" s="9">
        <v>112026287</v>
      </c>
      <c r="G192" s="1">
        <v>7572977001200</v>
      </c>
      <c r="H192" s="1">
        <v>5679732734000</v>
      </c>
      <c r="I192">
        <f t="shared" si="2"/>
        <v>0</v>
      </c>
    </row>
    <row r="193" spans="1:9" x14ac:dyDescent="0.3">
      <c r="A193">
        <v>20150908</v>
      </c>
      <c r="B193" s="2" t="s">
        <v>9</v>
      </c>
      <c r="C193" s="8">
        <v>67600</v>
      </c>
      <c r="D193" s="8">
        <v>65600</v>
      </c>
      <c r="E193">
        <v>58491</v>
      </c>
      <c r="F193" s="9">
        <v>112026287</v>
      </c>
      <c r="G193" s="1">
        <v>7348924427200</v>
      </c>
      <c r="H193" s="1">
        <v>5511693304000</v>
      </c>
      <c r="I193">
        <f t="shared" si="2"/>
        <v>0</v>
      </c>
    </row>
    <row r="194" spans="1:9" x14ac:dyDescent="0.3">
      <c r="A194">
        <v>20150909</v>
      </c>
      <c r="B194" s="2" t="s">
        <v>9</v>
      </c>
      <c r="C194" s="8">
        <v>65600</v>
      </c>
      <c r="D194" s="8">
        <v>69800</v>
      </c>
      <c r="E194">
        <v>62236</v>
      </c>
      <c r="F194" s="9">
        <v>112026287</v>
      </c>
      <c r="G194" s="1">
        <v>7819434832600</v>
      </c>
      <c r="H194" s="1">
        <v>5864576107000</v>
      </c>
      <c r="I194">
        <f t="shared" si="2"/>
        <v>0</v>
      </c>
    </row>
    <row r="195" spans="1:9" x14ac:dyDescent="0.3">
      <c r="A195">
        <v>20150910</v>
      </c>
      <c r="B195" s="2" t="s">
        <v>9</v>
      </c>
      <c r="C195" s="8">
        <v>69800</v>
      </c>
      <c r="D195" s="8">
        <v>69400</v>
      </c>
      <c r="E195">
        <v>61880</v>
      </c>
      <c r="F195" s="9">
        <v>112026287</v>
      </c>
      <c r="G195" s="1">
        <v>7774624317800</v>
      </c>
      <c r="H195" s="1">
        <v>5830968221000</v>
      </c>
      <c r="I195">
        <f t="shared" ref="I195:I258" si="3">IF(C195*F195=D194*F194,0,1)</f>
        <v>0</v>
      </c>
    </row>
    <row r="196" spans="1:9" x14ac:dyDescent="0.3">
      <c r="A196">
        <v>20150911</v>
      </c>
      <c r="B196" s="2" t="s">
        <v>9</v>
      </c>
      <c r="C196" s="8">
        <v>69400</v>
      </c>
      <c r="D196" s="8">
        <v>71500</v>
      </c>
      <c r="E196">
        <v>63753</v>
      </c>
      <c r="F196" s="9">
        <v>112026287</v>
      </c>
      <c r="G196" s="1">
        <v>8009879520500</v>
      </c>
      <c r="H196" s="1">
        <v>6007409622500</v>
      </c>
      <c r="I196">
        <f t="shared" si="3"/>
        <v>0</v>
      </c>
    </row>
    <row r="197" spans="1:9" x14ac:dyDescent="0.3">
      <c r="A197">
        <v>20150914</v>
      </c>
      <c r="B197" s="2" t="s">
        <v>9</v>
      </c>
      <c r="C197" s="8">
        <v>71500</v>
      </c>
      <c r="D197" s="8">
        <v>70100</v>
      </c>
      <c r="E197">
        <v>62504</v>
      </c>
      <c r="F197" s="9">
        <v>112026287</v>
      </c>
      <c r="G197" s="1">
        <v>7853042718700</v>
      </c>
      <c r="H197" s="1">
        <v>5889782021500</v>
      </c>
      <c r="I197">
        <f t="shared" si="3"/>
        <v>0</v>
      </c>
    </row>
    <row r="198" spans="1:9" x14ac:dyDescent="0.3">
      <c r="A198">
        <v>20150915</v>
      </c>
      <c r="B198" s="2" t="s">
        <v>9</v>
      </c>
      <c r="C198" s="8">
        <v>70100</v>
      </c>
      <c r="D198" s="8">
        <v>70900</v>
      </c>
      <c r="E198">
        <v>63218</v>
      </c>
      <c r="F198" s="9">
        <v>112026287</v>
      </c>
      <c r="G198" s="1">
        <v>7942663748300</v>
      </c>
      <c r="H198" s="1">
        <v>5956997793500</v>
      </c>
      <c r="I198">
        <f t="shared" si="3"/>
        <v>0</v>
      </c>
    </row>
    <row r="199" spans="1:9" x14ac:dyDescent="0.3">
      <c r="A199">
        <v>20150916</v>
      </c>
      <c r="B199" s="2" t="s">
        <v>9</v>
      </c>
      <c r="C199" s="8">
        <v>70900</v>
      </c>
      <c r="D199" s="8">
        <v>71100</v>
      </c>
      <c r="E199">
        <v>63395</v>
      </c>
      <c r="F199" s="9">
        <v>112026287</v>
      </c>
      <c r="G199" s="1">
        <v>7965069005700</v>
      </c>
      <c r="H199" s="1">
        <v>5973801736500</v>
      </c>
      <c r="I199">
        <f t="shared" si="3"/>
        <v>0</v>
      </c>
    </row>
    <row r="200" spans="1:9" x14ac:dyDescent="0.3">
      <c r="A200">
        <v>20150917</v>
      </c>
      <c r="B200" s="2" t="s">
        <v>9</v>
      </c>
      <c r="C200" s="8">
        <v>71100</v>
      </c>
      <c r="D200" s="8">
        <v>68500</v>
      </c>
      <c r="E200">
        <v>61078</v>
      </c>
      <c r="F200" s="9">
        <v>112026287</v>
      </c>
      <c r="G200" s="1">
        <v>7673800659500</v>
      </c>
      <c r="H200" s="1">
        <v>5755350477500</v>
      </c>
      <c r="I200">
        <f t="shared" si="3"/>
        <v>0</v>
      </c>
    </row>
    <row r="201" spans="1:9" x14ac:dyDescent="0.3">
      <c r="A201">
        <v>20150918</v>
      </c>
      <c r="B201" s="2" t="s">
        <v>9</v>
      </c>
      <c r="C201" s="8">
        <v>68500</v>
      </c>
      <c r="D201" s="8">
        <v>71800</v>
      </c>
      <c r="E201">
        <v>64019</v>
      </c>
      <c r="F201" s="9">
        <v>112026287</v>
      </c>
      <c r="G201" s="1">
        <v>8043487406600</v>
      </c>
      <c r="H201" s="1">
        <v>6032615537000</v>
      </c>
      <c r="I201">
        <f t="shared" si="3"/>
        <v>0</v>
      </c>
    </row>
    <row r="202" spans="1:9" x14ac:dyDescent="0.3">
      <c r="A202">
        <v>20150921</v>
      </c>
      <c r="B202" s="2" t="s">
        <v>9</v>
      </c>
      <c r="C202" s="8">
        <v>71800</v>
      </c>
      <c r="D202" s="8">
        <v>71800</v>
      </c>
      <c r="E202">
        <v>64019</v>
      </c>
      <c r="F202" s="9">
        <v>112026287</v>
      </c>
      <c r="G202" s="1">
        <v>8043487406600</v>
      </c>
      <c r="H202" s="1">
        <v>6032615537000</v>
      </c>
      <c r="I202">
        <f t="shared" si="3"/>
        <v>0</v>
      </c>
    </row>
    <row r="203" spans="1:9" x14ac:dyDescent="0.3">
      <c r="A203">
        <v>20150922</v>
      </c>
      <c r="B203" s="2" t="s">
        <v>9</v>
      </c>
      <c r="C203" s="8">
        <v>71800</v>
      </c>
      <c r="D203" s="8">
        <v>71200</v>
      </c>
      <c r="E203">
        <v>63485</v>
      </c>
      <c r="F203" s="9">
        <v>112026287</v>
      </c>
      <c r="G203" s="1">
        <v>7976271634400</v>
      </c>
      <c r="H203" s="1">
        <v>5982203708000</v>
      </c>
      <c r="I203">
        <f t="shared" si="3"/>
        <v>0</v>
      </c>
    </row>
    <row r="204" spans="1:9" x14ac:dyDescent="0.3">
      <c r="A204">
        <v>20150923</v>
      </c>
      <c r="B204" s="2" t="s">
        <v>9</v>
      </c>
      <c r="C204" s="8">
        <v>71200</v>
      </c>
      <c r="D204" s="8">
        <v>69800</v>
      </c>
      <c r="E204">
        <v>62236</v>
      </c>
      <c r="F204" s="9">
        <v>112026287</v>
      </c>
      <c r="G204" s="1">
        <v>7819434832600</v>
      </c>
      <c r="H204" s="1">
        <v>5864576107000</v>
      </c>
      <c r="I204">
        <f t="shared" si="3"/>
        <v>0</v>
      </c>
    </row>
    <row r="205" spans="1:9" x14ac:dyDescent="0.3">
      <c r="A205">
        <v>20150924</v>
      </c>
      <c r="B205" s="2" t="s">
        <v>9</v>
      </c>
      <c r="C205" s="8">
        <v>69800</v>
      </c>
      <c r="D205" s="8">
        <v>70400</v>
      </c>
      <c r="E205">
        <v>62772</v>
      </c>
      <c r="F205" s="9">
        <v>112026287</v>
      </c>
      <c r="G205" s="1">
        <v>7886650604800</v>
      </c>
      <c r="H205" s="1">
        <v>5914987936000</v>
      </c>
      <c r="I205">
        <f t="shared" si="3"/>
        <v>0</v>
      </c>
    </row>
    <row r="206" spans="1:9" x14ac:dyDescent="0.3">
      <c r="A206">
        <v>20150925</v>
      </c>
      <c r="B206" s="2" t="s">
        <v>9</v>
      </c>
      <c r="C206" s="8">
        <v>70400</v>
      </c>
      <c r="D206" s="8">
        <v>69900</v>
      </c>
      <c r="E206">
        <v>62327</v>
      </c>
      <c r="F206" s="9">
        <v>112026287</v>
      </c>
      <c r="G206" s="1">
        <v>7830637461300</v>
      </c>
      <c r="H206" s="1">
        <v>5872978078500</v>
      </c>
      <c r="I206">
        <f t="shared" si="3"/>
        <v>0</v>
      </c>
    </row>
    <row r="207" spans="1:9" x14ac:dyDescent="0.3">
      <c r="A207">
        <v>20150930</v>
      </c>
      <c r="B207" s="2" t="s">
        <v>9</v>
      </c>
      <c r="C207" s="8">
        <v>69900</v>
      </c>
      <c r="D207" s="8">
        <v>67900</v>
      </c>
      <c r="E207">
        <v>60542</v>
      </c>
      <c r="F207" s="9">
        <v>112026287</v>
      </c>
      <c r="G207" s="1">
        <v>7606584887300</v>
      </c>
      <c r="H207" s="1">
        <v>5704938648500</v>
      </c>
      <c r="I207">
        <f t="shared" si="3"/>
        <v>0</v>
      </c>
    </row>
    <row r="208" spans="1:9" x14ac:dyDescent="0.3">
      <c r="A208">
        <v>20151001</v>
      </c>
      <c r="B208" s="2" t="s">
        <v>9</v>
      </c>
      <c r="C208" s="8">
        <v>67900</v>
      </c>
      <c r="D208" s="8">
        <v>68100</v>
      </c>
      <c r="E208">
        <v>60720</v>
      </c>
      <c r="F208" s="9">
        <v>112026287</v>
      </c>
      <c r="G208" s="1">
        <v>7628990144700</v>
      </c>
      <c r="H208" s="1">
        <v>5721742591500</v>
      </c>
      <c r="I208">
        <f t="shared" si="3"/>
        <v>0</v>
      </c>
    </row>
    <row r="209" spans="1:9" x14ac:dyDescent="0.3">
      <c r="A209">
        <v>20151002</v>
      </c>
      <c r="B209" s="2" t="s">
        <v>9</v>
      </c>
      <c r="C209" s="8">
        <v>68100</v>
      </c>
      <c r="D209" s="8">
        <v>70000</v>
      </c>
      <c r="E209">
        <v>62415</v>
      </c>
      <c r="F209" s="9">
        <v>112026287</v>
      </c>
      <c r="G209" s="1">
        <v>7841840090000</v>
      </c>
      <c r="H209" s="1">
        <v>5881380050000</v>
      </c>
      <c r="I209">
        <f t="shared" si="3"/>
        <v>0</v>
      </c>
    </row>
    <row r="210" spans="1:9" x14ac:dyDescent="0.3">
      <c r="A210">
        <v>20151005</v>
      </c>
      <c r="B210" s="2" t="s">
        <v>9</v>
      </c>
      <c r="C210" s="8">
        <v>70000</v>
      </c>
      <c r="D210" s="8">
        <v>69700</v>
      </c>
      <c r="E210">
        <v>62147</v>
      </c>
      <c r="F210" s="9">
        <v>112026287</v>
      </c>
      <c r="G210" s="1">
        <v>7808232203900</v>
      </c>
      <c r="H210" s="1">
        <v>5856174135500</v>
      </c>
      <c r="I210">
        <f t="shared" si="3"/>
        <v>0</v>
      </c>
    </row>
    <row r="211" spans="1:9" x14ac:dyDescent="0.3">
      <c r="A211">
        <v>20151006</v>
      </c>
      <c r="B211" s="2" t="s">
        <v>9</v>
      </c>
      <c r="C211" s="8">
        <v>69700</v>
      </c>
      <c r="D211" s="8">
        <v>70200</v>
      </c>
      <c r="E211">
        <v>62593</v>
      </c>
      <c r="F211" s="9">
        <v>112026287</v>
      </c>
      <c r="G211" s="1">
        <v>7864245347400</v>
      </c>
      <c r="H211" s="1">
        <v>5898183993000</v>
      </c>
      <c r="I211">
        <f t="shared" si="3"/>
        <v>0</v>
      </c>
    </row>
    <row r="212" spans="1:9" x14ac:dyDescent="0.3">
      <c r="A212">
        <v>20151007</v>
      </c>
      <c r="B212" s="2" t="s">
        <v>9</v>
      </c>
      <c r="C212" s="8">
        <v>70200</v>
      </c>
      <c r="D212" s="8">
        <v>69500</v>
      </c>
      <c r="E212">
        <v>61969</v>
      </c>
      <c r="F212" s="9">
        <v>112026287</v>
      </c>
      <c r="G212" s="1">
        <v>7785826946500</v>
      </c>
      <c r="H212" s="1">
        <v>5839370192500</v>
      </c>
      <c r="I212">
        <f t="shared" si="3"/>
        <v>0</v>
      </c>
    </row>
    <row r="213" spans="1:9" x14ac:dyDescent="0.3">
      <c r="A213">
        <v>20151008</v>
      </c>
      <c r="B213" s="2" t="s">
        <v>9</v>
      </c>
      <c r="C213" s="8">
        <v>69500</v>
      </c>
      <c r="D213" s="8">
        <v>70000</v>
      </c>
      <c r="E213">
        <v>62415</v>
      </c>
      <c r="F213" s="9">
        <v>112026287</v>
      </c>
      <c r="G213" s="1">
        <v>7841840090000</v>
      </c>
      <c r="H213" s="1">
        <v>5881380050000</v>
      </c>
      <c r="I213">
        <f t="shared" si="3"/>
        <v>0</v>
      </c>
    </row>
    <row r="214" spans="1:9" x14ac:dyDescent="0.3">
      <c r="A214">
        <v>20151012</v>
      </c>
      <c r="B214" s="2" t="s">
        <v>9</v>
      </c>
      <c r="C214" s="8">
        <v>70000</v>
      </c>
      <c r="D214" s="8">
        <v>69200</v>
      </c>
      <c r="E214">
        <v>61702</v>
      </c>
      <c r="F214" s="9">
        <v>112026287</v>
      </c>
      <c r="G214" s="1">
        <v>7752219060400</v>
      </c>
      <c r="H214" s="1">
        <v>5814164278000</v>
      </c>
      <c r="I214">
        <f t="shared" si="3"/>
        <v>0</v>
      </c>
    </row>
    <row r="215" spans="1:9" x14ac:dyDescent="0.3">
      <c r="A215">
        <v>20151013</v>
      </c>
      <c r="B215" s="2" t="s">
        <v>9</v>
      </c>
      <c r="C215" s="8">
        <v>69200</v>
      </c>
      <c r="D215" s="8">
        <v>72000</v>
      </c>
      <c r="E215">
        <v>64198</v>
      </c>
      <c r="F215" s="9">
        <v>112026287</v>
      </c>
      <c r="G215" s="1">
        <v>8065892664000</v>
      </c>
      <c r="H215" s="1">
        <v>6049419480000</v>
      </c>
      <c r="I215">
        <f t="shared" si="3"/>
        <v>0</v>
      </c>
    </row>
    <row r="216" spans="1:9" x14ac:dyDescent="0.3">
      <c r="A216">
        <v>20151014</v>
      </c>
      <c r="B216" s="2" t="s">
        <v>9</v>
      </c>
      <c r="C216" s="8">
        <v>72000</v>
      </c>
      <c r="D216" s="8">
        <v>71400</v>
      </c>
      <c r="E216">
        <v>63664</v>
      </c>
      <c r="F216" s="9">
        <v>112026287</v>
      </c>
      <c r="G216" s="1">
        <v>7998676891800</v>
      </c>
      <c r="H216" s="1">
        <v>5999007651000</v>
      </c>
      <c r="I216">
        <f t="shared" si="3"/>
        <v>0</v>
      </c>
    </row>
    <row r="217" spans="1:9" x14ac:dyDescent="0.3">
      <c r="A217">
        <v>20151015</v>
      </c>
      <c r="B217" s="2" t="s">
        <v>9</v>
      </c>
      <c r="C217" s="8">
        <v>71400</v>
      </c>
      <c r="D217" s="8">
        <v>71400</v>
      </c>
      <c r="E217">
        <v>63664</v>
      </c>
      <c r="F217" s="9">
        <v>112026287</v>
      </c>
      <c r="G217" s="1">
        <v>7998676891800</v>
      </c>
      <c r="H217" s="1">
        <v>5999007651000</v>
      </c>
      <c r="I217">
        <f t="shared" si="3"/>
        <v>0</v>
      </c>
    </row>
    <row r="218" spans="1:9" x14ac:dyDescent="0.3">
      <c r="A218">
        <v>20151016</v>
      </c>
      <c r="B218" s="2" t="s">
        <v>9</v>
      </c>
      <c r="C218" s="8">
        <v>71400</v>
      </c>
      <c r="D218" s="8">
        <v>73900</v>
      </c>
      <c r="E218">
        <v>65893</v>
      </c>
      <c r="F218" s="9">
        <v>112026287</v>
      </c>
      <c r="G218" s="1">
        <v>8278742609300</v>
      </c>
      <c r="H218" s="1">
        <v>6209056938500</v>
      </c>
      <c r="I218">
        <f t="shared" si="3"/>
        <v>0</v>
      </c>
    </row>
    <row r="219" spans="1:9" x14ac:dyDescent="0.3">
      <c r="A219">
        <v>20151019</v>
      </c>
      <c r="B219" s="2" t="s">
        <v>9</v>
      </c>
      <c r="C219" s="8">
        <v>73900</v>
      </c>
      <c r="D219" s="8">
        <v>77600</v>
      </c>
      <c r="E219">
        <v>69192</v>
      </c>
      <c r="F219" s="9">
        <v>112026287</v>
      </c>
      <c r="G219" s="1">
        <v>8693239871200</v>
      </c>
      <c r="H219" s="1">
        <v>6519929884000</v>
      </c>
      <c r="I219">
        <f t="shared" si="3"/>
        <v>0</v>
      </c>
    </row>
    <row r="220" spans="1:9" x14ac:dyDescent="0.3">
      <c r="A220">
        <v>20151020</v>
      </c>
      <c r="B220" s="2" t="s">
        <v>9</v>
      </c>
      <c r="C220" s="8">
        <v>77600</v>
      </c>
      <c r="D220" s="8">
        <v>77500</v>
      </c>
      <c r="E220">
        <v>69104</v>
      </c>
      <c r="F220" s="9">
        <v>112026287</v>
      </c>
      <c r="G220" s="1">
        <v>8682037242500</v>
      </c>
      <c r="H220" s="1">
        <v>6511527912500</v>
      </c>
      <c r="I220">
        <f t="shared" si="3"/>
        <v>0</v>
      </c>
    </row>
    <row r="221" spans="1:9" x14ac:dyDescent="0.3">
      <c r="A221">
        <v>20151021</v>
      </c>
      <c r="B221" s="2" t="s">
        <v>9</v>
      </c>
      <c r="C221" s="8">
        <v>77500</v>
      </c>
      <c r="D221" s="8">
        <v>77500</v>
      </c>
      <c r="E221">
        <v>69104</v>
      </c>
      <c r="F221" s="9">
        <v>112026287</v>
      </c>
      <c r="G221" s="1">
        <v>8682037242500</v>
      </c>
      <c r="H221" s="1">
        <v>6511527912500</v>
      </c>
      <c r="I221">
        <f t="shared" si="3"/>
        <v>0</v>
      </c>
    </row>
    <row r="222" spans="1:9" x14ac:dyDescent="0.3">
      <c r="A222">
        <v>20151022</v>
      </c>
      <c r="B222" s="2" t="s">
        <v>9</v>
      </c>
      <c r="C222" s="8">
        <v>77500</v>
      </c>
      <c r="D222" s="8">
        <v>75300</v>
      </c>
      <c r="E222">
        <v>67141</v>
      </c>
      <c r="F222" s="9">
        <v>112026287</v>
      </c>
      <c r="G222" s="1">
        <v>8435579411100</v>
      </c>
      <c r="H222" s="1">
        <v>6326684539500</v>
      </c>
      <c r="I222">
        <f t="shared" si="3"/>
        <v>0</v>
      </c>
    </row>
    <row r="223" spans="1:9" x14ac:dyDescent="0.3">
      <c r="A223">
        <v>20151023</v>
      </c>
      <c r="B223" s="2" t="s">
        <v>9</v>
      </c>
      <c r="C223" s="8">
        <v>75300</v>
      </c>
      <c r="D223" s="8">
        <v>78000</v>
      </c>
      <c r="E223">
        <v>69549</v>
      </c>
      <c r="F223" s="9">
        <v>112026287</v>
      </c>
      <c r="G223" s="1">
        <v>8738050386000</v>
      </c>
      <c r="H223" s="1">
        <v>6553537770000</v>
      </c>
      <c r="I223">
        <f t="shared" si="3"/>
        <v>0</v>
      </c>
    </row>
    <row r="224" spans="1:9" x14ac:dyDescent="0.3">
      <c r="A224">
        <v>20151026</v>
      </c>
      <c r="B224" s="2" t="s">
        <v>9</v>
      </c>
      <c r="C224" s="8">
        <v>78000</v>
      </c>
      <c r="D224" s="8">
        <v>78200</v>
      </c>
      <c r="E224">
        <v>69726</v>
      </c>
      <c r="F224" s="9">
        <v>112026287</v>
      </c>
      <c r="G224" s="1">
        <v>8760455643400</v>
      </c>
      <c r="H224" s="1">
        <v>6570341713000</v>
      </c>
      <c r="I224">
        <f t="shared" si="3"/>
        <v>0</v>
      </c>
    </row>
    <row r="225" spans="1:10" x14ac:dyDescent="0.3">
      <c r="A225">
        <v>20151027</v>
      </c>
      <c r="B225" s="2" t="s">
        <v>9</v>
      </c>
      <c r="C225" s="8">
        <v>78200</v>
      </c>
      <c r="D225" s="8">
        <v>76000</v>
      </c>
      <c r="E225">
        <v>67765</v>
      </c>
      <c r="F225" s="9">
        <v>112026287</v>
      </c>
      <c r="G225" s="1">
        <v>8513997812000</v>
      </c>
      <c r="H225" s="1">
        <v>6385498340000</v>
      </c>
      <c r="I225">
        <f t="shared" si="3"/>
        <v>0</v>
      </c>
    </row>
    <row r="226" spans="1:10" x14ac:dyDescent="0.3">
      <c r="A226">
        <v>20151028</v>
      </c>
      <c r="B226" s="2" t="s">
        <v>9</v>
      </c>
      <c r="C226" s="8">
        <v>76000</v>
      </c>
      <c r="D226" s="8">
        <v>79600</v>
      </c>
      <c r="E226">
        <v>70975</v>
      </c>
      <c r="F226" s="9">
        <v>112026287</v>
      </c>
      <c r="G226" s="1">
        <v>8917292445200</v>
      </c>
      <c r="H226" s="1">
        <v>6687969314000</v>
      </c>
      <c r="I226">
        <f t="shared" si="3"/>
        <v>0</v>
      </c>
    </row>
    <row r="227" spans="1:10" x14ac:dyDescent="0.3">
      <c r="A227">
        <v>20151029</v>
      </c>
      <c r="B227" s="2" t="s">
        <v>9</v>
      </c>
      <c r="C227" s="8">
        <v>79600</v>
      </c>
      <c r="D227" s="8">
        <v>77100</v>
      </c>
      <c r="E227">
        <v>68746</v>
      </c>
      <c r="F227" s="9">
        <v>112026287</v>
      </c>
      <c r="G227" s="1">
        <v>8637226727700</v>
      </c>
      <c r="H227" s="1">
        <v>6477920026500</v>
      </c>
      <c r="I227">
        <f t="shared" si="3"/>
        <v>0</v>
      </c>
    </row>
    <row r="228" spans="1:10" x14ac:dyDescent="0.3">
      <c r="A228">
        <v>20151030</v>
      </c>
      <c r="B228" s="2" t="s">
        <v>9</v>
      </c>
      <c r="C228" s="8">
        <v>77100</v>
      </c>
      <c r="D228" s="8">
        <v>77000</v>
      </c>
      <c r="E228">
        <v>68657</v>
      </c>
      <c r="F228" s="9">
        <v>112026287</v>
      </c>
      <c r="G228" s="1">
        <v>8626024099000</v>
      </c>
      <c r="H228" s="1">
        <v>6469518055000</v>
      </c>
      <c r="I228">
        <f t="shared" si="3"/>
        <v>0</v>
      </c>
    </row>
    <row r="229" spans="1:10" x14ac:dyDescent="0.3">
      <c r="A229">
        <v>20151102</v>
      </c>
      <c r="B229" s="2" t="s">
        <v>9</v>
      </c>
      <c r="C229" s="8">
        <v>77000</v>
      </c>
      <c r="D229" s="8">
        <v>75600</v>
      </c>
      <c r="E229">
        <v>67409</v>
      </c>
      <c r="F229" s="9">
        <v>112026287</v>
      </c>
      <c r="G229" s="1">
        <v>8469187297200</v>
      </c>
      <c r="H229" s="1">
        <v>6351890454000</v>
      </c>
      <c r="I229">
        <f t="shared" si="3"/>
        <v>0</v>
      </c>
    </row>
    <row r="230" spans="1:10" x14ac:dyDescent="0.3">
      <c r="A230">
        <v>20151103</v>
      </c>
      <c r="B230" s="2" t="s">
        <v>9</v>
      </c>
      <c r="C230" s="8">
        <v>75600</v>
      </c>
      <c r="D230" s="8">
        <v>75800</v>
      </c>
      <c r="E230">
        <v>67586</v>
      </c>
      <c r="F230" s="9">
        <v>112026287</v>
      </c>
      <c r="G230" s="1">
        <v>8491592554600</v>
      </c>
      <c r="H230" s="1">
        <v>6368694397000</v>
      </c>
      <c r="I230">
        <f t="shared" si="3"/>
        <v>0</v>
      </c>
    </row>
    <row r="231" spans="1:10" x14ac:dyDescent="0.3">
      <c r="A231">
        <v>20151104</v>
      </c>
      <c r="B231" s="2" t="s">
        <v>9</v>
      </c>
      <c r="C231" s="8">
        <v>75800</v>
      </c>
      <c r="D231" s="8">
        <v>76000</v>
      </c>
      <c r="E231">
        <v>67765</v>
      </c>
      <c r="F231" s="9">
        <v>112026287</v>
      </c>
      <c r="G231" s="1">
        <v>8513997812000</v>
      </c>
      <c r="H231" s="1">
        <v>6385498340000</v>
      </c>
      <c r="I231">
        <f t="shared" si="3"/>
        <v>0</v>
      </c>
    </row>
    <row r="232" spans="1:10" x14ac:dyDescent="0.3">
      <c r="A232">
        <v>20151105</v>
      </c>
      <c r="B232" s="2" t="s">
        <v>9</v>
      </c>
      <c r="C232" s="8">
        <v>76000</v>
      </c>
      <c r="D232" s="8">
        <v>76000</v>
      </c>
      <c r="E232">
        <v>67765</v>
      </c>
      <c r="F232" s="9">
        <v>112026287</v>
      </c>
      <c r="G232" s="1">
        <v>8513997812000</v>
      </c>
      <c r="H232" s="1">
        <v>6385498340000</v>
      </c>
      <c r="I232">
        <f t="shared" si="3"/>
        <v>0</v>
      </c>
    </row>
    <row r="233" spans="1:10" x14ac:dyDescent="0.3">
      <c r="A233">
        <v>20151106</v>
      </c>
      <c r="B233" s="2" t="s">
        <v>9</v>
      </c>
      <c r="C233" s="8">
        <v>76000</v>
      </c>
      <c r="D233" s="8">
        <v>76300</v>
      </c>
      <c r="E233">
        <v>68033</v>
      </c>
      <c r="F233" s="9">
        <v>112026287</v>
      </c>
      <c r="G233" s="1">
        <v>8547605698100</v>
      </c>
      <c r="H233" s="1">
        <v>6410704254500</v>
      </c>
      <c r="I233">
        <f t="shared" si="3"/>
        <v>0</v>
      </c>
    </row>
    <row r="234" spans="1:10" x14ac:dyDescent="0.3">
      <c r="A234">
        <v>20151109</v>
      </c>
      <c r="B234" s="2" t="s">
        <v>9</v>
      </c>
      <c r="C234" s="8">
        <v>76300</v>
      </c>
      <c r="D234" s="8">
        <v>77000</v>
      </c>
      <c r="E234">
        <v>68657</v>
      </c>
      <c r="F234" s="9">
        <v>112026287</v>
      </c>
      <c r="G234" s="1">
        <v>8626024099000</v>
      </c>
      <c r="H234" s="1">
        <v>6469518055000</v>
      </c>
      <c r="I234">
        <f t="shared" si="3"/>
        <v>0</v>
      </c>
    </row>
    <row r="235" spans="1:10" x14ac:dyDescent="0.3">
      <c r="A235">
        <v>20151110</v>
      </c>
      <c r="B235" s="2" t="s">
        <v>9</v>
      </c>
      <c r="C235" s="8">
        <v>77000</v>
      </c>
      <c r="D235" s="8">
        <v>75800</v>
      </c>
      <c r="E235">
        <v>67586</v>
      </c>
      <c r="F235" s="9">
        <v>112026287</v>
      </c>
      <c r="G235" s="1">
        <v>8491592554600</v>
      </c>
      <c r="H235" s="1">
        <v>6368694397000</v>
      </c>
      <c r="I235">
        <f t="shared" si="3"/>
        <v>0</v>
      </c>
    </row>
    <row r="236" spans="1:10" x14ac:dyDescent="0.3">
      <c r="A236">
        <v>20151111</v>
      </c>
      <c r="B236" s="2" t="s">
        <v>9</v>
      </c>
      <c r="C236" s="8">
        <v>75800</v>
      </c>
      <c r="D236" s="8">
        <v>79900</v>
      </c>
      <c r="E236">
        <v>71242</v>
      </c>
      <c r="F236" s="9">
        <v>112026287</v>
      </c>
      <c r="G236" s="1">
        <v>8950900331300</v>
      </c>
      <c r="H236" s="1">
        <v>6713175228500</v>
      </c>
      <c r="I236">
        <f t="shared" si="3"/>
        <v>0</v>
      </c>
    </row>
    <row r="237" spans="1:10" x14ac:dyDescent="0.3">
      <c r="A237">
        <v>20151112</v>
      </c>
      <c r="B237" s="2" t="s">
        <v>9</v>
      </c>
      <c r="C237" s="8">
        <v>79900</v>
      </c>
      <c r="D237" s="8">
        <v>81500</v>
      </c>
      <c r="E237">
        <v>72669</v>
      </c>
      <c r="F237" s="9">
        <v>112026287</v>
      </c>
      <c r="G237" s="1">
        <v>9130142390500</v>
      </c>
      <c r="H237" s="1">
        <v>6847606772500</v>
      </c>
      <c r="I237">
        <f t="shared" si="3"/>
        <v>0</v>
      </c>
    </row>
    <row r="238" spans="1:10" x14ac:dyDescent="0.3">
      <c r="A238">
        <v>20151113</v>
      </c>
      <c r="B238" s="2" t="s">
        <v>9</v>
      </c>
      <c r="C238" s="8">
        <v>81500</v>
      </c>
      <c r="D238" s="8">
        <v>82800</v>
      </c>
      <c r="E238">
        <v>73829</v>
      </c>
      <c r="F238" s="9">
        <v>112026287</v>
      </c>
      <c r="G238" s="1">
        <v>9275776563600</v>
      </c>
      <c r="H238" s="1">
        <v>6956832402000</v>
      </c>
      <c r="I238">
        <f t="shared" si="3"/>
        <v>0</v>
      </c>
    </row>
    <row r="239" spans="1:10" x14ac:dyDescent="0.3">
      <c r="A239">
        <v>20151116</v>
      </c>
      <c r="B239" s="2" t="s">
        <v>9</v>
      </c>
      <c r="C239" s="8">
        <v>82800</v>
      </c>
      <c r="D239" s="8">
        <v>82100</v>
      </c>
      <c r="E239">
        <v>73205</v>
      </c>
      <c r="F239" s="9">
        <v>112026287</v>
      </c>
      <c r="G239" s="1">
        <v>9197358162700</v>
      </c>
      <c r="H239" s="1">
        <v>6898018601500</v>
      </c>
      <c r="I239">
        <f t="shared" si="3"/>
        <v>0</v>
      </c>
    </row>
    <row r="240" spans="1:10" x14ac:dyDescent="0.3">
      <c r="A240" s="8">
        <v>20151117</v>
      </c>
      <c r="B240" s="10" t="s">
        <v>9</v>
      </c>
      <c r="C240" s="8">
        <v>82100</v>
      </c>
      <c r="D240" s="8">
        <v>86100</v>
      </c>
      <c r="E240" s="8">
        <v>76771</v>
      </c>
      <c r="F240" s="9">
        <v>112029039</v>
      </c>
      <c r="G240" s="9">
        <v>9645700257900</v>
      </c>
      <c r="H240" s="9">
        <v>7234275171900</v>
      </c>
      <c r="I240" s="8">
        <f t="shared" si="3"/>
        <v>1</v>
      </c>
      <c r="J240" t="s">
        <v>37</v>
      </c>
    </row>
    <row r="241" spans="1:10" x14ac:dyDescent="0.3">
      <c r="A241">
        <v>20151118</v>
      </c>
      <c r="B241" s="2" t="s">
        <v>9</v>
      </c>
      <c r="C241" s="8">
        <v>86100</v>
      </c>
      <c r="D241" s="8">
        <v>89200</v>
      </c>
      <c r="E241">
        <v>79535</v>
      </c>
      <c r="F241" s="9">
        <v>112029039</v>
      </c>
      <c r="G241" s="1">
        <v>9992990278800</v>
      </c>
      <c r="H241" s="1">
        <v>7494742686800</v>
      </c>
      <c r="I241">
        <f t="shared" si="3"/>
        <v>0</v>
      </c>
    </row>
    <row r="242" spans="1:10" x14ac:dyDescent="0.3">
      <c r="A242">
        <v>20151119</v>
      </c>
      <c r="B242" s="2" t="s">
        <v>9</v>
      </c>
      <c r="C242" s="8">
        <v>89200</v>
      </c>
      <c r="D242" s="8">
        <v>90700</v>
      </c>
      <c r="E242">
        <v>80872</v>
      </c>
      <c r="F242" s="9">
        <v>112029039</v>
      </c>
      <c r="G242" s="1">
        <v>10161033837300</v>
      </c>
      <c r="H242" s="1">
        <v>7620775355300</v>
      </c>
      <c r="I242">
        <f t="shared" si="3"/>
        <v>0</v>
      </c>
    </row>
    <row r="243" spans="1:10" x14ac:dyDescent="0.3">
      <c r="A243">
        <v>20151120</v>
      </c>
      <c r="B243" s="2" t="s">
        <v>9</v>
      </c>
      <c r="C243" s="8">
        <v>90700</v>
      </c>
      <c r="D243" s="8">
        <v>91400</v>
      </c>
      <c r="E243">
        <v>81497</v>
      </c>
      <c r="F243" s="9">
        <v>112029039</v>
      </c>
      <c r="G243" s="1">
        <v>10239454164600</v>
      </c>
      <c r="H243" s="1">
        <v>7679590600600</v>
      </c>
      <c r="I243">
        <f t="shared" si="3"/>
        <v>0</v>
      </c>
    </row>
    <row r="244" spans="1:10" x14ac:dyDescent="0.3">
      <c r="A244">
        <v>20151123</v>
      </c>
      <c r="B244" s="2" t="s">
        <v>9</v>
      </c>
      <c r="C244" s="8">
        <v>91400</v>
      </c>
      <c r="D244" s="8">
        <v>90700</v>
      </c>
      <c r="E244">
        <v>80872</v>
      </c>
      <c r="F244" s="9">
        <v>112029039</v>
      </c>
      <c r="G244" s="1">
        <v>10161033837300</v>
      </c>
      <c r="H244" s="1">
        <v>7620775355300</v>
      </c>
      <c r="I244">
        <f t="shared" si="3"/>
        <v>0</v>
      </c>
    </row>
    <row r="245" spans="1:10" x14ac:dyDescent="0.3">
      <c r="A245">
        <v>20151124</v>
      </c>
      <c r="B245" s="2" t="s">
        <v>9</v>
      </c>
      <c r="C245" s="8">
        <v>90700</v>
      </c>
      <c r="D245" s="8">
        <v>90400</v>
      </c>
      <c r="E245">
        <v>80605</v>
      </c>
      <c r="F245" s="9">
        <v>112029039</v>
      </c>
      <c r="G245" s="1">
        <v>10127425125600</v>
      </c>
      <c r="H245" s="1">
        <v>7595568821600</v>
      </c>
      <c r="I245">
        <f t="shared" si="3"/>
        <v>0</v>
      </c>
    </row>
    <row r="246" spans="1:10" x14ac:dyDescent="0.3">
      <c r="A246">
        <v>20151125</v>
      </c>
      <c r="B246" s="2" t="s">
        <v>9</v>
      </c>
      <c r="C246" s="8">
        <v>90400</v>
      </c>
      <c r="D246" s="8">
        <v>88100</v>
      </c>
      <c r="E246">
        <v>78554</v>
      </c>
      <c r="F246" s="9">
        <v>112029039</v>
      </c>
      <c r="G246" s="1">
        <v>9869758335900</v>
      </c>
      <c r="H246" s="1">
        <v>7402318729900</v>
      </c>
      <c r="I246">
        <f t="shared" si="3"/>
        <v>0</v>
      </c>
    </row>
    <row r="247" spans="1:10" x14ac:dyDescent="0.3">
      <c r="A247">
        <v>20151126</v>
      </c>
      <c r="B247" s="2" t="s">
        <v>9</v>
      </c>
      <c r="C247" s="8">
        <v>88100</v>
      </c>
      <c r="D247" s="8">
        <v>88000</v>
      </c>
      <c r="E247">
        <v>78464</v>
      </c>
      <c r="F247" s="9">
        <v>112029039</v>
      </c>
      <c r="G247" s="1">
        <v>9858555432000</v>
      </c>
      <c r="H247" s="1">
        <v>7393916552000</v>
      </c>
      <c r="I247">
        <f t="shared" si="3"/>
        <v>0</v>
      </c>
    </row>
    <row r="248" spans="1:10" x14ac:dyDescent="0.3">
      <c r="A248">
        <v>20151127</v>
      </c>
      <c r="B248" s="2" t="s">
        <v>9</v>
      </c>
      <c r="C248" s="8">
        <v>88000</v>
      </c>
      <c r="D248" s="8">
        <v>87500</v>
      </c>
      <c r="E248">
        <v>78019</v>
      </c>
      <c r="F248" s="9">
        <v>112029039</v>
      </c>
      <c r="G248" s="1">
        <v>9802540912500</v>
      </c>
      <c r="H248" s="1">
        <v>7351905662500</v>
      </c>
      <c r="I248">
        <f t="shared" si="3"/>
        <v>0</v>
      </c>
    </row>
    <row r="249" spans="1:10" x14ac:dyDescent="0.3">
      <c r="A249">
        <v>20151130</v>
      </c>
      <c r="B249" s="2" t="s">
        <v>9</v>
      </c>
      <c r="C249" s="8">
        <v>87500</v>
      </c>
      <c r="D249" s="8">
        <v>86300</v>
      </c>
      <c r="E249">
        <v>76949</v>
      </c>
      <c r="F249" s="9">
        <v>112029039</v>
      </c>
      <c r="G249" s="1">
        <v>9668106065700</v>
      </c>
      <c r="H249" s="1">
        <v>7251079527700</v>
      </c>
      <c r="I249">
        <f t="shared" si="3"/>
        <v>0</v>
      </c>
    </row>
    <row r="250" spans="1:10" x14ac:dyDescent="0.3">
      <c r="A250" s="8">
        <v>20151201</v>
      </c>
      <c r="B250" s="10" t="s">
        <v>9</v>
      </c>
      <c r="C250" s="8">
        <v>86300</v>
      </c>
      <c r="D250" s="8">
        <v>87500</v>
      </c>
      <c r="E250" s="8">
        <v>78019</v>
      </c>
      <c r="F250" s="9">
        <v>112037340</v>
      </c>
      <c r="G250" s="9">
        <v>9803267250000</v>
      </c>
      <c r="H250" s="9">
        <v>7352450437500</v>
      </c>
      <c r="I250" s="8">
        <f t="shared" si="3"/>
        <v>1</v>
      </c>
      <c r="J250" t="s">
        <v>39</v>
      </c>
    </row>
    <row r="251" spans="1:10" x14ac:dyDescent="0.3">
      <c r="A251">
        <v>20151202</v>
      </c>
      <c r="B251" s="2" t="s">
        <v>9</v>
      </c>
      <c r="C251" s="8">
        <v>87500</v>
      </c>
      <c r="D251" s="8">
        <v>86300</v>
      </c>
      <c r="E251">
        <v>76949</v>
      </c>
      <c r="F251" s="9">
        <v>112037340</v>
      </c>
      <c r="G251" s="1">
        <v>9668822442000</v>
      </c>
      <c r="H251" s="1">
        <v>7251616831500</v>
      </c>
      <c r="I251">
        <f t="shared" si="3"/>
        <v>0</v>
      </c>
    </row>
    <row r="252" spans="1:10" x14ac:dyDescent="0.3">
      <c r="A252">
        <v>20151203</v>
      </c>
      <c r="B252" s="2" t="s">
        <v>9</v>
      </c>
      <c r="C252" s="8">
        <v>86300</v>
      </c>
      <c r="D252" s="8">
        <v>87800</v>
      </c>
      <c r="E252">
        <v>78287</v>
      </c>
      <c r="F252" s="9">
        <v>112037340</v>
      </c>
      <c r="G252" s="1">
        <v>9836878452000</v>
      </c>
      <c r="H252" s="1">
        <v>7377658839000</v>
      </c>
      <c r="I252">
        <f t="shared" si="3"/>
        <v>0</v>
      </c>
    </row>
    <row r="253" spans="1:10" x14ac:dyDescent="0.3">
      <c r="A253">
        <v>20151204</v>
      </c>
      <c r="B253" s="2" t="s">
        <v>9</v>
      </c>
      <c r="C253" s="8">
        <v>87800</v>
      </c>
      <c r="D253" s="8">
        <v>86700</v>
      </c>
      <c r="E253">
        <v>77306</v>
      </c>
      <c r="F253" s="9">
        <v>112037340</v>
      </c>
      <c r="G253" s="1">
        <v>9713637378000</v>
      </c>
      <c r="H253" s="1">
        <v>7285228033500</v>
      </c>
      <c r="I253">
        <f t="shared" si="3"/>
        <v>0</v>
      </c>
    </row>
    <row r="254" spans="1:10" x14ac:dyDescent="0.3">
      <c r="A254" s="8">
        <v>20151207</v>
      </c>
      <c r="B254" s="10" t="s">
        <v>9</v>
      </c>
      <c r="C254" s="8">
        <v>86700</v>
      </c>
      <c r="D254" s="8">
        <v>83900</v>
      </c>
      <c r="E254" s="8">
        <v>74809</v>
      </c>
      <c r="F254" s="9">
        <v>112078848</v>
      </c>
      <c r="G254" s="9">
        <v>9403415347200</v>
      </c>
      <c r="H254" s="9">
        <v>7052561510400</v>
      </c>
      <c r="I254" s="8">
        <f t="shared" si="3"/>
        <v>1</v>
      </c>
      <c r="J254" t="s">
        <v>39</v>
      </c>
    </row>
    <row r="255" spans="1:10" x14ac:dyDescent="0.3">
      <c r="A255">
        <v>20151208</v>
      </c>
      <c r="B255" s="2" t="s">
        <v>9</v>
      </c>
      <c r="C255" s="8">
        <v>83900</v>
      </c>
      <c r="D255" s="8">
        <v>81100</v>
      </c>
      <c r="E255">
        <v>72312</v>
      </c>
      <c r="F255" s="9">
        <v>112078848</v>
      </c>
      <c r="G255" s="1">
        <v>9089594572800</v>
      </c>
      <c r="H255" s="1">
        <v>6817195929600</v>
      </c>
      <c r="I255">
        <f t="shared" si="3"/>
        <v>0</v>
      </c>
    </row>
    <row r="256" spans="1:10" x14ac:dyDescent="0.3">
      <c r="A256">
        <v>20151209</v>
      </c>
      <c r="B256" s="2" t="s">
        <v>9</v>
      </c>
      <c r="C256" s="8">
        <v>81100</v>
      </c>
      <c r="D256" s="8">
        <v>80500</v>
      </c>
      <c r="E256">
        <v>71778</v>
      </c>
      <c r="F256" s="9">
        <v>112078848</v>
      </c>
      <c r="G256" s="1">
        <v>9022347264000</v>
      </c>
      <c r="H256" s="1">
        <v>6766760448000</v>
      </c>
      <c r="I256">
        <f t="shared" si="3"/>
        <v>0</v>
      </c>
    </row>
    <row r="257" spans="1:10" x14ac:dyDescent="0.3">
      <c r="A257" s="8">
        <v>20151210</v>
      </c>
      <c r="B257" s="10" t="s">
        <v>9</v>
      </c>
      <c r="C257" s="8">
        <v>80500</v>
      </c>
      <c r="D257" s="8">
        <v>80600</v>
      </c>
      <c r="E257" s="8">
        <v>71867</v>
      </c>
      <c r="F257" s="9">
        <v>112278086</v>
      </c>
      <c r="G257" s="9">
        <v>9049613731600</v>
      </c>
      <c r="H257" s="9">
        <v>6787210258400</v>
      </c>
      <c r="I257" s="8">
        <f t="shared" si="3"/>
        <v>1</v>
      </c>
      <c r="J257" t="s">
        <v>39</v>
      </c>
    </row>
    <row r="258" spans="1:10" x14ac:dyDescent="0.3">
      <c r="A258">
        <v>20151211</v>
      </c>
      <c r="B258" s="2" t="s">
        <v>9</v>
      </c>
      <c r="C258" s="8">
        <v>80600</v>
      </c>
      <c r="D258" s="8">
        <v>78600</v>
      </c>
      <c r="E258">
        <v>70083</v>
      </c>
      <c r="F258" s="9">
        <v>112278086</v>
      </c>
      <c r="G258" s="1">
        <v>8825057559600</v>
      </c>
      <c r="H258" s="1">
        <v>6618793130400</v>
      </c>
      <c r="I258">
        <f t="shared" si="3"/>
        <v>0</v>
      </c>
    </row>
    <row r="259" spans="1:10" x14ac:dyDescent="0.3">
      <c r="A259">
        <v>20151214</v>
      </c>
      <c r="B259" s="2" t="s">
        <v>9</v>
      </c>
      <c r="C259" s="8">
        <v>78600</v>
      </c>
      <c r="D259" s="8">
        <v>78200</v>
      </c>
      <c r="E259">
        <v>69726</v>
      </c>
      <c r="F259" s="9">
        <v>112278086</v>
      </c>
      <c r="G259" s="1">
        <v>8780146325200</v>
      </c>
      <c r="H259" s="1">
        <v>6585109704800</v>
      </c>
      <c r="I259">
        <f t="shared" ref="I259:I322" si="4">IF(C259*F259=D258*F258,0,1)</f>
        <v>0</v>
      </c>
    </row>
    <row r="260" spans="1:10" x14ac:dyDescent="0.3">
      <c r="A260">
        <v>20151215</v>
      </c>
      <c r="B260" s="2" t="s">
        <v>9</v>
      </c>
      <c r="C260" s="8">
        <v>78200</v>
      </c>
      <c r="D260" s="8">
        <v>79300</v>
      </c>
      <c r="E260">
        <v>70707</v>
      </c>
      <c r="F260" s="9">
        <v>112278086</v>
      </c>
      <c r="G260" s="1">
        <v>8903652219800</v>
      </c>
      <c r="H260" s="1">
        <v>6677739125200</v>
      </c>
      <c r="I260">
        <f t="shared" si="4"/>
        <v>0</v>
      </c>
    </row>
    <row r="261" spans="1:10" x14ac:dyDescent="0.3">
      <c r="A261" s="8">
        <v>20151216</v>
      </c>
      <c r="B261" s="10" t="s">
        <v>9</v>
      </c>
      <c r="C261" s="8">
        <v>79300</v>
      </c>
      <c r="D261" s="8">
        <v>80100</v>
      </c>
      <c r="E261" s="8">
        <v>71421</v>
      </c>
      <c r="F261" s="9">
        <v>112410910</v>
      </c>
      <c r="G261" s="9">
        <v>9004113891000</v>
      </c>
      <c r="H261" s="9">
        <v>6753085378200</v>
      </c>
      <c r="I261" s="8">
        <f t="shared" si="4"/>
        <v>1</v>
      </c>
      <c r="J261" t="s">
        <v>39</v>
      </c>
    </row>
    <row r="262" spans="1:10" x14ac:dyDescent="0.3">
      <c r="A262">
        <v>20151217</v>
      </c>
      <c r="B262" s="2" t="s">
        <v>9</v>
      </c>
      <c r="C262" s="8">
        <v>80100</v>
      </c>
      <c r="D262" s="8">
        <v>80300</v>
      </c>
      <c r="E262">
        <v>71599</v>
      </c>
      <c r="F262" s="9">
        <v>112410910</v>
      </c>
      <c r="G262" s="1">
        <v>9026596073000</v>
      </c>
      <c r="H262" s="1">
        <v>6769947014600</v>
      </c>
      <c r="I262">
        <f t="shared" si="4"/>
        <v>0</v>
      </c>
    </row>
    <row r="263" spans="1:10" x14ac:dyDescent="0.3">
      <c r="A263">
        <v>20151218</v>
      </c>
      <c r="B263" s="2" t="s">
        <v>9</v>
      </c>
      <c r="C263" s="8">
        <v>80300</v>
      </c>
      <c r="D263" s="8">
        <v>83300</v>
      </c>
      <c r="E263">
        <v>74274</v>
      </c>
      <c r="F263" s="9">
        <v>112410910</v>
      </c>
      <c r="G263" s="1">
        <v>9363828803000</v>
      </c>
      <c r="H263" s="1">
        <v>7022871560600</v>
      </c>
      <c r="I263">
        <f t="shared" si="4"/>
        <v>0</v>
      </c>
    </row>
    <row r="264" spans="1:10" x14ac:dyDescent="0.3">
      <c r="A264" s="8">
        <v>20151221</v>
      </c>
      <c r="B264" s="10" t="s">
        <v>9</v>
      </c>
      <c r="C264" s="8">
        <v>83300</v>
      </c>
      <c r="D264" s="8">
        <v>83300</v>
      </c>
      <c r="E264" s="8">
        <v>74274</v>
      </c>
      <c r="F264" s="9">
        <v>112431663</v>
      </c>
      <c r="G264" s="9">
        <v>9365557527900</v>
      </c>
      <c r="H264" s="9">
        <v>7024168125100</v>
      </c>
      <c r="I264" s="8">
        <f t="shared" si="4"/>
        <v>1</v>
      </c>
      <c r="J264" t="s">
        <v>39</v>
      </c>
    </row>
    <row r="265" spans="1:10" x14ac:dyDescent="0.3">
      <c r="A265">
        <v>20151222</v>
      </c>
      <c r="B265" s="2" t="s">
        <v>9</v>
      </c>
      <c r="C265" s="8">
        <v>83300</v>
      </c>
      <c r="D265" s="8">
        <v>82300</v>
      </c>
      <c r="E265">
        <v>73382</v>
      </c>
      <c r="F265" s="9">
        <v>112431663</v>
      </c>
      <c r="G265" s="1">
        <v>9253125864900</v>
      </c>
      <c r="H265" s="1">
        <v>6939844378100</v>
      </c>
      <c r="I265">
        <f t="shared" si="4"/>
        <v>0</v>
      </c>
    </row>
    <row r="266" spans="1:10" x14ac:dyDescent="0.3">
      <c r="A266">
        <v>20151223</v>
      </c>
      <c r="B266" s="2" t="s">
        <v>9</v>
      </c>
      <c r="C266" s="8">
        <v>82300</v>
      </c>
      <c r="D266" s="8">
        <v>80500</v>
      </c>
      <c r="E266">
        <v>71778</v>
      </c>
      <c r="F266" s="9">
        <v>112431663</v>
      </c>
      <c r="G266" s="1">
        <v>9050748871500</v>
      </c>
      <c r="H266" s="1">
        <v>6788061633500</v>
      </c>
      <c r="I266">
        <f t="shared" si="4"/>
        <v>0</v>
      </c>
    </row>
    <row r="267" spans="1:10" x14ac:dyDescent="0.3">
      <c r="A267">
        <v>20151224</v>
      </c>
      <c r="B267" s="2" t="s">
        <v>9</v>
      </c>
      <c r="C267" s="8">
        <v>80500</v>
      </c>
      <c r="D267" s="8">
        <v>78700</v>
      </c>
      <c r="E267">
        <v>70172</v>
      </c>
      <c r="F267" s="9">
        <v>112431663</v>
      </c>
      <c r="G267" s="1">
        <v>8848371878100</v>
      </c>
      <c r="H267" s="1">
        <v>6636278888900</v>
      </c>
      <c r="I267">
        <f t="shared" si="4"/>
        <v>0</v>
      </c>
    </row>
    <row r="268" spans="1:10" x14ac:dyDescent="0.3">
      <c r="A268">
        <v>20151228</v>
      </c>
      <c r="B268" s="2" t="s">
        <v>9</v>
      </c>
      <c r="C268" s="8">
        <v>78700</v>
      </c>
      <c r="D268" s="8">
        <v>76700</v>
      </c>
      <c r="E268">
        <v>68389</v>
      </c>
      <c r="F268" s="9">
        <v>112431663</v>
      </c>
      <c r="G268" s="1">
        <v>8623508552100</v>
      </c>
      <c r="H268" s="1">
        <v>6467631394900</v>
      </c>
      <c r="I268">
        <f t="shared" si="4"/>
        <v>0</v>
      </c>
    </row>
    <row r="269" spans="1:10" x14ac:dyDescent="0.3">
      <c r="A269" s="8">
        <v>20151229</v>
      </c>
      <c r="B269" s="10" t="s">
        <v>9</v>
      </c>
      <c r="C269" s="8">
        <v>74500</v>
      </c>
      <c r="D269" s="8">
        <v>84000</v>
      </c>
      <c r="E269" s="8">
        <v>77111</v>
      </c>
      <c r="F269" s="9">
        <v>112431663</v>
      </c>
      <c r="G269" s="9">
        <v>9444259692000</v>
      </c>
      <c r="H269" s="9">
        <v>7083194748000</v>
      </c>
      <c r="I269" s="8">
        <f t="shared" si="4"/>
        <v>1</v>
      </c>
      <c r="J269" t="s">
        <v>40</v>
      </c>
    </row>
    <row r="270" spans="1:10" x14ac:dyDescent="0.3">
      <c r="A270">
        <v>20151230</v>
      </c>
      <c r="B270" s="2" t="s">
        <v>9</v>
      </c>
      <c r="C270" s="8">
        <v>84000</v>
      </c>
      <c r="D270" s="8">
        <v>84500</v>
      </c>
      <c r="E270">
        <v>77569</v>
      </c>
      <c r="F270" s="9">
        <v>112431663</v>
      </c>
      <c r="G270" s="1">
        <v>9500475523500</v>
      </c>
      <c r="H270" s="1">
        <v>7125356621500</v>
      </c>
      <c r="I270">
        <f t="shared" si="4"/>
        <v>0</v>
      </c>
    </row>
    <row r="271" spans="1:10" x14ac:dyDescent="0.3">
      <c r="A271">
        <v>20160104</v>
      </c>
      <c r="B271" s="2" t="s">
        <v>9</v>
      </c>
      <c r="C271" s="8">
        <v>84500</v>
      </c>
      <c r="D271" s="8">
        <v>89200</v>
      </c>
      <c r="E271">
        <v>81884</v>
      </c>
      <c r="F271" s="9">
        <v>112431663</v>
      </c>
      <c r="G271" s="1">
        <v>10028904339600</v>
      </c>
      <c r="H271" s="1">
        <v>7521678232400</v>
      </c>
      <c r="I271">
        <f t="shared" si="4"/>
        <v>0</v>
      </c>
    </row>
    <row r="272" spans="1:10" x14ac:dyDescent="0.3">
      <c r="A272">
        <v>20160105</v>
      </c>
      <c r="B272" s="2" t="s">
        <v>9</v>
      </c>
      <c r="C272" s="8">
        <v>89200</v>
      </c>
      <c r="D272" s="8">
        <v>90300</v>
      </c>
      <c r="E272">
        <v>82894</v>
      </c>
      <c r="F272" s="9">
        <v>112431663</v>
      </c>
      <c r="G272" s="1">
        <v>10152579168900</v>
      </c>
      <c r="H272" s="1">
        <v>7614434354100</v>
      </c>
      <c r="I272">
        <f t="shared" si="4"/>
        <v>0</v>
      </c>
    </row>
    <row r="273" spans="1:9" x14ac:dyDescent="0.3">
      <c r="A273">
        <v>20160106</v>
      </c>
      <c r="B273" s="2" t="s">
        <v>9</v>
      </c>
      <c r="C273" s="8">
        <v>90300</v>
      </c>
      <c r="D273" s="8">
        <v>91700</v>
      </c>
      <c r="E273">
        <v>84179</v>
      </c>
      <c r="F273" s="9">
        <v>112431663</v>
      </c>
      <c r="G273" s="1">
        <v>10309983497100</v>
      </c>
      <c r="H273" s="1">
        <v>7732487599900</v>
      </c>
      <c r="I273">
        <f t="shared" si="4"/>
        <v>0</v>
      </c>
    </row>
    <row r="274" spans="1:9" x14ac:dyDescent="0.3">
      <c r="A274">
        <v>20160107</v>
      </c>
      <c r="B274" s="2" t="s">
        <v>9</v>
      </c>
      <c r="C274" s="8">
        <v>91700</v>
      </c>
      <c r="D274" s="8">
        <v>91700</v>
      </c>
      <c r="E274">
        <v>84179</v>
      </c>
      <c r="F274" s="9">
        <v>112431663</v>
      </c>
      <c r="G274" s="1">
        <v>10309983497100</v>
      </c>
      <c r="H274" s="1">
        <v>7732487599900</v>
      </c>
      <c r="I274">
        <f t="shared" si="4"/>
        <v>0</v>
      </c>
    </row>
    <row r="275" spans="1:9" x14ac:dyDescent="0.3">
      <c r="A275">
        <v>20160108</v>
      </c>
      <c r="B275" s="2" t="s">
        <v>9</v>
      </c>
      <c r="C275" s="8">
        <v>91700</v>
      </c>
      <c r="D275" s="8">
        <v>96500</v>
      </c>
      <c r="E275">
        <v>88585</v>
      </c>
      <c r="F275" s="9">
        <v>112431663</v>
      </c>
      <c r="G275" s="1">
        <v>10849655479500</v>
      </c>
      <c r="H275" s="1">
        <v>8137241585500</v>
      </c>
      <c r="I275">
        <f t="shared" si="4"/>
        <v>0</v>
      </c>
    </row>
    <row r="276" spans="1:9" x14ac:dyDescent="0.3">
      <c r="A276">
        <v>20160111</v>
      </c>
      <c r="B276" s="2" t="s">
        <v>9</v>
      </c>
      <c r="C276" s="8">
        <v>96500</v>
      </c>
      <c r="D276" s="8">
        <v>99200</v>
      </c>
      <c r="E276">
        <v>91063</v>
      </c>
      <c r="F276" s="9">
        <v>112431663</v>
      </c>
      <c r="G276" s="1">
        <v>11153220969600</v>
      </c>
      <c r="H276" s="1">
        <v>8364915702400</v>
      </c>
      <c r="I276">
        <f t="shared" si="4"/>
        <v>0</v>
      </c>
    </row>
    <row r="277" spans="1:9" x14ac:dyDescent="0.3">
      <c r="A277">
        <v>20160112</v>
      </c>
      <c r="B277" s="2" t="s">
        <v>9</v>
      </c>
      <c r="C277" s="8">
        <v>99200</v>
      </c>
      <c r="D277" s="8">
        <v>97800</v>
      </c>
      <c r="E277">
        <v>89778</v>
      </c>
      <c r="F277" s="9">
        <v>112431663</v>
      </c>
      <c r="G277" s="1">
        <v>10995816641400</v>
      </c>
      <c r="H277" s="1">
        <v>8246862456600</v>
      </c>
      <c r="I277">
        <f t="shared" si="4"/>
        <v>0</v>
      </c>
    </row>
    <row r="278" spans="1:9" x14ac:dyDescent="0.3">
      <c r="A278">
        <v>20160113</v>
      </c>
      <c r="B278" s="2" t="s">
        <v>9</v>
      </c>
      <c r="C278" s="8">
        <v>97800</v>
      </c>
      <c r="D278" s="8">
        <v>105100</v>
      </c>
      <c r="E278">
        <v>96481</v>
      </c>
      <c r="F278" s="9">
        <v>112431663</v>
      </c>
      <c r="G278" s="1">
        <v>11816567781300</v>
      </c>
      <c r="H278" s="1">
        <v>8862425809700</v>
      </c>
      <c r="I278">
        <f t="shared" si="4"/>
        <v>0</v>
      </c>
    </row>
    <row r="279" spans="1:9" x14ac:dyDescent="0.3">
      <c r="A279">
        <v>20160114</v>
      </c>
      <c r="B279" s="2" t="s">
        <v>9</v>
      </c>
      <c r="C279" s="8">
        <v>105100</v>
      </c>
      <c r="D279" s="8">
        <v>104000</v>
      </c>
      <c r="E279">
        <v>95471</v>
      </c>
      <c r="F279" s="9">
        <v>112431663</v>
      </c>
      <c r="G279" s="1">
        <v>11692892952000</v>
      </c>
      <c r="H279" s="1">
        <v>8769669688000</v>
      </c>
      <c r="I279">
        <f t="shared" si="4"/>
        <v>0</v>
      </c>
    </row>
    <row r="280" spans="1:9" x14ac:dyDescent="0.3">
      <c r="A280">
        <v>20160115</v>
      </c>
      <c r="B280" s="2" t="s">
        <v>9</v>
      </c>
      <c r="C280" s="8">
        <v>104000</v>
      </c>
      <c r="D280" s="8">
        <v>99200</v>
      </c>
      <c r="E280">
        <v>91063</v>
      </c>
      <c r="F280" s="9">
        <v>112431663</v>
      </c>
      <c r="G280" s="1">
        <v>11153220969600</v>
      </c>
      <c r="H280" s="1">
        <v>8364915702400</v>
      </c>
      <c r="I280">
        <f t="shared" si="4"/>
        <v>0</v>
      </c>
    </row>
    <row r="281" spans="1:9" x14ac:dyDescent="0.3">
      <c r="A281">
        <v>20160118</v>
      </c>
      <c r="B281" s="2" t="s">
        <v>9</v>
      </c>
      <c r="C281" s="8">
        <v>99200</v>
      </c>
      <c r="D281" s="8">
        <v>116700</v>
      </c>
      <c r="E281">
        <v>107128</v>
      </c>
      <c r="F281" s="9">
        <v>112431663</v>
      </c>
      <c r="G281" s="1">
        <v>13120775072100</v>
      </c>
      <c r="H281" s="1">
        <v>9840581274900</v>
      </c>
      <c r="I281">
        <f t="shared" si="4"/>
        <v>0</v>
      </c>
    </row>
    <row r="282" spans="1:9" x14ac:dyDescent="0.3">
      <c r="A282">
        <v>20160119</v>
      </c>
      <c r="B282" s="2" t="s">
        <v>9</v>
      </c>
      <c r="C282" s="8">
        <v>116700</v>
      </c>
      <c r="D282" s="8">
        <v>114300</v>
      </c>
      <c r="E282">
        <v>104926</v>
      </c>
      <c r="F282" s="9">
        <v>112431663</v>
      </c>
      <c r="G282" s="1">
        <v>12850939080900</v>
      </c>
      <c r="H282" s="1">
        <v>9638204282100</v>
      </c>
      <c r="I282">
        <f t="shared" si="4"/>
        <v>0</v>
      </c>
    </row>
    <row r="283" spans="1:9" x14ac:dyDescent="0.3">
      <c r="A283">
        <v>20160120</v>
      </c>
      <c r="B283" s="2" t="s">
        <v>9</v>
      </c>
      <c r="C283" s="8">
        <v>114300</v>
      </c>
      <c r="D283" s="8">
        <v>116400</v>
      </c>
      <c r="E283">
        <v>106853</v>
      </c>
      <c r="F283" s="9">
        <v>112431663</v>
      </c>
      <c r="G283" s="1">
        <v>13087045573200</v>
      </c>
      <c r="H283" s="1">
        <v>9815284150800</v>
      </c>
      <c r="I283">
        <f t="shared" si="4"/>
        <v>0</v>
      </c>
    </row>
    <row r="284" spans="1:9" x14ac:dyDescent="0.3">
      <c r="A284">
        <v>20160121</v>
      </c>
      <c r="B284" s="2" t="s">
        <v>9</v>
      </c>
      <c r="C284" s="8">
        <v>116400</v>
      </c>
      <c r="D284" s="8">
        <v>116500</v>
      </c>
      <c r="E284">
        <v>106946</v>
      </c>
      <c r="F284" s="9">
        <v>112431663</v>
      </c>
      <c r="G284" s="1">
        <v>13098288739500</v>
      </c>
      <c r="H284" s="1">
        <v>9823716525500</v>
      </c>
      <c r="I284">
        <f t="shared" si="4"/>
        <v>0</v>
      </c>
    </row>
    <row r="285" spans="1:9" x14ac:dyDescent="0.3">
      <c r="A285">
        <v>20160122</v>
      </c>
      <c r="B285" s="2" t="s">
        <v>9</v>
      </c>
      <c r="C285" s="8">
        <v>116500</v>
      </c>
      <c r="D285" s="8">
        <v>113000</v>
      </c>
      <c r="E285">
        <v>103732</v>
      </c>
      <c r="F285" s="9">
        <v>112431663</v>
      </c>
      <c r="G285" s="1">
        <v>12704777919000</v>
      </c>
      <c r="H285" s="1">
        <v>9528583411000</v>
      </c>
      <c r="I285">
        <f t="shared" si="4"/>
        <v>0</v>
      </c>
    </row>
    <row r="286" spans="1:9" x14ac:dyDescent="0.3">
      <c r="A286">
        <v>20160125</v>
      </c>
      <c r="B286" s="2" t="s">
        <v>9</v>
      </c>
      <c r="C286" s="8">
        <v>113000</v>
      </c>
      <c r="D286" s="8">
        <v>113200</v>
      </c>
      <c r="E286">
        <v>103916</v>
      </c>
      <c r="F286" s="9">
        <v>112431663</v>
      </c>
      <c r="G286" s="1">
        <v>12727264251600</v>
      </c>
      <c r="H286" s="1">
        <v>9545448160400</v>
      </c>
      <c r="I286">
        <f t="shared" si="4"/>
        <v>0</v>
      </c>
    </row>
    <row r="287" spans="1:9" x14ac:dyDescent="0.3">
      <c r="A287">
        <v>20160126</v>
      </c>
      <c r="B287" s="2" t="s">
        <v>9</v>
      </c>
      <c r="C287" s="8">
        <v>113200</v>
      </c>
      <c r="D287" s="8">
        <v>112100</v>
      </c>
      <c r="E287">
        <v>102907</v>
      </c>
      <c r="F287" s="9">
        <v>112431663</v>
      </c>
      <c r="G287" s="1">
        <v>12603589422300</v>
      </c>
      <c r="H287" s="1">
        <v>9452692038700</v>
      </c>
      <c r="I287">
        <f t="shared" si="4"/>
        <v>0</v>
      </c>
    </row>
    <row r="288" spans="1:9" x14ac:dyDescent="0.3">
      <c r="A288">
        <v>20160127</v>
      </c>
      <c r="B288" s="2" t="s">
        <v>9</v>
      </c>
      <c r="C288" s="8">
        <v>112100</v>
      </c>
      <c r="D288" s="8">
        <v>108100</v>
      </c>
      <c r="E288">
        <v>99234</v>
      </c>
      <c r="F288" s="9">
        <v>112431663</v>
      </c>
      <c r="G288" s="1">
        <v>12153862770300</v>
      </c>
      <c r="H288" s="1">
        <v>9115397050700</v>
      </c>
      <c r="I288">
        <f t="shared" si="4"/>
        <v>0</v>
      </c>
    </row>
    <row r="289" spans="1:10" x14ac:dyDescent="0.3">
      <c r="A289">
        <v>20160128</v>
      </c>
      <c r="B289" s="2" t="s">
        <v>9</v>
      </c>
      <c r="C289" s="8">
        <v>108100</v>
      </c>
      <c r="D289" s="8">
        <v>111400</v>
      </c>
      <c r="E289">
        <v>102264</v>
      </c>
      <c r="F289" s="9">
        <v>112431663</v>
      </c>
      <c r="G289" s="1">
        <v>12524887258200</v>
      </c>
      <c r="H289" s="1">
        <v>9393665415800</v>
      </c>
      <c r="I289">
        <f t="shared" si="4"/>
        <v>0</v>
      </c>
    </row>
    <row r="290" spans="1:10" x14ac:dyDescent="0.3">
      <c r="A290">
        <v>20160129</v>
      </c>
      <c r="B290" s="2" t="s">
        <v>9</v>
      </c>
      <c r="C290" s="8">
        <v>111400</v>
      </c>
      <c r="D290" s="8">
        <v>112100</v>
      </c>
      <c r="E290">
        <v>102907</v>
      </c>
      <c r="F290" s="9">
        <v>112431663</v>
      </c>
      <c r="G290" s="1">
        <v>12603589422300</v>
      </c>
      <c r="H290" s="1">
        <v>9452692038700</v>
      </c>
      <c r="I290">
        <f t="shared" si="4"/>
        <v>0</v>
      </c>
    </row>
    <row r="291" spans="1:10" x14ac:dyDescent="0.3">
      <c r="A291">
        <v>20160201</v>
      </c>
      <c r="B291" s="2" t="s">
        <v>9</v>
      </c>
      <c r="C291" s="8">
        <v>112100</v>
      </c>
      <c r="D291" s="8">
        <v>120000</v>
      </c>
      <c r="E291">
        <v>110158</v>
      </c>
      <c r="F291" s="9">
        <v>112431663</v>
      </c>
      <c r="G291" s="1">
        <v>13491799560000</v>
      </c>
      <c r="H291" s="1">
        <v>10118849640000</v>
      </c>
      <c r="I291">
        <f t="shared" si="4"/>
        <v>0</v>
      </c>
    </row>
    <row r="292" spans="1:10" x14ac:dyDescent="0.3">
      <c r="A292" s="8">
        <v>20160202</v>
      </c>
      <c r="B292" s="10" t="s">
        <v>9</v>
      </c>
      <c r="C292" s="8">
        <v>120000</v>
      </c>
      <c r="D292" s="8">
        <v>118800</v>
      </c>
      <c r="E292" s="8">
        <v>109057</v>
      </c>
      <c r="F292" s="9">
        <v>112444115</v>
      </c>
      <c r="G292" s="9">
        <v>13358360862000</v>
      </c>
      <c r="H292" s="9">
        <v>10018770616800</v>
      </c>
      <c r="I292" s="8">
        <f t="shared" si="4"/>
        <v>1</v>
      </c>
      <c r="J292" t="s">
        <v>39</v>
      </c>
    </row>
    <row r="293" spans="1:10" x14ac:dyDescent="0.3">
      <c r="A293">
        <v>20160203</v>
      </c>
      <c r="B293" s="2" t="s">
        <v>9</v>
      </c>
      <c r="C293" s="8">
        <v>118800</v>
      </c>
      <c r="D293" s="8">
        <v>119900</v>
      </c>
      <c r="E293">
        <v>110067</v>
      </c>
      <c r="F293" s="9">
        <v>112444115</v>
      </c>
      <c r="G293" s="1">
        <v>13482049388500</v>
      </c>
      <c r="H293" s="1">
        <v>10111537011400</v>
      </c>
      <c r="I293">
        <f t="shared" si="4"/>
        <v>0</v>
      </c>
    </row>
    <row r="294" spans="1:10" x14ac:dyDescent="0.3">
      <c r="A294" s="8">
        <v>20160204</v>
      </c>
      <c r="B294" s="10" t="s">
        <v>9</v>
      </c>
      <c r="C294" s="8">
        <v>119900</v>
      </c>
      <c r="D294" s="8">
        <v>120600</v>
      </c>
      <c r="E294" s="8">
        <v>110710</v>
      </c>
      <c r="F294" s="9">
        <v>112459082</v>
      </c>
      <c r="G294" s="9">
        <v>13562565289200</v>
      </c>
      <c r="H294" s="9">
        <v>10171923906600</v>
      </c>
      <c r="I294" s="8">
        <f t="shared" si="4"/>
        <v>1</v>
      </c>
      <c r="J294" t="s">
        <v>42</v>
      </c>
    </row>
    <row r="295" spans="1:10" x14ac:dyDescent="0.3">
      <c r="A295">
        <v>20160205</v>
      </c>
      <c r="B295" s="2" t="s">
        <v>9</v>
      </c>
      <c r="C295" s="8">
        <v>120600</v>
      </c>
      <c r="D295" s="8">
        <v>119400</v>
      </c>
      <c r="E295">
        <v>109607</v>
      </c>
      <c r="F295" s="9">
        <v>112459082</v>
      </c>
      <c r="G295" s="1">
        <v>13427614390800</v>
      </c>
      <c r="H295" s="1">
        <v>10070710733400</v>
      </c>
      <c r="I295">
        <f t="shared" si="4"/>
        <v>0</v>
      </c>
    </row>
    <row r="296" spans="1:10" x14ac:dyDescent="0.3">
      <c r="A296">
        <v>20160211</v>
      </c>
      <c r="B296" s="2" t="s">
        <v>9</v>
      </c>
      <c r="C296" s="8">
        <v>119400</v>
      </c>
      <c r="D296" s="8">
        <v>113200</v>
      </c>
      <c r="E296">
        <v>103916</v>
      </c>
      <c r="F296" s="9">
        <v>112459082</v>
      </c>
      <c r="G296" s="1">
        <v>12730368082400</v>
      </c>
      <c r="H296" s="1">
        <v>9547776005200</v>
      </c>
      <c r="I296">
        <f t="shared" si="4"/>
        <v>0</v>
      </c>
    </row>
    <row r="297" spans="1:10" x14ac:dyDescent="0.3">
      <c r="A297" s="8">
        <v>20160212</v>
      </c>
      <c r="B297" s="10" t="s">
        <v>9</v>
      </c>
      <c r="C297" s="8">
        <v>113200</v>
      </c>
      <c r="D297" s="8">
        <v>100000</v>
      </c>
      <c r="E297" s="8">
        <v>91798</v>
      </c>
      <c r="F297" s="9">
        <v>112554550</v>
      </c>
      <c r="G297" s="9">
        <v>11255455000000</v>
      </c>
      <c r="H297" s="9">
        <v>8441591200000</v>
      </c>
      <c r="I297" s="8">
        <f t="shared" si="4"/>
        <v>1</v>
      </c>
      <c r="J297" t="s">
        <v>39</v>
      </c>
    </row>
    <row r="298" spans="1:10" x14ac:dyDescent="0.3">
      <c r="A298">
        <v>20160215</v>
      </c>
      <c r="B298" s="2" t="s">
        <v>9</v>
      </c>
      <c r="C298" s="8">
        <v>100000</v>
      </c>
      <c r="D298" s="8">
        <v>100600</v>
      </c>
      <c r="E298">
        <v>92349</v>
      </c>
      <c r="F298" s="9">
        <v>112554550</v>
      </c>
      <c r="G298" s="1">
        <v>11322987730000</v>
      </c>
      <c r="H298" s="1">
        <v>8492240747200</v>
      </c>
      <c r="I298">
        <f t="shared" si="4"/>
        <v>0</v>
      </c>
    </row>
    <row r="299" spans="1:10" x14ac:dyDescent="0.3">
      <c r="A299" s="8">
        <v>20160216</v>
      </c>
      <c r="B299" s="10" t="s">
        <v>9</v>
      </c>
      <c r="C299" s="8">
        <v>100600</v>
      </c>
      <c r="D299" s="8">
        <v>103500</v>
      </c>
      <c r="E299" s="8">
        <v>95011</v>
      </c>
      <c r="F299" s="9">
        <v>112753787</v>
      </c>
      <c r="G299" s="9">
        <v>11670016954500</v>
      </c>
      <c r="H299" s="9">
        <v>8752512690000</v>
      </c>
      <c r="I299" s="8">
        <f t="shared" si="4"/>
        <v>1</v>
      </c>
      <c r="J299" t="s">
        <v>39</v>
      </c>
    </row>
    <row r="300" spans="1:10" x14ac:dyDescent="0.3">
      <c r="A300">
        <v>20160217</v>
      </c>
      <c r="B300" s="2" t="s">
        <v>9</v>
      </c>
      <c r="C300" s="8">
        <v>103500</v>
      </c>
      <c r="D300" s="8">
        <v>98800</v>
      </c>
      <c r="E300">
        <v>90697</v>
      </c>
      <c r="F300" s="9">
        <v>112753787</v>
      </c>
      <c r="G300" s="1">
        <v>11140074155600</v>
      </c>
      <c r="H300" s="1">
        <v>8355055592000</v>
      </c>
      <c r="I300">
        <f t="shared" si="4"/>
        <v>0</v>
      </c>
    </row>
    <row r="301" spans="1:10" x14ac:dyDescent="0.3">
      <c r="A301" s="8">
        <v>20160218</v>
      </c>
      <c r="B301" s="10" t="s">
        <v>9</v>
      </c>
      <c r="C301" s="8">
        <v>98800</v>
      </c>
      <c r="D301" s="8">
        <v>105000</v>
      </c>
      <c r="E301" s="8">
        <v>96389</v>
      </c>
      <c r="F301" s="9">
        <v>112766239</v>
      </c>
      <c r="G301" s="9">
        <v>11840455095000</v>
      </c>
      <c r="H301" s="9">
        <v>8880341295000</v>
      </c>
      <c r="I301" s="8">
        <f t="shared" si="4"/>
        <v>1</v>
      </c>
      <c r="J301" t="s">
        <v>39</v>
      </c>
    </row>
    <row r="302" spans="1:10" x14ac:dyDescent="0.3">
      <c r="A302">
        <v>20160219</v>
      </c>
      <c r="B302" s="2" t="s">
        <v>9</v>
      </c>
      <c r="C302" s="8">
        <v>105000</v>
      </c>
      <c r="D302" s="8">
        <v>102000</v>
      </c>
      <c r="E302">
        <v>93634</v>
      </c>
      <c r="F302" s="9">
        <v>112766239</v>
      </c>
      <c r="G302" s="1">
        <v>11502156378000</v>
      </c>
      <c r="H302" s="1">
        <v>8626617258000</v>
      </c>
      <c r="I302">
        <f t="shared" si="4"/>
        <v>0</v>
      </c>
    </row>
    <row r="303" spans="1:10" x14ac:dyDescent="0.3">
      <c r="A303">
        <v>20160222</v>
      </c>
      <c r="B303" s="2" t="s">
        <v>9</v>
      </c>
      <c r="C303" s="8">
        <v>102000</v>
      </c>
      <c r="D303" s="8">
        <v>102900</v>
      </c>
      <c r="E303">
        <v>94461</v>
      </c>
      <c r="F303" s="9">
        <v>112766239</v>
      </c>
      <c r="G303" s="1">
        <v>11603645993100</v>
      </c>
      <c r="H303" s="1">
        <v>8702734469100</v>
      </c>
      <c r="I303">
        <f t="shared" si="4"/>
        <v>0</v>
      </c>
    </row>
    <row r="304" spans="1:10" x14ac:dyDescent="0.3">
      <c r="A304" s="8">
        <v>20160223</v>
      </c>
      <c r="B304" s="10" t="s">
        <v>9</v>
      </c>
      <c r="C304" s="8">
        <v>102900</v>
      </c>
      <c r="D304" s="8">
        <v>101000</v>
      </c>
      <c r="E304" s="8">
        <v>92717</v>
      </c>
      <c r="F304" s="9">
        <v>112816048</v>
      </c>
      <c r="G304" s="9">
        <v>11394420848000</v>
      </c>
      <c r="H304" s="9">
        <v>8545815636000</v>
      </c>
      <c r="I304" s="8">
        <f t="shared" si="4"/>
        <v>1</v>
      </c>
      <c r="J304" t="s">
        <v>39</v>
      </c>
    </row>
    <row r="305" spans="1:10" x14ac:dyDescent="0.3">
      <c r="A305">
        <v>20160224</v>
      </c>
      <c r="B305" s="2" t="s">
        <v>9</v>
      </c>
      <c r="C305" s="8">
        <v>101000</v>
      </c>
      <c r="D305" s="8">
        <v>100100</v>
      </c>
      <c r="E305">
        <v>91891</v>
      </c>
      <c r="F305" s="9">
        <v>112816048</v>
      </c>
      <c r="G305" s="1">
        <v>11292886404800</v>
      </c>
      <c r="H305" s="1">
        <v>8469664803600</v>
      </c>
      <c r="I305">
        <f t="shared" si="4"/>
        <v>0</v>
      </c>
    </row>
    <row r="306" spans="1:10" x14ac:dyDescent="0.3">
      <c r="A306" s="8">
        <v>20160225</v>
      </c>
      <c r="B306" s="10" t="s">
        <v>9</v>
      </c>
      <c r="C306" s="8">
        <v>100100</v>
      </c>
      <c r="D306" s="8">
        <v>99000</v>
      </c>
      <c r="E306" s="8">
        <v>90881</v>
      </c>
      <c r="F306" s="9">
        <v>113019435</v>
      </c>
      <c r="G306" s="9">
        <v>11188924065000</v>
      </c>
      <c r="H306" s="9">
        <v>8391693024000</v>
      </c>
      <c r="I306" s="8">
        <f t="shared" si="4"/>
        <v>1</v>
      </c>
      <c r="J306" t="s">
        <v>39</v>
      </c>
    </row>
    <row r="307" spans="1:10" x14ac:dyDescent="0.3">
      <c r="A307">
        <v>20160226</v>
      </c>
      <c r="B307" s="2" t="s">
        <v>9</v>
      </c>
      <c r="C307" s="8">
        <v>99000</v>
      </c>
      <c r="D307" s="8">
        <v>100000</v>
      </c>
      <c r="E307">
        <v>91798</v>
      </c>
      <c r="F307" s="9">
        <v>113019435</v>
      </c>
      <c r="G307" s="1">
        <v>11301943500000</v>
      </c>
      <c r="H307" s="1">
        <v>8476457600000</v>
      </c>
      <c r="I307">
        <f t="shared" si="4"/>
        <v>0</v>
      </c>
    </row>
    <row r="308" spans="1:10" x14ac:dyDescent="0.3">
      <c r="A308">
        <v>20160229</v>
      </c>
      <c r="B308" s="2" t="s">
        <v>9</v>
      </c>
      <c r="C308" s="8">
        <v>100000</v>
      </c>
      <c r="D308" s="8">
        <v>100000</v>
      </c>
      <c r="E308">
        <v>91798</v>
      </c>
      <c r="F308" s="9">
        <v>113019435</v>
      </c>
      <c r="G308" s="1">
        <v>11301943500000</v>
      </c>
      <c r="H308" s="1">
        <v>8476457600000</v>
      </c>
      <c r="I308">
        <f t="shared" si="4"/>
        <v>0</v>
      </c>
    </row>
    <row r="309" spans="1:10" x14ac:dyDescent="0.3">
      <c r="A309">
        <v>20160302</v>
      </c>
      <c r="B309" s="2" t="s">
        <v>9</v>
      </c>
      <c r="C309" s="8">
        <v>100000</v>
      </c>
      <c r="D309" s="8">
        <v>107200</v>
      </c>
      <c r="E309">
        <v>98408</v>
      </c>
      <c r="F309" s="9">
        <v>113019435</v>
      </c>
      <c r="G309" s="1">
        <v>12115683432000</v>
      </c>
      <c r="H309" s="1">
        <v>9086762547200</v>
      </c>
      <c r="I309">
        <f t="shared" si="4"/>
        <v>0</v>
      </c>
    </row>
    <row r="310" spans="1:10" x14ac:dyDescent="0.3">
      <c r="A310">
        <v>20160303</v>
      </c>
      <c r="B310" s="2" t="s">
        <v>9</v>
      </c>
      <c r="C310" s="8">
        <v>107200</v>
      </c>
      <c r="D310" s="8">
        <v>110000</v>
      </c>
      <c r="E310">
        <v>100978</v>
      </c>
      <c r="F310" s="9">
        <v>113019435</v>
      </c>
      <c r="G310" s="1">
        <v>12432137850000</v>
      </c>
      <c r="H310" s="1">
        <v>9324103360000</v>
      </c>
      <c r="I310">
        <f t="shared" si="4"/>
        <v>0</v>
      </c>
    </row>
    <row r="311" spans="1:10" x14ac:dyDescent="0.3">
      <c r="A311">
        <v>20160304</v>
      </c>
      <c r="B311" s="2" t="s">
        <v>9</v>
      </c>
      <c r="C311" s="8">
        <v>110000</v>
      </c>
      <c r="D311" s="8">
        <v>108300</v>
      </c>
      <c r="E311">
        <v>99417</v>
      </c>
      <c r="F311" s="9">
        <v>113019435</v>
      </c>
      <c r="G311" s="1">
        <v>12240004810500</v>
      </c>
      <c r="H311" s="1">
        <v>9180003580800</v>
      </c>
      <c r="I311">
        <f t="shared" si="4"/>
        <v>0</v>
      </c>
    </row>
    <row r="312" spans="1:10" x14ac:dyDescent="0.3">
      <c r="A312">
        <v>20160307</v>
      </c>
      <c r="B312" s="2" t="s">
        <v>9</v>
      </c>
      <c r="C312" s="8">
        <v>108300</v>
      </c>
      <c r="D312" s="8">
        <v>103100</v>
      </c>
      <c r="E312">
        <v>94644</v>
      </c>
      <c r="F312" s="9">
        <v>113019435</v>
      </c>
      <c r="G312" s="1">
        <v>11652303748500</v>
      </c>
      <c r="H312" s="1">
        <v>8739227785600</v>
      </c>
      <c r="I312">
        <f t="shared" si="4"/>
        <v>0</v>
      </c>
    </row>
    <row r="313" spans="1:10" x14ac:dyDescent="0.3">
      <c r="A313">
        <v>20160308</v>
      </c>
      <c r="B313" s="2" t="s">
        <v>9</v>
      </c>
      <c r="C313" s="8">
        <v>103100</v>
      </c>
      <c r="D313" s="8">
        <v>103200</v>
      </c>
      <c r="E313">
        <v>94736</v>
      </c>
      <c r="F313" s="9">
        <v>113019435</v>
      </c>
      <c r="G313" s="1">
        <v>11663605692000</v>
      </c>
      <c r="H313" s="1">
        <v>8747704243200</v>
      </c>
      <c r="I313">
        <f t="shared" si="4"/>
        <v>0</v>
      </c>
    </row>
    <row r="314" spans="1:10" x14ac:dyDescent="0.3">
      <c r="A314">
        <v>20160309</v>
      </c>
      <c r="B314" s="2" t="s">
        <v>9</v>
      </c>
      <c r="C314" s="8">
        <v>103200</v>
      </c>
      <c r="D314" s="8">
        <v>101600</v>
      </c>
      <c r="E314">
        <v>93268</v>
      </c>
      <c r="F314" s="9">
        <v>113019435</v>
      </c>
      <c r="G314" s="1">
        <v>11482774596000</v>
      </c>
      <c r="H314" s="1">
        <v>8612080921600</v>
      </c>
      <c r="I314">
        <f t="shared" si="4"/>
        <v>0</v>
      </c>
    </row>
    <row r="315" spans="1:10" x14ac:dyDescent="0.3">
      <c r="A315">
        <v>20160310</v>
      </c>
      <c r="B315" s="2" t="s">
        <v>9</v>
      </c>
      <c r="C315" s="8">
        <v>101600</v>
      </c>
      <c r="D315" s="8">
        <v>106000</v>
      </c>
      <c r="E315">
        <v>97307</v>
      </c>
      <c r="F315" s="9">
        <v>113019435</v>
      </c>
      <c r="G315" s="1">
        <v>11980060110000</v>
      </c>
      <c r="H315" s="1">
        <v>8985045056000</v>
      </c>
      <c r="I315">
        <f t="shared" si="4"/>
        <v>0</v>
      </c>
    </row>
    <row r="316" spans="1:10" x14ac:dyDescent="0.3">
      <c r="A316">
        <v>20160311</v>
      </c>
      <c r="B316" s="2" t="s">
        <v>9</v>
      </c>
      <c r="C316" s="8">
        <v>106000</v>
      </c>
      <c r="D316" s="8">
        <v>105000</v>
      </c>
      <c r="E316">
        <v>96389</v>
      </c>
      <c r="F316" s="9">
        <v>113019435</v>
      </c>
      <c r="G316" s="1">
        <v>11867040675000</v>
      </c>
      <c r="H316" s="1">
        <v>8900280480000</v>
      </c>
      <c r="I316">
        <f t="shared" si="4"/>
        <v>0</v>
      </c>
    </row>
    <row r="317" spans="1:10" x14ac:dyDescent="0.3">
      <c r="A317">
        <v>20160314</v>
      </c>
      <c r="B317" s="2" t="s">
        <v>9</v>
      </c>
      <c r="C317" s="8">
        <v>105000</v>
      </c>
      <c r="D317" s="8">
        <v>106000</v>
      </c>
      <c r="E317">
        <v>97307</v>
      </c>
      <c r="F317" s="9">
        <v>113019435</v>
      </c>
      <c r="G317" s="1">
        <v>11980060110000</v>
      </c>
      <c r="H317" s="1">
        <v>8985045056000</v>
      </c>
      <c r="I317">
        <f t="shared" si="4"/>
        <v>0</v>
      </c>
    </row>
    <row r="318" spans="1:10" x14ac:dyDescent="0.3">
      <c r="A318">
        <v>20160315</v>
      </c>
      <c r="B318" s="2" t="s">
        <v>9</v>
      </c>
      <c r="C318" s="8">
        <v>106000</v>
      </c>
      <c r="D318" s="8">
        <v>105600</v>
      </c>
      <c r="E318">
        <v>96938</v>
      </c>
      <c r="F318" s="9">
        <v>113019435</v>
      </c>
      <c r="G318" s="1">
        <v>11934852336000</v>
      </c>
      <c r="H318" s="1">
        <v>8951139225600</v>
      </c>
      <c r="I318">
        <f t="shared" si="4"/>
        <v>0</v>
      </c>
    </row>
    <row r="319" spans="1:10" x14ac:dyDescent="0.3">
      <c r="A319">
        <v>20160316</v>
      </c>
      <c r="B319" s="2" t="s">
        <v>9</v>
      </c>
      <c r="C319" s="8">
        <v>105600</v>
      </c>
      <c r="D319" s="8">
        <v>107500</v>
      </c>
      <c r="E319">
        <v>98683</v>
      </c>
      <c r="F319" s="9">
        <v>113019435</v>
      </c>
      <c r="G319" s="1">
        <v>12149589262500</v>
      </c>
      <c r="H319" s="1">
        <v>9112191920000</v>
      </c>
      <c r="I319">
        <f t="shared" si="4"/>
        <v>0</v>
      </c>
    </row>
    <row r="320" spans="1:10" x14ac:dyDescent="0.3">
      <c r="A320" s="8">
        <v>20160317</v>
      </c>
      <c r="B320" s="10" t="s">
        <v>9</v>
      </c>
      <c r="C320" s="8">
        <v>107500</v>
      </c>
      <c r="D320" s="8">
        <v>107000</v>
      </c>
      <c r="E320" s="8">
        <v>98224</v>
      </c>
      <c r="F320" s="9">
        <v>113031886</v>
      </c>
      <c r="G320" s="9">
        <v>12094411802000</v>
      </c>
      <c r="H320" s="9">
        <v>9070808798000</v>
      </c>
      <c r="I320" s="8">
        <f t="shared" si="4"/>
        <v>1</v>
      </c>
      <c r="J320" t="s">
        <v>39</v>
      </c>
    </row>
    <row r="321" spans="1:10" x14ac:dyDescent="0.3">
      <c r="A321">
        <v>20160318</v>
      </c>
      <c r="B321" s="2" t="s">
        <v>9</v>
      </c>
      <c r="C321" s="8">
        <v>107000</v>
      </c>
      <c r="D321" s="8">
        <v>108400</v>
      </c>
      <c r="E321">
        <v>99510</v>
      </c>
      <c r="F321" s="9">
        <v>113031886</v>
      </c>
      <c r="G321" s="1">
        <v>12252656442400</v>
      </c>
      <c r="H321" s="1">
        <v>9189492277600</v>
      </c>
      <c r="I321">
        <f t="shared" si="4"/>
        <v>0</v>
      </c>
    </row>
    <row r="322" spans="1:10" x14ac:dyDescent="0.3">
      <c r="A322" s="8">
        <v>20160321</v>
      </c>
      <c r="B322" s="10" t="s">
        <v>9</v>
      </c>
      <c r="C322" s="8">
        <v>108400</v>
      </c>
      <c r="D322" s="8">
        <v>107900</v>
      </c>
      <c r="E322" s="8">
        <v>99051</v>
      </c>
      <c r="F322" s="9">
        <v>113077544</v>
      </c>
      <c r="G322" s="9">
        <v>12201066997600</v>
      </c>
      <c r="H322" s="9">
        <v>9150800248200</v>
      </c>
      <c r="I322" s="8">
        <f t="shared" si="4"/>
        <v>1</v>
      </c>
      <c r="J322" t="s">
        <v>39</v>
      </c>
    </row>
    <row r="323" spans="1:10" x14ac:dyDescent="0.3">
      <c r="A323">
        <v>20160322</v>
      </c>
      <c r="B323" s="2" t="s">
        <v>9</v>
      </c>
      <c r="C323" s="8">
        <v>107900</v>
      </c>
      <c r="D323" s="8">
        <v>107900</v>
      </c>
      <c r="E323">
        <v>99051</v>
      </c>
      <c r="F323" s="9">
        <v>113077544</v>
      </c>
      <c r="G323" s="1">
        <v>12201066997600</v>
      </c>
      <c r="H323" s="1">
        <v>9150800248200</v>
      </c>
      <c r="I323">
        <f t="shared" ref="I323:I386" si="5">IF(C323*F323=D322*F322,0,1)</f>
        <v>0</v>
      </c>
    </row>
    <row r="324" spans="1:10" x14ac:dyDescent="0.3">
      <c r="A324">
        <v>20160323</v>
      </c>
      <c r="B324" s="2" t="s">
        <v>9</v>
      </c>
      <c r="C324" s="8">
        <v>107900</v>
      </c>
      <c r="D324" s="8">
        <v>107200</v>
      </c>
      <c r="E324">
        <v>98408</v>
      </c>
      <c r="F324" s="9">
        <v>113077544</v>
      </c>
      <c r="G324" s="1">
        <v>12121912716800</v>
      </c>
      <c r="H324" s="1">
        <v>9091434537600</v>
      </c>
      <c r="I324">
        <f t="shared" si="5"/>
        <v>0</v>
      </c>
    </row>
    <row r="325" spans="1:10" x14ac:dyDescent="0.3">
      <c r="A325" s="8">
        <v>20160324</v>
      </c>
      <c r="B325" s="10" t="s">
        <v>9</v>
      </c>
      <c r="C325" s="8">
        <v>107200</v>
      </c>
      <c r="D325" s="8">
        <v>106200</v>
      </c>
      <c r="E325" s="8">
        <v>97490</v>
      </c>
      <c r="F325" s="9">
        <v>113081694</v>
      </c>
      <c r="G325" s="9">
        <v>12009275902800</v>
      </c>
      <c r="H325" s="9">
        <v>9006956874000</v>
      </c>
      <c r="I325" s="8">
        <f t="shared" si="5"/>
        <v>1</v>
      </c>
      <c r="J325" t="s">
        <v>43</v>
      </c>
    </row>
    <row r="326" spans="1:10" x14ac:dyDescent="0.3">
      <c r="A326">
        <v>20160325</v>
      </c>
      <c r="B326" s="2" t="s">
        <v>9</v>
      </c>
      <c r="C326" s="8">
        <v>106200</v>
      </c>
      <c r="D326" s="8">
        <v>106500</v>
      </c>
      <c r="E326">
        <v>97766</v>
      </c>
      <c r="F326" s="9">
        <v>113081694</v>
      </c>
      <c r="G326" s="1">
        <v>12043200411000</v>
      </c>
      <c r="H326" s="1">
        <v>9032400255000</v>
      </c>
      <c r="I326">
        <f t="shared" si="5"/>
        <v>0</v>
      </c>
    </row>
    <row r="327" spans="1:10" x14ac:dyDescent="0.3">
      <c r="A327">
        <v>20160328</v>
      </c>
      <c r="B327" s="2" t="s">
        <v>9</v>
      </c>
      <c r="C327" s="8">
        <v>106500</v>
      </c>
      <c r="D327" s="8">
        <v>105500</v>
      </c>
      <c r="E327">
        <v>96847</v>
      </c>
      <c r="F327" s="9">
        <v>113081694</v>
      </c>
      <c r="G327" s="1">
        <v>11930118717000</v>
      </c>
      <c r="H327" s="1">
        <v>8947588985000</v>
      </c>
      <c r="I327">
        <f t="shared" si="5"/>
        <v>0</v>
      </c>
    </row>
    <row r="328" spans="1:10" x14ac:dyDescent="0.3">
      <c r="A328">
        <v>20160329</v>
      </c>
      <c r="B328" s="2" t="s">
        <v>9</v>
      </c>
      <c r="C328" s="8">
        <v>105500</v>
      </c>
      <c r="D328" s="8">
        <v>109500</v>
      </c>
      <c r="E328">
        <v>100520</v>
      </c>
      <c r="F328" s="9">
        <v>113081694</v>
      </c>
      <c r="G328" s="1">
        <v>12382445493000</v>
      </c>
      <c r="H328" s="1">
        <v>9286834065000</v>
      </c>
      <c r="I328">
        <f t="shared" si="5"/>
        <v>0</v>
      </c>
    </row>
    <row r="329" spans="1:10" x14ac:dyDescent="0.3">
      <c r="A329">
        <v>20160330</v>
      </c>
      <c r="B329" s="2" t="s">
        <v>9</v>
      </c>
      <c r="C329" s="8">
        <v>109500</v>
      </c>
      <c r="D329" s="8">
        <v>109700</v>
      </c>
      <c r="E329">
        <v>100703</v>
      </c>
      <c r="F329" s="9">
        <v>113081694</v>
      </c>
      <c r="G329" s="1">
        <v>12405061831800</v>
      </c>
      <c r="H329" s="1">
        <v>9303796319000</v>
      </c>
      <c r="I329">
        <f t="shared" si="5"/>
        <v>0</v>
      </c>
    </row>
    <row r="330" spans="1:10" x14ac:dyDescent="0.3">
      <c r="A330">
        <v>20160331</v>
      </c>
      <c r="B330" s="2" t="s">
        <v>9</v>
      </c>
      <c r="C330" s="8">
        <v>109700</v>
      </c>
      <c r="D330" s="8">
        <v>109800</v>
      </c>
      <c r="E330">
        <v>100795</v>
      </c>
      <c r="F330" s="9">
        <v>113081694</v>
      </c>
      <c r="G330" s="1">
        <v>12416370001200</v>
      </c>
      <c r="H330" s="1">
        <v>9312277446000</v>
      </c>
      <c r="I330">
        <f t="shared" si="5"/>
        <v>0</v>
      </c>
    </row>
    <row r="331" spans="1:10" x14ac:dyDescent="0.3">
      <c r="A331">
        <v>20160401</v>
      </c>
      <c r="B331" s="2" t="s">
        <v>9</v>
      </c>
      <c r="C331" s="8">
        <v>109800</v>
      </c>
      <c r="D331" s="8">
        <v>114400</v>
      </c>
      <c r="E331">
        <v>105018</v>
      </c>
      <c r="F331" s="9">
        <v>113081694</v>
      </c>
      <c r="G331" s="1">
        <v>12936545793600</v>
      </c>
      <c r="H331" s="1">
        <v>9702409288000</v>
      </c>
      <c r="I331">
        <f t="shared" si="5"/>
        <v>0</v>
      </c>
    </row>
    <row r="332" spans="1:10" x14ac:dyDescent="0.3">
      <c r="A332">
        <v>20160404</v>
      </c>
      <c r="B332" s="2" t="s">
        <v>9</v>
      </c>
      <c r="C332" s="8">
        <v>114400</v>
      </c>
      <c r="D332" s="8">
        <v>118000</v>
      </c>
      <c r="E332">
        <v>108322</v>
      </c>
      <c r="F332" s="9">
        <v>113081694</v>
      </c>
      <c r="G332" s="1">
        <v>13343639892000</v>
      </c>
      <c r="H332" s="1">
        <v>10007729860000</v>
      </c>
      <c r="I332">
        <f t="shared" si="5"/>
        <v>0</v>
      </c>
    </row>
    <row r="333" spans="1:10" x14ac:dyDescent="0.3">
      <c r="A333">
        <v>20160405</v>
      </c>
      <c r="B333" s="2" t="s">
        <v>9</v>
      </c>
      <c r="C333" s="8">
        <v>118000</v>
      </c>
      <c r="D333" s="8">
        <v>119000</v>
      </c>
      <c r="E333">
        <v>109241</v>
      </c>
      <c r="F333" s="9">
        <v>113081694</v>
      </c>
      <c r="G333" s="1">
        <v>13456721586000</v>
      </c>
      <c r="H333" s="1">
        <v>10092541130000</v>
      </c>
      <c r="I333">
        <f t="shared" si="5"/>
        <v>0</v>
      </c>
    </row>
    <row r="334" spans="1:10" x14ac:dyDescent="0.3">
      <c r="A334">
        <v>20160406</v>
      </c>
      <c r="B334" s="2" t="s">
        <v>9</v>
      </c>
      <c r="C334" s="8">
        <v>119000</v>
      </c>
      <c r="D334" s="8">
        <v>110300</v>
      </c>
      <c r="E334">
        <v>101253</v>
      </c>
      <c r="F334" s="9">
        <v>113081694</v>
      </c>
      <c r="G334" s="1">
        <v>12472910848200</v>
      </c>
      <c r="H334" s="1">
        <v>9354683081000</v>
      </c>
      <c r="I334">
        <f t="shared" si="5"/>
        <v>0</v>
      </c>
    </row>
    <row r="335" spans="1:10" x14ac:dyDescent="0.3">
      <c r="A335">
        <v>20160407</v>
      </c>
      <c r="B335" s="2" t="s">
        <v>9</v>
      </c>
      <c r="C335" s="8">
        <v>110300</v>
      </c>
      <c r="D335" s="8">
        <v>113900</v>
      </c>
      <c r="E335">
        <v>104558</v>
      </c>
      <c r="F335" s="9">
        <v>113081694</v>
      </c>
      <c r="G335" s="1">
        <v>12880004946600</v>
      </c>
      <c r="H335" s="1">
        <v>9660003653000</v>
      </c>
      <c r="I335">
        <f t="shared" si="5"/>
        <v>0</v>
      </c>
    </row>
    <row r="336" spans="1:10" x14ac:dyDescent="0.3">
      <c r="A336" s="8">
        <v>20160408</v>
      </c>
      <c r="B336" s="10" t="s">
        <v>9</v>
      </c>
      <c r="C336" s="8">
        <v>113900</v>
      </c>
      <c r="D336" s="8">
        <v>110900</v>
      </c>
      <c r="E336" s="8">
        <v>101805</v>
      </c>
      <c r="F336" s="9">
        <v>113100878</v>
      </c>
      <c r="G336" s="9">
        <v>12542887370200</v>
      </c>
      <c r="H336" s="9">
        <v>9407165472200</v>
      </c>
      <c r="I336" s="8">
        <f t="shared" si="5"/>
        <v>1</v>
      </c>
      <c r="J336" t="s">
        <v>39</v>
      </c>
    </row>
    <row r="337" spans="1:10" x14ac:dyDescent="0.3">
      <c r="A337">
        <v>20160411</v>
      </c>
      <c r="B337" s="2" t="s">
        <v>9</v>
      </c>
      <c r="C337" s="8">
        <v>110900</v>
      </c>
      <c r="D337" s="8">
        <v>107900</v>
      </c>
      <c r="E337">
        <v>99051</v>
      </c>
      <c r="F337" s="9">
        <v>113100878</v>
      </c>
      <c r="G337" s="1">
        <v>12203584736200</v>
      </c>
      <c r="H337" s="1">
        <v>9152688498200</v>
      </c>
      <c r="I337">
        <f t="shared" si="5"/>
        <v>0</v>
      </c>
    </row>
    <row r="338" spans="1:10" x14ac:dyDescent="0.3">
      <c r="A338">
        <v>20160412</v>
      </c>
      <c r="B338" s="2" t="s">
        <v>9</v>
      </c>
      <c r="C338" s="8">
        <v>107900</v>
      </c>
      <c r="D338" s="8">
        <v>107400</v>
      </c>
      <c r="E338">
        <v>98592</v>
      </c>
      <c r="F338" s="9">
        <v>113100878</v>
      </c>
      <c r="G338" s="1">
        <v>12147034297200</v>
      </c>
      <c r="H338" s="1">
        <v>9110275669200</v>
      </c>
      <c r="I338">
        <f t="shared" si="5"/>
        <v>0</v>
      </c>
    </row>
    <row r="339" spans="1:10" x14ac:dyDescent="0.3">
      <c r="A339">
        <v>20160414</v>
      </c>
      <c r="B339" s="2" t="s">
        <v>9</v>
      </c>
      <c r="C339" s="8">
        <v>107400</v>
      </c>
      <c r="D339" s="8">
        <v>110000</v>
      </c>
      <c r="E339">
        <v>100978</v>
      </c>
      <c r="F339" s="9">
        <v>113100878</v>
      </c>
      <c r="G339" s="1">
        <v>12441096580000</v>
      </c>
      <c r="H339" s="1">
        <v>9330822380000</v>
      </c>
      <c r="I339">
        <f t="shared" si="5"/>
        <v>0</v>
      </c>
    </row>
    <row r="340" spans="1:10" x14ac:dyDescent="0.3">
      <c r="A340" s="8">
        <v>20160415</v>
      </c>
      <c r="B340" s="10" t="s">
        <v>9</v>
      </c>
      <c r="C340" s="8">
        <v>110000</v>
      </c>
      <c r="D340" s="8">
        <v>108200</v>
      </c>
      <c r="E340" s="8">
        <v>99326</v>
      </c>
      <c r="F340" s="9">
        <v>116429228</v>
      </c>
      <c r="G340" s="9">
        <v>12597642469600</v>
      </c>
      <c r="H340" s="9">
        <v>9448231852200</v>
      </c>
      <c r="I340" s="8">
        <f t="shared" si="5"/>
        <v>1</v>
      </c>
      <c r="J340" t="s">
        <v>44</v>
      </c>
    </row>
    <row r="341" spans="1:10" x14ac:dyDescent="0.3">
      <c r="A341">
        <v>20160418</v>
      </c>
      <c r="B341" s="2" t="s">
        <v>9</v>
      </c>
      <c r="C341" s="8">
        <v>108200</v>
      </c>
      <c r="D341" s="8">
        <v>104900</v>
      </c>
      <c r="E341">
        <v>96296</v>
      </c>
      <c r="F341" s="9">
        <v>116429228</v>
      </c>
      <c r="G341" s="1">
        <v>12213426017200</v>
      </c>
      <c r="H341" s="1">
        <v>9160069512900</v>
      </c>
      <c r="I341">
        <f t="shared" si="5"/>
        <v>0</v>
      </c>
    </row>
    <row r="342" spans="1:10" x14ac:dyDescent="0.3">
      <c r="A342">
        <v>20160419</v>
      </c>
      <c r="B342" s="2" t="s">
        <v>9</v>
      </c>
      <c r="C342" s="8">
        <v>104900</v>
      </c>
      <c r="D342" s="8">
        <v>106000</v>
      </c>
      <c r="E342">
        <v>97307</v>
      </c>
      <c r="F342" s="9">
        <v>116429228</v>
      </c>
      <c r="G342" s="1">
        <v>12341498168000</v>
      </c>
      <c r="H342" s="1">
        <v>9256123626000</v>
      </c>
      <c r="I342">
        <f t="shared" si="5"/>
        <v>0</v>
      </c>
    </row>
    <row r="343" spans="1:10" x14ac:dyDescent="0.3">
      <c r="A343">
        <v>20160420</v>
      </c>
      <c r="B343" s="2" t="s">
        <v>9</v>
      </c>
      <c r="C343" s="8">
        <v>106000</v>
      </c>
      <c r="D343" s="8">
        <v>103500</v>
      </c>
      <c r="E343">
        <v>95011</v>
      </c>
      <c r="F343" s="9">
        <v>116429228</v>
      </c>
      <c r="G343" s="1">
        <v>12050425098000</v>
      </c>
      <c r="H343" s="1">
        <v>9037818823500</v>
      </c>
      <c r="I343">
        <f t="shared" si="5"/>
        <v>0</v>
      </c>
    </row>
    <row r="344" spans="1:10" x14ac:dyDescent="0.3">
      <c r="A344">
        <v>20160421</v>
      </c>
      <c r="B344" s="2" t="s">
        <v>9</v>
      </c>
      <c r="C344" s="8">
        <v>103500</v>
      </c>
      <c r="D344" s="8">
        <v>102300</v>
      </c>
      <c r="E344">
        <v>93911</v>
      </c>
      <c r="F344" s="9">
        <v>116429228</v>
      </c>
      <c r="G344" s="1">
        <v>11910710024400</v>
      </c>
      <c r="H344" s="1">
        <v>8933032518300</v>
      </c>
      <c r="I344">
        <f t="shared" si="5"/>
        <v>0</v>
      </c>
    </row>
    <row r="345" spans="1:10" x14ac:dyDescent="0.3">
      <c r="A345">
        <v>20160422</v>
      </c>
      <c r="B345" s="2" t="s">
        <v>9</v>
      </c>
      <c r="C345" s="8">
        <v>102300</v>
      </c>
      <c r="D345" s="8">
        <v>101200</v>
      </c>
      <c r="E345">
        <v>92900</v>
      </c>
      <c r="F345" s="9">
        <v>116429228</v>
      </c>
      <c r="G345" s="1">
        <v>11782637873600</v>
      </c>
      <c r="H345" s="1">
        <v>8836978405200</v>
      </c>
      <c r="I345">
        <f t="shared" si="5"/>
        <v>0</v>
      </c>
    </row>
    <row r="346" spans="1:10" x14ac:dyDescent="0.3">
      <c r="A346">
        <v>20160425</v>
      </c>
      <c r="B346" s="2" t="s">
        <v>9</v>
      </c>
      <c r="C346" s="8">
        <v>101200</v>
      </c>
      <c r="D346" s="8">
        <v>101400</v>
      </c>
      <c r="E346">
        <v>93083</v>
      </c>
      <c r="F346" s="9">
        <v>116429228</v>
      </c>
      <c r="G346" s="1">
        <v>11805923719200</v>
      </c>
      <c r="H346" s="1">
        <v>8854442789400</v>
      </c>
      <c r="I346">
        <f t="shared" si="5"/>
        <v>0</v>
      </c>
    </row>
    <row r="347" spans="1:10" x14ac:dyDescent="0.3">
      <c r="A347">
        <v>20160426</v>
      </c>
      <c r="B347" s="2" t="s">
        <v>9</v>
      </c>
      <c r="C347" s="8">
        <v>101400</v>
      </c>
      <c r="D347" s="8">
        <v>103700</v>
      </c>
      <c r="E347">
        <v>95196</v>
      </c>
      <c r="F347" s="9">
        <v>116429228</v>
      </c>
      <c r="G347" s="1">
        <v>12073710943600</v>
      </c>
      <c r="H347" s="1">
        <v>7364963667300</v>
      </c>
      <c r="I347">
        <f t="shared" si="5"/>
        <v>0</v>
      </c>
    </row>
    <row r="348" spans="1:10" x14ac:dyDescent="0.3">
      <c r="A348">
        <v>20160427</v>
      </c>
      <c r="B348" s="2" t="s">
        <v>9</v>
      </c>
      <c r="C348" s="8">
        <v>103700</v>
      </c>
      <c r="D348" s="8">
        <v>101600</v>
      </c>
      <c r="E348">
        <v>93268</v>
      </c>
      <c r="F348" s="9">
        <v>116429228</v>
      </c>
      <c r="G348" s="1">
        <v>11829209564800</v>
      </c>
      <c r="H348" s="1">
        <v>7215817826400</v>
      </c>
      <c r="I348">
        <f t="shared" si="5"/>
        <v>0</v>
      </c>
    </row>
    <row r="349" spans="1:10" x14ac:dyDescent="0.3">
      <c r="A349">
        <v>20160428</v>
      </c>
      <c r="B349" s="2" t="s">
        <v>9</v>
      </c>
      <c r="C349" s="8">
        <v>101600</v>
      </c>
      <c r="D349" s="8">
        <v>100700</v>
      </c>
      <c r="E349">
        <v>92441</v>
      </c>
      <c r="F349" s="9">
        <v>116429228</v>
      </c>
      <c r="G349" s="1">
        <v>11724423259600</v>
      </c>
      <c r="H349" s="1">
        <v>7151898180300</v>
      </c>
      <c r="I349">
        <f t="shared" si="5"/>
        <v>0</v>
      </c>
    </row>
    <row r="350" spans="1:10" x14ac:dyDescent="0.3">
      <c r="A350">
        <v>20160429</v>
      </c>
      <c r="B350" s="2" t="s">
        <v>9</v>
      </c>
      <c r="C350" s="8">
        <v>100700</v>
      </c>
      <c r="D350" s="8">
        <v>100600</v>
      </c>
      <c r="E350">
        <v>92349</v>
      </c>
      <c r="F350" s="9">
        <v>116429228</v>
      </c>
      <c r="G350" s="1">
        <v>11712780336800</v>
      </c>
      <c r="H350" s="1">
        <v>7144795997400</v>
      </c>
      <c r="I350">
        <f t="shared" si="5"/>
        <v>0</v>
      </c>
    </row>
    <row r="351" spans="1:10" x14ac:dyDescent="0.3">
      <c r="A351">
        <v>20160502</v>
      </c>
      <c r="B351" s="2" t="s">
        <v>9</v>
      </c>
      <c r="C351" s="8">
        <v>100600</v>
      </c>
      <c r="D351" s="8">
        <v>99100</v>
      </c>
      <c r="E351">
        <v>90972</v>
      </c>
      <c r="F351" s="9">
        <v>116429228</v>
      </c>
      <c r="G351" s="1">
        <v>11538136494800</v>
      </c>
      <c r="H351" s="1">
        <v>7038263253900</v>
      </c>
      <c r="I351">
        <f t="shared" si="5"/>
        <v>0</v>
      </c>
    </row>
    <row r="352" spans="1:10" x14ac:dyDescent="0.3">
      <c r="A352">
        <v>20160503</v>
      </c>
      <c r="B352" s="2" t="s">
        <v>9</v>
      </c>
      <c r="C352" s="8">
        <v>99100</v>
      </c>
      <c r="D352" s="8">
        <v>99600</v>
      </c>
      <c r="E352">
        <v>91432</v>
      </c>
      <c r="F352" s="9">
        <v>116429228</v>
      </c>
      <c r="G352" s="1">
        <v>11596351108800</v>
      </c>
      <c r="H352" s="1">
        <v>7073774168400</v>
      </c>
      <c r="I352">
        <f t="shared" si="5"/>
        <v>0</v>
      </c>
    </row>
    <row r="353" spans="1:10" x14ac:dyDescent="0.3">
      <c r="A353">
        <v>20160504</v>
      </c>
      <c r="B353" s="2" t="s">
        <v>9</v>
      </c>
      <c r="C353" s="8">
        <v>99600</v>
      </c>
      <c r="D353" s="8">
        <v>98900</v>
      </c>
      <c r="E353">
        <v>90789</v>
      </c>
      <c r="F353" s="9">
        <v>116429228</v>
      </c>
      <c r="G353" s="1">
        <v>11514850649200</v>
      </c>
      <c r="H353" s="1">
        <v>7024058888100</v>
      </c>
      <c r="I353">
        <f t="shared" si="5"/>
        <v>0</v>
      </c>
    </row>
    <row r="354" spans="1:10" x14ac:dyDescent="0.3">
      <c r="A354">
        <v>20160509</v>
      </c>
      <c r="B354" s="2" t="s">
        <v>9</v>
      </c>
      <c r="C354" s="8">
        <v>98900</v>
      </c>
      <c r="D354" s="8">
        <v>98200</v>
      </c>
      <c r="E354">
        <v>90146</v>
      </c>
      <c r="F354" s="9">
        <v>116429228</v>
      </c>
      <c r="G354" s="1">
        <v>11433350189600</v>
      </c>
      <c r="H354" s="1">
        <v>6974343607800</v>
      </c>
      <c r="I354">
        <f t="shared" si="5"/>
        <v>0</v>
      </c>
    </row>
    <row r="355" spans="1:10" x14ac:dyDescent="0.3">
      <c r="A355">
        <v>20160510</v>
      </c>
      <c r="B355" s="2" t="s">
        <v>9</v>
      </c>
      <c r="C355" s="8">
        <v>98200</v>
      </c>
      <c r="D355" s="8">
        <v>100000</v>
      </c>
      <c r="E355">
        <v>91798</v>
      </c>
      <c r="F355" s="9">
        <v>116429228</v>
      </c>
      <c r="G355" s="1">
        <v>11642922800000</v>
      </c>
      <c r="H355" s="1">
        <v>7102182900000</v>
      </c>
      <c r="I355">
        <f t="shared" si="5"/>
        <v>0</v>
      </c>
    </row>
    <row r="356" spans="1:10" x14ac:dyDescent="0.3">
      <c r="A356">
        <v>20160511</v>
      </c>
      <c r="B356" s="2" t="s">
        <v>9</v>
      </c>
      <c r="C356" s="8">
        <v>100000</v>
      </c>
      <c r="D356" s="8">
        <v>100000</v>
      </c>
      <c r="E356">
        <v>91798</v>
      </c>
      <c r="F356" s="9">
        <v>116429228</v>
      </c>
      <c r="G356" s="1">
        <v>11642922800000</v>
      </c>
      <c r="H356" s="1">
        <v>7102182900000</v>
      </c>
      <c r="I356">
        <f t="shared" si="5"/>
        <v>0</v>
      </c>
    </row>
    <row r="357" spans="1:10" x14ac:dyDescent="0.3">
      <c r="A357">
        <v>20160512</v>
      </c>
      <c r="B357" s="2" t="s">
        <v>9</v>
      </c>
      <c r="C357" s="8">
        <v>100000</v>
      </c>
      <c r="D357" s="8">
        <v>100400</v>
      </c>
      <c r="E357">
        <v>92166</v>
      </c>
      <c r="F357" s="9">
        <v>116429228</v>
      </c>
      <c r="G357" s="1">
        <v>11689494491200</v>
      </c>
      <c r="H357" s="1">
        <v>7130591631600</v>
      </c>
      <c r="I357">
        <f t="shared" si="5"/>
        <v>0</v>
      </c>
    </row>
    <row r="358" spans="1:10" x14ac:dyDescent="0.3">
      <c r="A358">
        <v>20160513</v>
      </c>
      <c r="B358" s="2" t="s">
        <v>9</v>
      </c>
      <c r="C358" s="8">
        <v>100400</v>
      </c>
      <c r="D358" s="8">
        <v>100000</v>
      </c>
      <c r="E358">
        <v>91798</v>
      </c>
      <c r="F358" s="9">
        <v>116429228</v>
      </c>
      <c r="G358" s="1">
        <v>11642922800000</v>
      </c>
      <c r="H358" s="1">
        <v>7102182900000</v>
      </c>
      <c r="I358">
        <f t="shared" si="5"/>
        <v>0</v>
      </c>
    </row>
    <row r="359" spans="1:10" x14ac:dyDescent="0.3">
      <c r="A359" s="8">
        <v>20160516</v>
      </c>
      <c r="B359" s="10" t="s">
        <v>9</v>
      </c>
      <c r="C359" s="8">
        <v>100000</v>
      </c>
      <c r="D359" s="8">
        <v>98900</v>
      </c>
      <c r="E359" s="8">
        <v>90789</v>
      </c>
      <c r="F359" s="9">
        <v>116589842</v>
      </c>
      <c r="G359" s="9">
        <v>11530735373800</v>
      </c>
      <c r="H359" s="9">
        <v>7033748516700</v>
      </c>
      <c r="I359" s="8">
        <f t="shared" si="5"/>
        <v>1</v>
      </c>
      <c r="J359" t="s">
        <v>37</v>
      </c>
    </row>
    <row r="360" spans="1:10" x14ac:dyDescent="0.3">
      <c r="A360">
        <v>20160517</v>
      </c>
      <c r="B360" s="2" t="s">
        <v>9</v>
      </c>
      <c r="C360" s="8">
        <v>98900</v>
      </c>
      <c r="D360" s="8">
        <v>95100</v>
      </c>
      <c r="E360">
        <v>87300</v>
      </c>
      <c r="F360" s="9">
        <v>116589842</v>
      </c>
      <c r="G360" s="1">
        <v>11087693974200</v>
      </c>
      <c r="H360" s="1">
        <v>6763493265300</v>
      </c>
      <c r="I360">
        <f t="shared" si="5"/>
        <v>0</v>
      </c>
    </row>
    <row r="361" spans="1:10" x14ac:dyDescent="0.3">
      <c r="A361">
        <v>20160518</v>
      </c>
      <c r="B361" s="2" t="s">
        <v>9</v>
      </c>
      <c r="C361" s="8">
        <v>95100</v>
      </c>
      <c r="D361" s="8">
        <v>90200</v>
      </c>
      <c r="E361">
        <v>82802</v>
      </c>
      <c r="F361" s="9">
        <v>116589842</v>
      </c>
      <c r="G361" s="1">
        <v>10516403748400</v>
      </c>
      <c r="H361" s="1">
        <v>6415006230600</v>
      </c>
      <c r="I361">
        <f t="shared" si="5"/>
        <v>0</v>
      </c>
    </row>
    <row r="362" spans="1:10" x14ac:dyDescent="0.3">
      <c r="A362">
        <v>20160519</v>
      </c>
      <c r="B362" s="2" t="s">
        <v>9</v>
      </c>
      <c r="C362" s="8">
        <v>90200</v>
      </c>
      <c r="D362" s="8">
        <v>92800</v>
      </c>
      <c r="E362">
        <v>85188</v>
      </c>
      <c r="F362" s="9">
        <v>116589842</v>
      </c>
      <c r="G362" s="1">
        <v>10819537337600</v>
      </c>
      <c r="H362" s="1">
        <v>6599917718400</v>
      </c>
      <c r="I362">
        <f t="shared" si="5"/>
        <v>0</v>
      </c>
    </row>
    <row r="363" spans="1:10" x14ac:dyDescent="0.3">
      <c r="A363">
        <v>20160520</v>
      </c>
      <c r="B363" s="2" t="s">
        <v>9</v>
      </c>
      <c r="C363" s="8">
        <v>92800</v>
      </c>
      <c r="D363" s="8">
        <v>93900</v>
      </c>
      <c r="E363">
        <v>86199</v>
      </c>
      <c r="F363" s="9">
        <v>116589842</v>
      </c>
      <c r="G363" s="1">
        <v>10947786163800</v>
      </c>
      <c r="H363" s="1">
        <v>6678149501700</v>
      </c>
      <c r="I363">
        <f t="shared" si="5"/>
        <v>0</v>
      </c>
    </row>
    <row r="364" spans="1:10" x14ac:dyDescent="0.3">
      <c r="A364">
        <v>20160523</v>
      </c>
      <c r="B364" s="2" t="s">
        <v>9</v>
      </c>
      <c r="C364" s="8">
        <v>93900</v>
      </c>
      <c r="D364" s="8">
        <v>94100</v>
      </c>
      <c r="E364">
        <v>86382</v>
      </c>
      <c r="F364" s="9">
        <v>116589842</v>
      </c>
      <c r="G364" s="1">
        <v>10971104132200</v>
      </c>
      <c r="H364" s="1">
        <v>6692373462300</v>
      </c>
      <c r="I364">
        <f t="shared" si="5"/>
        <v>0</v>
      </c>
    </row>
    <row r="365" spans="1:10" x14ac:dyDescent="0.3">
      <c r="A365">
        <v>20160524</v>
      </c>
      <c r="B365" s="2" t="s">
        <v>9</v>
      </c>
      <c r="C365" s="8">
        <v>94100</v>
      </c>
      <c r="D365" s="8">
        <v>93100</v>
      </c>
      <c r="E365">
        <v>85464</v>
      </c>
      <c r="F365" s="9">
        <v>116589842</v>
      </c>
      <c r="G365" s="1">
        <v>10854514290200</v>
      </c>
      <c r="H365" s="1">
        <v>6621253659300</v>
      </c>
      <c r="I365">
        <f t="shared" si="5"/>
        <v>0</v>
      </c>
    </row>
    <row r="366" spans="1:10" x14ac:dyDescent="0.3">
      <c r="A366">
        <v>20160525</v>
      </c>
      <c r="B366" s="2" t="s">
        <v>9</v>
      </c>
      <c r="C366" s="8">
        <v>93100</v>
      </c>
      <c r="D366" s="8">
        <v>98800</v>
      </c>
      <c r="E366">
        <v>90697</v>
      </c>
      <c r="F366" s="9">
        <v>116589842</v>
      </c>
      <c r="G366" s="1">
        <v>11519076389600</v>
      </c>
      <c r="H366" s="1">
        <v>7026636536400</v>
      </c>
      <c r="I366">
        <f t="shared" si="5"/>
        <v>0</v>
      </c>
    </row>
    <row r="367" spans="1:10" x14ac:dyDescent="0.3">
      <c r="A367">
        <v>20160526</v>
      </c>
      <c r="B367" s="2" t="s">
        <v>9</v>
      </c>
      <c r="C367" s="8">
        <v>98800</v>
      </c>
      <c r="D367" s="8">
        <v>95300</v>
      </c>
      <c r="E367">
        <v>87484</v>
      </c>
      <c r="F367" s="9">
        <v>116589842</v>
      </c>
      <c r="G367" s="1">
        <v>11111011942600</v>
      </c>
      <c r="H367" s="1">
        <v>6777717225900</v>
      </c>
      <c r="I367">
        <f t="shared" si="5"/>
        <v>0</v>
      </c>
    </row>
    <row r="368" spans="1:10" x14ac:dyDescent="0.3">
      <c r="A368">
        <v>20160527</v>
      </c>
      <c r="B368" s="2" t="s">
        <v>9</v>
      </c>
      <c r="C368" s="8">
        <v>95300</v>
      </c>
      <c r="D368" s="8">
        <v>96700</v>
      </c>
      <c r="E368">
        <v>88769</v>
      </c>
      <c r="F368" s="9">
        <v>116589842</v>
      </c>
      <c r="G368" s="1">
        <v>11274237721400</v>
      </c>
      <c r="H368" s="1">
        <v>6877284950100</v>
      </c>
      <c r="I368">
        <f t="shared" si="5"/>
        <v>0</v>
      </c>
    </row>
    <row r="369" spans="1:9" x14ac:dyDescent="0.3">
      <c r="A369">
        <v>20160530</v>
      </c>
      <c r="B369" s="2" t="s">
        <v>9</v>
      </c>
      <c r="C369" s="8">
        <v>96700</v>
      </c>
      <c r="D369" s="8">
        <v>97100</v>
      </c>
      <c r="E369">
        <v>89136</v>
      </c>
      <c r="F369" s="9">
        <v>116589842</v>
      </c>
      <c r="G369" s="1">
        <v>11320873658200</v>
      </c>
      <c r="H369" s="1">
        <v>6905732871300</v>
      </c>
      <c r="I369">
        <f t="shared" si="5"/>
        <v>0</v>
      </c>
    </row>
    <row r="370" spans="1:9" x14ac:dyDescent="0.3">
      <c r="A370">
        <v>20160531</v>
      </c>
      <c r="B370" s="2" t="s">
        <v>9</v>
      </c>
      <c r="C370" s="8">
        <v>97100</v>
      </c>
      <c r="D370" s="8">
        <v>99100</v>
      </c>
      <c r="E370">
        <v>90972</v>
      </c>
      <c r="F370" s="9">
        <v>116589842</v>
      </c>
      <c r="G370" s="1">
        <v>11554053342200</v>
      </c>
      <c r="H370" s="1">
        <v>7047972477300</v>
      </c>
      <c r="I370">
        <f t="shared" si="5"/>
        <v>0</v>
      </c>
    </row>
    <row r="371" spans="1:9" x14ac:dyDescent="0.3">
      <c r="A371">
        <v>20160601</v>
      </c>
      <c r="B371" s="2" t="s">
        <v>9</v>
      </c>
      <c r="C371" s="8">
        <v>99100</v>
      </c>
      <c r="D371" s="8">
        <v>98700</v>
      </c>
      <c r="E371">
        <v>90606</v>
      </c>
      <c r="F371" s="9">
        <v>116589842</v>
      </c>
      <c r="G371" s="1">
        <v>11507417405400</v>
      </c>
      <c r="H371" s="1">
        <v>7019524556100</v>
      </c>
      <c r="I371">
        <f t="shared" si="5"/>
        <v>0</v>
      </c>
    </row>
    <row r="372" spans="1:9" x14ac:dyDescent="0.3">
      <c r="A372">
        <v>20160602</v>
      </c>
      <c r="B372" s="2" t="s">
        <v>9</v>
      </c>
      <c r="C372" s="8">
        <v>98700</v>
      </c>
      <c r="D372" s="8">
        <v>98200</v>
      </c>
      <c r="E372">
        <v>90146</v>
      </c>
      <c r="F372" s="9">
        <v>116589842</v>
      </c>
      <c r="G372" s="1">
        <v>11449122484400</v>
      </c>
      <c r="H372" s="1">
        <v>6983964654600</v>
      </c>
      <c r="I372">
        <f t="shared" si="5"/>
        <v>0</v>
      </c>
    </row>
    <row r="373" spans="1:9" x14ac:dyDescent="0.3">
      <c r="A373">
        <v>20160603</v>
      </c>
      <c r="B373" s="2" t="s">
        <v>9</v>
      </c>
      <c r="C373" s="8">
        <v>98200</v>
      </c>
      <c r="D373" s="8">
        <v>97200</v>
      </c>
      <c r="E373">
        <v>89228</v>
      </c>
      <c r="F373" s="9">
        <v>116589842</v>
      </c>
      <c r="G373" s="1">
        <v>11332532642400</v>
      </c>
      <c r="H373" s="1">
        <v>6912844851600</v>
      </c>
      <c r="I373">
        <f t="shared" si="5"/>
        <v>0</v>
      </c>
    </row>
    <row r="374" spans="1:9" x14ac:dyDescent="0.3">
      <c r="A374">
        <v>20160607</v>
      </c>
      <c r="B374" s="2" t="s">
        <v>9</v>
      </c>
      <c r="C374" s="8">
        <v>97200</v>
      </c>
      <c r="D374" s="8">
        <v>97200</v>
      </c>
      <c r="E374">
        <v>89228</v>
      </c>
      <c r="F374" s="9">
        <v>116589842</v>
      </c>
      <c r="G374" s="1">
        <v>11332532642400</v>
      </c>
      <c r="H374" s="1">
        <v>6912844851600</v>
      </c>
      <c r="I374">
        <f t="shared" si="5"/>
        <v>0</v>
      </c>
    </row>
    <row r="375" spans="1:9" x14ac:dyDescent="0.3">
      <c r="A375">
        <v>20160608</v>
      </c>
      <c r="B375" s="2" t="s">
        <v>9</v>
      </c>
      <c r="C375" s="8">
        <v>97200</v>
      </c>
      <c r="D375" s="8">
        <v>96200</v>
      </c>
      <c r="E375">
        <v>88311</v>
      </c>
      <c r="F375" s="9">
        <v>116589842</v>
      </c>
      <c r="G375" s="1">
        <v>11215942800400</v>
      </c>
      <c r="H375" s="1">
        <v>6841725048600</v>
      </c>
      <c r="I375">
        <f t="shared" si="5"/>
        <v>0</v>
      </c>
    </row>
    <row r="376" spans="1:9" x14ac:dyDescent="0.3">
      <c r="A376">
        <v>20160609</v>
      </c>
      <c r="B376" s="2" t="s">
        <v>9</v>
      </c>
      <c r="C376" s="8">
        <v>96200</v>
      </c>
      <c r="D376" s="8">
        <v>98200</v>
      </c>
      <c r="E376">
        <v>90146</v>
      </c>
      <c r="F376" s="9">
        <v>116589842</v>
      </c>
      <c r="G376" s="1">
        <v>11449122484400</v>
      </c>
      <c r="H376" s="1">
        <v>6983964654600</v>
      </c>
      <c r="I376">
        <f t="shared" si="5"/>
        <v>0</v>
      </c>
    </row>
    <row r="377" spans="1:9" x14ac:dyDescent="0.3">
      <c r="A377">
        <v>20160610</v>
      </c>
      <c r="B377" s="2" t="s">
        <v>9</v>
      </c>
      <c r="C377" s="8">
        <v>98200</v>
      </c>
      <c r="D377" s="8">
        <v>98300</v>
      </c>
      <c r="E377">
        <v>90238</v>
      </c>
      <c r="F377" s="9">
        <v>116589842</v>
      </c>
      <c r="G377" s="1">
        <v>11460781468600</v>
      </c>
      <c r="H377" s="1">
        <v>6991076634900</v>
      </c>
      <c r="I377">
        <f t="shared" si="5"/>
        <v>0</v>
      </c>
    </row>
    <row r="378" spans="1:9" x14ac:dyDescent="0.3">
      <c r="A378">
        <v>20160613</v>
      </c>
      <c r="B378" s="2" t="s">
        <v>9</v>
      </c>
      <c r="C378" s="8">
        <v>98300</v>
      </c>
      <c r="D378" s="8">
        <v>96100</v>
      </c>
      <c r="E378">
        <v>88218</v>
      </c>
      <c r="F378" s="9">
        <v>116589842</v>
      </c>
      <c r="G378" s="1">
        <v>11204283816200</v>
      </c>
      <c r="H378" s="1">
        <v>6834613068300</v>
      </c>
      <c r="I378">
        <f t="shared" si="5"/>
        <v>0</v>
      </c>
    </row>
    <row r="379" spans="1:9" x14ac:dyDescent="0.3">
      <c r="A379">
        <v>20160614</v>
      </c>
      <c r="B379" s="2" t="s">
        <v>9</v>
      </c>
      <c r="C379" s="8">
        <v>96100</v>
      </c>
      <c r="D379" s="8">
        <v>95100</v>
      </c>
      <c r="E379">
        <v>87300</v>
      </c>
      <c r="F379" s="9">
        <v>116589842</v>
      </c>
      <c r="G379" s="1">
        <v>11087693974200</v>
      </c>
      <c r="H379" s="1">
        <v>6763493265300</v>
      </c>
      <c r="I379">
        <f t="shared" si="5"/>
        <v>0</v>
      </c>
    </row>
    <row r="380" spans="1:9" x14ac:dyDescent="0.3">
      <c r="A380">
        <v>20160615</v>
      </c>
      <c r="B380" s="2" t="s">
        <v>9</v>
      </c>
      <c r="C380" s="8">
        <v>95100</v>
      </c>
      <c r="D380" s="8">
        <v>94500</v>
      </c>
      <c r="E380">
        <v>86750</v>
      </c>
      <c r="F380" s="9">
        <v>116589842</v>
      </c>
      <c r="G380" s="1">
        <v>11017740069000</v>
      </c>
      <c r="H380" s="1">
        <v>6720821383500</v>
      </c>
      <c r="I380">
        <f t="shared" si="5"/>
        <v>0</v>
      </c>
    </row>
    <row r="381" spans="1:9" x14ac:dyDescent="0.3">
      <c r="A381">
        <v>20160616</v>
      </c>
      <c r="B381" s="2" t="s">
        <v>9</v>
      </c>
      <c r="C381" s="8">
        <v>94500</v>
      </c>
      <c r="D381" s="8">
        <v>94200</v>
      </c>
      <c r="E381">
        <v>86474</v>
      </c>
      <c r="F381" s="9">
        <v>116589842</v>
      </c>
      <c r="G381" s="1">
        <v>10982763116400</v>
      </c>
      <c r="H381" s="1">
        <v>6699485442600</v>
      </c>
      <c r="I381">
        <f t="shared" si="5"/>
        <v>0</v>
      </c>
    </row>
    <row r="382" spans="1:9" x14ac:dyDescent="0.3">
      <c r="A382">
        <v>20160617</v>
      </c>
      <c r="B382" s="2" t="s">
        <v>9</v>
      </c>
      <c r="C382" s="8">
        <v>94200</v>
      </c>
      <c r="D382" s="8">
        <v>93200</v>
      </c>
      <c r="E382">
        <v>85557</v>
      </c>
      <c r="F382" s="9">
        <v>116589842</v>
      </c>
      <c r="G382" s="1">
        <v>10866173274400</v>
      </c>
      <c r="H382" s="1">
        <v>6628365639600</v>
      </c>
      <c r="I382">
        <f t="shared" si="5"/>
        <v>0</v>
      </c>
    </row>
    <row r="383" spans="1:9" x14ac:dyDescent="0.3">
      <c r="A383">
        <v>20160620</v>
      </c>
      <c r="B383" s="2" t="s">
        <v>9</v>
      </c>
      <c r="C383" s="8">
        <v>93200</v>
      </c>
      <c r="D383" s="8">
        <v>94500</v>
      </c>
      <c r="E383">
        <v>86750</v>
      </c>
      <c r="F383" s="9">
        <v>116589842</v>
      </c>
      <c r="G383" s="1">
        <v>11017740069000</v>
      </c>
      <c r="H383" s="1">
        <v>6720821383500</v>
      </c>
      <c r="I383">
        <f t="shared" si="5"/>
        <v>0</v>
      </c>
    </row>
    <row r="384" spans="1:9" x14ac:dyDescent="0.3">
      <c r="A384">
        <v>20160621</v>
      </c>
      <c r="B384" s="2" t="s">
        <v>9</v>
      </c>
      <c r="C384" s="8">
        <v>94500</v>
      </c>
      <c r="D384" s="8">
        <v>95000</v>
      </c>
      <c r="E384">
        <v>87208</v>
      </c>
      <c r="F384" s="9">
        <v>116589842</v>
      </c>
      <c r="G384" s="1">
        <v>11076034990000</v>
      </c>
      <c r="H384" s="1">
        <v>6756381285000</v>
      </c>
      <c r="I384">
        <f t="shared" si="5"/>
        <v>0</v>
      </c>
    </row>
    <row r="385" spans="1:9" x14ac:dyDescent="0.3">
      <c r="A385">
        <v>20160622</v>
      </c>
      <c r="B385" s="2" t="s">
        <v>9</v>
      </c>
      <c r="C385" s="8">
        <v>95000</v>
      </c>
      <c r="D385" s="8">
        <v>96100</v>
      </c>
      <c r="E385">
        <v>88218</v>
      </c>
      <c r="F385" s="9">
        <v>116589842</v>
      </c>
      <c r="G385" s="1">
        <v>11204283816200</v>
      </c>
      <c r="H385" s="1">
        <v>6834613068300</v>
      </c>
      <c r="I385">
        <f t="shared" si="5"/>
        <v>0</v>
      </c>
    </row>
    <row r="386" spans="1:9" x14ac:dyDescent="0.3">
      <c r="A386">
        <v>20160623</v>
      </c>
      <c r="B386" s="2" t="s">
        <v>9</v>
      </c>
      <c r="C386" s="8">
        <v>96100</v>
      </c>
      <c r="D386" s="8">
        <v>95100</v>
      </c>
      <c r="E386">
        <v>87300</v>
      </c>
      <c r="F386" s="9">
        <v>116589842</v>
      </c>
      <c r="G386" s="1">
        <v>11087693974200</v>
      </c>
      <c r="H386" s="1">
        <v>6763493265300</v>
      </c>
      <c r="I386">
        <f t="shared" si="5"/>
        <v>0</v>
      </c>
    </row>
    <row r="387" spans="1:9" x14ac:dyDescent="0.3">
      <c r="A387">
        <v>20160624</v>
      </c>
      <c r="B387" s="2" t="s">
        <v>9</v>
      </c>
      <c r="C387" s="8">
        <v>95100</v>
      </c>
      <c r="D387" s="8">
        <v>91100</v>
      </c>
      <c r="E387">
        <v>83628</v>
      </c>
      <c r="F387" s="9">
        <v>116589842</v>
      </c>
      <c r="G387" s="1">
        <v>10621334606200</v>
      </c>
      <c r="H387" s="1">
        <v>6479014053300</v>
      </c>
      <c r="I387">
        <f t="shared" ref="I387:I450" si="6">IF(C387*F387=D386*F386,0,1)</f>
        <v>0</v>
      </c>
    </row>
    <row r="388" spans="1:9" x14ac:dyDescent="0.3">
      <c r="A388">
        <v>20160627</v>
      </c>
      <c r="B388" s="2" t="s">
        <v>9</v>
      </c>
      <c r="C388" s="8">
        <v>91100</v>
      </c>
      <c r="D388" s="8">
        <v>92100</v>
      </c>
      <c r="E388">
        <v>84546</v>
      </c>
      <c r="F388" s="9">
        <v>116589842</v>
      </c>
      <c r="G388" s="1">
        <v>10737924448200</v>
      </c>
      <c r="H388" s="1">
        <v>6550133856300</v>
      </c>
      <c r="I388">
        <f t="shared" si="6"/>
        <v>0</v>
      </c>
    </row>
    <row r="389" spans="1:9" x14ac:dyDescent="0.3">
      <c r="A389">
        <v>20160628</v>
      </c>
      <c r="B389" s="2" t="s">
        <v>9</v>
      </c>
      <c r="C389" s="8">
        <v>92100</v>
      </c>
      <c r="D389" s="8">
        <v>94100</v>
      </c>
      <c r="E389">
        <v>86382</v>
      </c>
      <c r="F389" s="9">
        <v>116589842</v>
      </c>
      <c r="G389" s="1">
        <v>10971104132200</v>
      </c>
      <c r="H389" s="1">
        <v>6692373462300</v>
      </c>
      <c r="I389">
        <f t="shared" si="6"/>
        <v>0</v>
      </c>
    </row>
    <row r="390" spans="1:9" x14ac:dyDescent="0.3">
      <c r="A390">
        <v>20160629</v>
      </c>
      <c r="B390" s="2" t="s">
        <v>9</v>
      </c>
      <c r="C390" s="8">
        <v>94100</v>
      </c>
      <c r="D390" s="8">
        <v>94400</v>
      </c>
      <c r="E390">
        <v>86657</v>
      </c>
      <c r="F390" s="9">
        <v>116589842</v>
      </c>
      <c r="G390" s="1">
        <v>11006081084800</v>
      </c>
      <c r="H390" s="1">
        <v>6713709403200</v>
      </c>
      <c r="I390">
        <f t="shared" si="6"/>
        <v>0</v>
      </c>
    </row>
    <row r="391" spans="1:9" x14ac:dyDescent="0.3">
      <c r="A391">
        <v>20160630</v>
      </c>
      <c r="B391" s="2" t="s">
        <v>9</v>
      </c>
      <c r="C391" s="8">
        <v>94400</v>
      </c>
      <c r="D391" s="8">
        <v>96100</v>
      </c>
      <c r="E391">
        <v>88218</v>
      </c>
      <c r="F391" s="9">
        <v>116589842</v>
      </c>
      <c r="G391" s="1">
        <v>11204283816200</v>
      </c>
      <c r="H391" s="1">
        <v>6834613068300</v>
      </c>
      <c r="I391">
        <f t="shared" si="6"/>
        <v>0</v>
      </c>
    </row>
    <row r="392" spans="1:9" x14ac:dyDescent="0.3">
      <c r="A392">
        <v>20160701</v>
      </c>
      <c r="B392" s="2" t="s">
        <v>9</v>
      </c>
      <c r="C392" s="8">
        <v>96100</v>
      </c>
      <c r="D392" s="8">
        <v>98800</v>
      </c>
      <c r="E392">
        <v>90697</v>
      </c>
      <c r="F392" s="9">
        <v>116589842</v>
      </c>
      <c r="G392" s="1">
        <v>11519076389600</v>
      </c>
      <c r="H392" s="1">
        <v>7026636536400</v>
      </c>
      <c r="I392">
        <f t="shared" si="6"/>
        <v>0</v>
      </c>
    </row>
    <row r="393" spans="1:9" x14ac:dyDescent="0.3">
      <c r="A393">
        <v>20160704</v>
      </c>
      <c r="B393" s="2" t="s">
        <v>9</v>
      </c>
      <c r="C393" s="8">
        <v>98800</v>
      </c>
      <c r="D393" s="8">
        <v>99400</v>
      </c>
      <c r="E393">
        <v>91248</v>
      </c>
      <c r="F393" s="9">
        <v>116589842</v>
      </c>
      <c r="G393" s="1">
        <v>11589030294800</v>
      </c>
      <c r="H393" s="1">
        <v>7069308418200</v>
      </c>
      <c r="I393">
        <f t="shared" si="6"/>
        <v>0</v>
      </c>
    </row>
    <row r="394" spans="1:9" x14ac:dyDescent="0.3">
      <c r="A394">
        <v>20160705</v>
      </c>
      <c r="B394" s="2" t="s">
        <v>9</v>
      </c>
      <c r="C394" s="8">
        <v>99400</v>
      </c>
      <c r="D394" s="8">
        <v>102900</v>
      </c>
      <c r="E394">
        <v>94461</v>
      </c>
      <c r="F394" s="9">
        <v>116589842</v>
      </c>
      <c r="G394" s="1">
        <v>11997094741800</v>
      </c>
      <c r="H394" s="1">
        <v>7318227728700</v>
      </c>
      <c r="I394">
        <f t="shared" si="6"/>
        <v>0</v>
      </c>
    </row>
    <row r="395" spans="1:9" x14ac:dyDescent="0.3">
      <c r="A395">
        <v>20160706</v>
      </c>
      <c r="B395" s="2" t="s">
        <v>9</v>
      </c>
      <c r="C395" s="8">
        <v>102900</v>
      </c>
      <c r="D395" s="8">
        <v>99100</v>
      </c>
      <c r="E395">
        <v>90972</v>
      </c>
      <c r="F395" s="9">
        <v>116589842</v>
      </c>
      <c r="G395" s="1">
        <v>11554053342200</v>
      </c>
      <c r="H395" s="1">
        <v>7047972477300</v>
      </c>
      <c r="I395">
        <f t="shared" si="6"/>
        <v>0</v>
      </c>
    </row>
    <row r="396" spans="1:9" x14ac:dyDescent="0.3">
      <c r="A396">
        <v>20160707</v>
      </c>
      <c r="B396" s="2" t="s">
        <v>9</v>
      </c>
      <c r="C396" s="8">
        <v>99100</v>
      </c>
      <c r="D396" s="8">
        <v>100200</v>
      </c>
      <c r="E396">
        <v>91982</v>
      </c>
      <c r="F396" s="9">
        <v>116589842</v>
      </c>
      <c r="G396" s="1">
        <v>11682302168400</v>
      </c>
      <c r="H396" s="1">
        <v>7126204260600</v>
      </c>
      <c r="I396">
        <f t="shared" si="6"/>
        <v>0</v>
      </c>
    </row>
    <row r="397" spans="1:9" x14ac:dyDescent="0.3">
      <c r="A397">
        <v>20160708</v>
      </c>
      <c r="B397" s="2" t="s">
        <v>9</v>
      </c>
      <c r="C397" s="8">
        <v>100200</v>
      </c>
      <c r="D397" s="8">
        <v>99900</v>
      </c>
      <c r="E397">
        <v>91707</v>
      </c>
      <c r="F397" s="9">
        <v>116589842</v>
      </c>
      <c r="G397" s="1">
        <v>11647325215800</v>
      </c>
      <c r="H397" s="1">
        <v>7104868319700</v>
      </c>
      <c r="I397">
        <f t="shared" si="6"/>
        <v>0</v>
      </c>
    </row>
    <row r="398" spans="1:9" x14ac:dyDescent="0.3">
      <c r="A398">
        <v>20160711</v>
      </c>
      <c r="B398" s="2" t="s">
        <v>9</v>
      </c>
      <c r="C398" s="8">
        <v>99900</v>
      </c>
      <c r="D398" s="8">
        <v>100200</v>
      </c>
      <c r="E398">
        <v>91982</v>
      </c>
      <c r="F398" s="9">
        <v>116589842</v>
      </c>
      <c r="G398" s="1">
        <v>11682302168400</v>
      </c>
      <c r="H398" s="1">
        <v>7126204260600</v>
      </c>
      <c r="I398">
        <f t="shared" si="6"/>
        <v>0</v>
      </c>
    </row>
    <row r="399" spans="1:9" x14ac:dyDescent="0.3">
      <c r="A399">
        <v>20160712</v>
      </c>
      <c r="B399" s="2" t="s">
        <v>9</v>
      </c>
      <c r="C399" s="8">
        <v>100200</v>
      </c>
      <c r="D399" s="8">
        <v>99300</v>
      </c>
      <c r="E399">
        <v>91156</v>
      </c>
      <c r="F399" s="9">
        <v>116589842</v>
      </c>
      <c r="G399" s="1">
        <v>11577371310600</v>
      </c>
      <c r="H399" s="1">
        <v>7062196437900</v>
      </c>
      <c r="I399">
        <f t="shared" si="6"/>
        <v>0</v>
      </c>
    </row>
    <row r="400" spans="1:9" x14ac:dyDescent="0.3">
      <c r="A400">
        <v>20160713</v>
      </c>
      <c r="B400" s="2" t="s">
        <v>9</v>
      </c>
      <c r="C400" s="8">
        <v>99300</v>
      </c>
      <c r="D400" s="8">
        <v>99900</v>
      </c>
      <c r="E400">
        <v>91707</v>
      </c>
      <c r="F400" s="9">
        <v>116589842</v>
      </c>
      <c r="G400" s="1">
        <v>11647325215800</v>
      </c>
      <c r="H400" s="1">
        <v>7259777755200</v>
      </c>
      <c r="I400">
        <f t="shared" si="6"/>
        <v>0</v>
      </c>
    </row>
    <row r="401" spans="1:9" x14ac:dyDescent="0.3">
      <c r="A401">
        <v>20160714</v>
      </c>
      <c r="B401" s="2" t="s">
        <v>9</v>
      </c>
      <c r="C401" s="8">
        <v>99900</v>
      </c>
      <c r="D401" s="8">
        <v>100100</v>
      </c>
      <c r="E401">
        <v>91891</v>
      </c>
      <c r="F401" s="9">
        <v>116589842</v>
      </c>
      <c r="G401" s="1">
        <v>11670643184200</v>
      </c>
      <c r="H401" s="1">
        <v>7274311844800</v>
      </c>
      <c r="I401">
        <f t="shared" si="6"/>
        <v>0</v>
      </c>
    </row>
    <row r="402" spans="1:9" x14ac:dyDescent="0.3">
      <c r="A402">
        <v>20160715</v>
      </c>
      <c r="B402" s="2" t="s">
        <v>9</v>
      </c>
      <c r="C402" s="8">
        <v>100100</v>
      </c>
      <c r="D402" s="8">
        <v>100100</v>
      </c>
      <c r="E402">
        <v>91891</v>
      </c>
      <c r="F402" s="9">
        <v>116589842</v>
      </c>
      <c r="G402" s="1">
        <v>11670643184200</v>
      </c>
      <c r="H402" s="1">
        <v>7274311844800</v>
      </c>
      <c r="I402">
        <f t="shared" si="6"/>
        <v>0</v>
      </c>
    </row>
    <row r="403" spans="1:9" x14ac:dyDescent="0.3">
      <c r="A403">
        <v>20160718</v>
      </c>
      <c r="B403" s="2" t="s">
        <v>9</v>
      </c>
      <c r="C403" s="8">
        <v>100100</v>
      </c>
      <c r="D403" s="8">
        <v>99300</v>
      </c>
      <c r="E403">
        <v>91156</v>
      </c>
      <c r="F403" s="9">
        <v>116589842</v>
      </c>
      <c r="G403" s="1">
        <v>11577371310600</v>
      </c>
      <c r="H403" s="1">
        <v>7216175486400</v>
      </c>
      <c r="I403">
        <f t="shared" si="6"/>
        <v>0</v>
      </c>
    </row>
    <row r="404" spans="1:9" x14ac:dyDescent="0.3">
      <c r="A404">
        <v>20160719</v>
      </c>
      <c r="B404" s="2" t="s">
        <v>9</v>
      </c>
      <c r="C404" s="8">
        <v>99300</v>
      </c>
      <c r="D404" s="8">
        <v>100000</v>
      </c>
      <c r="E404">
        <v>91798</v>
      </c>
      <c r="F404" s="9">
        <v>116589842</v>
      </c>
      <c r="G404" s="1">
        <v>11658984200000</v>
      </c>
      <c r="H404" s="1">
        <v>7267044800000</v>
      </c>
      <c r="I404">
        <f t="shared" si="6"/>
        <v>0</v>
      </c>
    </row>
    <row r="405" spans="1:9" x14ac:dyDescent="0.3">
      <c r="A405">
        <v>20160720</v>
      </c>
      <c r="B405" s="2" t="s">
        <v>9</v>
      </c>
      <c r="C405" s="8">
        <v>100000</v>
      </c>
      <c r="D405" s="8">
        <v>101400</v>
      </c>
      <c r="E405">
        <v>93083</v>
      </c>
      <c r="F405" s="9">
        <v>116589842</v>
      </c>
      <c r="G405" s="1">
        <v>11822209978800</v>
      </c>
      <c r="H405" s="1">
        <v>7368783427200</v>
      </c>
      <c r="I405">
        <f t="shared" si="6"/>
        <v>0</v>
      </c>
    </row>
    <row r="406" spans="1:9" x14ac:dyDescent="0.3">
      <c r="A406">
        <v>20160721</v>
      </c>
      <c r="B406" s="2" t="s">
        <v>9</v>
      </c>
      <c r="C406" s="8">
        <v>101400</v>
      </c>
      <c r="D406" s="8">
        <v>106000</v>
      </c>
      <c r="E406">
        <v>97307</v>
      </c>
      <c r="F406" s="9">
        <v>116589842</v>
      </c>
      <c r="G406" s="1">
        <v>12358523252000</v>
      </c>
      <c r="H406" s="1">
        <v>7703067488000</v>
      </c>
      <c r="I406">
        <f t="shared" si="6"/>
        <v>0</v>
      </c>
    </row>
    <row r="407" spans="1:9" x14ac:dyDescent="0.3">
      <c r="A407">
        <v>20160722</v>
      </c>
      <c r="B407" s="2" t="s">
        <v>9</v>
      </c>
      <c r="C407" s="8">
        <v>106000</v>
      </c>
      <c r="D407" s="8">
        <v>104300</v>
      </c>
      <c r="E407">
        <v>95747</v>
      </c>
      <c r="F407" s="9">
        <v>116589842</v>
      </c>
      <c r="G407" s="1">
        <v>12160320520600</v>
      </c>
      <c r="H407" s="1">
        <v>7579527726400</v>
      </c>
      <c r="I407">
        <f t="shared" si="6"/>
        <v>0</v>
      </c>
    </row>
    <row r="408" spans="1:9" x14ac:dyDescent="0.3">
      <c r="A408">
        <v>20160725</v>
      </c>
      <c r="B408" s="2" t="s">
        <v>9</v>
      </c>
      <c r="C408" s="8">
        <v>104300</v>
      </c>
      <c r="D408" s="8">
        <v>104100</v>
      </c>
      <c r="E408">
        <v>95562</v>
      </c>
      <c r="F408" s="9">
        <v>116589842</v>
      </c>
      <c r="G408" s="1">
        <v>12137002552200</v>
      </c>
      <c r="H408" s="1">
        <v>7564993636800</v>
      </c>
      <c r="I408">
        <f t="shared" si="6"/>
        <v>0</v>
      </c>
    </row>
    <row r="409" spans="1:9" x14ac:dyDescent="0.3">
      <c r="A409">
        <v>20160726</v>
      </c>
      <c r="B409" s="2" t="s">
        <v>9</v>
      </c>
      <c r="C409" s="8">
        <v>104100</v>
      </c>
      <c r="D409" s="8">
        <v>103900</v>
      </c>
      <c r="E409">
        <v>95378</v>
      </c>
      <c r="F409" s="9">
        <v>116589842</v>
      </c>
      <c r="G409" s="1">
        <v>12113684583800</v>
      </c>
      <c r="H409" s="1">
        <v>7550459547200</v>
      </c>
      <c r="I409">
        <f t="shared" si="6"/>
        <v>0</v>
      </c>
    </row>
    <row r="410" spans="1:9" x14ac:dyDescent="0.3">
      <c r="A410">
        <v>20160727</v>
      </c>
      <c r="B410" s="2" t="s">
        <v>9</v>
      </c>
      <c r="C410" s="8">
        <v>103900</v>
      </c>
      <c r="D410" s="8">
        <v>102100</v>
      </c>
      <c r="E410">
        <v>93726</v>
      </c>
      <c r="F410" s="9">
        <v>116589842</v>
      </c>
      <c r="G410" s="1">
        <v>11903822868200</v>
      </c>
      <c r="H410" s="1">
        <v>7419652740800</v>
      </c>
      <c r="I410">
        <f t="shared" si="6"/>
        <v>0</v>
      </c>
    </row>
    <row r="411" spans="1:9" x14ac:dyDescent="0.3">
      <c r="A411">
        <v>20160728</v>
      </c>
      <c r="B411" s="2" t="s">
        <v>9</v>
      </c>
      <c r="C411" s="8">
        <v>102100</v>
      </c>
      <c r="D411" s="8">
        <v>103000</v>
      </c>
      <c r="E411">
        <v>94553</v>
      </c>
      <c r="F411" s="9">
        <v>116589842</v>
      </c>
      <c r="G411" s="1">
        <v>12008753726000</v>
      </c>
      <c r="H411" s="1">
        <v>7485056144000</v>
      </c>
      <c r="I411">
        <f t="shared" si="6"/>
        <v>0</v>
      </c>
    </row>
    <row r="412" spans="1:9" x14ac:dyDescent="0.3">
      <c r="A412">
        <v>20160729</v>
      </c>
      <c r="B412" s="2" t="s">
        <v>9</v>
      </c>
      <c r="C412" s="8">
        <v>103000</v>
      </c>
      <c r="D412" s="8">
        <v>104100</v>
      </c>
      <c r="E412">
        <v>95562</v>
      </c>
      <c r="F412" s="9">
        <v>116589842</v>
      </c>
      <c r="G412" s="1">
        <v>12137002552200</v>
      </c>
      <c r="H412" s="1">
        <v>7564993636800</v>
      </c>
      <c r="I412">
        <f t="shared" si="6"/>
        <v>0</v>
      </c>
    </row>
    <row r="413" spans="1:9" x14ac:dyDescent="0.3">
      <c r="A413">
        <v>20160801</v>
      </c>
      <c r="B413" s="2" t="s">
        <v>9</v>
      </c>
      <c r="C413" s="8">
        <v>104100</v>
      </c>
      <c r="D413" s="8">
        <v>101800</v>
      </c>
      <c r="E413">
        <v>93451</v>
      </c>
      <c r="F413" s="9">
        <v>116589842</v>
      </c>
      <c r="G413" s="1">
        <v>11868845915600</v>
      </c>
      <c r="H413" s="1">
        <v>7397851606400</v>
      </c>
      <c r="I413">
        <f t="shared" si="6"/>
        <v>0</v>
      </c>
    </row>
    <row r="414" spans="1:9" x14ac:dyDescent="0.3">
      <c r="A414">
        <v>20160802</v>
      </c>
      <c r="B414" s="2" t="s">
        <v>9</v>
      </c>
      <c r="C414" s="8">
        <v>101800</v>
      </c>
      <c r="D414" s="8">
        <v>102400</v>
      </c>
      <c r="E414">
        <v>94002</v>
      </c>
      <c r="F414" s="9">
        <v>116589842</v>
      </c>
      <c r="G414" s="1">
        <v>11938799820800</v>
      </c>
      <c r="H414" s="1">
        <v>7441453875200</v>
      </c>
      <c r="I414">
        <f t="shared" si="6"/>
        <v>0</v>
      </c>
    </row>
    <row r="415" spans="1:9" x14ac:dyDescent="0.3">
      <c r="A415">
        <v>20160803</v>
      </c>
      <c r="B415" s="2" t="s">
        <v>9</v>
      </c>
      <c r="C415" s="8">
        <v>102400</v>
      </c>
      <c r="D415" s="8">
        <v>102100</v>
      </c>
      <c r="E415">
        <v>93726</v>
      </c>
      <c r="F415" s="9">
        <v>116589842</v>
      </c>
      <c r="G415" s="1">
        <v>11903822868200</v>
      </c>
      <c r="H415" s="1">
        <v>7419652740800</v>
      </c>
      <c r="I415">
        <f t="shared" si="6"/>
        <v>0</v>
      </c>
    </row>
    <row r="416" spans="1:9" x14ac:dyDescent="0.3">
      <c r="A416">
        <v>20160804</v>
      </c>
      <c r="B416" s="2" t="s">
        <v>9</v>
      </c>
      <c r="C416" s="8">
        <v>102100</v>
      </c>
      <c r="D416" s="8">
        <v>104000</v>
      </c>
      <c r="E416">
        <v>95471</v>
      </c>
      <c r="F416" s="9">
        <v>116589842</v>
      </c>
      <c r="G416" s="1">
        <v>12125343568000</v>
      </c>
      <c r="H416" s="1">
        <v>7557726592000</v>
      </c>
      <c r="I416">
        <f t="shared" si="6"/>
        <v>0</v>
      </c>
    </row>
    <row r="417" spans="1:9" x14ac:dyDescent="0.3">
      <c r="A417">
        <v>20160805</v>
      </c>
      <c r="B417" s="2" t="s">
        <v>9</v>
      </c>
      <c r="C417" s="8">
        <v>104000</v>
      </c>
      <c r="D417" s="8">
        <v>103800</v>
      </c>
      <c r="E417">
        <v>95287</v>
      </c>
      <c r="F417" s="9">
        <v>116589842</v>
      </c>
      <c r="G417" s="1">
        <v>12102025599600</v>
      </c>
      <c r="H417" s="1">
        <v>7543192502400</v>
      </c>
      <c r="I417">
        <f t="shared" si="6"/>
        <v>0</v>
      </c>
    </row>
    <row r="418" spans="1:9" x14ac:dyDescent="0.3">
      <c r="A418">
        <v>20160808</v>
      </c>
      <c r="B418" s="2" t="s">
        <v>9</v>
      </c>
      <c r="C418" s="8">
        <v>103800</v>
      </c>
      <c r="D418" s="8">
        <v>106500</v>
      </c>
      <c r="E418">
        <v>97766</v>
      </c>
      <c r="F418" s="9">
        <v>116589842</v>
      </c>
      <c r="G418" s="1">
        <v>12416818173000</v>
      </c>
      <c r="H418" s="1">
        <v>7739402712000</v>
      </c>
      <c r="I418">
        <f t="shared" si="6"/>
        <v>0</v>
      </c>
    </row>
    <row r="419" spans="1:9" x14ac:dyDescent="0.3">
      <c r="A419">
        <v>20160809</v>
      </c>
      <c r="B419" s="2" t="s">
        <v>9</v>
      </c>
      <c r="C419" s="8">
        <v>106500</v>
      </c>
      <c r="D419" s="8">
        <v>107100</v>
      </c>
      <c r="E419">
        <v>98317</v>
      </c>
      <c r="F419" s="9">
        <v>116589842</v>
      </c>
      <c r="G419" s="1">
        <v>12486772078200</v>
      </c>
      <c r="H419" s="1">
        <v>7783004980800</v>
      </c>
      <c r="I419">
        <f t="shared" si="6"/>
        <v>0</v>
      </c>
    </row>
    <row r="420" spans="1:9" x14ac:dyDescent="0.3">
      <c r="A420">
        <v>20160810</v>
      </c>
      <c r="B420" s="2" t="s">
        <v>9</v>
      </c>
      <c r="C420" s="8">
        <v>107100</v>
      </c>
      <c r="D420" s="8">
        <v>112500</v>
      </c>
      <c r="E420">
        <v>103273</v>
      </c>
      <c r="F420" s="9">
        <v>116589842</v>
      </c>
      <c r="G420" s="1">
        <v>13116357225000</v>
      </c>
      <c r="H420" s="1">
        <v>8175425400000</v>
      </c>
      <c r="I420">
        <f t="shared" si="6"/>
        <v>0</v>
      </c>
    </row>
    <row r="421" spans="1:9" x14ac:dyDescent="0.3">
      <c r="A421">
        <v>20160811</v>
      </c>
      <c r="B421" s="2" t="s">
        <v>9</v>
      </c>
      <c r="C421" s="8">
        <v>112500</v>
      </c>
      <c r="D421" s="8">
        <v>113000</v>
      </c>
      <c r="E421">
        <v>103732</v>
      </c>
      <c r="F421" s="9">
        <v>116589842</v>
      </c>
      <c r="G421" s="1">
        <v>13174652146000</v>
      </c>
      <c r="H421" s="1">
        <v>8211760624000</v>
      </c>
      <c r="I421">
        <f t="shared" si="6"/>
        <v>0</v>
      </c>
    </row>
    <row r="422" spans="1:9" x14ac:dyDescent="0.3">
      <c r="A422">
        <v>20160812</v>
      </c>
      <c r="B422" s="2" t="s">
        <v>9</v>
      </c>
      <c r="C422" s="8">
        <v>113000</v>
      </c>
      <c r="D422" s="8">
        <v>113000</v>
      </c>
      <c r="E422">
        <v>103732</v>
      </c>
      <c r="F422" s="9">
        <v>116589842</v>
      </c>
      <c r="G422" s="1">
        <v>13174652146000</v>
      </c>
      <c r="H422" s="1">
        <v>8211760624000</v>
      </c>
      <c r="I422">
        <f t="shared" si="6"/>
        <v>0</v>
      </c>
    </row>
    <row r="423" spans="1:9" x14ac:dyDescent="0.3">
      <c r="A423">
        <v>20160816</v>
      </c>
      <c r="B423" s="2" t="s">
        <v>9</v>
      </c>
      <c r="C423" s="8">
        <v>113000</v>
      </c>
      <c r="D423" s="8">
        <v>112500</v>
      </c>
      <c r="E423">
        <v>103273</v>
      </c>
      <c r="F423" s="9">
        <v>116589842</v>
      </c>
      <c r="G423" s="1">
        <v>13116357225000</v>
      </c>
      <c r="H423" s="1">
        <v>8175425400000</v>
      </c>
      <c r="I423">
        <f t="shared" si="6"/>
        <v>0</v>
      </c>
    </row>
    <row r="424" spans="1:9" x14ac:dyDescent="0.3">
      <c r="A424">
        <v>20160817</v>
      </c>
      <c r="B424" s="2" t="s">
        <v>9</v>
      </c>
      <c r="C424" s="8">
        <v>112500</v>
      </c>
      <c r="D424" s="8">
        <v>113900</v>
      </c>
      <c r="E424">
        <v>104558</v>
      </c>
      <c r="F424" s="9">
        <v>116589842</v>
      </c>
      <c r="G424" s="1">
        <v>13279583003800</v>
      </c>
      <c r="H424" s="1">
        <v>8277164027200</v>
      </c>
      <c r="I424">
        <f t="shared" si="6"/>
        <v>0</v>
      </c>
    </row>
    <row r="425" spans="1:9" x14ac:dyDescent="0.3">
      <c r="A425">
        <v>20160818</v>
      </c>
      <c r="B425" s="2" t="s">
        <v>9</v>
      </c>
      <c r="C425" s="8">
        <v>113900</v>
      </c>
      <c r="D425" s="8">
        <v>113300</v>
      </c>
      <c r="E425">
        <v>104007</v>
      </c>
      <c r="F425" s="9">
        <v>116589842</v>
      </c>
      <c r="G425" s="1">
        <v>13209629098600</v>
      </c>
      <c r="H425" s="1">
        <v>8233561758400</v>
      </c>
      <c r="I425">
        <f t="shared" si="6"/>
        <v>0</v>
      </c>
    </row>
    <row r="426" spans="1:9" x14ac:dyDescent="0.3">
      <c r="A426">
        <v>20160819</v>
      </c>
      <c r="B426" s="2" t="s">
        <v>9</v>
      </c>
      <c r="C426" s="8">
        <v>113300</v>
      </c>
      <c r="D426" s="8">
        <v>113900</v>
      </c>
      <c r="E426">
        <v>104558</v>
      </c>
      <c r="F426" s="9">
        <v>116589842</v>
      </c>
      <c r="G426" s="1">
        <v>13279583003800</v>
      </c>
      <c r="H426" s="1">
        <v>8277164027200</v>
      </c>
      <c r="I426">
        <f t="shared" si="6"/>
        <v>0</v>
      </c>
    </row>
    <row r="427" spans="1:9" x14ac:dyDescent="0.3">
      <c r="A427">
        <v>20160822</v>
      </c>
      <c r="B427" s="2" t="s">
        <v>9</v>
      </c>
      <c r="C427" s="8">
        <v>113900</v>
      </c>
      <c r="D427" s="8">
        <v>110800</v>
      </c>
      <c r="E427">
        <v>101713</v>
      </c>
      <c r="F427" s="9">
        <v>116589842</v>
      </c>
      <c r="G427" s="1">
        <v>12918154493600</v>
      </c>
      <c r="H427" s="1">
        <v>8051885638400</v>
      </c>
      <c r="I427">
        <f t="shared" si="6"/>
        <v>0</v>
      </c>
    </row>
    <row r="428" spans="1:9" x14ac:dyDescent="0.3">
      <c r="A428">
        <v>20160823</v>
      </c>
      <c r="B428" s="2" t="s">
        <v>9</v>
      </c>
      <c r="C428" s="8">
        <v>110800</v>
      </c>
      <c r="D428" s="8">
        <v>109500</v>
      </c>
      <c r="E428">
        <v>100520</v>
      </c>
      <c r="F428" s="9">
        <v>116589842</v>
      </c>
      <c r="G428" s="1">
        <v>12766587699000</v>
      </c>
      <c r="H428" s="1">
        <v>7957414056000</v>
      </c>
      <c r="I428">
        <f t="shared" si="6"/>
        <v>0</v>
      </c>
    </row>
    <row r="429" spans="1:9" x14ac:dyDescent="0.3">
      <c r="A429">
        <v>20160824</v>
      </c>
      <c r="B429" s="2" t="s">
        <v>9</v>
      </c>
      <c r="C429" s="8">
        <v>109500</v>
      </c>
      <c r="D429" s="8">
        <v>111000</v>
      </c>
      <c r="E429">
        <v>101896</v>
      </c>
      <c r="F429" s="9">
        <v>116589842</v>
      </c>
      <c r="G429" s="1">
        <v>12941472462000</v>
      </c>
      <c r="H429" s="1">
        <v>8066419728000</v>
      </c>
      <c r="I429">
        <f t="shared" si="6"/>
        <v>0</v>
      </c>
    </row>
    <row r="430" spans="1:9" x14ac:dyDescent="0.3">
      <c r="A430">
        <v>20160825</v>
      </c>
      <c r="B430" s="2" t="s">
        <v>9</v>
      </c>
      <c r="C430" s="8">
        <v>111000</v>
      </c>
      <c r="D430" s="8">
        <v>110100</v>
      </c>
      <c r="E430">
        <v>101071</v>
      </c>
      <c r="F430" s="9">
        <v>116589842</v>
      </c>
      <c r="G430" s="1">
        <v>12836541604200</v>
      </c>
      <c r="H430" s="1">
        <v>8001016324800</v>
      </c>
      <c r="I430">
        <f t="shared" si="6"/>
        <v>0</v>
      </c>
    </row>
    <row r="431" spans="1:9" x14ac:dyDescent="0.3">
      <c r="A431">
        <v>20160826</v>
      </c>
      <c r="B431" s="2" t="s">
        <v>9</v>
      </c>
      <c r="C431" s="8">
        <v>110100</v>
      </c>
      <c r="D431" s="8">
        <v>109300</v>
      </c>
      <c r="E431">
        <v>100336</v>
      </c>
      <c r="F431" s="9">
        <v>116589842</v>
      </c>
      <c r="G431" s="1">
        <v>12743269730600</v>
      </c>
      <c r="H431" s="1">
        <v>7942879966400</v>
      </c>
      <c r="I431">
        <f t="shared" si="6"/>
        <v>0</v>
      </c>
    </row>
    <row r="432" spans="1:9" x14ac:dyDescent="0.3">
      <c r="A432">
        <v>20160829</v>
      </c>
      <c r="B432" s="2" t="s">
        <v>9</v>
      </c>
      <c r="C432" s="8">
        <v>109300</v>
      </c>
      <c r="D432" s="8">
        <v>105900</v>
      </c>
      <c r="E432">
        <v>97215</v>
      </c>
      <c r="F432" s="9">
        <v>116589842</v>
      </c>
      <c r="G432" s="1">
        <v>12346864267800</v>
      </c>
      <c r="H432" s="1">
        <v>7695800443200</v>
      </c>
      <c r="I432">
        <f t="shared" si="6"/>
        <v>0</v>
      </c>
    </row>
    <row r="433" spans="1:9" x14ac:dyDescent="0.3">
      <c r="A433">
        <v>20160830</v>
      </c>
      <c r="B433" s="2" t="s">
        <v>9</v>
      </c>
      <c r="C433" s="8">
        <v>105900</v>
      </c>
      <c r="D433" s="8">
        <v>106000</v>
      </c>
      <c r="E433">
        <v>97307</v>
      </c>
      <c r="F433" s="9">
        <v>116589842</v>
      </c>
      <c r="G433" s="1">
        <v>12358523252000</v>
      </c>
      <c r="H433" s="1">
        <v>7703067488000</v>
      </c>
      <c r="I433">
        <f t="shared" si="6"/>
        <v>0</v>
      </c>
    </row>
    <row r="434" spans="1:9" x14ac:dyDescent="0.3">
      <c r="A434">
        <v>20160831</v>
      </c>
      <c r="B434" s="2" t="s">
        <v>9</v>
      </c>
      <c r="C434" s="8">
        <v>106000</v>
      </c>
      <c r="D434" s="8">
        <v>106800</v>
      </c>
      <c r="E434">
        <v>98041</v>
      </c>
      <c r="F434" s="9">
        <v>116589842</v>
      </c>
      <c r="G434" s="1">
        <v>12451795125600</v>
      </c>
      <c r="H434" s="1">
        <v>7761203846400</v>
      </c>
      <c r="I434">
        <f t="shared" si="6"/>
        <v>0</v>
      </c>
    </row>
    <row r="435" spans="1:9" x14ac:dyDescent="0.3">
      <c r="A435">
        <v>20160901</v>
      </c>
      <c r="B435" s="2" t="s">
        <v>9</v>
      </c>
      <c r="C435" s="8">
        <v>106800</v>
      </c>
      <c r="D435" s="8">
        <v>109500</v>
      </c>
      <c r="E435">
        <v>100520</v>
      </c>
      <c r="F435" s="9">
        <v>116589842</v>
      </c>
      <c r="G435" s="1">
        <v>12766587699000</v>
      </c>
      <c r="H435" s="1">
        <v>7957414056000</v>
      </c>
      <c r="I435">
        <f t="shared" si="6"/>
        <v>0</v>
      </c>
    </row>
    <row r="436" spans="1:9" x14ac:dyDescent="0.3">
      <c r="A436">
        <v>20160902</v>
      </c>
      <c r="B436" s="2" t="s">
        <v>9</v>
      </c>
      <c r="C436" s="8">
        <v>109500</v>
      </c>
      <c r="D436" s="8">
        <v>109100</v>
      </c>
      <c r="E436">
        <v>100152</v>
      </c>
      <c r="F436" s="9">
        <v>116589842</v>
      </c>
      <c r="G436" s="1">
        <v>12719951762200</v>
      </c>
      <c r="H436" s="1">
        <v>7928345876800</v>
      </c>
      <c r="I436">
        <f t="shared" si="6"/>
        <v>0</v>
      </c>
    </row>
    <row r="437" spans="1:9" x14ac:dyDescent="0.3">
      <c r="A437">
        <v>20160905</v>
      </c>
      <c r="B437" s="2" t="s">
        <v>9</v>
      </c>
      <c r="C437" s="8">
        <v>109100</v>
      </c>
      <c r="D437" s="8">
        <v>109600</v>
      </c>
      <c r="E437">
        <v>100611</v>
      </c>
      <c r="F437" s="9">
        <v>116589842</v>
      </c>
      <c r="G437" s="1">
        <v>12778246683200</v>
      </c>
      <c r="H437" s="1">
        <v>7964681100800</v>
      </c>
      <c r="I437">
        <f t="shared" si="6"/>
        <v>0</v>
      </c>
    </row>
    <row r="438" spans="1:9" x14ac:dyDescent="0.3">
      <c r="A438">
        <v>20160906</v>
      </c>
      <c r="B438" s="2" t="s">
        <v>9</v>
      </c>
      <c r="C438" s="8">
        <v>109600</v>
      </c>
      <c r="D438" s="8">
        <v>111700</v>
      </c>
      <c r="E438">
        <v>102539</v>
      </c>
      <c r="F438" s="9">
        <v>116589842</v>
      </c>
      <c r="G438" s="1">
        <v>13023085351400</v>
      </c>
      <c r="H438" s="1">
        <v>8117289041600</v>
      </c>
      <c r="I438">
        <f t="shared" si="6"/>
        <v>0</v>
      </c>
    </row>
    <row r="439" spans="1:9" x14ac:dyDescent="0.3">
      <c r="A439">
        <v>20160907</v>
      </c>
      <c r="B439" s="2" t="s">
        <v>9</v>
      </c>
      <c r="C439" s="8">
        <v>111700</v>
      </c>
      <c r="D439" s="8">
        <v>110700</v>
      </c>
      <c r="E439">
        <v>101622</v>
      </c>
      <c r="F439" s="9">
        <v>116589842</v>
      </c>
      <c r="G439" s="1">
        <v>12906495509400</v>
      </c>
      <c r="H439" s="1">
        <v>8044618593600</v>
      </c>
      <c r="I439">
        <f t="shared" si="6"/>
        <v>0</v>
      </c>
    </row>
    <row r="440" spans="1:9" x14ac:dyDescent="0.3">
      <c r="A440">
        <v>20160908</v>
      </c>
      <c r="B440" s="2" t="s">
        <v>9</v>
      </c>
      <c r="C440" s="8">
        <v>110700</v>
      </c>
      <c r="D440" s="8">
        <v>109000</v>
      </c>
      <c r="E440">
        <v>100061</v>
      </c>
      <c r="F440" s="9">
        <v>116589842</v>
      </c>
      <c r="G440" s="1">
        <v>12708292778000</v>
      </c>
      <c r="H440" s="1">
        <v>7921078832000</v>
      </c>
      <c r="I440">
        <f t="shared" si="6"/>
        <v>0</v>
      </c>
    </row>
    <row r="441" spans="1:9" x14ac:dyDescent="0.3">
      <c r="A441">
        <v>20160909</v>
      </c>
      <c r="B441" s="2" t="s">
        <v>9</v>
      </c>
      <c r="C441" s="8">
        <v>109000</v>
      </c>
      <c r="D441" s="8">
        <v>109000</v>
      </c>
      <c r="E441">
        <v>100061</v>
      </c>
      <c r="F441" s="9">
        <v>116589842</v>
      </c>
      <c r="G441" s="1">
        <v>12708292778000</v>
      </c>
      <c r="H441" s="1">
        <v>7921078832000</v>
      </c>
      <c r="I441">
        <f t="shared" si="6"/>
        <v>0</v>
      </c>
    </row>
    <row r="442" spans="1:9" x14ac:dyDescent="0.3">
      <c r="A442">
        <v>20160912</v>
      </c>
      <c r="B442" s="2" t="s">
        <v>9</v>
      </c>
      <c r="C442" s="8">
        <v>109000</v>
      </c>
      <c r="D442" s="8">
        <v>107000</v>
      </c>
      <c r="E442">
        <v>98224</v>
      </c>
      <c r="F442" s="9">
        <v>116589842</v>
      </c>
      <c r="G442" s="1">
        <v>12475113094000</v>
      </c>
      <c r="H442" s="1">
        <v>7789460579000</v>
      </c>
      <c r="I442">
        <f t="shared" si="6"/>
        <v>0</v>
      </c>
    </row>
    <row r="443" spans="1:9" x14ac:dyDescent="0.3">
      <c r="A443">
        <v>20160913</v>
      </c>
      <c r="B443" s="2" t="s">
        <v>9</v>
      </c>
      <c r="C443" s="8">
        <v>107000</v>
      </c>
      <c r="D443" s="8">
        <v>108200</v>
      </c>
      <c r="E443">
        <v>99326</v>
      </c>
      <c r="F443" s="9">
        <v>116589842</v>
      </c>
      <c r="G443" s="1">
        <v>12615020904400</v>
      </c>
      <c r="H443" s="1">
        <v>7876819015400</v>
      </c>
      <c r="I443">
        <f t="shared" si="6"/>
        <v>0</v>
      </c>
    </row>
    <row r="444" spans="1:9" x14ac:dyDescent="0.3">
      <c r="A444">
        <v>20160919</v>
      </c>
      <c r="B444" s="2" t="s">
        <v>9</v>
      </c>
      <c r="C444" s="8">
        <v>108200</v>
      </c>
      <c r="D444" s="8">
        <v>107100</v>
      </c>
      <c r="E444">
        <v>98317</v>
      </c>
      <c r="F444" s="9">
        <v>116589842</v>
      </c>
      <c r="G444" s="1">
        <v>12486772078200</v>
      </c>
      <c r="H444" s="1">
        <v>7796740448700</v>
      </c>
      <c r="I444">
        <f t="shared" si="6"/>
        <v>0</v>
      </c>
    </row>
    <row r="445" spans="1:9" x14ac:dyDescent="0.3">
      <c r="A445">
        <v>20160920</v>
      </c>
      <c r="B445" s="2" t="s">
        <v>9</v>
      </c>
      <c r="C445" s="8">
        <v>107100</v>
      </c>
      <c r="D445" s="8">
        <v>109800</v>
      </c>
      <c r="E445">
        <v>100795</v>
      </c>
      <c r="F445" s="9">
        <v>116589842</v>
      </c>
      <c r="G445" s="1">
        <v>12801564651600</v>
      </c>
      <c r="H445" s="1">
        <v>7993296930600</v>
      </c>
      <c r="I445">
        <f t="shared" si="6"/>
        <v>0</v>
      </c>
    </row>
    <row r="446" spans="1:9" x14ac:dyDescent="0.3">
      <c r="A446">
        <v>20160921</v>
      </c>
      <c r="B446" s="2" t="s">
        <v>9</v>
      </c>
      <c r="C446" s="8">
        <v>109800</v>
      </c>
      <c r="D446" s="8">
        <v>109900</v>
      </c>
      <c r="E446">
        <v>100887</v>
      </c>
      <c r="F446" s="9">
        <v>116589842</v>
      </c>
      <c r="G446" s="1">
        <v>12813223635800</v>
      </c>
      <c r="H446" s="1">
        <v>8000576800300</v>
      </c>
      <c r="I446">
        <f t="shared" si="6"/>
        <v>0</v>
      </c>
    </row>
    <row r="447" spans="1:9" x14ac:dyDescent="0.3">
      <c r="A447">
        <v>20160922</v>
      </c>
      <c r="B447" s="2" t="s">
        <v>9</v>
      </c>
      <c r="C447" s="8">
        <v>109900</v>
      </c>
      <c r="D447" s="8">
        <v>110300</v>
      </c>
      <c r="E447">
        <v>101253</v>
      </c>
      <c r="F447" s="9">
        <v>116589842</v>
      </c>
      <c r="G447" s="1">
        <v>12859859572600</v>
      </c>
      <c r="H447" s="1">
        <v>8029696279100</v>
      </c>
      <c r="I447">
        <f t="shared" si="6"/>
        <v>0</v>
      </c>
    </row>
    <row r="448" spans="1:9" x14ac:dyDescent="0.3">
      <c r="A448">
        <v>20160923</v>
      </c>
      <c r="B448" s="2" t="s">
        <v>9</v>
      </c>
      <c r="C448" s="8">
        <v>110300</v>
      </c>
      <c r="D448" s="8">
        <v>110300</v>
      </c>
      <c r="E448">
        <v>101253</v>
      </c>
      <c r="F448" s="9">
        <v>116589842</v>
      </c>
      <c r="G448" s="1">
        <v>12859859572600</v>
      </c>
      <c r="H448" s="1">
        <v>8029696279100</v>
      </c>
      <c r="I448">
        <f t="shared" si="6"/>
        <v>0</v>
      </c>
    </row>
    <row r="449" spans="1:9" x14ac:dyDescent="0.3">
      <c r="A449">
        <v>20160926</v>
      </c>
      <c r="B449" s="2" t="s">
        <v>9</v>
      </c>
      <c r="C449" s="8">
        <v>110300</v>
      </c>
      <c r="D449" s="8">
        <v>109700</v>
      </c>
      <c r="E449">
        <v>100703</v>
      </c>
      <c r="F449" s="9">
        <v>116589842</v>
      </c>
      <c r="G449" s="1">
        <v>12789905667400</v>
      </c>
      <c r="H449" s="1">
        <v>7986017060900</v>
      </c>
      <c r="I449">
        <f t="shared" si="6"/>
        <v>0</v>
      </c>
    </row>
    <row r="450" spans="1:9" x14ac:dyDescent="0.3">
      <c r="A450">
        <v>20160927</v>
      </c>
      <c r="B450" s="2" t="s">
        <v>9</v>
      </c>
      <c r="C450" s="8">
        <v>109700</v>
      </c>
      <c r="D450" s="8">
        <v>109200</v>
      </c>
      <c r="E450">
        <v>100244</v>
      </c>
      <c r="F450" s="9">
        <v>116589842</v>
      </c>
      <c r="G450" s="1">
        <v>12731610746400</v>
      </c>
      <c r="H450" s="1">
        <v>7949617712400</v>
      </c>
      <c r="I450">
        <f t="shared" si="6"/>
        <v>0</v>
      </c>
    </row>
    <row r="451" spans="1:9" x14ac:dyDescent="0.3">
      <c r="A451">
        <v>20160928</v>
      </c>
      <c r="B451" s="2" t="s">
        <v>9</v>
      </c>
      <c r="C451" s="8">
        <v>109200</v>
      </c>
      <c r="D451" s="8">
        <v>108700</v>
      </c>
      <c r="E451">
        <v>99786</v>
      </c>
      <c r="F451" s="9">
        <v>116589842</v>
      </c>
      <c r="G451" s="1">
        <v>12673315825400</v>
      </c>
      <c r="H451" s="1">
        <v>7913218363900</v>
      </c>
      <c r="I451">
        <f t="shared" ref="I451:I514" si="7">IF(C451*F451=D450*F450,0,1)</f>
        <v>0</v>
      </c>
    </row>
    <row r="452" spans="1:9" x14ac:dyDescent="0.3">
      <c r="A452">
        <v>20160929</v>
      </c>
      <c r="B452" s="2" t="s">
        <v>9</v>
      </c>
      <c r="C452" s="8">
        <v>108700</v>
      </c>
      <c r="D452" s="8">
        <v>108000</v>
      </c>
      <c r="E452">
        <v>99143</v>
      </c>
      <c r="F452" s="9">
        <v>116589842</v>
      </c>
      <c r="G452" s="1">
        <v>12591702936000</v>
      </c>
      <c r="H452" s="1">
        <v>7862259276000</v>
      </c>
      <c r="I452">
        <f t="shared" si="7"/>
        <v>0</v>
      </c>
    </row>
    <row r="453" spans="1:9" x14ac:dyDescent="0.3">
      <c r="A453">
        <v>20160930</v>
      </c>
      <c r="B453" s="2" t="s">
        <v>9</v>
      </c>
      <c r="C453" s="8">
        <v>108000</v>
      </c>
      <c r="D453" s="8">
        <v>106400</v>
      </c>
      <c r="E453">
        <v>97674</v>
      </c>
      <c r="F453" s="9">
        <v>116589842</v>
      </c>
      <c r="G453" s="1">
        <v>12405159188800</v>
      </c>
      <c r="H453" s="1">
        <v>7745781360800</v>
      </c>
      <c r="I453">
        <f t="shared" si="7"/>
        <v>0</v>
      </c>
    </row>
    <row r="454" spans="1:9" x14ac:dyDescent="0.3">
      <c r="A454">
        <v>20161004</v>
      </c>
      <c r="B454" s="2" t="s">
        <v>9</v>
      </c>
      <c r="C454" s="8">
        <v>106400</v>
      </c>
      <c r="D454" s="8">
        <v>108100</v>
      </c>
      <c r="E454">
        <v>99234</v>
      </c>
      <c r="F454" s="9">
        <v>116589842</v>
      </c>
      <c r="G454" s="1">
        <v>12603361920200</v>
      </c>
      <c r="H454" s="1">
        <v>7869539145700</v>
      </c>
      <c r="I454">
        <f t="shared" si="7"/>
        <v>0</v>
      </c>
    </row>
    <row r="455" spans="1:9" x14ac:dyDescent="0.3">
      <c r="A455">
        <v>20161005</v>
      </c>
      <c r="B455" s="2" t="s">
        <v>9</v>
      </c>
      <c r="C455" s="8">
        <v>108100</v>
      </c>
      <c r="D455" s="8">
        <v>106100</v>
      </c>
      <c r="E455">
        <v>97398</v>
      </c>
      <c r="F455" s="9">
        <v>116589842</v>
      </c>
      <c r="G455" s="1">
        <v>12370182236200</v>
      </c>
      <c r="H455" s="1">
        <v>7723941751700</v>
      </c>
      <c r="I455">
        <f t="shared" si="7"/>
        <v>0</v>
      </c>
    </row>
    <row r="456" spans="1:9" x14ac:dyDescent="0.3">
      <c r="A456">
        <v>20161006</v>
      </c>
      <c r="B456" s="2" t="s">
        <v>9</v>
      </c>
      <c r="C456" s="8">
        <v>106100</v>
      </c>
      <c r="D456" s="8">
        <v>106000</v>
      </c>
      <c r="E456">
        <v>97307</v>
      </c>
      <c r="F456" s="9">
        <v>116589842</v>
      </c>
      <c r="G456" s="1">
        <v>12358523252000</v>
      </c>
      <c r="H456" s="1">
        <v>7716661882000</v>
      </c>
      <c r="I456">
        <f t="shared" si="7"/>
        <v>0</v>
      </c>
    </row>
    <row r="457" spans="1:9" x14ac:dyDescent="0.3">
      <c r="A457">
        <v>20161007</v>
      </c>
      <c r="B457" s="2" t="s">
        <v>9</v>
      </c>
      <c r="C457" s="8">
        <v>106000</v>
      </c>
      <c r="D457" s="8">
        <v>106600</v>
      </c>
      <c r="E457">
        <v>97857</v>
      </c>
      <c r="F457" s="9">
        <v>116589842</v>
      </c>
      <c r="G457" s="1">
        <v>12428477157200</v>
      </c>
      <c r="H457" s="1">
        <v>7760341100200</v>
      </c>
      <c r="I457">
        <f t="shared" si="7"/>
        <v>0</v>
      </c>
    </row>
    <row r="458" spans="1:9" x14ac:dyDescent="0.3">
      <c r="A458">
        <v>20161010</v>
      </c>
      <c r="B458" s="2" t="s">
        <v>9</v>
      </c>
      <c r="C458" s="8">
        <v>106600</v>
      </c>
      <c r="D458" s="8">
        <v>106100</v>
      </c>
      <c r="E458">
        <v>97398</v>
      </c>
      <c r="F458" s="9">
        <v>116589842</v>
      </c>
      <c r="G458" s="1">
        <v>12370182236200</v>
      </c>
      <c r="H458" s="1">
        <v>7723941751700</v>
      </c>
      <c r="I458">
        <f t="shared" si="7"/>
        <v>0</v>
      </c>
    </row>
    <row r="459" spans="1:9" x14ac:dyDescent="0.3">
      <c r="A459">
        <v>20161011</v>
      </c>
      <c r="B459" s="2" t="s">
        <v>9</v>
      </c>
      <c r="C459" s="8">
        <v>106100</v>
      </c>
      <c r="D459" s="8">
        <v>102600</v>
      </c>
      <c r="E459">
        <v>94186</v>
      </c>
      <c r="F459" s="9">
        <v>116589842</v>
      </c>
      <c r="G459" s="1">
        <v>11962117789200</v>
      </c>
      <c r="H459" s="1">
        <v>7469146312200</v>
      </c>
      <c r="I459">
        <f t="shared" si="7"/>
        <v>0</v>
      </c>
    </row>
    <row r="460" spans="1:9" x14ac:dyDescent="0.3">
      <c r="A460">
        <v>20161012</v>
      </c>
      <c r="B460" s="2" t="s">
        <v>9</v>
      </c>
      <c r="C460" s="8">
        <v>102600</v>
      </c>
      <c r="D460" s="8">
        <v>102100</v>
      </c>
      <c r="E460">
        <v>93726</v>
      </c>
      <c r="F460" s="9">
        <v>116589842</v>
      </c>
      <c r="G460" s="1">
        <v>11903822868200</v>
      </c>
      <c r="H460" s="1">
        <v>7432746963700</v>
      </c>
      <c r="I460">
        <f t="shared" si="7"/>
        <v>0</v>
      </c>
    </row>
    <row r="461" spans="1:9" x14ac:dyDescent="0.3">
      <c r="A461">
        <v>20161013</v>
      </c>
      <c r="B461" s="2" t="s">
        <v>9</v>
      </c>
      <c r="C461" s="8">
        <v>102100</v>
      </c>
      <c r="D461" s="8">
        <v>102100</v>
      </c>
      <c r="E461">
        <v>93726</v>
      </c>
      <c r="F461" s="9">
        <v>116589842</v>
      </c>
      <c r="G461" s="1">
        <v>11903822868200</v>
      </c>
      <c r="H461" s="1">
        <v>7432746963700</v>
      </c>
      <c r="I461">
        <f t="shared" si="7"/>
        <v>0</v>
      </c>
    </row>
    <row r="462" spans="1:9" x14ac:dyDescent="0.3">
      <c r="A462">
        <v>20161014</v>
      </c>
      <c r="B462" s="2" t="s">
        <v>9</v>
      </c>
      <c r="C462" s="8">
        <v>102100</v>
      </c>
      <c r="D462" s="8">
        <v>102500</v>
      </c>
      <c r="E462">
        <v>94093</v>
      </c>
      <c r="F462" s="9">
        <v>116589842</v>
      </c>
      <c r="G462" s="1">
        <v>11950458805000</v>
      </c>
      <c r="H462" s="1">
        <v>7461866442500</v>
      </c>
      <c r="I462">
        <f t="shared" si="7"/>
        <v>0</v>
      </c>
    </row>
    <row r="463" spans="1:9" x14ac:dyDescent="0.3">
      <c r="A463">
        <v>20161017</v>
      </c>
      <c r="B463" s="2" t="s">
        <v>9</v>
      </c>
      <c r="C463" s="8">
        <v>102500</v>
      </c>
      <c r="D463" s="8">
        <v>100000</v>
      </c>
      <c r="E463">
        <v>91798</v>
      </c>
      <c r="F463" s="9">
        <v>116589842</v>
      </c>
      <c r="G463" s="1">
        <v>11658984200000</v>
      </c>
      <c r="H463" s="1">
        <v>7279869700000</v>
      </c>
      <c r="I463">
        <f t="shared" si="7"/>
        <v>0</v>
      </c>
    </row>
    <row r="464" spans="1:9" x14ac:dyDescent="0.3">
      <c r="A464">
        <v>20161018</v>
      </c>
      <c r="B464" s="2" t="s">
        <v>9</v>
      </c>
      <c r="C464" s="8">
        <v>100000</v>
      </c>
      <c r="D464" s="8">
        <v>107000</v>
      </c>
      <c r="E464">
        <v>98224</v>
      </c>
      <c r="F464" s="9">
        <v>116589842</v>
      </c>
      <c r="G464" s="1">
        <v>12475113094000</v>
      </c>
      <c r="H464" s="1">
        <v>7789460579000</v>
      </c>
      <c r="I464">
        <f t="shared" si="7"/>
        <v>0</v>
      </c>
    </row>
    <row r="465" spans="1:9" x14ac:dyDescent="0.3">
      <c r="A465">
        <v>20161019</v>
      </c>
      <c r="B465" s="2" t="s">
        <v>9</v>
      </c>
      <c r="C465" s="8">
        <v>107000</v>
      </c>
      <c r="D465" s="8">
        <v>107100</v>
      </c>
      <c r="E465">
        <v>98317</v>
      </c>
      <c r="F465" s="9">
        <v>116589842</v>
      </c>
      <c r="G465" s="1">
        <v>12486772078200</v>
      </c>
      <c r="H465" s="1">
        <v>7796740448700</v>
      </c>
      <c r="I465">
        <f t="shared" si="7"/>
        <v>0</v>
      </c>
    </row>
    <row r="466" spans="1:9" x14ac:dyDescent="0.3">
      <c r="A466">
        <v>20161020</v>
      </c>
      <c r="B466" s="2" t="s">
        <v>9</v>
      </c>
      <c r="C466" s="8">
        <v>107100</v>
      </c>
      <c r="D466" s="8">
        <v>105000</v>
      </c>
      <c r="E466">
        <v>96389</v>
      </c>
      <c r="F466" s="9">
        <v>116589842</v>
      </c>
      <c r="G466" s="1">
        <v>12241933410000</v>
      </c>
      <c r="H466" s="1">
        <v>7643863185000</v>
      </c>
      <c r="I466">
        <f t="shared" si="7"/>
        <v>0</v>
      </c>
    </row>
    <row r="467" spans="1:9" x14ac:dyDescent="0.3">
      <c r="A467">
        <v>20161021</v>
      </c>
      <c r="B467" s="2" t="s">
        <v>9</v>
      </c>
      <c r="C467" s="8">
        <v>105000</v>
      </c>
      <c r="D467" s="8">
        <v>106000</v>
      </c>
      <c r="E467">
        <v>97307</v>
      </c>
      <c r="F467" s="9">
        <v>116589842</v>
      </c>
      <c r="G467" s="1">
        <v>12358523252000</v>
      </c>
      <c r="H467" s="1">
        <v>7716661882000</v>
      </c>
      <c r="I467">
        <f t="shared" si="7"/>
        <v>0</v>
      </c>
    </row>
    <row r="468" spans="1:9" x14ac:dyDescent="0.3">
      <c r="A468">
        <v>20161024</v>
      </c>
      <c r="B468" s="2" t="s">
        <v>9</v>
      </c>
      <c r="C468" s="8">
        <v>106000</v>
      </c>
      <c r="D468" s="8">
        <v>104200</v>
      </c>
      <c r="E468">
        <v>95653</v>
      </c>
      <c r="F468" s="9">
        <v>116589842</v>
      </c>
      <c r="G468" s="1">
        <v>12148661536400</v>
      </c>
      <c r="H468" s="1">
        <v>7585624227400</v>
      </c>
      <c r="I468">
        <f t="shared" si="7"/>
        <v>0</v>
      </c>
    </row>
    <row r="469" spans="1:9" x14ac:dyDescent="0.3">
      <c r="A469">
        <v>20161025</v>
      </c>
      <c r="B469" s="2" t="s">
        <v>9</v>
      </c>
      <c r="C469" s="8">
        <v>104200</v>
      </c>
      <c r="D469" s="8">
        <v>103700</v>
      </c>
      <c r="E469">
        <v>95196</v>
      </c>
      <c r="F469" s="9">
        <v>116589842</v>
      </c>
      <c r="G469" s="1">
        <v>12090366615400</v>
      </c>
      <c r="H469" s="1">
        <v>7549224878900</v>
      </c>
      <c r="I469">
        <f t="shared" si="7"/>
        <v>0</v>
      </c>
    </row>
    <row r="470" spans="1:9" x14ac:dyDescent="0.3">
      <c r="A470">
        <v>20161026</v>
      </c>
      <c r="B470" s="2" t="s">
        <v>9</v>
      </c>
      <c r="C470" s="8">
        <v>103700</v>
      </c>
      <c r="D470" s="8">
        <v>105500</v>
      </c>
      <c r="E470">
        <v>96847</v>
      </c>
      <c r="F470" s="9">
        <v>116589842</v>
      </c>
      <c r="G470" s="1">
        <v>12300228331000</v>
      </c>
      <c r="H470" s="1">
        <v>7680262533500</v>
      </c>
      <c r="I470">
        <f t="shared" si="7"/>
        <v>0</v>
      </c>
    </row>
    <row r="471" spans="1:9" x14ac:dyDescent="0.3">
      <c r="A471">
        <v>20161027</v>
      </c>
      <c r="B471" s="2" t="s">
        <v>9</v>
      </c>
      <c r="C471" s="8">
        <v>105500</v>
      </c>
      <c r="D471" s="8">
        <v>106900</v>
      </c>
      <c r="E471">
        <v>98132</v>
      </c>
      <c r="F471" s="9">
        <v>116589842</v>
      </c>
      <c r="G471" s="1">
        <v>12463454109800</v>
      </c>
      <c r="H471" s="1">
        <v>7782180709300</v>
      </c>
      <c r="I471">
        <f t="shared" si="7"/>
        <v>0</v>
      </c>
    </row>
    <row r="472" spans="1:9" x14ac:dyDescent="0.3">
      <c r="A472">
        <v>20161028</v>
      </c>
      <c r="B472" s="2" t="s">
        <v>9</v>
      </c>
      <c r="C472" s="8">
        <v>106900</v>
      </c>
      <c r="D472" s="8">
        <v>104500</v>
      </c>
      <c r="E472">
        <v>95929</v>
      </c>
      <c r="F472" s="9">
        <v>116589842</v>
      </c>
      <c r="G472" s="1">
        <v>12183638489000</v>
      </c>
      <c r="H472" s="1">
        <v>7607463836500</v>
      </c>
      <c r="I472">
        <f t="shared" si="7"/>
        <v>0</v>
      </c>
    </row>
    <row r="473" spans="1:9" x14ac:dyDescent="0.3">
      <c r="A473">
        <v>20161031</v>
      </c>
      <c r="B473" s="2" t="s">
        <v>9</v>
      </c>
      <c r="C473" s="8">
        <v>104500</v>
      </c>
      <c r="D473" s="8">
        <v>106200</v>
      </c>
      <c r="E473">
        <v>97490</v>
      </c>
      <c r="F473" s="9">
        <v>116589842</v>
      </c>
      <c r="G473" s="1">
        <v>12381841220400</v>
      </c>
      <c r="H473" s="1">
        <v>7731221621400</v>
      </c>
      <c r="I473">
        <f t="shared" si="7"/>
        <v>0</v>
      </c>
    </row>
    <row r="474" spans="1:9" x14ac:dyDescent="0.3">
      <c r="A474">
        <v>20161101</v>
      </c>
      <c r="B474" s="2" t="s">
        <v>9</v>
      </c>
      <c r="C474" s="8">
        <v>106200</v>
      </c>
      <c r="D474" s="8">
        <v>106100</v>
      </c>
      <c r="E474">
        <v>97398</v>
      </c>
      <c r="F474" s="9">
        <v>116589842</v>
      </c>
      <c r="G474" s="1">
        <v>12370182236200</v>
      </c>
      <c r="H474" s="1">
        <v>7723941751700</v>
      </c>
      <c r="I474">
        <f t="shared" si="7"/>
        <v>0</v>
      </c>
    </row>
    <row r="475" spans="1:9" x14ac:dyDescent="0.3">
      <c r="A475">
        <v>20161102</v>
      </c>
      <c r="B475" s="2" t="s">
        <v>9</v>
      </c>
      <c r="C475" s="8">
        <v>106100</v>
      </c>
      <c r="D475" s="8">
        <v>105800</v>
      </c>
      <c r="E475">
        <v>97123</v>
      </c>
      <c r="F475" s="9">
        <v>116589842</v>
      </c>
      <c r="G475" s="1">
        <v>12335205283600</v>
      </c>
      <c r="H475" s="1">
        <v>7702102142600</v>
      </c>
      <c r="I475">
        <f t="shared" si="7"/>
        <v>0</v>
      </c>
    </row>
    <row r="476" spans="1:9" x14ac:dyDescent="0.3">
      <c r="A476">
        <v>20161103</v>
      </c>
      <c r="B476" s="2" t="s">
        <v>9</v>
      </c>
      <c r="C476" s="8">
        <v>105800</v>
      </c>
      <c r="D476" s="8">
        <v>107700</v>
      </c>
      <c r="E476">
        <v>98867</v>
      </c>
      <c r="F476" s="9">
        <v>116589842</v>
      </c>
      <c r="G476" s="1">
        <v>12556725983400</v>
      </c>
      <c r="H476" s="1">
        <v>7840419666900</v>
      </c>
      <c r="I476">
        <f t="shared" si="7"/>
        <v>0</v>
      </c>
    </row>
    <row r="477" spans="1:9" x14ac:dyDescent="0.3">
      <c r="A477">
        <v>20161104</v>
      </c>
      <c r="B477" s="2" t="s">
        <v>9</v>
      </c>
      <c r="C477" s="8">
        <v>107700</v>
      </c>
      <c r="D477" s="8">
        <v>107100</v>
      </c>
      <c r="E477">
        <v>98317</v>
      </c>
      <c r="F477" s="9">
        <v>116589842</v>
      </c>
      <c r="G477" s="1">
        <v>12486772078200</v>
      </c>
      <c r="H477" s="1">
        <v>7796740448700</v>
      </c>
      <c r="I477">
        <f t="shared" si="7"/>
        <v>0</v>
      </c>
    </row>
    <row r="478" spans="1:9" x14ac:dyDescent="0.3">
      <c r="A478">
        <v>20161107</v>
      </c>
      <c r="B478" s="2" t="s">
        <v>9</v>
      </c>
      <c r="C478" s="8">
        <v>107100</v>
      </c>
      <c r="D478" s="8">
        <v>108200</v>
      </c>
      <c r="E478">
        <v>99326</v>
      </c>
      <c r="F478" s="9">
        <v>116589842</v>
      </c>
      <c r="G478" s="1">
        <v>12615020904400</v>
      </c>
      <c r="H478" s="1">
        <v>7876819015400</v>
      </c>
      <c r="I478">
        <f t="shared" si="7"/>
        <v>0</v>
      </c>
    </row>
    <row r="479" spans="1:9" x14ac:dyDescent="0.3">
      <c r="A479">
        <v>20161108</v>
      </c>
      <c r="B479" s="2" t="s">
        <v>9</v>
      </c>
      <c r="C479" s="8">
        <v>108200</v>
      </c>
      <c r="D479" s="8">
        <v>107900</v>
      </c>
      <c r="E479">
        <v>99051</v>
      </c>
      <c r="F479" s="9">
        <v>116589842</v>
      </c>
      <c r="G479" s="1">
        <v>12580043951800</v>
      </c>
      <c r="H479" s="1">
        <v>7854979406300</v>
      </c>
      <c r="I479">
        <f t="shared" si="7"/>
        <v>0</v>
      </c>
    </row>
    <row r="480" spans="1:9" x14ac:dyDescent="0.3">
      <c r="A480">
        <v>20161109</v>
      </c>
      <c r="B480" s="2" t="s">
        <v>9</v>
      </c>
      <c r="C480" s="8">
        <v>107900</v>
      </c>
      <c r="D480" s="8">
        <v>102000</v>
      </c>
      <c r="E480">
        <v>93634</v>
      </c>
      <c r="F480" s="9">
        <v>116589842</v>
      </c>
      <c r="G480" s="1">
        <v>11892163884000</v>
      </c>
      <c r="H480" s="1">
        <v>7425467094000</v>
      </c>
      <c r="I480">
        <f t="shared" si="7"/>
        <v>0</v>
      </c>
    </row>
    <row r="481" spans="1:10" x14ac:dyDescent="0.3">
      <c r="A481">
        <v>20161110</v>
      </c>
      <c r="B481" s="2" t="s">
        <v>9</v>
      </c>
      <c r="C481" s="8">
        <v>102000</v>
      </c>
      <c r="D481" s="8">
        <v>106700</v>
      </c>
      <c r="E481">
        <v>97949</v>
      </c>
      <c r="F481" s="9">
        <v>116589842</v>
      </c>
      <c r="G481" s="1">
        <v>12440136141400</v>
      </c>
      <c r="H481" s="1">
        <v>7767620969900</v>
      </c>
      <c r="I481">
        <f t="shared" si="7"/>
        <v>0</v>
      </c>
    </row>
    <row r="482" spans="1:10" x14ac:dyDescent="0.3">
      <c r="A482" s="8">
        <v>20161111</v>
      </c>
      <c r="B482" s="10" t="s">
        <v>9</v>
      </c>
      <c r="C482" s="8">
        <v>106700</v>
      </c>
      <c r="D482" s="8">
        <v>104600</v>
      </c>
      <c r="E482" s="8">
        <v>96021</v>
      </c>
      <c r="F482" s="9">
        <v>116598327</v>
      </c>
      <c r="G482" s="9">
        <v>12196185004200</v>
      </c>
      <c r="H482" s="9">
        <v>7615297877000</v>
      </c>
      <c r="I482" s="8">
        <f t="shared" si="7"/>
        <v>1</v>
      </c>
      <c r="J482" t="s">
        <v>37</v>
      </c>
    </row>
    <row r="483" spans="1:10" x14ac:dyDescent="0.3">
      <c r="A483">
        <v>20161114</v>
      </c>
      <c r="B483" s="2" t="s">
        <v>9</v>
      </c>
      <c r="C483" s="8">
        <v>104600</v>
      </c>
      <c r="D483" s="8">
        <v>103900</v>
      </c>
      <c r="E483">
        <v>95378</v>
      </c>
      <c r="F483" s="9">
        <v>116598327</v>
      </c>
      <c r="G483" s="1">
        <v>12114566175300</v>
      </c>
      <c r="H483" s="1">
        <v>7564335080500</v>
      </c>
      <c r="I483">
        <f t="shared" si="7"/>
        <v>0</v>
      </c>
    </row>
    <row r="484" spans="1:10" x14ac:dyDescent="0.3">
      <c r="A484">
        <v>20161115</v>
      </c>
      <c r="B484" s="2" t="s">
        <v>9</v>
      </c>
      <c r="C484" s="8">
        <v>103900</v>
      </c>
      <c r="D484" s="8">
        <v>102900</v>
      </c>
      <c r="E484">
        <v>94461</v>
      </c>
      <c r="F484" s="9">
        <v>116598327</v>
      </c>
      <c r="G484" s="1">
        <v>11997967848300</v>
      </c>
      <c r="H484" s="1">
        <v>7491531085500</v>
      </c>
      <c r="I484">
        <f t="shared" si="7"/>
        <v>0</v>
      </c>
    </row>
    <row r="485" spans="1:10" x14ac:dyDescent="0.3">
      <c r="A485">
        <v>20161116</v>
      </c>
      <c r="B485" s="2" t="s">
        <v>9</v>
      </c>
      <c r="C485" s="8">
        <v>102900</v>
      </c>
      <c r="D485" s="8">
        <v>105100</v>
      </c>
      <c r="E485">
        <v>96481</v>
      </c>
      <c r="F485" s="9">
        <v>116598327</v>
      </c>
      <c r="G485" s="1">
        <v>12254484167700</v>
      </c>
      <c r="H485" s="1">
        <v>7651699874500</v>
      </c>
      <c r="I485">
        <f t="shared" si="7"/>
        <v>0</v>
      </c>
    </row>
    <row r="486" spans="1:10" x14ac:dyDescent="0.3">
      <c r="A486">
        <v>20161117</v>
      </c>
      <c r="B486" s="2" t="s">
        <v>9</v>
      </c>
      <c r="C486" s="8">
        <v>105100</v>
      </c>
      <c r="D486" s="8">
        <v>103900</v>
      </c>
      <c r="E486">
        <v>95378</v>
      </c>
      <c r="F486" s="9">
        <v>116598327</v>
      </c>
      <c r="G486" s="1">
        <v>12114566175300</v>
      </c>
      <c r="H486" s="1">
        <v>7571603820600</v>
      </c>
      <c r="I486">
        <f t="shared" si="7"/>
        <v>0</v>
      </c>
    </row>
    <row r="487" spans="1:10" x14ac:dyDescent="0.3">
      <c r="A487">
        <v>20161118</v>
      </c>
      <c r="B487" s="2" t="s">
        <v>9</v>
      </c>
      <c r="C487" s="8">
        <v>103900</v>
      </c>
      <c r="D487" s="8">
        <v>103500</v>
      </c>
      <c r="E487">
        <v>95011</v>
      </c>
      <c r="F487" s="9">
        <v>116598327</v>
      </c>
      <c r="G487" s="1">
        <v>12067926844500</v>
      </c>
      <c r="H487" s="1">
        <v>7542454239000</v>
      </c>
      <c r="I487">
        <f t="shared" si="7"/>
        <v>0</v>
      </c>
    </row>
    <row r="488" spans="1:10" x14ac:dyDescent="0.3">
      <c r="A488">
        <v>20161121</v>
      </c>
      <c r="B488" s="2" t="s">
        <v>9</v>
      </c>
      <c r="C488" s="8">
        <v>103500</v>
      </c>
      <c r="D488" s="8">
        <v>102900</v>
      </c>
      <c r="E488">
        <v>94461</v>
      </c>
      <c r="F488" s="9">
        <v>116598327</v>
      </c>
      <c r="G488" s="1">
        <v>11997967848300</v>
      </c>
      <c r="H488" s="1">
        <v>7498729866600</v>
      </c>
      <c r="I488">
        <f t="shared" si="7"/>
        <v>0</v>
      </c>
    </row>
    <row r="489" spans="1:10" x14ac:dyDescent="0.3">
      <c r="A489">
        <v>20161122</v>
      </c>
      <c r="B489" s="2" t="s">
        <v>9</v>
      </c>
      <c r="C489" s="8">
        <v>102900</v>
      </c>
      <c r="D489" s="8">
        <v>102900</v>
      </c>
      <c r="E489">
        <v>94461</v>
      </c>
      <c r="F489" s="9">
        <v>116598327</v>
      </c>
      <c r="G489" s="1">
        <v>11997967848300</v>
      </c>
      <c r="H489" s="1">
        <v>7498729866600</v>
      </c>
      <c r="I489">
        <f t="shared" si="7"/>
        <v>0</v>
      </c>
    </row>
    <row r="490" spans="1:10" x14ac:dyDescent="0.3">
      <c r="A490">
        <v>20161123</v>
      </c>
      <c r="B490" s="2" t="s">
        <v>9</v>
      </c>
      <c r="C490" s="8">
        <v>102900</v>
      </c>
      <c r="D490" s="8">
        <v>103000</v>
      </c>
      <c r="E490">
        <v>94553</v>
      </c>
      <c r="F490" s="9">
        <v>116598327</v>
      </c>
      <c r="G490" s="1">
        <v>12009627681000</v>
      </c>
      <c r="H490" s="1">
        <v>7506017262000</v>
      </c>
      <c r="I490">
        <f t="shared" si="7"/>
        <v>0</v>
      </c>
    </row>
    <row r="491" spans="1:10" x14ac:dyDescent="0.3">
      <c r="A491">
        <v>20161124</v>
      </c>
      <c r="B491" s="2" t="s">
        <v>9</v>
      </c>
      <c r="C491" s="8">
        <v>103000</v>
      </c>
      <c r="D491" s="8">
        <v>103200</v>
      </c>
      <c r="E491">
        <v>94736</v>
      </c>
      <c r="F491" s="9">
        <v>116598327</v>
      </c>
      <c r="G491" s="1">
        <v>12032947346400</v>
      </c>
      <c r="H491" s="1">
        <v>7520592052800</v>
      </c>
      <c r="I491">
        <f t="shared" si="7"/>
        <v>0</v>
      </c>
    </row>
    <row r="492" spans="1:10" x14ac:dyDescent="0.3">
      <c r="A492">
        <v>20161125</v>
      </c>
      <c r="B492" s="2" t="s">
        <v>9</v>
      </c>
      <c r="C492" s="8">
        <v>103200</v>
      </c>
      <c r="D492" s="8">
        <v>104000</v>
      </c>
      <c r="E492">
        <v>95471</v>
      </c>
      <c r="F492" s="9">
        <v>116598327</v>
      </c>
      <c r="G492" s="1">
        <v>12126226008000</v>
      </c>
      <c r="H492" s="1">
        <v>7578891216000</v>
      </c>
      <c r="I492">
        <f t="shared" si="7"/>
        <v>0</v>
      </c>
    </row>
    <row r="493" spans="1:10" x14ac:dyDescent="0.3">
      <c r="A493">
        <v>20161128</v>
      </c>
      <c r="B493" s="2" t="s">
        <v>9</v>
      </c>
      <c r="C493" s="8">
        <v>104000</v>
      </c>
      <c r="D493" s="8">
        <v>102900</v>
      </c>
      <c r="E493">
        <v>94461</v>
      </c>
      <c r="F493" s="9">
        <v>116598327</v>
      </c>
      <c r="G493" s="1">
        <v>11997967848300</v>
      </c>
      <c r="H493" s="1">
        <v>7498729866600</v>
      </c>
      <c r="I493">
        <f t="shared" si="7"/>
        <v>0</v>
      </c>
    </row>
    <row r="494" spans="1:10" x14ac:dyDescent="0.3">
      <c r="A494">
        <v>20161129</v>
      </c>
      <c r="B494" s="2" t="s">
        <v>9</v>
      </c>
      <c r="C494" s="8">
        <v>102900</v>
      </c>
      <c r="D494" s="8">
        <v>103000</v>
      </c>
      <c r="E494">
        <v>94553</v>
      </c>
      <c r="F494" s="9">
        <v>116598327</v>
      </c>
      <c r="G494" s="1">
        <v>12009627681000</v>
      </c>
      <c r="H494" s="1">
        <v>7506017262000</v>
      </c>
      <c r="I494">
        <f t="shared" si="7"/>
        <v>0</v>
      </c>
    </row>
    <row r="495" spans="1:10" x14ac:dyDescent="0.3">
      <c r="A495">
        <v>20161130</v>
      </c>
      <c r="B495" s="2" t="s">
        <v>9</v>
      </c>
      <c r="C495" s="8">
        <v>103000</v>
      </c>
      <c r="D495" s="8">
        <v>102400</v>
      </c>
      <c r="E495">
        <v>94002</v>
      </c>
      <c r="F495" s="9">
        <v>116598327</v>
      </c>
      <c r="G495" s="1">
        <v>11939668684800</v>
      </c>
      <c r="H495" s="1">
        <v>7462292889600</v>
      </c>
      <c r="I495">
        <f t="shared" si="7"/>
        <v>0</v>
      </c>
    </row>
    <row r="496" spans="1:10" x14ac:dyDescent="0.3">
      <c r="A496">
        <v>20161201</v>
      </c>
      <c r="B496" s="2" t="s">
        <v>9</v>
      </c>
      <c r="C496" s="8">
        <v>102400</v>
      </c>
      <c r="D496" s="8">
        <v>101400</v>
      </c>
      <c r="E496">
        <v>93083</v>
      </c>
      <c r="F496" s="9">
        <v>116598327</v>
      </c>
      <c r="G496" s="1">
        <v>11823070357800</v>
      </c>
      <c r="H496" s="1">
        <v>7389418935600</v>
      </c>
      <c r="I496">
        <f t="shared" si="7"/>
        <v>0</v>
      </c>
    </row>
    <row r="497" spans="1:9" x14ac:dyDescent="0.3">
      <c r="A497">
        <v>20161202</v>
      </c>
      <c r="B497" s="2" t="s">
        <v>9</v>
      </c>
      <c r="C497" s="8">
        <v>101400</v>
      </c>
      <c r="D497" s="8">
        <v>99600</v>
      </c>
      <c r="E497">
        <v>91432</v>
      </c>
      <c r="F497" s="9">
        <v>116598327</v>
      </c>
      <c r="G497" s="1">
        <v>11613193369200</v>
      </c>
      <c r="H497" s="1">
        <v>7258245818400</v>
      </c>
      <c r="I497">
        <f t="shared" si="7"/>
        <v>0</v>
      </c>
    </row>
    <row r="498" spans="1:9" x14ac:dyDescent="0.3">
      <c r="A498">
        <v>20161205</v>
      </c>
      <c r="B498" s="2" t="s">
        <v>9</v>
      </c>
      <c r="C498" s="8">
        <v>99600</v>
      </c>
      <c r="D498" s="8">
        <v>100100</v>
      </c>
      <c r="E498">
        <v>91891</v>
      </c>
      <c r="F498" s="9">
        <v>116598327</v>
      </c>
      <c r="G498" s="1">
        <v>11671492532700</v>
      </c>
      <c r="H498" s="1">
        <v>7294682795400</v>
      </c>
      <c r="I498">
        <f t="shared" si="7"/>
        <v>0</v>
      </c>
    </row>
    <row r="499" spans="1:9" x14ac:dyDescent="0.3">
      <c r="A499">
        <v>20161206</v>
      </c>
      <c r="B499" s="2" t="s">
        <v>9</v>
      </c>
      <c r="C499" s="8">
        <v>100100</v>
      </c>
      <c r="D499" s="8">
        <v>100000</v>
      </c>
      <c r="E499">
        <v>91798</v>
      </c>
      <c r="F499" s="9">
        <v>116598327</v>
      </c>
      <c r="G499" s="1">
        <v>11659832700000</v>
      </c>
      <c r="H499" s="1">
        <v>7287395400000</v>
      </c>
      <c r="I499">
        <f t="shared" si="7"/>
        <v>0</v>
      </c>
    </row>
    <row r="500" spans="1:9" x14ac:dyDescent="0.3">
      <c r="A500">
        <v>20161207</v>
      </c>
      <c r="B500" s="2" t="s">
        <v>9</v>
      </c>
      <c r="C500" s="8">
        <v>100000</v>
      </c>
      <c r="D500" s="8">
        <v>98700</v>
      </c>
      <c r="E500">
        <v>90606</v>
      </c>
      <c r="F500" s="9">
        <v>116598327</v>
      </c>
      <c r="G500" s="1">
        <v>11508254874900</v>
      </c>
      <c r="H500" s="1">
        <v>7192659259800</v>
      </c>
      <c r="I500">
        <f t="shared" si="7"/>
        <v>0</v>
      </c>
    </row>
    <row r="501" spans="1:9" x14ac:dyDescent="0.3">
      <c r="A501">
        <v>20161208</v>
      </c>
      <c r="B501" s="2" t="s">
        <v>9</v>
      </c>
      <c r="C501" s="8">
        <v>98700</v>
      </c>
      <c r="D501" s="8">
        <v>98300</v>
      </c>
      <c r="E501">
        <v>90238</v>
      </c>
      <c r="F501" s="9">
        <v>116598327</v>
      </c>
      <c r="G501" s="1">
        <v>11461615544100</v>
      </c>
      <c r="H501" s="1">
        <v>7163509678200</v>
      </c>
      <c r="I501">
        <f t="shared" si="7"/>
        <v>0</v>
      </c>
    </row>
    <row r="502" spans="1:9" x14ac:dyDescent="0.3">
      <c r="A502">
        <v>20161209</v>
      </c>
      <c r="B502" s="2" t="s">
        <v>9</v>
      </c>
      <c r="C502" s="8">
        <v>98300</v>
      </c>
      <c r="D502" s="8">
        <v>100400</v>
      </c>
      <c r="E502">
        <v>92166</v>
      </c>
      <c r="F502" s="9">
        <v>116598327</v>
      </c>
      <c r="G502" s="1">
        <v>11706472030800</v>
      </c>
      <c r="H502" s="1">
        <v>7316544981600</v>
      </c>
      <c r="I502">
        <f t="shared" si="7"/>
        <v>0</v>
      </c>
    </row>
    <row r="503" spans="1:9" x14ac:dyDescent="0.3">
      <c r="A503">
        <v>20161212</v>
      </c>
      <c r="B503" s="2" t="s">
        <v>9</v>
      </c>
      <c r="C503" s="8">
        <v>100400</v>
      </c>
      <c r="D503" s="8">
        <v>100800</v>
      </c>
      <c r="E503">
        <v>92533</v>
      </c>
      <c r="F503" s="9">
        <v>116598327</v>
      </c>
      <c r="G503" s="1">
        <v>11753111361600</v>
      </c>
      <c r="H503" s="1">
        <v>7345694563200</v>
      </c>
      <c r="I503">
        <f t="shared" si="7"/>
        <v>0</v>
      </c>
    </row>
    <row r="504" spans="1:9" x14ac:dyDescent="0.3">
      <c r="A504">
        <v>20161213</v>
      </c>
      <c r="B504" s="2" t="s">
        <v>9</v>
      </c>
      <c r="C504" s="8">
        <v>100800</v>
      </c>
      <c r="D504" s="8">
        <v>103500</v>
      </c>
      <c r="E504">
        <v>95011</v>
      </c>
      <c r="F504" s="9">
        <v>116598327</v>
      </c>
      <c r="G504" s="1">
        <v>12067926844500</v>
      </c>
      <c r="H504" s="1">
        <v>7542454239000</v>
      </c>
      <c r="I504">
        <f t="shared" si="7"/>
        <v>0</v>
      </c>
    </row>
    <row r="505" spans="1:9" x14ac:dyDescent="0.3">
      <c r="A505">
        <v>20161214</v>
      </c>
      <c r="B505" s="2" t="s">
        <v>9</v>
      </c>
      <c r="C505" s="8">
        <v>103500</v>
      </c>
      <c r="D505" s="8">
        <v>104600</v>
      </c>
      <c r="E505">
        <v>96021</v>
      </c>
      <c r="F505" s="9">
        <v>116598327</v>
      </c>
      <c r="G505" s="1">
        <v>12196185004200</v>
      </c>
      <c r="H505" s="1">
        <v>7622615588400</v>
      </c>
      <c r="I505">
        <f t="shared" si="7"/>
        <v>0</v>
      </c>
    </row>
    <row r="506" spans="1:9" x14ac:dyDescent="0.3">
      <c r="A506">
        <v>20161215</v>
      </c>
      <c r="B506" s="2" t="s">
        <v>9</v>
      </c>
      <c r="C506" s="8">
        <v>104600</v>
      </c>
      <c r="D506" s="8">
        <v>106000</v>
      </c>
      <c r="E506">
        <v>97307</v>
      </c>
      <c r="F506" s="9">
        <v>116598327</v>
      </c>
      <c r="G506" s="1">
        <v>12359422662000</v>
      </c>
      <c r="H506" s="1">
        <v>7724639124000</v>
      </c>
      <c r="I506">
        <f t="shared" si="7"/>
        <v>0</v>
      </c>
    </row>
    <row r="507" spans="1:9" x14ac:dyDescent="0.3">
      <c r="A507">
        <v>20161216</v>
      </c>
      <c r="B507" s="2" t="s">
        <v>9</v>
      </c>
      <c r="C507" s="8">
        <v>106000</v>
      </c>
      <c r="D507" s="8">
        <v>107600</v>
      </c>
      <c r="E507">
        <v>98775</v>
      </c>
      <c r="F507" s="9">
        <v>116598327</v>
      </c>
      <c r="G507" s="1">
        <v>12545979985200</v>
      </c>
      <c r="H507" s="1">
        <v>7832455246000</v>
      </c>
      <c r="I507">
        <f t="shared" si="7"/>
        <v>0</v>
      </c>
    </row>
    <row r="508" spans="1:9" x14ac:dyDescent="0.3">
      <c r="A508">
        <v>20161219</v>
      </c>
      <c r="B508" s="2" t="s">
        <v>9</v>
      </c>
      <c r="C508" s="8">
        <v>107600</v>
      </c>
      <c r="D508" s="8">
        <v>107600</v>
      </c>
      <c r="E508">
        <v>98775</v>
      </c>
      <c r="F508" s="9">
        <v>116598327</v>
      </c>
      <c r="G508" s="1">
        <v>12545979985200</v>
      </c>
      <c r="H508" s="1">
        <v>7832455246000</v>
      </c>
      <c r="I508">
        <f t="shared" si="7"/>
        <v>0</v>
      </c>
    </row>
    <row r="509" spans="1:9" x14ac:dyDescent="0.3">
      <c r="A509">
        <v>20161220</v>
      </c>
      <c r="B509" s="2" t="s">
        <v>9</v>
      </c>
      <c r="C509" s="8">
        <v>107600</v>
      </c>
      <c r="D509" s="8">
        <v>105000</v>
      </c>
      <c r="E509">
        <v>96389</v>
      </c>
      <c r="F509" s="9">
        <v>116598327</v>
      </c>
      <c r="G509" s="1">
        <v>12242824335000</v>
      </c>
      <c r="H509" s="1">
        <v>7643195175000</v>
      </c>
      <c r="I509">
        <f t="shared" si="7"/>
        <v>0</v>
      </c>
    </row>
    <row r="510" spans="1:9" x14ac:dyDescent="0.3">
      <c r="A510">
        <v>20161221</v>
      </c>
      <c r="B510" s="2" t="s">
        <v>9</v>
      </c>
      <c r="C510" s="8">
        <v>105000</v>
      </c>
      <c r="D510" s="8">
        <v>103000</v>
      </c>
      <c r="E510">
        <v>94553</v>
      </c>
      <c r="F510" s="9">
        <v>116598327</v>
      </c>
      <c r="G510" s="1">
        <v>12009627681000</v>
      </c>
      <c r="H510" s="1">
        <v>7497610505000</v>
      </c>
      <c r="I510">
        <f t="shared" si="7"/>
        <v>0</v>
      </c>
    </row>
    <row r="511" spans="1:9" x14ac:dyDescent="0.3">
      <c r="A511">
        <v>20161222</v>
      </c>
      <c r="B511" s="2" t="s">
        <v>9</v>
      </c>
      <c r="C511" s="8">
        <v>103000</v>
      </c>
      <c r="D511" s="8">
        <v>102300</v>
      </c>
      <c r="E511">
        <v>93911</v>
      </c>
      <c r="F511" s="9">
        <v>116598327</v>
      </c>
      <c r="G511" s="1">
        <v>11928008852100</v>
      </c>
      <c r="H511" s="1">
        <v>7446655870500</v>
      </c>
      <c r="I511">
        <f t="shared" si="7"/>
        <v>0</v>
      </c>
    </row>
    <row r="512" spans="1:9" x14ac:dyDescent="0.3">
      <c r="A512">
        <v>20161223</v>
      </c>
      <c r="B512" s="2" t="s">
        <v>9</v>
      </c>
      <c r="C512" s="8">
        <v>102300</v>
      </c>
      <c r="D512" s="8">
        <v>104000</v>
      </c>
      <c r="E512">
        <v>95471</v>
      </c>
      <c r="F512" s="9">
        <v>116598327</v>
      </c>
      <c r="G512" s="1">
        <v>12126226008000</v>
      </c>
      <c r="H512" s="1">
        <v>7570402840000</v>
      </c>
      <c r="I512">
        <f t="shared" si="7"/>
        <v>0</v>
      </c>
    </row>
    <row r="513" spans="1:10" x14ac:dyDescent="0.3">
      <c r="A513">
        <v>20161226</v>
      </c>
      <c r="B513" s="2" t="s">
        <v>9</v>
      </c>
      <c r="C513" s="8">
        <v>104000</v>
      </c>
      <c r="D513" s="8">
        <v>106100</v>
      </c>
      <c r="E513">
        <v>97398</v>
      </c>
      <c r="F513" s="9">
        <v>116598327</v>
      </c>
      <c r="G513" s="1">
        <v>12371082494700</v>
      </c>
      <c r="H513" s="1">
        <v>7723266743500</v>
      </c>
      <c r="I513">
        <f t="shared" si="7"/>
        <v>0</v>
      </c>
    </row>
    <row r="514" spans="1:10" x14ac:dyDescent="0.3">
      <c r="A514">
        <v>20161227</v>
      </c>
      <c r="B514" s="2" t="s">
        <v>9</v>
      </c>
      <c r="C514" s="8">
        <v>106100</v>
      </c>
      <c r="D514" s="8">
        <v>106300</v>
      </c>
      <c r="E514">
        <v>97582</v>
      </c>
      <c r="F514" s="9">
        <v>116598327</v>
      </c>
      <c r="G514" s="1">
        <v>12394402160100</v>
      </c>
      <c r="H514" s="1">
        <v>7776247877000</v>
      </c>
      <c r="I514">
        <f t="shared" si="7"/>
        <v>0</v>
      </c>
    </row>
    <row r="515" spans="1:10" x14ac:dyDescent="0.3">
      <c r="A515" s="8">
        <v>20161228</v>
      </c>
      <c r="B515" s="10" t="s">
        <v>9</v>
      </c>
      <c r="C515" s="8">
        <v>101300</v>
      </c>
      <c r="D515" s="8">
        <v>106500</v>
      </c>
      <c r="E515" s="8">
        <v>102592</v>
      </c>
      <c r="F515" s="9">
        <v>116598327</v>
      </c>
      <c r="G515" s="9">
        <v>12417721825500</v>
      </c>
      <c r="H515" s="9">
        <v>7790878635000</v>
      </c>
      <c r="I515" s="8">
        <f t="shared" ref="I515:I578" si="8">IF(C515*F515=D514*F514,0,1)</f>
        <v>1</v>
      </c>
      <c r="J515" t="s">
        <v>40</v>
      </c>
    </row>
    <row r="516" spans="1:10" x14ac:dyDescent="0.3">
      <c r="A516">
        <v>20161229</v>
      </c>
      <c r="B516" s="2" t="s">
        <v>9</v>
      </c>
      <c r="C516" s="8">
        <v>106500</v>
      </c>
      <c r="D516" s="8">
        <v>107400</v>
      </c>
      <c r="E516">
        <v>103459</v>
      </c>
      <c r="F516" s="9">
        <v>116598327</v>
      </c>
      <c r="G516" s="1">
        <v>12522660319800</v>
      </c>
      <c r="H516" s="1">
        <v>7856717046000</v>
      </c>
      <c r="I516">
        <f t="shared" si="8"/>
        <v>0</v>
      </c>
    </row>
    <row r="517" spans="1:10" x14ac:dyDescent="0.3">
      <c r="A517">
        <v>20170102</v>
      </c>
      <c r="B517" s="2" t="s">
        <v>9</v>
      </c>
      <c r="C517" s="8">
        <v>107400</v>
      </c>
      <c r="D517" s="8">
        <v>108200</v>
      </c>
      <c r="E517">
        <v>104229</v>
      </c>
      <c r="F517" s="9">
        <v>116598327</v>
      </c>
      <c r="G517" s="1">
        <v>12615938981400</v>
      </c>
      <c r="H517" s="1">
        <v>7915240078000</v>
      </c>
      <c r="I517">
        <f t="shared" si="8"/>
        <v>0</v>
      </c>
    </row>
    <row r="518" spans="1:10" x14ac:dyDescent="0.3">
      <c r="A518">
        <v>20170103</v>
      </c>
      <c r="B518" s="2" t="s">
        <v>9</v>
      </c>
      <c r="C518" s="8">
        <v>108200</v>
      </c>
      <c r="D518" s="8">
        <v>106600</v>
      </c>
      <c r="E518">
        <v>102688</v>
      </c>
      <c r="F518" s="9">
        <v>116598327</v>
      </c>
      <c r="G518" s="1">
        <v>12429381658200</v>
      </c>
      <c r="H518" s="1">
        <v>7799436970000</v>
      </c>
      <c r="I518">
        <f t="shared" si="8"/>
        <v>0</v>
      </c>
    </row>
    <row r="519" spans="1:10" x14ac:dyDescent="0.3">
      <c r="A519">
        <v>20170104</v>
      </c>
      <c r="B519" s="2" t="s">
        <v>9</v>
      </c>
      <c r="C519" s="8">
        <v>106600</v>
      </c>
      <c r="D519" s="8">
        <v>106100</v>
      </c>
      <c r="E519">
        <v>102206</v>
      </c>
      <c r="F519" s="9">
        <v>116598327</v>
      </c>
      <c r="G519" s="1">
        <v>12371082494700</v>
      </c>
      <c r="H519" s="1">
        <v>7762854245000</v>
      </c>
      <c r="I519">
        <f t="shared" si="8"/>
        <v>0</v>
      </c>
    </row>
    <row r="520" spans="1:10" x14ac:dyDescent="0.3">
      <c r="A520">
        <v>20170105</v>
      </c>
      <c r="B520" s="2" t="s">
        <v>9</v>
      </c>
      <c r="C520" s="8">
        <v>106100</v>
      </c>
      <c r="D520" s="8">
        <v>106400</v>
      </c>
      <c r="E520">
        <v>102495</v>
      </c>
      <c r="F520" s="9">
        <v>116598327</v>
      </c>
      <c r="G520" s="1">
        <v>12406061992800</v>
      </c>
      <c r="H520" s="1">
        <v>7784803880000</v>
      </c>
      <c r="I520">
        <f t="shared" si="8"/>
        <v>0</v>
      </c>
    </row>
    <row r="521" spans="1:10" x14ac:dyDescent="0.3">
      <c r="A521">
        <v>20170106</v>
      </c>
      <c r="B521" s="2" t="s">
        <v>9</v>
      </c>
      <c r="C521" s="8">
        <v>106400</v>
      </c>
      <c r="D521" s="8">
        <v>105300</v>
      </c>
      <c r="E521">
        <v>101436</v>
      </c>
      <c r="F521" s="9">
        <v>116598327</v>
      </c>
      <c r="G521" s="1">
        <v>12277803833100</v>
      </c>
      <c r="H521" s="1">
        <v>7704321885000</v>
      </c>
      <c r="I521">
        <f t="shared" si="8"/>
        <v>0</v>
      </c>
    </row>
    <row r="522" spans="1:10" x14ac:dyDescent="0.3">
      <c r="A522">
        <v>20170109</v>
      </c>
      <c r="B522" s="2" t="s">
        <v>9</v>
      </c>
      <c r="C522" s="8">
        <v>105300</v>
      </c>
      <c r="D522" s="8">
        <v>103900</v>
      </c>
      <c r="E522">
        <v>100087</v>
      </c>
      <c r="F522" s="9">
        <v>116598327</v>
      </c>
      <c r="G522" s="1">
        <v>12114566175300</v>
      </c>
      <c r="H522" s="1">
        <v>7601890255000</v>
      </c>
      <c r="I522">
        <f t="shared" si="8"/>
        <v>0</v>
      </c>
    </row>
    <row r="523" spans="1:10" x14ac:dyDescent="0.3">
      <c r="A523">
        <v>20170110</v>
      </c>
      <c r="B523" s="2" t="s">
        <v>9</v>
      </c>
      <c r="C523" s="8">
        <v>103900</v>
      </c>
      <c r="D523" s="8">
        <v>103900</v>
      </c>
      <c r="E523">
        <v>100087</v>
      </c>
      <c r="F523" s="9">
        <v>116598327</v>
      </c>
      <c r="G523" s="1">
        <v>12114566175300</v>
      </c>
      <c r="H523" s="1">
        <v>7601890255000</v>
      </c>
      <c r="I523">
        <f t="shared" si="8"/>
        <v>0</v>
      </c>
    </row>
    <row r="524" spans="1:10" x14ac:dyDescent="0.3">
      <c r="A524">
        <v>20170111</v>
      </c>
      <c r="B524" s="2" t="s">
        <v>9</v>
      </c>
      <c r="C524" s="8">
        <v>103900</v>
      </c>
      <c r="D524" s="8">
        <v>103900</v>
      </c>
      <c r="E524">
        <v>100087</v>
      </c>
      <c r="F524" s="9">
        <v>116598327</v>
      </c>
      <c r="G524" s="1">
        <v>12114566175300</v>
      </c>
      <c r="H524" s="1">
        <v>7601890255000</v>
      </c>
      <c r="I524">
        <f t="shared" si="8"/>
        <v>0</v>
      </c>
    </row>
    <row r="525" spans="1:10" x14ac:dyDescent="0.3">
      <c r="A525">
        <v>20170112</v>
      </c>
      <c r="B525" s="2" t="s">
        <v>9</v>
      </c>
      <c r="C525" s="8">
        <v>103900</v>
      </c>
      <c r="D525" s="8">
        <v>102600</v>
      </c>
      <c r="E525">
        <v>98835</v>
      </c>
      <c r="F525" s="9">
        <v>116598327</v>
      </c>
      <c r="G525" s="1">
        <v>11962988350200</v>
      </c>
      <c r="H525" s="1">
        <v>7506775170000</v>
      </c>
      <c r="I525">
        <f t="shared" si="8"/>
        <v>0</v>
      </c>
    </row>
    <row r="526" spans="1:10" x14ac:dyDescent="0.3">
      <c r="A526">
        <v>20170113</v>
      </c>
      <c r="B526" s="2" t="s">
        <v>9</v>
      </c>
      <c r="C526" s="8">
        <v>102600</v>
      </c>
      <c r="D526" s="8">
        <v>102700</v>
      </c>
      <c r="E526">
        <v>98931</v>
      </c>
      <c r="F526" s="9">
        <v>116598327</v>
      </c>
      <c r="G526" s="1">
        <v>11974648182900</v>
      </c>
      <c r="H526" s="1">
        <v>7514091715000</v>
      </c>
      <c r="I526">
        <f t="shared" si="8"/>
        <v>0</v>
      </c>
    </row>
    <row r="527" spans="1:10" x14ac:dyDescent="0.3">
      <c r="A527">
        <v>20170116</v>
      </c>
      <c r="B527" s="2" t="s">
        <v>9</v>
      </c>
      <c r="C527" s="8">
        <v>102700</v>
      </c>
      <c r="D527" s="8">
        <v>102100</v>
      </c>
      <c r="E527">
        <v>98353</v>
      </c>
      <c r="F527" s="9">
        <v>116598327</v>
      </c>
      <c r="G527" s="1">
        <v>11904689186700</v>
      </c>
      <c r="H527" s="1">
        <v>8928516864500</v>
      </c>
      <c r="I527">
        <f t="shared" si="8"/>
        <v>0</v>
      </c>
    </row>
    <row r="528" spans="1:10" x14ac:dyDescent="0.3">
      <c r="A528">
        <v>20170117</v>
      </c>
      <c r="B528" s="2" t="s">
        <v>9</v>
      </c>
      <c r="C528" s="8">
        <v>102100</v>
      </c>
      <c r="D528" s="8">
        <v>101000</v>
      </c>
      <c r="E528">
        <v>97293</v>
      </c>
      <c r="F528" s="9">
        <v>116598327</v>
      </c>
      <c r="G528" s="1">
        <v>11776431027000</v>
      </c>
      <c r="H528" s="1">
        <v>8832323245000</v>
      </c>
      <c r="I528">
        <f t="shared" si="8"/>
        <v>0</v>
      </c>
    </row>
    <row r="529" spans="1:9" x14ac:dyDescent="0.3">
      <c r="A529">
        <v>20170118</v>
      </c>
      <c r="B529" s="2" t="s">
        <v>9</v>
      </c>
      <c r="C529" s="8">
        <v>101000</v>
      </c>
      <c r="D529" s="8">
        <v>101300</v>
      </c>
      <c r="E529">
        <v>97582</v>
      </c>
      <c r="F529" s="9">
        <v>116598327</v>
      </c>
      <c r="G529" s="1">
        <v>11811410525100</v>
      </c>
      <c r="H529" s="1">
        <v>8858557868500</v>
      </c>
      <c r="I529">
        <f t="shared" si="8"/>
        <v>0</v>
      </c>
    </row>
    <row r="530" spans="1:9" x14ac:dyDescent="0.3">
      <c r="A530">
        <v>20170119</v>
      </c>
      <c r="B530" s="2" t="s">
        <v>9</v>
      </c>
      <c r="C530" s="8">
        <v>101300</v>
      </c>
      <c r="D530" s="8">
        <v>100500</v>
      </c>
      <c r="E530">
        <v>96812</v>
      </c>
      <c r="F530" s="9">
        <v>116598327</v>
      </c>
      <c r="G530" s="1">
        <v>11718131863500</v>
      </c>
      <c r="H530" s="1">
        <v>8788598872500</v>
      </c>
      <c r="I530">
        <f t="shared" si="8"/>
        <v>0</v>
      </c>
    </row>
    <row r="531" spans="1:9" x14ac:dyDescent="0.3">
      <c r="A531">
        <v>20170120</v>
      </c>
      <c r="B531" s="2" t="s">
        <v>9</v>
      </c>
      <c r="C531" s="8">
        <v>100500</v>
      </c>
      <c r="D531" s="8">
        <v>100500</v>
      </c>
      <c r="E531">
        <v>96812</v>
      </c>
      <c r="F531" s="9">
        <v>116598327</v>
      </c>
      <c r="G531" s="1">
        <v>11718131863500</v>
      </c>
      <c r="H531" s="1">
        <v>8788598872500</v>
      </c>
      <c r="I531">
        <f t="shared" si="8"/>
        <v>0</v>
      </c>
    </row>
    <row r="532" spans="1:9" x14ac:dyDescent="0.3">
      <c r="A532">
        <v>20170123</v>
      </c>
      <c r="B532" s="2" t="s">
        <v>9</v>
      </c>
      <c r="C532" s="8">
        <v>100500</v>
      </c>
      <c r="D532" s="8">
        <v>100500</v>
      </c>
      <c r="E532">
        <v>96812</v>
      </c>
      <c r="F532" s="9">
        <v>116598327</v>
      </c>
      <c r="G532" s="1">
        <v>11718131863500</v>
      </c>
      <c r="H532" s="1">
        <v>8788598872500</v>
      </c>
      <c r="I532">
        <f t="shared" si="8"/>
        <v>0</v>
      </c>
    </row>
    <row r="533" spans="1:9" x14ac:dyDescent="0.3">
      <c r="A533">
        <v>20170124</v>
      </c>
      <c r="B533" s="2" t="s">
        <v>9</v>
      </c>
      <c r="C533" s="8">
        <v>100500</v>
      </c>
      <c r="D533" s="8">
        <v>99600</v>
      </c>
      <c r="E533">
        <v>95945</v>
      </c>
      <c r="F533" s="9">
        <v>116598327</v>
      </c>
      <c r="G533" s="1">
        <v>11613193369200</v>
      </c>
      <c r="H533" s="1">
        <v>8709895002000</v>
      </c>
      <c r="I533">
        <f t="shared" si="8"/>
        <v>0</v>
      </c>
    </row>
    <row r="534" spans="1:9" x14ac:dyDescent="0.3">
      <c r="A534">
        <v>20170125</v>
      </c>
      <c r="B534" s="2" t="s">
        <v>9</v>
      </c>
      <c r="C534" s="8">
        <v>99600</v>
      </c>
      <c r="D534" s="8">
        <v>100000</v>
      </c>
      <c r="E534">
        <v>96330</v>
      </c>
      <c r="F534" s="9">
        <v>116598327</v>
      </c>
      <c r="G534" s="1">
        <v>11659832700000</v>
      </c>
      <c r="H534" s="1">
        <v>8744874500000</v>
      </c>
      <c r="I534">
        <f t="shared" si="8"/>
        <v>0</v>
      </c>
    </row>
    <row r="535" spans="1:9" x14ac:dyDescent="0.3">
      <c r="A535">
        <v>20170126</v>
      </c>
      <c r="B535" s="2" t="s">
        <v>9</v>
      </c>
      <c r="C535" s="8">
        <v>100000</v>
      </c>
      <c r="D535" s="8">
        <v>100200</v>
      </c>
      <c r="E535">
        <v>96523</v>
      </c>
      <c r="F535" s="9">
        <v>116598327</v>
      </c>
      <c r="G535" s="1">
        <v>11683152365400</v>
      </c>
      <c r="H535" s="1">
        <v>8762364249000</v>
      </c>
      <c r="I535">
        <f t="shared" si="8"/>
        <v>0</v>
      </c>
    </row>
    <row r="536" spans="1:9" x14ac:dyDescent="0.3">
      <c r="A536">
        <v>20170131</v>
      </c>
      <c r="B536" s="2" t="s">
        <v>9</v>
      </c>
      <c r="C536" s="8">
        <v>100200</v>
      </c>
      <c r="D536" s="8">
        <v>100200</v>
      </c>
      <c r="E536">
        <v>96523</v>
      </c>
      <c r="F536" s="9">
        <v>116598327</v>
      </c>
      <c r="G536" s="1">
        <v>11683152365400</v>
      </c>
      <c r="H536" s="1">
        <v>8762364249000</v>
      </c>
      <c r="I536">
        <f t="shared" si="8"/>
        <v>0</v>
      </c>
    </row>
    <row r="537" spans="1:9" x14ac:dyDescent="0.3">
      <c r="A537">
        <v>20170201</v>
      </c>
      <c r="B537" s="2" t="s">
        <v>9</v>
      </c>
      <c r="C537" s="8">
        <v>100200</v>
      </c>
      <c r="D537" s="8">
        <v>100000</v>
      </c>
      <c r="E537">
        <v>96330</v>
      </c>
      <c r="F537" s="9">
        <v>116598327</v>
      </c>
      <c r="G537" s="1">
        <v>11659832700000</v>
      </c>
      <c r="H537" s="1">
        <v>8744874500000</v>
      </c>
      <c r="I537">
        <f t="shared" si="8"/>
        <v>0</v>
      </c>
    </row>
    <row r="538" spans="1:9" x14ac:dyDescent="0.3">
      <c r="A538">
        <v>20170202</v>
      </c>
      <c r="B538" s="2" t="s">
        <v>9</v>
      </c>
      <c r="C538" s="8">
        <v>100000</v>
      </c>
      <c r="D538" s="8">
        <v>100600</v>
      </c>
      <c r="E538">
        <v>96908</v>
      </c>
      <c r="F538" s="9">
        <v>116598327</v>
      </c>
      <c r="G538" s="1">
        <v>11729791696200</v>
      </c>
      <c r="H538" s="1">
        <v>8797343747000</v>
      </c>
      <c r="I538">
        <f t="shared" si="8"/>
        <v>0</v>
      </c>
    </row>
    <row r="539" spans="1:9" x14ac:dyDescent="0.3">
      <c r="A539">
        <v>20170203</v>
      </c>
      <c r="B539" s="2" t="s">
        <v>9</v>
      </c>
      <c r="C539" s="8">
        <v>100600</v>
      </c>
      <c r="D539" s="8">
        <v>101500</v>
      </c>
      <c r="E539">
        <v>97776</v>
      </c>
      <c r="F539" s="9">
        <v>116598327</v>
      </c>
      <c r="G539" s="1">
        <v>11834730190500</v>
      </c>
      <c r="H539" s="1">
        <v>8876047617500</v>
      </c>
      <c r="I539">
        <f t="shared" si="8"/>
        <v>0</v>
      </c>
    </row>
    <row r="540" spans="1:9" x14ac:dyDescent="0.3">
      <c r="A540">
        <v>20170206</v>
      </c>
      <c r="B540" s="2" t="s">
        <v>9</v>
      </c>
      <c r="C540" s="8">
        <v>101500</v>
      </c>
      <c r="D540" s="8">
        <v>101400</v>
      </c>
      <c r="E540">
        <v>97679</v>
      </c>
      <c r="F540" s="9">
        <v>116598327</v>
      </c>
      <c r="G540" s="1">
        <v>11823070357800</v>
      </c>
      <c r="H540" s="1">
        <v>8867302743000</v>
      </c>
      <c r="I540">
        <f t="shared" si="8"/>
        <v>0</v>
      </c>
    </row>
    <row r="541" spans="1:9" x14ac:dyDescent="0.3">
      <c r="A541">
        <v>20170207</v>
      </c>
      <c r="B541" s="2" t="s">
        <v>9</v>
      </c>
      <c r="C541" s="8">
        <v>101400</v>
      </c>
      <c r="D541" s="8">
        <v>100500</v>
      </c>
      <c r="E541">
        <v>96812</v>
      </c>
      <c r="F541" s="9">
        <v>116598327</v>
      </c>
      <c r="G541" s="1">
        <v>11718131863500</v>
      </c>
      <c r="H541" s="1">
        <v>8788598872500</v>
      </c>
      <c r="I541">
        <f t="shared" si="8"/>
        <v>0</v>
      </c>
    </row>
    <row r="542" spans="1:9" x14ac:dyDescent="0.3">
      <c r="A542">
        <v>20170208</v>
      </c>
      <c r="B542" s="2" t="s">
        <v>9</v>
      </c>
      <c r="C542" s="8">
        <v>100500</v>
      </c>
      <c r="D542" s="8">
        <v>100800</v>
      </c>
      <c r="E542">
        <v>97101</v>
      </c>
      <c r="F542" s="9">
        <v>116598327</v>
      </c>
      <c r="G542" s="1">
        <v>11753111361600</v>
      </c>
      <c r="H542" s="1">
        <v>8814833496000</v>
      </c>
      <c r="I542">
        <f t="shared" si="8"/>
        <v>0</v>
      </c>
    </row>
    <row r="543" spans="1:9" x14ac:dyDescent="0.3">
      <c r="A543">
        <v>20170209</v>
      </c>
      <c r="B543" s="2" t="s">
        <v>9</v>
      </c>
      <c r="C543" s="8">
        <v>100800</v>
      </c>
      <c r="D543" s="8">
        <v>100400</v>
      </c>
      <c r="E543">
        <v>96715</v>
      </c>
      <c r="F543" s="9">
        <v>116598327</v>
      </c>
      <c r="G543" s="1">
        <v>11706472030800</v>
      </c>
      <c r="H543" s="1">
        <v>8779853998000</v>
      </c>
      <c r="I543">
        <f t="shared" si="8"/>
        <v>0</v>
      </c>
    </row>
    <row r="544" spans="1:9" x14ac:dyDescent="0.3">
      <c r="A544">
        <v>20170210</v>
      </c>
      <c r="B544" s="2" t="s">
        <v>9</v>
      </c>
      <c r="C544" s="8">
        <v>100400</v>
      </c>
      <c r="D544" s="8">
        <v>101800</v>
      </c>
      <c r="E544">
        <v>98064</v>
      </c>
      <c r="F544" s="9">
        <v>116598327</v>
      </c>
      <c r="G544" s="1">
        <v>11869709688600</v>
      </c>
      <c r="H544" s="1">
        <v>8902282241000</v>
      </c>
      <c r="I544">
        <f t="shared" si="8"/>
        <v>0</v>
      </c>
    </row>
    <row r="545" spans="1:9" x14ac:dyDescent="0.3">
      <c r="A545">
        <v>20170213</v>
      </c>
      <c r="B545" s="2" t="s">
        <v>9</v>
      </c>
      <c r="C545" s="8">
        <v>101800</v>
      </c>
      <c r="D545" s="8">
        <v>101600</v>
      </c>
      <c r="E545">
        <v>97872</v>
      </c>
      <c r="F545" s="9">
        <v>116598327</v>
      </c>
      <c r="G545" s="1">
        <v>11846390023200</v>
      </c>
      <c r="H545" s="1">
        <v>8884792492000</v>
      </c>
      <c r="I545">
        <f t="shared" si="8"/>
        <v>0</v>
      </c>
    </row>
    <row r="546" spans="1:9" x14ac:dyDescent="0.3">
      <c r="A546">
        <v>20170214</v>
      </c>
      <c r="B546" s="2" t="s">
        <v>9</v>
      </c>
      <c r="C546" s="8">
        <v>101600</v>
      </c>
      <c r="D546" s="8">
        <v>100500</v>
      </c>
      <c r="E546">
        <v>96812</v>
      </c>
      <c r="F546" s="9">
        <v>116598327</v>
      </c>
      <c r="G546" s="1">
        <v>11718131863500</v>
      </c>
      <c r="H546" s="1">
        <v>8788598872500</v>
      </c>
      <c r="I546">
        <f t="shared" si="8"/>
        <v>0</v>
      </c>
    </row>
    <row r="547" spans="1:9" x14ac:dyDescent="0.3">
      <c r="A547">
        <v>20170215</v>
      </c>
      <c r="B547" s="2" t="s">
        <v>9</v>
      </c>
      <c r="C547" s="8">
        <v>100500</v>
      </c>
      <c r="D547" s="8">
        <v>101500</v>
      </c>
      <c r="E547">
        <v>97776</v>
      </c>
      <c r="F547" s="9">
        <v>116598327</v>
      </c>
      <c r="G547" s="1">
        <v>11834730190500</v>
      </c>
      <c r="H547" s="1">
        <v>8876047617500</v>
      </c>
      <c r="I547">
        <f t="shared" si="8"/>
        <v>0</v>
      </c>
    </row>
    <row r="548" spans="1:9" x14ac:dyDescent="0.3">
      <c r="A548">
        <v>20170216</v>
      </c>
      <c r="B548" s="2" t="s">
        <v>9</v>
      </c>
      <c r="C548" s="8">
        <v>101500</v>
      </c>
      <c r="D548" s="8">
        <v>101700</v>
      </c>
      <c r="E548">
        <v>97968</v>
      </c>
      <c r="F548" s="9">
        <v>116598327</v>
      </c>
      <c r="G548" s="1">
        <v>11858049855900</v>
      </c>
      <c r="H548" s="1">
        <v>8893537366500</v>
      </c>
      <c r="I548">
        <f t="shared" si="8"/>
        <v>0</v>
      </c>
    </row>
    <row r="549" spans="1:9" x14ac:dyDescent="0.3">
      <c r="A549">
        <v>20170217</v>
      </c>
      <c r="B549" s="2" t="s">
        <v>9</v>
      </c>
      <c r="C549" s="8">
        <v>101700</v>
      </c>
      <c r="D549" s="8">
        <v>100900</v>
      </c>
      <c r="E549">
        <v>97197</v>
      </c>
      <c r="F549" s="9">
        <v>116598327</v>
      </c>
      <c r="G549" s="1">
        <v>11764771194300</v>
      </c>
      <c r="H549" s="1">
        <v>8823578370500</v>
      </c>
      <c r="I549">
        <f t="shared" si="8"/>
        <v>0</v>
      </c>
    </row>
    <row r="550" spans="1:9" x14ac:dyDescent="0.3">
      <c r="A550">
        <v>20170220</v>
      </c>
      <c r="B550" s="2" t="s">
        <v>9</v>
      </c>
      <c r="C550" s="8">
        <v>100900</v>
      </c>
      <c r="D550" s="8">
        <v>100800</v>
      </c>
      <c r="E550">
        <v>97101</v>
      </c>
      <c r="F550" s="9">
        <v>116598327</v>
      </c>
      <c r="G550" s="1">
        <v>11753111361600</v>
      </c>
      <c r="H550" s="1">
        <v>8814833496000</v>
      </c>
      <c r="I550">
        <f t="shared" si="8"/>
        <v>0</v>
      </c>
    </row>
    <row r="551" spans="1:9" x14ac:dyDescent="0.3">
      <c r="A551">
        <v>20170221</v>
      </c>
      <c r="B551" s="2" t="s">
        <v>9</v>
      </c>
      <c r="C551" s="8">
        <v>100800</v>
      </c>
      <c r="D551" s="8">
        <v>101000</v>
      </c>
      <c r="E551">
        <v>97293</v>
      </c>
      <c r="F551" s="9">
        <v>116598327</v>
      </c>
      <c r="G551" s="1">
        <v>11776431027000</v>
      </c>
      <c r="H551" s="1">
        <v>8832323245000</v>
      </c>
      <c r="I551">
        <f t="shared" si="8"/>
        <v>0</v>
      </c>
    </row>
    <row r="552" spans="1:9" x14ac:dyDescent="0.3">
      <c r="A552">
        <v>20170222</v>
      </c>
      <c r="B552" s="2" t="s">
        <v>9</v>
      </c>
      <c r="C552" s="8">
        <v>101000</v>
      </c>
      <c r="D552" s="8">
        <v>101100</v>
      </c>
      <c r="E552">
        <v>97389</v>
      </c>
      <c r="F552" s="9">
        <v>116598327</v>
      </c>
      <c r="G552" s="1">
        <v>11788090859700</v>
      </c>
      <c r="H552" s="1">
        <v>8841068119500</v>
      </c>
      <c r="I552">
        <f t="shared" si="8"/>
        <v>0</v>
      </c>
    </row>
    <row r="553" spans="1:9" x14ac:dyDescent="0.3">
      <c r="A553">
        <v>20170223</v>
      </c>
      <c r="B553" s="2" t="s">
        <v>9</v>
      </c>
      <c r="C553" s="8">
        <v>101100</v>
      </c>
      <c r="D553" s="8">
        <v>101500</v>
      </c>
      <c r="E553">
        <v>97776</v>
      </c>
      <c r="F553" s="9">
        <v>116598327</v>
      </c>
      <c r="G553" s="1">
        <v>11834730190500</v>
      </c>
      <c r="H553" s="1">
        <v>8876047617500</v>
      </c>
      <c r="I553">
        <f t="shared" si="8"/>
        <v>0</v>
      </c>
    </row>
    <row r="554" spans="1:9" x14ac:dyDescent="0.3">
      <c r="A554">
        <v>20170224</v>
      </c>
      <c r="B554" s="2" t="s">
        <v>9</v>
      </c>
      <c r="C554" s="8">
        <v>101500</v>
      </c>
      <c r="D554" s="8">
        <v>100700</v>
      </c>
      <c r="E554">
        <v>97004</v>
      </c>
      <c r="F554" s="9">
        <v>116598327</v>
      </c>
      <c r="G554" s="1">
        <v>11741451528900</v>
      </c>
      <c r="H554" s="1">
        <v>8806088621500</v>
      </c>
      <c r="I554">
        <f t="shared" si="8"/>
        <v>0</v>
      </c>
    </row>
    <row r="555" spans="1:9" x14ac:dyDescent="0.3">
      <c r="A555">
        <v>20170227</v>
      </c>
      <c r="B555" s="2" t="s">
        <v>9</v>
      </c>
      <c r="C555" s="8">
        <v>100700</v>
      </c>
      <c r="D555" s="8">
        <v>101500</v>
      </c>
      <c r="E555">
        <v>97776</v>
      </c>
      <c r="F555" s="9">
        <v>116598327</v>
      </c>
      <c r="G555" s="1">
        <v>11834730190500</v>
      </c>
      <c r="H555" s="1">
        <v>8876047617500</v>
      </c>
      <c r="I555">
        <f t="shared" si="8"/>
        <v>0</v>
      </c>
    </row>
    <row r="556" spans="1:9" x14ac:dyDescent="0.3">
      <c r="A556">
        <v>20170228</v>
      </c>
      <c r="B556" s="2" t="s">
        <v>9</v>
      </c>
      <c r="C556" s="8">
        <v>101500</v>
      </c>
      <c r="D556" s="8">
        <v>101500</v>
      </c>
      <c r="E556">
        <v>97776</v>
      </c>
      <c r="F556" s="9">
        <v>116598327</v>
      </c>
      <c r="G556" s="1">
        <v>11834730190500</v>
      </c>
      <c r="H556" s="1">
        <v>8876047617500</v>
      </c>
      <c r="I556">
        <f t="shared" si="8"/>
        <v>0</v>
      </c>
    </row>
    <row r="557" spans="1:9" x14ac:dyDescent="0.3">
      <c r="A557">
        <v>20170302</v>
      </c>
      <c r="B557" s="2" t="s">
        <v>9</v>
      </c>
      <c r="C557" s="8">
        <v>101500</v>
      </c>
      <c r="D557" s="8">
        <v>101000</v>
      </c>
      <c r="E557">
        <v>97293</v>
      </c>
      <c r="F557" s="9">
        <v>116598327</v>
      </c>
      <c r="G557" s="1">
        <v>11776431027000</v>
      </c>
      <c r="H557" s="1">
        <v>8832323245000</v>
      </c>
      <c r="I557">
        <f t="shared" si="8"/>
        <v>0</v>
      </c>
    </row>
    <row r="558" spans="1:9" x14ac:dyDescent="0.3">
      <c r="A558">
        <v>20170303</v>
      </c>
      <c r="B558" s="2" t="s">
        <v>9</v>
      </c>
      <c r="C558" s="8">
        <v>101000</v>
      </c>
      <c r="D558" s="8">
        <v>101000</v>
      </c>
      <c r="E558">
        <v>97293</v>
      </c>
      <c r="F558" s="9">
        <v>116598327</v>
      </c>
      <c r="G558" s="1">
        <v>11776431027000</v>
      </c>
      <c r="H558" s="1">
        <v>8832323245000</v>
      </c>
      <c r="I558">
        <f t="shared" si="8"/>
        <v>0</v>
      </c>
    </row>
    <row r="559" spans="1:9" x14ac:dyDescent="0.3">
      <c r="A559">
        <v>20170306</v>
      </c>
      <c r="B559" s="2" t="s">
        <v>9</v>
      </c>
      <c r="C559" s="8">
        <v>101000</v>
      </c>
      <c r="D559" s="8">
        <v>100700</v>
      </c>
      <c r="E559">
        <v>97004</v>
      </c>
      <c r="F559" s="9">
        <v>116598327</v>
      </c>
      <c r="G559" s="1">
        <v>11741451528900</v>
      </c>
      <c r="H559" s="1">
        <v>8806088621500</v>
      </c>
      <c r="I559">
        <f t="shared" si="8"/>
        <v>0</v>
      </c>
    </row>
    <row r="560" spans="1:9" x14ac:dyDescent="0.3">
      <c r="A560">
        <v>20170307</v>
      </c>
      <c r="B560" s="2" t="s">
        <v>9</v>
      </c>
      <c r="C560" s="8">
        <v>100700</v>
      </c>
      <c r="D560" s="8">
        <v>100300</v>
      </c>
      <c r="E560">
        <v>96619</v>
      </c>
      <c r="F560" s="9">
        <v>116598327</v>
      </c>
      <c r="G560" s="1">
        <v>11694812198100</v>
      </c>
      <c r="H560" s="1">
        <v>8771109123500</v>
      </c>
      <c r="I560">
        <f t="shared" si="8"/>
        <v>0</v>
      </c>
    </row>
    <row r="561" spans="1:9" x14ac:dyDescent="0.3">
      <c r="A561">
        <v>20170308</v>
      </c>
      <c r="B561" s="2" t="s">
        <v>9</v>
      </c>
      <c r="C561" s="8">
        <v>100300</v>
      </c>
      <c r="D561" s="8">
        <v>99800</v>
      </c>
      <c r="E561">
        <v>96138</v>
      </c>
      <c r="F561" s="9">
        <v>116598327</v>
      </c>
      <c r="G561" s="1">
        <v>11636513034600</v>
      </c>
      <c r="H561" s="1">
        <v>8727384751000</v>
      </c>
      <c r="I561">
        <f t="shared" si="8"/>
        <v>0</v>
      </c>
    </row>
    <row r="562" spans="1:9" x14ac:dyDescent="0.3">
      <c r="A562">
        <v>20170309</v>
      </c>
      <c r="B562" s="2" t="s">
        <v>9</v>
      </c>
      <c r="C562" s="8">
        <v>99800</v>
      </c>
      <c r="D562" s="8">
        <v>99200</v>
      </c>
      <c r="E562">
        <v>95559</v>
      </c>
      <c r="F562" s="9">
        <v>116598327</v>
      </c>
      <c r="G562" s="1">
        <v>11566554038400</v>
      </c>
      <c r="H562" s="1">
        <v>8674915504000</v>
      </c>
      <c r="I562">
        <f t="shared" si="8"/>
        <v>0</v>
      </c>
    </row>
    <row r="563" spans="1:9" x14ac:dyDescent="0.3">
      <c r="A563">
        <v>20170310</v>
      </c>
      <c r="B563" s="2" t="s">
        <v>9</v>
      </c>
      <c r="C563" s="8">
        <v>99200</v>
      </c>
      <c r="D563" s="8">
        <v>98700</v>
      </c>
      <c r="E563">
        <v>95078</v>
      </c>
      <c r="F563" s="9">
        <v>116598327</v>
      </c>
      <c r="G563" s="1">
        <v>11508254874900</v>
      </c>
      <c r="H563" s="1">
        <v>8631191131500</v>
      </c>
      <c r="I563">
        <f t="shared" si="8"/>
        <v>0</v>
      </c>
    </row>
    <row r="564" spans="1:9" x14ac:dyDescent="0.3">
      <c r="A564">
        <v>20170313</v>
      </c>
      <c r="B564" s="2" t="s">
        <v>9</v>
      </c>
      <c r="C564" s="8">
        <v>98700</v>
      </c>
      <c r="D564" s="8">
        <v>98500</v>
      </c>
      <c r="E564">
        <v>94885</v>
      </c>
      <c r="F564" s="9">
        <v>116598327</v>
      </c>
      <c r="G564" s="1">
        <v>11484935209500</v>
      </c>
      <c r="H564" s="1">
        <v>8613701382500</v>
      </c>
      <c r="I564">
        <f t="shared" si="8"/>
        <v>0</v>
      </c>
    </row>
    <row r="565" spans="1:9" x14ac:dyDescent="0.3">
      <c r="A565">
        <v>20170314</v>
      </c>
      <c r="B565" s="2" t="s">
        <v>9</v>
      </c>
      <c r="C565" s="8">
        <v>98500</v>
      </c>
      <c r="D565" s="8">
        <v>98000</v>
      </c>
      <c r="E565">
        <v>94404</v>
      </c>
      <c r="F565" s="9">
        <v>116598327</v>
      </c>
      <c r="G565" s="1">
        <v>11426636046000</v>
      </c>
      <c r="H565" s="1">
        <v>8569977010000</v>
      </c>
      <c r="I565">
        <f t="shared" si="8"/>
        <v>0</v>
      </c>
    </row>
    <row r="566" spans="1:9" x14ac:dyDescent="0.3">
      <c r="A566">
        <v>20170315</v>
      </c>
      <c r="B566" s="2" t="s">
        <v>9</v>
      </c>
      <c r="C566" s="8">
        <v>98000</v>
      </c>
      <c r="D566" s="8">
        <v>94600</v>
      </c>
      <c r="E566">
        <v>91128</v>
      </c>
      <c r="F566" s="9">
        <v>116598327</v>
      </c>
      <c r="G566" s="1">
        <v>11030201734200</v>
      </c>
      <c r="H566" s="1">
        <v>8272651277000</v>
      </c>
      <c r="I566">
        <f t="shared" si="8"/>
        <v>0</v>
      </c>
    </row>
    <row r="567" spans="1:9" x14ac:dyDescent="0.3">
      <c r="A567">
        <v>20170316</v>
      </c>
      <c r="B567" s="2" t="s">
        <v>9</v>
      </c>
      <c r="C567" s="8">
        <v>94600</v>
      </c>
      <c r="D567" s="8">
        <v>96300</v>
      </c>
      <c r="E567">
        <v>92766</v>
      </c>
      <c r="F567" s="9">
        <v>116598327</v>
      </c>
      <c r="G567" s="1">
        <v>11228418890100</v>
      </c>
      <c r="H567" s="1">
        <v>8421314143500</v>
      </c>
      <c r="I567">
        <f t="shared" si="8"/>
        <v>0</v>
      </c>
    </row>
    <row r="568" spans="1:9" x14ac:dyDescent="0.3">
      <c r="A568">
        <v>20170317</v>
      </c>
      <c r="B568" s="2" t="s">
        <v>9</v>
      </c>
      <c r="C568" s="8">
        <v>96300</v>
      </c>
      <c r="D568" s="8">
        <v>92100</v>
      </c>
      <c r="E568">
        <v>88720</v>
      </c>
      <c r="F568" s="9">
        <v>116598327</v>
      </c>
      <c r="G568" s="1">
        <v>10738705916700</v>
      </c>
      <c r="H568" s="1">
        <v>8054029414500</v>
      </c>
      <c r="I568">
        <f t="shared" si="8"/>
        <v>0</v>
      </c>
    </row>
    <row r="569" spans="1:9" x14ac:dyDescent="0.3">
      <c r="A569">
        <v>20170320</v>
      </c>
      <c r="B569" s="2" t="s">
        <v>9</v>
      </c>
      <c r="C569" s="8">
        <v>92100</v>
      </c>
      <c r="D569" s="8">
        <v>91500</v>
      </c>
      <c r="E569">
        <v>88142</v>
      </c>
      <c r="F569" s="9">
        <v>116598327</v>
      </c>
      <c r="G569" s="1">
        <v>10668746920500</v>
      </c>
      <c r="H569" s="1">
        <v>8001560167500</v>
      </c>
      <c r="I569">
        <f t="shared" si="8"/>
        <v>0</v>
      </c>
    </row>
    <row r="570" spans="1:9" x14ac:dyDescent="0.3">
      <c r="A570">
        <v>20170321</v>
      </c>
      <c r="B570" s="2" t="s">
        <v>9</v>
      </c>
      <c r="C570" s="8">
        <v>91500</v>
      </c>
      <c r="D570" s="8">
        <v>89800</v>
      </c>
      <c r="E570">
        <v>86505</v>
      </c>
      <c r="F570" s="9">
        <v>116598327</v>
      </c>
      <c r="G570" s="1">
        <v>10470529764600</v>
      </c>
      <c r="H570" s="1">
        <v>7852897301000</v>
      </c>
      <c r="I570">
        <f t="shared" si="8"/>
        <v>0</v>
      </c>
    </row>
    <row r="571" spans="1:9" x14ac:dyDescent="0.3">
      <c r="A571">
        <v>20170322</v>
      </c>
      <c r="B571" s="2" t="s">
        <v>9</v>
      </c>
      <c r="C571" s="8">
        <v>89800</v>
      </c>
      <c r="D571" s="8">
        <v>89500</v>
      </c>
      <c r="E571">
        <v>86215</v>
      </c>
      <c r="F571" s="9">
        <v>116598327</v>
      </c>
      <c r="G571" s="1">
        <v>10435550266500</v>
      </c>
      <c r="H571" s="1">
        <v>7826662677500</v>
      </c>
      <c r="I571">
        <f t="shared" si="8"/>
        <v>0</v>
      </c>
    </row>
    <row r="572" spans="1:9" x14ac:dyDescent="0.3">
      <c r="A572">
        <v>20170323</v>
      </c>
      <c r="B572" s="2" t="s">
        <v>9</v>
      </c>
      <c r="C572" s="8">
        <v>89500</v>
      </c>
      <c r="D572" s="8">
        <v>88100</v>
      </c>
      <c r="E572">
        <v>84867</v>
      </c>
      <c r="F572" s="9">
        <v>116598327</v>
      </c>
      <c r="G572" s="1">
        <v>10272312608700</v>
      </c>
      <c r="H572" s="1">
        <v>7704234434500</v>
      </c>
      <c r="I572">
        <f t="shared" si="8"/>
        <v>0</v>
      </c>
    </row>
    <row r="573" spans="1:9" x14ac:dyDescent="0.3">
      <c r="A573">
        <v>20170324</v>
      </c>
      <c r="B573" s="2" t="s">
        <v>9</v>
      </c>
      <c r="C573" s="8">
        <v>88100</v>
      </c>
      <c r="D573" s="8">
        <v>89800</v>
      </c>
      <c r="E573">
        <v>86505</v>
      </c>
      <c r="F573" s="9">
        <v>116598327</v>
      </c>
      <c r="G573" s="1">
        <v>10470529764600</v>
      </c>
      <c r="H573" s="1">
        <v>7852897301000</v>
      </c>
      <c r="I573">
        <f t="shared" si="8"/>
        <v>0</v>
      </c>
    </row>
    <row r="574" spans="1:9" x14ac:dyDescent="0.3">
      <c r="A574">
        <v>20170327</v>
      </c>
      <c r="B574" s="2" t="s">
        <v>9</v>
      </c>
      <c r="C574" s="8">
        <v>89800</v>
      </c>
      <c r="D574" s="8">
        <v>91000</v>
      </c>
      <c r="E574">
        <v>87660</v>
      </c>
      <c r="F574" s="9">
        <v>116598327</v>
      </c>
      <c r="G574" s="1">
        <v>10610447757000</v>
      </c>
      <c r="H574" s="1">
        <v>7957835795000</v>
      </c>
      <c r="I574">
        <f t="shared" si="8"/>
        <v>0</v>
      </c>
    </row>
    <row r="575" spans="1:9" x14ac:dyDescent="0.3">
      <c r="A575">
        <v>20170328</v>
      </c>
      <c r="B575" s="2" t="s">
        <v>9</v>
      </c>
      <c r="C575" s="8">
        <v>91000</v>
      </c>
      <c r="D575" s="8">
        <v>90800</v>
      </c>
      <c r="E575">
        <v>87468</v>
      </c>
      <c r="F575" s="9">
        <v>116598327</v>
      </c>
      <c r="G575" s="1">
        <v>10587128091600</v>
      </c>
      <c r="H575" s="1">
        <v>7940346046000</v>
      </c>
      <c r="I575">
        <f t="shared" si="8"/>
        <v>0</v>
      </c>
    </row>
    <row r="576" spans="1:9" x14ac:dyDescent="0.3">
      <c r="A576">
        <v>20170329</v>
      </c>
      <c r="B576" s="2" t="s">
        <v>9</v>
      </c>
      <c r="C576" s="8">
        <v>90800</v>
      </c>
      <c r="D576" s="8">
        <v>90200</v>
      </c>
      <c r="E576">
        <v>86890</v>
      </c>
      <c r="F576" s="9">
        <v>116598327</v>
      </c>
      <c r="G576" s="1">
        <v>10517169095400</v>
      </c>
      <c r="H576" s="1">
        <v>7887876799000</v>
      </c>
      <c r="I576">
        <f t="shared" si="8"/>
        <v>0</v>
      </c>
    </row>
    <row r="577" spans="1:10" x14ac:dyDescent="0.3">
      <c r="A577">
        <v>20170330</v>
      </c>
      <c r="B577" s="2" t="s">
        <v>9</v>
      </c>
      <c r="C577" s="8">
        <v>90200</v>
      </c>
      <c r="D577" s="8">
        <v>90300</v>
      </c>
      <c r="E577">
        <v>86986</v>
      </c>
      <c r="F577" s="9">
        <v>116598327</v>
      </c>
      <c r="G577" s="1">
        <v>10528828928100</v>
      </c>
      <c r="H577" s="1">
        <v>7896621673500</v>
      </c>
      <c r="I577">
        <f t="shared" si="8"/>
        <v>0</v>
      </c>
    </row>
    <row r="578" spans="1:10" x14ac:dyDescent="0.3">
      <c r="A578">
        <v>20170331</v>
      </c>
      <c r="B578" s="2" t="s">
        <v>9</v>
      </c>
      <c r="C578" s="8">
        <v>90300</v>
      </c>
      <c r="D578" s="8">
        <v>90100</v>
      </c>
      <c r="E578">
        <v>86794</v>
      </c>
      <c r="F578" s="9">
        <v>116598327</v>
      </c>
      <c r="G578" s="1">
        <v>10505509262700</v>
      </c>
      <c r="H578" s="1">
        <v>7879131924500</v>
      </c>
      <c r="I578">
        <f t="shared" si="8"/>
        <v>0</v>
      </c>
    </row>
    <row r="579" spans="1:10" x14ac:dyDescent="0.3">
      <c r="A579">
        <v>20170403</v>
      </c>
      <c r="B579" s="2" t="s">
        <v>9</v>
      </c>
      <c r="C579" s="8">
        <v>90100</v>
      </c>
      <c r="D579" s="8">
        <v>89500</v>
      </c>
      <c r="E579">
        <v>86215</v>
      </c>
      <c r="F579" s="9">
        <v>116598327</v>
      </c>
      <c r="G579" s="1">
        <v>10435550266500</v>
      </c>
      <c r="H579" s="1">
        <v>7826662677500</v>
      </c>
      <c r="I579">
        <f t="shared" ref="I579:I642" si="9">IF(C579*F579=D578*F578,0,1)</f>
        <v>0</v>
      </c>
    </row>
    <row r="580" spans="1:10" x14ac:dyDescent="0.3">
      <c r="A580">
        <v>20170404</v>
      </c>
      <c r="B580" s="2" t="s">
        <v>9</v>
      </c>
      <c r="C580" s="8">
        <v>89500</v>
      </c>
      <c r="D580" s="8">
        <v>90300</v>
      </c>
      <c r="E580">
        <v>86986</v>
      </c>
      <c r="F580" s="9">
        <v>116598327</v>
      </c>
      <c r="G580" s="1">
        <v>10528828928100</v>
      </c>
      <c r="H580" s="1">
        <v>7896621673500</v>
      </c>
      <c r="I580">
        <f t="shared" si="9"/>
        <v>0</v>
      </c>
    </row>
    <row r="581" spans="1:10" x14ac:dyDescent="0.3">
      <c r="A581">
        <v>20170405</v>
      </c>
      <c r="B581" s="2" t="s">
        <v>9</v>
      </c>
      <c r="C581" s="8">
        <v>90300</v>
      </c>
      <c r="D581" s="8">
        <v>90600</v>
      </c>
      <c r="E581">
        <v>87275</v>
      </c>
      <c r="F581" s="9">
        <v>116598327</v>
      </c>
      <c r="G581" s="1">
        <v>10563808426200</v>
      </c>
      <c r="H581" s="1">
        <v>7922856297000</v>
      </c>
      <c r="I581">
        <f t="shared" si="9"/>
        <v>0</v>
      </c>
    </row>
    <row r="582" spans="1:10" x14ac:dyDescent="0.3">
      <c r="A582">
        <v>20170406</v>
      </c>
      <c r="B582" s="2" t="s">
        <v>9</v>
      </c>
      <c r="C582" s="8">
        <v>90600</v>
      </c>
      <c r="D582" s="8">
        <v>90300</v>
      </c>
      <c r="E582">
        <v>86986</v>
      </c>
      <c r="F582" s="9">
        <v>116598327</v>
      </c>
      <c r="G582" s="1">
        <v>10528828928100</v>
      </c>
      <c r="H582" s="1">
        <v>7896621673500</v>
      </c>
      <c r="I582">
        <f t="shared" si="9"/>
        <v>0</v>
      </c>
    </row>
    <row r="583" spans="1:10" x14ac:dyDescent="0.3">
      <c r="A583">
        <v>20170407</v>
      </c>
      <c r="B583" s="2" t="s">
        <v>9</v>
      </c>
      <c r="C583" s="8">
        <v>90300</v>
      </c>
      <c r="D583" s="8">
        <v>90100</v>
      </c>
      <c r="E583">
        <v>86794</v>
      </c>
      <c r="F583" s="9">
        <v>116598327</v>
      </c>
      <c r="G583" s="1">
        <v>10505509262700</v>
      </c>
      <c r="H583" s="1">
        <v>7879131924500</v>
      </c>
      <c r="I583">
        <f t="shared" si="9"/>
        <v>0</v>
      </c>
    </row>
    <row r="584" spans="1:10" x14ac:dyDescent="0.3">
      <c r="A584">
        <v>20170410</v>
      </c>
      <c r="B584" s="2" t="s">
        <v>9</v>
      </c>
      <c r="C584" s="8">
        <v>90100</v>
      </c>
      <c r="D584" s="8">
        <v>88600</v>
      </c>
      <c r="E584">
        <v>85348</v>
      </c>
      <c r="F584" s="9">
        <v>116598327</v>
      </c>
      <c r="G584" s="1">
        <v>10330611772200</v>
      </c>
      <c r="H584" s="1">
        <v>7747958807000</v>
      </c>
      <c r="I584">
        <f t="shared" si="9"/>
        <v>0</v>
      </c>
    </row>
    <row r="585" spans="1:10" x14ac:dyDescent="0.3">
      <c r="A585">
        <v>20170411</v>
      </c>
      <c r="B585" s="2" t="s">
        <v>9</v>
      </c>
      <c r="C585" s="8">
        <v>88600</v>
      </c>
      <c r="D585" s="8">
        <v>89700</v>
      </c>
      <c r="E585">
        <v>86408</v>
      </c>
      <c r="F585" s="9">
        <v>116598327</v>
      </c>
      <c r="G585" s="1">
        <v>10458869931900</v>
      </c>
      <c r="H585" s="1">
        <v>7844152426500</v>
      </c>
      <c r="I585">
        <f t="shared" si="9"/>
        <v>0</v>
      </c>
    </row>
    <row r="586" spans="1:10" x14ac:dyDescent="0.3">
      <c r="A586">
        <v>20170412</v>
      </c>
      <c r="B586" s="2" t="s">
        <v>9</v>
      </c>
      <c r="C586" s="8">
        <v>89700</v>
      </c>
      <c r="D586" s="8">
        <v>90100</v>
      </c>
      <c r="E586">
        <v>86794</v>
      </c>
      <c r="F586" s="9">
        <v>116598327</v>
      </c>
      <c r="G586" s="1">
        <v>10505509262700</v>
      </c>
      <c r="H586" s="1">
        <v>7879131924500</v>
      </c>
      <c r="I586">
        <f t="shared" si="9"/>
        <v>0</v>
      </c>
    </row>
    <row r="587" spans="1:10" x14ac:dyDescent="0.3">
      <c r="A587">
        <v>20170413</v>
      </c>
      <c r="B587" s="2" t="s">
        <v>9</v>
      </c>
      <c r="C587" s="8">
        <v>90100</v>
      </c>
      <c r="D587" s="8">
        <v>89600</v>
      </c>
      <c r="E587">
        <v>86311</v>
      </c>
      <c r="F587" s="9">
        <v>116598327</v>
      </c>
      <c r="G587" s="1">
        <v>10447210099200</v>
      </c>
      <c r="H587" s="1">
        <v>7835407552000</v>
      </c>
      <c r="I587">
        <f t="shared" si="9"/>
        <v>0</v>
      </c>
    </row>
    <row r="588" spans="1:10" x14ac:dyDescent="0.3">
      <c r="A588" s="8">
        <v>20170414</v>
      </c>
      <c r="B588" s="10" t="s">
        <v>9</v>
      </c>
      <c r="C588" s="8">
        <v>89600</v>
      </c>
      <c r="D588" s="8">
        <v>89000</v>
      </c>
      <c r="E588" s="8">
        <v>85734</v>
      </c>
      <c r="F588" s="9">
        <v>122426543</v>
      </c>
      <c r="G588" s="9">
        <v>10895962327000</v>
      </c>
      <c r="H588" s="9">
        <v>8171971723000</v>
      </c>
      <c r="I588" s="8">
        <f t="shared" si="9"/>
        <v>1</v>
      </c>
      <c r="J588" t="s">
        <v>44</v>
      </c>
    </row>
    <row r="589" spans="1:10" x14ac:dyDescent="0.3">
      <c r="A589">
        <v>20170417</v>
      </c>
      <c r="B589" s="2" t="s">
        <v>9</v>
      </c>
      <c r="C589" s="8">
        <v>89000</v>
      </c>
      <c r="D589" s="8">
        <v>91000</v>
      </c>
      <c r="E589">
        <v>87660</v>
      </c>
      <c r="F589" s="9">
        <v>122426543</v>
      </c>
      <c r="G589" s="1">
        <v>11140815413000</v>
      </c>
      <c r="H589" s="1">
        <v>8355611537000</v>
      </c>
      <c r="I589">
        <f t="shared" si="9"/>
        <v>0</v>
      </c>
    </row>
    <row r="590" spans="1:10" x14ac:dyDescent="0.3">
      <c r="A590">
        <v>20170418</v>
      </c>
      <c r="B590" s="2" t="s">
        <v>9</v>
      </c>
      <c r="C590" s="8">
        <v>91000</v>
      </c>
      <c r="D590" s="8">
        <v>91200</v>
      </c>
      <c r="E590">
        <v>87853</v>
      </c>
      <c r="F590" s="9">
        <v>122426543</v>
      </c>
      <c r="G590" s="1">
        <v>11165300721600</v>
      </c>
      <c r="H590" s="1">
        <v>8373975518400</v>
      </c>
      <c r="I590">
        <f t="shared" si="9"/>
        <v>0</v>
      </c>
    </row>
    <row r="591" spans="1:10" x14ac:dyDescent="0.3">
      <c r="A591">
        <v>20170419</v>
      </c>
      <c r="B591" s="2" t="s">
        <v>9</v>
      </c>
      <c r="C591" s="8">
        <v>91200</v>
      </c>
      <c r="D591" s="8">
        <v>91700</v>
      </c>
      <c r="E591">
        <v>88335</v>
      </c>
      <c r="F591" s="9">
        <v>122426543</v>
      </c>
      <c r="G591" s="1">
        <v>11226513993100</v>
      </c>
      <c r="H591" s="1">
        <v>8419885471900</v>
      </c>
      <c r="I591">
        <f t="shared" si="9"/>
        <v>0</v>
      </c>
    </row>
    <row r="592" spans="1:10" x14ac:dyDescent="0.3">
      <c r="A592">
        <v>20170420</v>
      </c>
      <c r="B592" s="2" t="s">
        <v>9</v>
      </c>
      <c r="C592" s="8">
        <v>91700</v>
      </c>
      <c r="D592" s="8">
        <v>91200</v>
      </c>
      <c r="E592">
        <v>87853</v>
      </c>
      <c r="F592" s="9">
        <v>122426543</v>
      </c>
      <c r="G592" s="1">
        <v>11165300721600</v>
      </c>
      <c r="H592" s="1">
        <v>8373975518400</v>
      </c>
      <c r="I592">
        <f t="shared" si="9"/>
        <v>0</v>
      </c>
    </row>
    <row r="593" spans="1:9" x14ac:dyDescent="0.3">
      <c r="A593">
        <v>20170421</v>
      </c>
      <c r="B593" s="2" t="s">
        <v>9</v>
      </c>
      <c r="C593" s="8">
        <v>91200</v>
      </c>
      <c r="D593" s="8">
        <v>90300</v>
      </c>
      <c r="E593">
        <v>86986</v>
      </c>
      <c r="F593" s="9">
        <v>122426543</v>
      </c>
      <c r="G593" s="1">
        <v>11055116832900</v>
      </c>
      <c r="H593" s="1">
        <v>8291337602100</v>
      </c>
      <c r="I593">
        <f t="shared" si="9"/>
        <v>0</v>
      </c>
    </row>
    <row r="594" spans="1:9" x14ac:dyDescent="0.3">
      <c r="A594">
        <v>20170424</v>
      </c>
      <c r="B594" s="2" t="s">
        <v>9</v>
      </c>
      <c r="C594" s="8">
        <v>90300</v>
      </c>
      <c r="D594" s="8">
        <v>88900</v>
      </c>
      <c r="E594">
        <v>85637</v>
      </c>
      <c r="F594" s="9">
        <v>122426543</v>
      </c>
      <c r="G594" s="1">
        <v>10883719672700</v>
      </c>
      <c r="H594" s="1">
        <v>8162789732300</v>
      </c>
      <c r="I594">
        <f t="shared" si="9"/>
        <v>0</v>
      </c>
    </row>
    <row r="595" spans="1:9" x14ac:dyDescent="0.3">
      <c r="A595">
        <v>20170425</v>
      </c>
      <c r="B595" s="2" t="s">
        <v>9</v>
      </c>
      <c r="C595" s="8">
        <v>88900</v>
      </c>
      <c r="D595" s="8">
        <v>88900</v>
      </c>
      <c r="E595">
        <v>85637</v>
      </c>
      <c r="F595" s="9">
        <v>122426543</v>
      </c>
      <c r="G595" s="1">
        <v>10883719672700</v>
      </c>
      <c r="H595" s="1">
        <v>8162789732300</v>
      </c>
      <c r="I595">
        <f t="shared" si="9"/>
        <v>0</v>
      </c>
    </row>
    <row r="596" spans="1:9" x14ac:dyDescent="0.3">
      <c r="A596">
        <v>20170426</v>
      </c>
      <c r="B596" s="2" t="s">
        <v>9</v>
      </c>
      <c r="C596" s="8">
        <v>88900</v>
      </c>
      <c r="D596" s="8">
        <v>89700</v>
      </c>
      <c r="E596">
        <v>86408</v>
      </c>
      <c r="F596" s="9">
        <v>122426543</v>
      </c>
      <c r="G596" s="1">
        <v>10981660907100</v>
      </c>
      <c r="H596" s="1">
        <v>8236245657900</v>
      </c>
      <c r="I596">
        <f t="shared" si="9"/>
        <v>0</v>
      </c>
    </row>
    <row r="597" spans="1:9" x14ac:dyDescent="0.3">
      <c r="A597">
        <v>20170427</v>
      </c>
      <c r="B597" s="2" t="s">
        <v>9</v>
      </c>
      <c r="C597" s="8">
        <v>89700</v>
      </c>
      <c r="D597" s="8">
        <v>89100</v>
      </c>
      <c r="E597">
        <v>85830</v>
      </c>
      <c r="F597" s="9">
        <v>122426543</v>
      </c>
      <c r="G597" s="1">
        <v>10908204981300</v>
      </c>
      <c r="H597" s="1">
        <v>8181153713700</v>
      </c>
      <c r="I597">
        <f t="shared" si="9"/>
        <v>0</v>
      </c>
    </row>
    <row r="598" spans="1:9" x14ac:dyDescent="0.3">
      <c r="A598">
        <v>20170428</v>
      </c>
      <c r="B598" s="2" t="s">
        <v>9</v>
      </c>
      <c r="C598" s="8">
        <v>89100</v>
      </c>
      <c r="D598" s="8">
        <v>89600</v>
      </c>
      <c r="E598">
        <v>86311</v>
      </c>
      <c r="F598" s="9">
        <v>122426543</v>
      </c>
      <c r="G598" s="1">
        <v>10969418252800</v>
      </c>
      <c r="H598" s="1">
        <v>8227063667200</v>
      </c>
      <c r="I598">
        <f t="shared" si="9"/>
        <v>0</v>
      </c>
    </row>
    <row r="599" spans="1:9" x14ac:dyDescent="0.3">
      <c r="A599">
        <v>20170502</v>
      </c>
      <c r="B599" s="2" t="s">
        <v>9</v>
      </c>
      <c r="C599" s="8">
        <v>89600</v>
      </c>
      <c r="D599" s="8">
        <v>89000</v>
      </c>
      <c r="E599">
        <v>85734</v>
      </c>
      <c r="F599" s="9">
        <v>122426543</v>
      </c>
      <c r="G599" s="1">
        <v>10895962327000</v>
      </c>
      <c r="H599" s="1">
        <v>8171971723000</v>
      </c>
      <c r="I599">
        <f t="shared" si="9"/>
        <v>0</v>
      </c>
    </row>
    <row r="600" spans="1:9" x14ac:dyDescent="0.3">
      <c r="A600">
        <v>20170504</v>
      </c>
      <c r="B600" s="2" t="s">
        <v>9</v>
      </c>
      <c r="C600" s="8">
        <v>89000</v>
      </c>
      <c r="D600" s="8">
        <v>90100</v>
      </c>
      <c r="E600">
        <v>86794</v>
      </c>
      <c r="F600" s="9">
        <v>122426543</v>
      </c>
      <c r="G600" s="1">
        <v>11030631524300</v>
      </c>
      <c r="H600" s="1">
        <v>8272973620700</v>
      </c>
      <c r="I600">
        <f t="shared" si="9"/>
        <v>0</v>
      </c>
    </row>
    <row r="601" spans="1:9" x14ac:dyDescent="0.3">
      <c r="A601">
        <v>20170508</v>
      </c>
      <c r="B601" s="2" t="s">
        <v>9</v>
      </c>
      <c r="C601" s="8">
        <v>90100</v>
      </c>
      <c r="D601" s="8">
        <v>94800</v>
      </c>
      <c r="E601">
        <v>91321</v>
      </c>
      <c r="F601" s="9">
        <v>122426543</v>
      </c>
      <c r="G601" s="1">
        <v>11606036276400</v>
      </c>
      <c r="H601" s="1">
        <v>8704527183600</v>
      </c>
      <c r="I601">
        <f t="shared" si="9"/>
        <v>0</v>
      </c>
    </row>
    <row r="602" spans="1:9" x14ac:dyDescent="0.3">
      <c r="A602">
        <v>20170510</v>
      </c>
      <c r="B602" s="2" t="s">
        <v>9</v>
      </c>
      <c r="C602" s="8">
        <v>94800</v>
      </c>
      <c r="D602" s="8">
        <v>96500</v>
      </c>
      <c r="E602">
        <v>92959</v>
      </c>
      <c r="F602" s="9">
        <v>122426543</v>
      </c>
      <c r="G602" s="1">
        <v>11814161399500</v>
      </c>
      <c r="H602" s="1">
        <v>8860621025500</v>
      </c>
      <c r="I602">
        <f t="shared" si="9"/>
        <v>0</v>
      </c>
    </row>
    <row r="603" spans="1:9" x14ac:dyDescent="0.3">
      <c r="A603">
        <v>20170511</v>
      </c>
      <c r="B603" s="2" t="s">
        <v>9</v>
      </c>
      <c r="C603" s="8">
        <v>96500</v>
      </c>
      <c r="D603" s="8">
        <v>95300</v>
      </c>
      <c r="E603">
        <v>91802</v>
      </c>
      <c r="F603" s="9">
        <v>122426543</v>
      </c>
      <c r="G603" s="1">
        <v>11667249547900</v>
      </c>
      <c r="H603" s="1">
        <v>8750437137100</v>
      </c>
      <c r="I603">
        <f t="shared" si="9"/>
        <v>0</v>
      </c>
    </row>
    <row r="604" spans="1:9" x14ac:dyDescent="0.3">
      <c r="A604">
        <v>20170512</v>
      </c>
      <c r="B604" s="2" t="s">
        <v>9</v>
      </c>
      <c r="C604" s="8">
        <v>95300</v>
      </c>
      <c r="D604" s="8">
        <v>95500</v>
      </c>
      <c r="E604">
        <v>91995</v>
      </c>
      <c r="F604" s="9">
        <v>122426543</v>
      </c>
      <c r="G604" s="1">
        <v>11691734856500</v>
      </c>
      <c r="H604" s="1">
        <v>8768801118500</v>
      </c>
      <c r="I604">
        <f t="shared" si="9"/>
        <v>0</v>
      </c>
    </row>
    <row r="605" spans="1:9" x14ac:dyDescent="0.3">
      <c r="A605">
        <v>20170515</v>
      </c>
      <c r="B605" s="2" t="s">
        <v>9</v>
      </c>
      <c r="C605" s="8">
        <v>95500</v>
      </c>
      <c r="D605" s="8">
        <v>95900</v>
      </c>
      <c r="E605">
        <v>92381</v>
      </c>
      <c r="F605" s="9">
        <v>122426543</v>
      </c>
      <c r="G605" s="1">
        <v>11740705473700</v>
      </c>
      <c r="H605" s="1">
        <v>8805529081300</v>
      </c>
      <c r="I605">
        <f t="shared" si="9"/>
        <v>0</v>
      </c>
    </row>
    <row r="606" spans="1:9" x14ac:dyDescent="0.3">
      <c r="A606">
        <v>20170516</v>
      </c>
      <c r="B606" s="2" t="s">
        <v>9</v>
      </c>
      <c r="C606" s="8">
        <v>95900</v>
      </c>
      <c r="D606" s="8">
        <v>94900</v>
      </c>
      <c r="E606">
        <v>91417</v>
      </c>
      <c r="F606" s="9">
        <v>122426543</v>
      </c>
      <c r="G606" s="1">
        <v>11618278930700</v>
      </c>
      <c r="H606" s="1">
        <v>8713709174300</v>
      </c>
      <c r="I606">
        <f t="shared" si="9"/>
        <v>0</v>
      </c>
    </row>
    <row r="607" spans="1:9" x14ac:dyDescent="0.3">
      <c r="A607">
        <v>20170517</v>
      </c>
      <c r="B607" s="2" t="s">
        <v>9</v>
      </c>
      <c r="C607" s="8">
        <v>94900</v>
      </c>
      <c r="D607" s="8">
        <v>94700</v>
      </c>
      <c r="E607">
        <v>91224</v>
      </c>
      <c r="F607" s="9">
        <v>122426543</v>
      </c>
      <c r="G607" s="1">
        <v>11593793622100</v>
      </c>
      <c r="H607" s="1">
        <v>8695345192900</v>
      </c>
      <c r="I607">
        <f t="shared" si="9"/>
        <v>0</v>
      </c>
    </row>
    <row r="608" spans="1:9" x14ac:dyDescent="0.3">
      <c r="A608">
        <v>20170518</v>
      </c>
      <c r="B608" s="2" t="s">
        <v>9</v>
      </c>
      <c r="C608" s="8">
        <v>94700</v>
      </c>
      <c r="D608" s="8">
        <v>94000</v>
      </c>
      <c r="E608">
        <v>90551</v>
      </c>
      <c r="F608" s="9">
        <v>122426543</v>
      </c>
      <c r="G608" s="1">
        <v>11508095042000</v>
      </c>
      <c r="H608" s="1">
        <v>8631071258000</v>
      </c>
      <c r="I608">
        <f t="shared" si="9"/>
        <v>0</v>
      </c>
    </row>
    <row r="609" spans="1:10" x14ac:dyDescent="0.3">
      <c r="A609">
        <v>20170519</v>
      </c>
      <c r="B609" s="2" t="s">
        <v>9</v>
      </c>
      <c r="C609" s="8">
        <v>94000</v>
      </c>
      <c r="D609" s="8">
        <v>94800</v>
      </c>
      <c r="E609">
        <v>91321</v>
      </c>
      <c r="F609" s="9">
        <v>122426543</v>
      </c>
      <c r="G609" s="1">
        <v>11606036276400</v>
      </c>
      <c r="H609" s="1">
        <v>8704527183600</v>
      </c>
      <c r="I609">
        <f t="shared" si="9"/>
        <v>0</v>
      </c>
    </row>
    <row r="610" spans="1:10" x14ac:dyDescent="0.3">
      <c r="A610">
        <v>20170522</v>
      </c>
      <c r="B610" s="2" t="s">
        <v>9</v>
      </c>
      <c r="C610" s="8">
        <v>94800</v>
      </c>
      <c r="D610" s="8">
        <v>93900</v>
      </c>
      <c r="E610">
        <v>90454</v>
      </c>
      <c r="F610" s="9">
        <v>122426543</v>
      </c>
      <c r="G610" s="1">
        <v>11495852387700</v>
      </c>
      <c r="H610" s="1">
        <v>8621889267300</v>
      </c>
      <c r="I610">
        <f t="shared" si="9"/>
        <v>0</v>
      </c>
    </row>
    <row r="611" spans="1:10" x14ac:dyDescent="0.3">
      <c r="A611" s="8">
        <v>20170523</v>
      </c>
      <c r="B611" s="10" t="s">
        <v>9</v>
      </c>
      <c r="C611" s="8">
        <v>93900</v>
      </c>
      <c r="D611" s="8">
        <v>93500</v>
      </c>
      <c r="E611" s="8">
        <v>90068</v>
      </c>
      <c r="F611" s="9">
        <v>122604401</v>
      </c>
      <c r="G611" s="9">
        <v>11463511493500</v>
      </c>
      <c r="H611" s="9">
        <v>8597633643500</v>
      </c>
      <c r="I611" s="8">
        <f t="shared" si="9"/>
        <v>1</v>
      </c>
      <c r="J611" t="s">
        <v>41</v>
      </c>
    </row>
    <row r="612" spans="1:10" x14ac:dyDescent="0.3">
      <c r="A612">
        <v>20170524</v>
      </c>
      <c r="B612" s="2" t="s">
        <v>9</v>
      </c>
      <c r="C612" s="8">
        <v>93500</v>
      </c>
      <c r="D612" s="8">
        <v>95000</v>
      </c>
      <c r="E612">
        <v>91513</v>
      </c>
      <c r="F612" s="9">
        <v>122604401</v>
      </c>
      <c r="G612" s="1">
        <v>11647418095000</v>
      </c>
      <c r="H612" s="1">
        <v>8735563595000</v>
      </c>
      <c r="I612">
        <f t="shared" si="9"/>
        <v>0</v>
      </c>
    </row>
    <row r="613" spans="1:10" x14ac:dyDescent="0.3">
      <c r="A613">
        <v>20170525</v>
      </c>
      <c r="B613" s="2" t="s">
        <v>9</v>
      </c>
      <c r="C613" s="8">
        <v>95000</v>
      </c>
      <c r="D613" s="8">
        <v>93800</v>
      </c>
      <c r="E613">
        <v>90358</v>
      </c>
      <c r="F613" s="9">
        <v>122604401</v>
      </c>
      <c r="G613" s="1">
        <v>11500292813800</v>
      </c>
      <c r="H613" s="1">
        <v>8625219633800</v>
      </c>
      <c r="I613">
        <f t="shared" si="9"/>
        <v>0</v>
      </c>
    </row>
    <row r="614" spans="1:10" x14ac:dyDescent="0.3">
      <c r="A614">
        <v>20170526</v>
      </c>
      <c r="B614" s="2" t="s">
        <v>9</v>
      </c>
      <c r="C614" s="8">
        <v>93800</v>
      </c>
      <c r="D614" s="8">
        <v>93800</v>
      </c>
      <c r="E614">
        <v>90358</v>
      </c>
      <c r="F614" s="9">
        <v>122604401</v>
      </c>
      <c r="G614" s="1">
        <v>11500292813800</v>
      </c>
      <c r="H614" s="1">
        <v>8625219633800</v>
      </c>
      <c r="I614">
        <f t="shared" si="9"/>
        <v>0</v>
      </c>
    </row>
    <row r="615" spans="1:10" x14ac:dyDescent="0.3">
      <c r="A615">
        <v>20170529</v>
      </c>
      <c r="B615" s="2" t="s">
        <v>9</v>
      </c>
      <c r="C615" s="8">
        <v>93800</v>
      </c>
      <c r="D615" s="8">
        <v>93600</v>
      </c>
      <c r="E615">
        <v>90165</v>
      </c>
      <c r="F615" s="9">
        <v>122604401</v>
      </c>
      <c r="G615" s="1">
        <v>11475771933600</v>
      </c>
      <c r="H615" s="1">
        <v>8606828973600</v>
      </c>
      <c r="I615">
        <f t="shared" si="9"/>
        <v>0</v>
      </c>
    </row>
    <row r="616" spans="1:10" x14ac:dyDescent="0.3">
      <c r="A616">
        <v>20170530</v>
      </c>
      <c r="B616" s="2" t="s">
        <v>9</v>
      </c>
      <c r="C616" s="8">
        <v>93600</v>
      </c>
      <c r="D616" s="8">
        <v>95800</v>
      </c>
      <c r="E616">
        <v>92285</v>
      </c>
      <c r="F616" s="9">
        <v>122604401</v>
      </c>
      <c r="G616" s="1">
        <v>11745501615800</v>
      </c>
      <c r="H616" s="1">
        <v>8809126235800</v>
      </c>
      <c r="I616">
        <f t="shared" si="9"/>
        <v>0</v>
      </c>
    </row>
    <row r="617" spans="1:10" x14ac:dyDescent="0.3">
      <c r="A617">
        <v>20170531</v>
      </c>
      <c r="B617" s="2" t="s">
        <v>9</v>
      </c>
      <c r="C617" s="8">
        <v>95800</v>
      </c>
      <c r="D617" s="8">
        <v>95600</v>
      </c>
      <c r="E617">
        <v>92092</v>
      </c>
      <c r="F617" s="9">
        <v>122604401</v>
      </c>
      <c r="G617" s="1">
        <v>11720980735600</v>
      </c>
      <c r="H617" s="1">
        <v>8790735575600</v>
      </c>
      <c r="I617">
        <f t="shared" si="9"/>
        <v>0</v>
      </c>
    </row>
    <row r="618" spans="1:10" x14ac:dyDescent="0.3">
      <c r="A618">
        <v>20170601</v>
      </c>
      <c r="B618" s="2" t="s">
        <v>9</v>
      </c>
      <c r="C618" s="8">
        <v>95600</v>
      </c>
      <c r="D618" s="8">
        <v>95000</v>
      </c>
      <c r="E618">
        <v>91513</v>
      </c>
      <c r="F618" s="9">
        <v>122604401</v>
      </c>
      <c r="G618" s="1">
        <v>11647418095000</v>
      </c>
      <c r="H618" s="1">
        <v>8735563595000</v>
      </c>
      <c r="I618">
        <f t="shared" si="9"/>
        <v>0</v>
      </c>
    </row>
    <row r="619" spans="1:10" x14ac:dyDescent="0.3">
      <c r="A619">
        <v>20170602</v>
      </c>
      <c r="B619" s="2" t="s">
        <v>9</v>
      </c>
      <c r="C619" s="8">
        <v>95000</v>
      </c>
      <c r="D619" s="8">
        <v>96100</v>
      </c>
      <c r="E619">
        <v>92573</v>
      </c>
      <c r="F619" s="9">
        <v>122604401</v>
      </c>
      <c r="G619" s="1">
        <v>11782282936100</v>
      </c>
      <c r="H619" s="1">
        <v>8836712226100</v>
      </c>
      <c r="I619">
        <f t="shared" si="9"/>
        <v>0</v>
      </c>
    </row>
    <row r="620" spans="1:10" x14ac:dyDescent="0.3">
      <c r="A620">
        <v>20170605</v>
      </c>
      <c r="B620" s="2" t="s">
        <v>9</v>
      </c>
      <c r="C620" s="8">
        <v>96100</v>
      </c>
      <c r="D620" s="8">
        <v>97800</v>
      </c>
      <c r="E620">
        <v>94211</v>
      </c>
      <c r="F620" s="9">
        <v>122604401</v>
      </c>
      <c r="G620" s="1">
        <v>11990710417800</v>
      </c>
      <c r="H620" s="1">
        <v>8993032837800</v>
      </c>
      <c r="I620">
        <f t="shared" si="9"/>
        <v>0</v>
      </c>
    </row>
    <row r="621" spans="1:10" x14ac:dyDescent="0.3">
      <c r="A621">
        <v>20170607</v>
      </c>
      <c r="B621" s="2" t="s">
        <v>9</v>
      </c>
      <c r="C621" s="8">
        <v>97800</v>
      </c>
      <c r="D621" s="8">
        <v>98800</v>
      </c>
      <c r="E621">
        <v>95174</v>
      </c>
      <c r="F621" s="9">
        <v>122604401</v>
      </c>
      <c r="G621" s="1">
        <v>12113314818800</v>
      </c>
      <c r="H621" s="1">
        <v>9084986138800</v>
      </c>
      <c r="I621">
        <f t="shared" si="9"/>
        <v>0</v>
      </c>
    </row>
    <row r="622" spans="1:10" x14ac:dyDescent="0.3">
      <c r="A622">
        <v>20170608</v>
      </c>
      <c r="B622" s="2" t="s">
        <v>9</v>
      </c>
      <c r="C622" s="8">
        <v>98800</v>
      </c>
      <c r="D622" s="8">
        <v>99700</v>
      </c>
      <c r="E622">
        <v>96041</v>
      </c>
      <c r="F622" s="9">
        <v>122604401</v>
      </c>
      <c r="G622" s="1">
        <v>12223658779700</v>
      </c>
      <c r="H622" s="1">
        <v>9167744109700</v>
      </c>
      <c r="I622">
        <f t="shared" si="9"/>
        <v>0</v>
      </c>
    </row>
    <row r="623" spans="1:10" x14ac:dyDescent="0.3">
      <c r="A623">
        <v>20170609</v>
      </c>
      <c r="B623" s="2" t="s">
        <v>9</v>
      </c>
      <c r="C623" s="8">
        <v>99700</v>
      </c>
      <c r="D623" s="8">
        <v>101400</v>
      </c>
      <c r="E623">
        <v>97679</v>
      </c>
      <c r="F623" s="9">
        <v>122604401</v>
      </c>
      <c r="G623" s="1">
        <v>12432086261400</v>
      </c>
      <c r="H623" s="1">
        <v>9572706444600</v>
      </c>
      <c r="I623">
        <f t="shared" si="9"/>
        <v>0</v>
      </c>
    </row>
    <row r="624" spans="1:10" x14ac:dyDescent="0.3">
      <c r="A624">
        <v>20170612</v>
      </c>
      <c r="B624" s="2" t="s">
        <v>9</v>
      </c>
      <c r="C624" s="8">
        <v>101400</v>
      </c>
      <c r="D624" s="8">
        <v>100000</v>
      </c>
      <c r="E624">
        <v>96330</v>
      </c>
      <c r="F624" s="9">
        <v>122604401</v>
      </c>
      <c r="G624" s="1">
        <v>12260440100000</v>
      </c>
      <c r="H624" s="1">
        <v>9440538900000</v>
      </c>
      <c r="I624">
        <f t="shared" si="9"/>
        <v>0</v>
      </c>
    </row>
    <row r="625" spans="1:9" x14ac:dyDescent="0.3">
      <c r="A625">
        <v>20170613</v>
      </c>
      <c r="B625" s="2" t="s">
        <v>9</v>
      </c>
      <c r="C625" s="8">
        <v>100000</v>
      </c>
      <c r="D625" s="8">
        <v>99900</v>
      </c>
      <c r="E625">
        <v>96234</v>
      </c>
      <c r="F625" s="9">
        <v>122604401</v>
      </c>
      <c r="G625" s="1">
        <v>12248179659900</v>
      </c>
      <c r="H625" s="1">
        <v>9431098361100</v>
      </c>
      <c r="I625">
        <f t="shared" si="9"/>
        <v>0</v>
      </c>
    </row>
    <row r="626" spans="1:9" x14ac:dyDescent="0.3">
      <c r="A626">
        <v>20170614</v>
      </c>
      <c r="B626" s="2" t="s">
        <v>9</v>
      </c>
      <c r="C626" s="8">
        <v>99900</v>
      </c>
      <c r="D626" s="8">
        <v>102800</v>
      </c>
      <c r="E626">
        <v>99027</v>
      </c>
      <c r="F626" s="9">
        <v>122604401</v>
      </c>
      <c r="G626" s="1">
        <v>12603732422800</v>
      </c>
      <c r="H626" s="1">
        <v>9704873989200</v>
      </c>
      <c r="I626">
        <f t="shared" si="9"/>
        <v>0</v>
      </c>
    </row>
    <row r="627" spans="1:9" x14ac:dyDescent="0.3">
      <c r="A627">
        <v>20170615</v>
      </c>
      <c r="B627" s="2" t="s">
        <v>9</v>
      </c>
      <c r="C627" s="8">
        <v>102800</v>
      </c>
      <c r="D627" s="8">
        <v>102600</v>
      </c>
      <c r="E627">
        <v>98835</v>
      </c>
      <c r="F627" s="9">
        <v>122604401</v>
      </c>
      <c r="G627" s="1">
        <v>12579211542600</v>
      </c>
      <c r="H627" s="1">
        <v>9685992911400</v>
      </c>
      <c r="I627">
        <f t="shared" si="9"/>
        <v>0</v>
      </c>
    </row>
    <row r="628" spans="1:9" x14ac:dyDescent="0.3">
      <c r="A628">
        <v>20170616</v>
      </c>
      <c r="B628" s="2" t="s">
        <v>9</v>
      </c>
      <c r="C628" s="8">
        <v>102600</v>
      </c>
      <c r="D628" s="8">
        <v>104300</v>
      </c>
      <c r="E628">
        <v>100472</v>
      </c>
      <c r="F628" s="9">
        <v>122604401</v>
      </c>
      <c r="G628" s="1">
        <v>12787639024300</v>
      </c>
      <c r="H628" s="1">
        <v>9846482072700</v>
      </c>
      <c r="I628">
        <f t="shared" si="9"/>
        <v>0</v>
      </c>
    </row>
    <row r="629" spans="1:9" x14ac:dyDescent="0.3">
      <c r="A629">
        <v>20170619</v>
      </c>
      <c r="B629" s="2" t="s">
        <v>9</v>
      </c>
      <c r="C629" s="8">
        <v>104300</v>
      </c>
      <c r="D629" s="8">
        <v>108500</v>
      </c>
      <c r="E629">
        <v>104518</v>
      </c>
      <c r="F629" s="9">
        <v>122604401</v>
      </c>
      <c r="G629" s="1">
        <v>13302577508500</v>
      </c>
      <c r="H629" s="1">
        <v>10242984706500</v>
      </c>
      <c r="I629">
        <f t="shared" si="9"/>
        <v>0</v>
      </c>
    </row>
    <row r="630" spans="1:9" x14ac:dyDescent="0.3">
      <c r="A630">
        <v>20170620</v>
      </c>
      <c r="B630" s="2" t="s">
        <v>9</v>
      </c>
      <c r="C630" s="8">
        <v>108500</v>
      </c>
      <c r="D630" s="8">
        <v>114300</v>
      </c>
      <c r="E630">
        <v>110105</v>
      </c>
      <c r="F630" s="9">
        <v>122604401</v>
      </c>
      <c r="G630" s="1">
        <v>14013683034300</v>
      </c>
      <c r="H630" s="1">
        <v>10790535962700</v>
      </c>
      <c r="I630">
        <f t="shared" si="9"/>
        <v>0</v>
      </c>
    </row>
    <row r="631" spans="1:9" x14ac:dyDescent="0.3">
      <c r="A631">
        <v>20170621</v>
      </c>
      <c r="B631" s="2" t="s">
        <v>9</v>
      </c>
      <c r="C631" s="8">
        <v>114300</v>
      </c>
      <c r="D631" s="8">
        <v>115100</v>
      </c>
      <c r="E631">
        <v>110877</v>
      </c>
      <c r="F631" s="9">
        <v>122604401</v>
      </c>
      <c r="G631" s="1">
        <v>14111766555100</v>
      </c>
      <c r="H631" s="1">
        <v>10866060273900</v>
      </c>
      <c r="I631">
        <f t="shared" si="9"/>
        <v>0</v>
      </c>
    </row>
    <row r="632" spans="1:9" x14ac:dyDescent="0.3">
      <c r="A632">
        <v>20170622</v>
      </c>
      <c r="B632" s="2" t="s">
        <v>9</v>
      </c>
      <c r="C632" s="8">
        <v>115100</v>
      </c>
      <c r="D632" s="8">
        <v>113100</v>
      </c>
      <c r="E632">
        <v>108950</v>
      </c>
      <c r="F632" s="9">
        <v>122604401</v>
      </c>
      <c r="G632" s="1">
        <v>13866557753100</v>
      </c>
      <c r="H632" s="1">
        <v>10677249495900</v>
      </c>
      <c r="I632">
        <f t="shared" si="9"/>
        <v>0</v>
      </c>
    </row>
    <row r="633" spans="1:9" x14ac:dyDescent="0.3">
      <c r="A633">
        <v>20170623</v>
      </c>
      <c r="B633" s="2" t="s">
        <v>9</v>
      </c>
      <c r="C633" s="8">
        <v>113100</v>
      </c>
      <c r="D633" s="8">
        <v>113300</v>
      </c>
      <c r="E633">
        <v>109143</v>
      </c>
      <c r="F633" s="9">
        <v>122604401</v>
      </c>
      <c r="G633" s="1">
        <v>13891078633300</v>
      </c>
      <c r="H633" s="1">
        <v>10696130573700</v>
      </c>
      <c r="I633">
        <f t="shared" si="9"/>
        <v>0</v>
      </c>
    </row>
    <row r="634" spans="1:9" x14ac:dyDescent="0.3">
      <c r="A634">
        <v>20170626</v>
      </c>
      <c r="B634" s="2" t="s">
        <v>9</v>
      </c>
      <c r="C634" s="8">
        <v>113300</v>
      </c>
      <c r="D634" s="8">
        <v>114000</v>
      </c>
      <c r="E634">
        <v>109816</v>
      </c>
      <c r="F634" s="9">
        <v>122604401</v>
      </c>
      <c r="G634" s="1">
        <v>13976901714000</v>
      </c>
      <c r="H634" s="1">
        <v>10762214346000</v>
      </c>
      <c r="I634">
        <f t="shared" si="9"/>
        <v>0</v>
      </c>
    </row>
    <row r="635" spans="1:9" x14ac:dyDescent="0.3">
      <c r="A635">
        <v>20170627</v>
      </c>
      <c r="B635" s="2" t="s">
        <v>9</v>
      </c>
      <c r="C635" s="8">
        <v>114000</v>
      </c>
      <c r="D635" s="8">
        <v>115100</v>
      </c>
      <c r="E635">
        <v>110877</v>
      </c>
      <c r="F635" s="9">
        <v>122604401</v>
      </c>
      <c r="G635" s="1">
        <v>14111766555100</v>
      </c>
      <c r="H635" s="1">
        <v>10866060273900</v>
      </c>
      <c r="I635">
        <f t="shared" si="9"/>
        <v>0</v>
      </c>
    </row>
    <row r="636" spans="1:9" x14ac:dyDescent="0.3">
      <c r="A636">
        <v>20170628</v>
      </c>
      <c r="B636" s="2" t="s">
        <v>9</v>
      </c>
      <c r="C636" s="8">
        <v>115100</v>
      </c>
      <c r="D636" s="8">
        <v>114000</v>
      </c>
      <c r="E636">
        <v>109816</v>
      </c>
      <c r="F636" s="9">
        <v>122604401</v>
      </c>
      <c r="G636" s="1">
        <v>13976901714000</v>
      </c>
      <c r="H636" s="1">
        <v>10762214346000</v>
      </c>
      <c r="I636">
        <f t="shared" si="9"/>
        <v>0</v>
      </c>
    </row>
    <row r="637" spans="1:9" x14ac:dyDescent="0.3">
      <c r="A637">
        <v>20170629</v>
      </c>
      <c r="B637" s="2" t="s">
        <v>9</v>
      </c>
      <c r="C637" s="8">
        <v>114000</v>
      </c>
      <c r="D637" s="8">
        <v>113100</v>
      </c>
      <c r="E637">
        <v>108950</v>
      </c>
      <c r="F637" s="9">
        <v>122604401</v>
      </c>
      <c r="G637" s="1">
        <v>13866557753100</v>
      </c>
      <c r="H637" s="1">
        <v>10677249495900</v>
      </c>
      <c r="I637">
        <f t="shared" si="9"/>
        <v>0</v>
      </c>
    </row>
    <row r="638" spans="1:9" x14ac:dyDescent="0.3">
      <c r="A638">
        <v>20170630</v>
      </c>
      <c r="B638" s="2" t="s">
        <v>9</v>
      </c>
      <c r="C638" s="8">
        <v>113100</v>
      </c>
      <c r="D638" s="8">
        <v>115100</v>
      </c>
      <c r="E638">
        <v>110877</v>
      </c>
      <c r="F638" s="9">
        <v>122604401</v>
      </c>
      <c r="G638" s="1">
        <v>14111766555100</v>
      </c>
      <c r="H638" s="1">
        <v>10866060273900</v>
      </c>
      <c r="I638">
        <f t="shared" si="9"/>
        <v>0</v>
      </c>
    </row>
    <row r="639" spans="1:9" x14ac:dyDescent="0.3">
      <c r="A639">
        <v>20170703</v>
      </c>
      <c r="B639" s="2" t="s">
        <v>9</v>
      </c>
      <c r="C639" s="8">
        <v>115100</v>
      </c>
      <c r="D639" s="8">
        <v>115500</v>
      </c>
      <c r="E639">
        <v>111262</v>
      </c>
      <c r="F639" s="9">
        <v>122604401</v>
      </c>
      <c r="G639" s="1">
        <v>14160808315500</v>
      </c>
      <c r="H639" s="1">
        <v>10903822429500</v>
      </c>
      <c r="I639">
        <f t="shared" si="9"/>
        <v>0</v>
      </c>
    </row>
    <row r="640" spans="1:9" x14ac:dyDescent="0.3">
      <c r="A640">
        <v>20170704</v>
      </c>
      <c r="B640" s="2" t="s">
        <v>9</v>
      </c>
      <c r="C640" s="8">
        <v>115500</v>
      </c>
      <c r="D640" s="8">
        <v>112900</v>
      </c>
      <c r="E640">
        <v>108756</v>
      </c>
      <c r="F640" s="9">
        <v>122604401</v>
      </c>
      <c r="G640" s="1">
        <v>13842036872900</v>
      </c>
      <c r="H640" s="1">
        <v>10658368418100</v>
      </c>
      <c r="I640">
        <f t="shared" si="9"/>
        <v>0</v>
      </c>
    </row>
    <row r="641" spans="1:9" x14ac:dyDescent="0.3">
      <c r="A641">
        <v>20170705</v>
      </c>
      <c r="B641" s="2" t="s">
        <v>9</v>
      </c>
      <c r="C641" s="8">
        <v>112900</v>
      </c>
      <c r="D641" s="8">
        <v>110700</v>
      </c>
      <c r="E641">
        <v>106637</v>
      </c>
      <c r="F641" s="9">
        <v>122604401</v>
      </c>
      <c r="G641" s="1">
        <v>13572307190700</v>
      </c>
      <c r="H641" s="1">
        <v>10450676562300</v>
      </c>
      <c r="I641">
        <f t="shared" si="9"/>
        <v>0</v>
      </c>
    </row>
    <row r="642" spans="1:9" x14ac:dyDescent="0.3">
      <c r="A642">
        <v>20170706</v>
      </c>
      <c r="B642" s="2" t="s">
        <v>9</v>
      </c>
      <c r="C642" s="8">
        <v>110700</v>
      </c>
      <c r="D642" s="8">
        <v>113600</v>
      </c>
      <c r="E642">
        <v>109431</v>
      </c>
      <c r="F642" s="9">
        <v>122604401</v>
      </c>
      <c r="G642" s="1">
        <v>13927859953600</v>
      </c>
      <c r="H642" s="1">
        <v>10724452190400</v>
      </c>
      <c r="I642">
        <f t="shared" si="9"/>
        <v>0</v>
      </c>
    </row>
    <row r="643" spans="1:9" x14ac:dyDescent="0.3">
      <c r="A643">
        <v>20170707</v>
      </c>
      <c r="B643" s="2" t="s">
        <v>9</v>
      </c>
      <c r="C643" s="8">
        <v>113600</v>
      </c>
      <c r="D643" s="8">
        <v>114000</v>
      </c>
      <c r="E643">
        <v>109816</v>
      </c>
      <c r="F643" s="9">
        <v>122604401</v>
      </c>
      <c r="G643" s="1">
        <v>13976901714000</v>
      </c>
      <c r="H643" s="1">
        <v>10762214346000</v>
      </c>
      <c r="I643">
        <f t="shared" ref="I643:I706" si="10">IF(C643*F643=D642*F642,0,1)</f>
        <v>0</v>
      </c>
    </row>
    <row r="644" spans="1:9" x14ac:dyDescent="0.3">
      <c r="A644">
        <v>20170710</v>
      </c>
      <c r="B644" s="2" t="s">
        <v>9</v>
      </c>
      <c r="C644" s="8">
        <v>114000</v>
      </c>
      <c r="D644" s="8">
        <v>113000</v>
      </c>
      <c r="E644">
        <v>108853</v>
      </c>
      <c r="F644" s="9">
        <v>122604401</v>
      </c>
      <c r="G644" s="1">
        <v>13854297313000</v>
      </c>
      <c r="H644" s="1">
        <v>10667808957000</v>
      </c>
      <c r="I644">
        <f t="shared" si="10"/>
        <v>0</v>
      </c>
    </row>
    <row r="645" spans="1:9" x14ac:dyDescent="0.3">
      <c r="A645">
        <v>20170711</v>
      </c>
      <c r="B645" s="2" t="s">
        <v>9</v>
      </c>
      <c r="C645" s="8">
        <v>113000</v>
      </c>
      <c r="D645" s="8">
        <v>112500</v>
      </c>
      <c r="E645">
        <v>108371</v>
      </c>
      <c r="F645" s="9">
        <v>122604401</v>
      </c>
      <c r="G645" s="1">
        <v>13792995112500</v>
      </c>
      <c r="H645" s="1">
        <v>10620606262500</v>
      </c>
      <c r="I645">
        <f t="shared" si="10"/>
        <v>0</v>
      </c>
    </row>
    <row r="646" spans="1:9" x14ac:dyDescent="0.3">
      <c r="A646">
        <v>20170712</v>
      </c>
      <c r="B646" s="2" t="s">
        <v>9</v>
      </c>
      <c r="C646" s="8">
        <v>112500</v>
      </c>
      <c r="D646" s="8">
        <v>108200</v>
      </c>
      <c r="E646">
        <v>104229</v>
      </c>
      <c r="F646" s="9">
        <v>122604401</v>
      </c>
      <c r="G646" s="1">
        <v>13265796188200</v>
      </c>
      <c r="H646" s="1">
        <v>10214663089800</v>
      </c>
      <c r="I646">
        <f t="shared" si="10"/>
        <v>0</v>
      </c>
    </row>
    <row r="647" spans="1:9" x14ac:dyDescent="0.3">
      <c r="A647">
        <v>20170713</v>
      </c>
      <c r="B647" s="2" t="s">
        <v>9</v>
      </c>
      <c r="C647" s="8">
        <v>108200</v>
      </c>
      <c r="D647" s="8">
        <v>107400</v>
      </c>
      <c r="E647">
        <v>103459</v>
      </c>
      <c r="F647" s="9">
        <v>122604401</v>
      </c>
      <c r="G647" s="1">
        <v>13167712667400</v>
      </c>
      <c r="H647" s="1">
        <v>10139138778600</v>
      </c>
      <c r="I647">
        <f t="shared" si="10"/>
        <v>0</v>
      </c>
    </row>
    <row r="648" spans="1:9" x14ac:dyDescent="0.3">
      <c r="A648">
        <v>20170714</v>
      </c>
      <c r="B648" s="2" t="s">
        <v>9</v>
      </c>
      <c r="C648" s="8">
        <v>107400</v>
      </c>
      <c r="D648" s="8">
        <v>109300</v>
      </c>
      <c r="E648">
        <v>105289</v>
      </c>
      <c r="F648" s="9">
        <v>122604401</v>
      </c>
      <c r="G648" s="1">
        <v>13400661029300</v>
      </c>
      <c r="H648" s="1">
        <v>10318509017700</v>
      </c>
      <c r="I648">
        <f t="shared" si="10"/>
        <v>0</v>
      </c>
    </row>
    <row r="649" spans="1:9" x14ac:dyDescent="0.3">
      <c r="A649">
        <v>20170717</v>
      </c>
      <c r="B649" s="2" t="s">
        <v>9</v>
      </c>
      <c r="C649" s="8">
        <v>109300</v>
      </c>
      <c r="D649" s="8">
        <v>110700</v>
      </c>
      <c r="E649">
        <v>106637</v>
      </c>
      <c r="F649" s="9">
        <v>122604401</v>
      </c>
      <c r="G649" s="1">
        <v>13572307190700</v>
      </c>
      <c r="H649" s="1">
        <v>10450676562300</v>
      </c>
      <c r="I649">
        <f t="shared" si="10"/>
        <v>0</v>
      </c>
    </row>
    <row r="650" spans="1:9" x14ac:dyDescent="0.3">
      <c r="A650">
        <v>20170718</v>
      </c>
      <c r="B650" s="2" t="s">
        <v>9</v>
      </c>
      <c r="C650" s="8">
        <v>110700</v>
      </c>
      <c r="D650" s="8">
        <v>110500</v>
      </c>
      <c r="E650">
        <v>106445</v>
      </c>
      <c r="F650" s="9">
        <v>122604401</v>
      </c>
      <c r="G650" s="1">
        <v>13547786310500</v>
      </c>
      <c r="H650" s="1">
        <v>10431795484500</v>
      </c>
      <c r="I650">
        <f t="shared" si="10"/>
        <v>0</v>
      </c>
    </row>
    <row r="651" spans="1:9" x14ac:dyDescent="0.3">
      <c r="A651">
        <v>20170719</v>
      </c>
      <c r="B651" s="2" t="s">
        <v>9</v>
      </c>
      <c r="C651" s="8">
        <v>110500</v>
      </c>
      <c r="D651" s="8">
        <v>114700</v>
      </c>
      <c r="E651">
        <v>110490</v>
      </c>
      <c r="F651" s="9">
        <v>122604401</v>
      </c>
      <c r="G651" s="1">
        <v>14062724794700</v>
      </c>
      <c r="H651" s="1">
        <v>10828298118300</v>
      </c>
      <c r="I651">
        <f t="shared" si="10"/>
        <v>0</v>
      </c>
    </row>
    <row r="652" spans="1:9" x14ac:dyDescent="0.3">
      <c r="A652">
        <v>20170720</v>
      </c>
      <c r="B652" s="2" t="s">
        <v>9</v>
      </c>
      <c r="C652" s="8">
        <v>114700</v>
      </c>
      <c r="D652" s="8">
        <v>114600</v>
      </c>
      <c r="E652">
        <v>110394</v>
      </c>
      <c r="F652" s="9">
        <v>122604401</v>
      </c>
      <c r="G652" s="1">
        <v>14050464354600</v>
      </c>
      <c r="H652" s="1">
        <v>10818857579400</v>
      </c>
      <c r="I652">
        <f t="shared" si="10"/>
        <v>0</v>
      </c>
    </row>
    <row r="653" spans="1:9" x14ac:dyDescent="0.3">
      <c r="A653">
        <v>20170721</v>
      </c>
      <c r="B653" s="2" t="s">
        <v>9</v>
      </c>
      <c r="C653" s="8">
        <v>114600</v>
      </c>
      <c r="D653" s="8">
        <v>114500</v>
      </c>
      <c r="E653">
        <v>110298</v>
      </c>
      <c r="F653" s="9">
        <v>122604401</v>
      </c>
      <c r="G653" s="1">
        <v>14038203914500</v>
      </c>
      <c r="H653" s="1">
        <v>10809417040500</v>
      </c>
      <c r="I653">
        <f t="shared" si="10"/>
        <v>0</v>
      </c>
    </row>
    <row r="654" spans="1:9" x14ac:dyDescent="0.3">
      <c r="A654">
        <v>20170724</v>
      </c>
      <c r="B654" s="2" t="s">
        <v>9</v>
      </c>
      <c r="C654" s="8">
        <v>114500</v>
      </c>
      <c r="D654" s="8">
        <v>114900</v>
      </c>
      <c r="E654">
        <v>110683</v>
      </c>
      <c r="F654" s="9">
        <v>122604401</v>
      </c>
      <c r="G654" s="1">
        <v>14087245674900</v>
      </c>
      <c r="H654" s="1">
        <v>10847179196100</v>
      </c>
      <c r="I654">
        <f t="shared" si="10"/>
        <v>0</v>
      </c>
    </row>
    <row r="655" spans="1:9" x14ac:dyDescent="0.3">
      <c r="A655">
        <v>20170725</v>
      </c>
      <c r="B655" s="2" t="s">
        <v>9</v>
      </c>
      <c r="C655" s="8">
        <v>114900</v>
      </c>
      <c r="D655" s="8">
        <v>111000</v>
      </c>
      <c r="E655">
        <v>106926</v>
      </c>
      <c r="F655" s="9">
        <v>122604401</v>
      </c>
      <c r="G655" s="1">
        <v>13609088511000</v>
      </c>
      <c r="H655" s="1">
        <v>10478998179000</v>
      </c>
      <c r="I655">
        <f t="shared" si="10"/>
        <v>0</v>
      </c>
    </row>
    <row r="656" spans="1:9" x14ac:dyDescent="0.3">
      <c r="A656">
        <v>20170726</v>
      </c>
      <c r="B656" s="2" t="s">
        <v>9</v>
      </c>
      <c r="C656" s="8">
        <v>111000</v>
      </c>
      <c r="D656" s="8">
        <v>113500</v>
      </c>
      <c r="E656">
        <v>109335</v>
      </c>
      <c r="F656" s="9">
        <v>122604401</v>
      </c>
      <c r="G656" s="1">
        <v>13915599513500</v>
      </c>
      <c r="H656" s="1">
        <v>10715011651500</v>
      </c>
      <c r="I656">
        <f t="shared" si="10"/>
        <v>0</v>
      </c>
    </row>
    <row r="657" spans="1:10" x14ac:dyDescent="0.3">
      <c r="A657">
        <v>20170727</v>
      </c>
      <c r="B657" s="2" t="s">
        <v>9</v>
      </c>
      <c r="C657" s="8">
        <v>113500</v>
      </c>
      <c r="D657" s="8">
        <v>111400</v>
      </c>
      <c r="E657">
        <v>107312</v>
      </c>
      <c r="F657" s="9">
        <v>122604401</v>
      </c>
      <c r="G657" s="1">
        <v>13658130271400</v>
      </c>
      <c r="H657" s="1">
        <v>10516760334600</v>
      </c>
      <c r="I657">
        <f t="shared" si="10"/>
        <v>0</v>
      </c>
    </row>
    <row r="658" spans="1:10" x14ac:dyDescent="0.3">
      <c r="A658">
        <v>20170728</v>
      </c>
      <c r="B658" s="2" t="s">
        <v>9</v>
      </c>
      <c r="C658" s="8">
        <v>111400</v>
      </c>
      <c r="D658" s="8">
        <v>108600</v>
      </c>
      <c r="E658">
        <v>104614</v>
      </c>
      <c r="F658" s="9">
        <v>122604401</v>
      </c>
      <c r="G658" s="1">
        <v>13314837948600</v>
      </c>
      <c r="H658" s="1">
        <v>10252425245400</v>
      </c>
      <c r="I658">
        <f t="shared" si="10"/>
        <v>0</v>
      </c>
    </row>
    <row r="659" spans="1:10" x14ac:dyDescent="0.3">
      <c r="A659">
        <v>20170731</v>
      </c>
      <c r="B659" s="2" t="s">
        <v>9</v>
      </c>
      <c r="C659" s="8">
        <v>108600</v>
      </c>
      <c r="D659" s="8">
        <v>108500</v>
      </c>
      <c r="E659">
        <v>104518</v>
      </c>
      <c r="F659" s="9">
        <v>122604401</v>
      </c>
      <c r="G659" s="1">
        <v>13302577508500</v>
      </c>
      <c r="H659" s="1">
        <v>10242984706500</v>
      </c>
      <c r="I659">
        <f t="shared" si="10"/>
        <v>0</v>
      </c>
    </row>
    <row r="660" spans="1:10" x14ac:dyDescent="0.3">
      <c r="A660">
        <v>20170801</v>
      </c>
      <c r="B660" s="2" t="s">
        <v>9</v>
      </c>
      <c r="C660" s="8">
        <v>108500</v>
      </c>
      <c r="D660" s="8">
        <v>106800</v>
      </c>
      <c r="E660">
        <v>102880</v>
      </c>
      <c r="F660" s="9">
        <v>122604401</v>
      </c>
      <c r="G660" s="1">
        <v>13094150026800</v>
      </c>
      <c r="H660" s="1">
        <v>10082495545200</v>
      </c>
      <c r="I660">
        <f t="shared" si="10"/>
        <v>0</v>
      </c>
    </row>
    <row r="661" spans="1:10" x14ac:dyDescent="0.3">
      <c r="A661">
        <v>20170802</v>
      </c>
      <c r="B661" s="2" t="s">
        <v>9</v>
      </c>
      <c r="C661" s="8">
        <v>106800</v>
      </c>
      <c r="D661" s="8">
        <v>106300</v>
      </c>
      <c r="E661">
        <v>102399</v>
      </c>
      <c r="F661" s="9">
        <v>122604401</v>
      </c>
      <c r="G661" s="1">
        <v>13032847826300</v>
      </c>
      <c r="H661" s="1">
        <v>10035292850700</v>
      </c>
      <c r="I661">
        <f t="shared" si="10"/>
        <v>0</v>
      </c>
    </row>
    <row r="662" spans="1:10" x14ac:dyDescent="0.3">
      <c r="A662">
        <v>20170803</v>
      </c>
      <c r="B662" s="2" t="s">
        <v>9</v>
      </c>
      <c r="C662" s="8">
        <v>106300</v>
      </c>
      <c r="D662" s="8">
        <v>102700</v>
      </c>
      <c r="E662">
        <v>98931</v>
      </c>
      <c r="F662" s="9">
        <v>122604401</v>
      </c>
      <c r="G662" s="1">
        <v>12591471982700</v>
      </c>
      <c r="H662" s="1">
        <v>9695433450300</v>
      </c>
      <c r="I662">
        <f t="shared" si="10"/>
        <v>0</v>
      </c>
    </row>
    <row r="663" spans="1:10" x14ac:dyDescent="0.3">
      <c r="A663">
        <v>20170804</v>
      </c>
      <c r="B663" s="2" t="s">
        <v>9</v>
      </c>
      <c r="C663" s="8">
        <v>102700</v>
      </c>
      <c r="D663" s="8">
        <v>102600</v>
      </c>
      <c r="E663">
        <v>98835</v>
      </c>
      <c r="F663" s="9">
        <v>122604401</v>
      </c>
      <c r="G663" s="1">
        <v>12579211542600</v>
      </c>
      <c r="H663" s="1">
        <v>9685992911400</v>
      </c>
      <c r="I663">
        <f t="shared" si="10"/>
        <v>0</v>
      </c>
    </row>
    <row r="664" spans="1:10" x14ac:dyDescent="0.3">
      <c r="A664">
        <v>20170807</v>
      </c>
      <c r="B664" s="2" t="s">
        <v>9</v>
      </c>
      <c r="C664" s="8">
        <v>102600</v>
      </c>
      <c r="D664" s="8">
        <v>108200</v>
      </c>
      <c r="E664">
        <v>104229</v>
      </c>
      <c r="F664" s="9">
        <v>122604401</v>
      </c>
      <c r="G664" s="1">
        <v>13265796188200</v>
      </c>
      <c r="H664" s="1">
        <v>10214663089800</v>
      </c>
      <c r="I664">
        <f t="shared" si="10"/>
        <v>0</v>
      </c>
    </row>
    <row r="665" spans="1:10" x14ac:dyDescent="0.3">
      <c r="A665">
        <v>20170808</v>
      </c>
      <c r="B665" s="2" t="s">
        <v>9</v>
      </c>
      <c r="C665" s="8">
        <v>108200</v>
      </c>
      <c r="D665" s="8">
        <v>109400</v>
      </c>
      <c r="E665">
        <v>105386</v>
      </c>
      <c r="F665" s="9">
        <v>122604401</v>
      </c>
      <c r="G665" s="1">
        <v>13412921469400</v>
      </c>
      <c r="H665" s="1">
        <v>10327949556600</v>
      </c>
      <c r="I665">
        <f t="shared" si="10"/>
        <v>0</v>
      </c>
    </row>
    <row r="666" spans="1:10" x14ac:dyDescent="0.3">
      <c r="A666">
        <v>20170809</v>
      </c>
      <c r="B666" s="2" t="s">
        <v>9</v>
      </c>
      <c r="C666" s="8">
        <v>109400</v>
      </c>
      <c r="D666" s="8">
        <v>108400</v>
      </c>
      <c r="E666">
        <v>104422</v>
      </c>
      <c r="F666" s="9">
        <v>122604401</v>
      </c>
      <c r="G666" s="1">
        <v>13290317068400</v>
      </c>
      <c r="H666" s="1">
        <v>10233544167600</v>
      </c>
      <c r="I666">
        <f t="shared" si="10"/>
        <v>0</v>
      </c>
    </row>
    <row r="667" spans="1:10" x14ac:dyDescent="0.3">
      <c r="A667">
        <v>20170810</v>
      </c>
      <c r="B667" s="2" t="s">
        <v>9</v>
      </c>
      <c r="C667" s="8">
        <v>108400</v>
      </c>
      <c r="D667" s="8">
        <v>107700</v>
      </c>
      <c r="E667">
        <v>103748</v>
      </c>
      <c r="F667" s="9">
        <v>122604401</v>
      </c>
      <c r="G667" s="1">
        <v>13204493987700</v>
      </c>
      <c r="H667" s="1">
        <v>10167460395300</v>
      </c>
      <c r="I667">
        <f t="shared" si="10"/>
        <v>0</v>
      </c>
    </row>
    <row r="668" spans="1:10" x14ac:dyDescent="0.3">
      <c r="A668">
        <v>20170811</v>
      </c>
      <c r="B668" s="2" t="s">
        <v>9</v>
      </c>
      <c r="C668" s="8">
        <v>107700</v>
      </c>
      <c r="D668" s="8">
        <v>104000</v>
      </c>
      <c r="E668">
        <v>100184</v>
      </c>
      <c r="F668" s="9">
        <v>122604401</v>
      </c>
      <c r="G668" s="1">
        <v>12750857704000</v>
      </c>
      <c r="H668" s="1">
        <v>9818160456000</v>
      </c>
      <c r="I668">
        <f t="shared" si="10"/>
        <v>0</v>
      </c>
    </row>
    <row r="669" spans="1:10" x14ac:dyDescent="0.3">
      <c r="A669">
        <v>20170814</v>
      </c>
      <c r="B669" s="2" t="s">
        <v>9</v>
      </c>
      <c r="C669" s="8">
        <v>104000</v>
      </c>
      <c r="D669" s="8">
        <v>104700</v>
      </c>
      <c r="E669">
        <v>100857</v>
      </c>
      <c r="F669" s="9">
        <v>122604401</v>
      </c>
      <c r="G669" s="1">
        <v>12836680784700</v>
      </c>
      <c r="H669" s="1">
        <v>9884244228300</v>
      </c>
      <c r="I669">
        <f t="shared" si="10"/>
        <v>0</v>
      </c>
    </row>
    <row r="670" spans="1:10" x14ac:dyDescent="0.3">
      <c r="A670">
        <v>20170816</v>
      </c>
      <c r="B670" s="2" t="s">
        <v>9</v>
      </c>
      <c r="C670" s="8">
        <v>104700</v>
      </c>
      <c r="D670" s="8">
        <v>108500</v>
      </c>
      <c r="E670">
        <v>104518</v>
      </c>
      <c r="F670" s="9">
        <v>122604401</v>
      </c>
      <c r="G670" s="1">
        <v>13302577508500</v>
      </c>
      <c r="H670" s="1">
        <v>10242984706500</v>
      </c>
      <c r="I670">
        <f t="shared" si="10"/>
        <v>0</v>
      </c>
    </row>
    <row r="671" spans="1:10" x14ac:dyDescent="0.3">
      <c r="A671">
        <v>20170817</v>
      </c>
      <c r="B671" s="2" t="s">
        <v>9</v>
      </c>
      <c r="C671" s="8">
        <v>108500</v>
      </c>
      <c r="D671" s="8">
        <v>110200</v>
      </c>
      <c r="E671">
        <v>106156</v>
      </c>
      <c r="F671" s="9">
        <v>122604401</v>
      </c>
      <c r="G671" s="1">
        <v>13511004990200</v>
      </c>
      <c r="H671" s="1">
        <v>10403473867800</v>
      </c>
      <c r="I671">
        <f t="shared" si="10"/>
        <v>0</v>
      </c>
    </row>
    <row r="672" spans="1:10" x14ac:dyDescent="0.3">
      <c r="A672" s="8">
        <v>20170818</v>
      </c>
      <c r="B672" s="10" t="s">
        <v>9</v>
      </c>
      <c r="C672" s="8">
        <v>110200</v>
      </c>
      <c r="D672" s="8">
        <v>109500</v>
      </c>
      <c r="E672" s="8">
        <v>105482</v>
      </c>
      <c r="F672" s="9">
        <v>122635222</v>
      </c>
      <c r="G672" s="9">
        <v>13428556809000</v>
      </c>
      <c r="H672" s="9">
        <v>10339988749500</v>
      </c>
      <c r="I672" s="8">
        <f t="shared" si="10"/>
        <v>1</v>
      </c>
      <c r="J672" t="s">
        <v>41</v>
      </c>
    </row>
    <row r="673" spans="1:9" x14ac:dyDescent="0.3">
      <c r="A673">
        <v>20170821</v>
      </c>
      <c r="B673" s="2" t="s">
        <v>9</v>
      </c>
      <c r="C673" s="8">
        <v>109500</v>
      </c>
      <c r="D673" s="8">
        <v>110500</v>
      </c>
      <c r="E673">
        <v>106445</v>
      </c>
      <c r="F673" s="9">
        <v>122635222</v>
      </c>
      <c r="G673" s="1">
        <v>13551192031000</v>
      </c>
      <c r="H673" s="1">
        <v>10434417870500</v>
      </c>
      <c r="I673">
        <f t="shared" si="10"/>
        <v>0</v>
      </c>
    </row>
    <row r="674" spans="1:9" x14ac:dyDescent="0.3">
      <c r="A674">
        <v>20170822</v>
      </c>
      <c r="B674" s="2" t="s">
        <v>9</v>
      </c>
      <c r="C674" s="8">
        <v>110500</v>
      </c>
      <c r="D674" s="8">
        <v>117000</v>
      </c>
      <c r="E674">
        <v>112707</v>
      </c>
      <c r="F674" s="9">
        <v>122635222</v>
      </c>
      <c r="G674" s="1">
        <v>14348320974000</v>
      </c>
      <c r="H674" s="1">
        <v>11048207157000</v>
      </c>
      <c r="I674">
        <f t="shared" si="10"/>
        <v>0</v>
      </c>
    </row>
    <row r="675" spans="1:9" x14ac:dyDescent="0.3">
      <c r="A675">
        <v>20170823</v>
      </c>
      <c r="B675" s="2" t="s">
        <v>9</v>
      </c>
      <c r="C675" s="8">
        <v>117000</v>
      </c>
      <c r="D675" s="8">
        <v>114700</v>
      </c>
      <c r="E675">
        <v>110490</v>
      </c>
      <c r="F675" s="9">
        <v>122635222</v>
      </c>
      <c r="G675" s="1">
        <v>14066259963400</v>
      </c>
      <c r="H675" s="1">
        <v>10831020178700</v>
      </c>
      <c r="I675">
        <f t="shared" si="10"/>
        <v>0</v>
      </c>
    </row>
    <row r="676" spans="1:9" x14ac:dyDescent="0.3">
      <c r="A676">
        <v>20170824</v>
      </c>
      <c r="B676" s="2" t="s">
        <v>9</v>
      </c>
      <c r="C676" s="8">
        <v>114700</v>
      </c>
      <c r="D676" s="8">
        <v>114500</v>
      </c>
      <c r="E676">
        <v>110298</v>
      </c>
      <c r="F676" s="9">
        <v>122635222</v>
      </c>
      <c r="G676" s="1">
        <v>14041732919000</v>
      </c>
      <c r="H676" s="1">
        <v>10812134354500</v>
      </c>
      <c r="I676">
        <f t="shared" si="10"/>
        <v>0</v>
      </c>
    </row>
    <row r="677" spans="1:9" x14ac:dyDescent="0.3">
      <c r="A677">
        <v>20170825</v>
      </c>
      <c r="B677" s="2" t="s">
        <v>9</v>
      </c>
      <c r="C677" s="8">
        <v>114500</v>
      </c>
      <c r="D677" s="8">
        <v>114000</v>
      </c>
      <c r="E677">
        <v>109816</v>
      </c>
      <c r="F677" s="9">
        <v>122635222</v>
      </c>
      <c r="G677" s="1">
        <v>13980415308000</v>
      </c>
      <c r="H677" s="1">
        <v>10764919794000</v>
      </c>
      <c r="I677">
        <f t="shared" si="10"/>
        <v>0</v>
      </c>
    </row>
    <row r="678" spans="1:9" x14ac:dyDescent="0.3">
      <c r="A678">
        <v>20170828</v>
      </c>
      <c r="B678" s="2" t="s">
        <v>9</v>
      </c>
      <c r="C678" s="8">
        <v>114000</v>
      </c>
      <c r="D678" s="8">
        <v>114100</v>
      </c>
      <c r="E678">
        <v>109913</v>
      </c>
      <c r="F678" s="9">
        <v>122635222</v>
      </c>
      <c r="G678" s="1">
        <v>13992678830200</v>
      </c>
      <c r="H678" s="1">
        <v>10774362706100</v>
      </c>
      <c r="I678">
        <f t="shared" si="10"/>
        <v>0</v>
      </c>
    </row>
    <row r="679" spans="1:9" x14ac:dyDescent="0.3">
      <c r="A679">
        <v>20170829</v>
      </c>
      <c r="B679" s="2" t="s">
        <v>9</v>
      </c>
      <c r="C679" s="8">
        <v>114100</v>
      </c>
      <c r="D679" s="8">
        <v>115600</v>
      </c>
      <c r="E679">
        <v>111358</v>
      </c>
      <c r="F679" s="9">
        <v>122635222</v>
      </c>
      <c r="G679" s="1">
        <v>14176631663200</v>
      </c>
      <c r="H679" s="1">
        <v>10916006387600</v>
      </c>
      <c r="I679">
        <f t="shared" si="10"/>
        <v>0</v>
      </c>
    </row>
    <row r="680" spans="1:9" x14ac:dyDescent="0.3">
      <c r="A680">
        <v>20170830</v>
      </c>
      <c r="B680" s="2" t="s">
        <v>9</v>
      </c>
      <c r="C680" s="8">
        <v>115600</v>
      </c>
      <c r="D680" s="8">
        <v>115200</v>
      </c>
      <c r="E680">
        <v>110973</v>
      </c>
      <c r="F680" s="9">
        <v>122635222</v>
      </c>
      <c r="G680" s="1">
        <v>14127577574400</v>
      </c>
      <c r="H680" s="1">
        <v>10878234739200</v>
      </c>
      <c r="I680">
        <f t="shared" si="10"/>
        <v>0</v>
      </c>
    </row>
    <row r="681" spans="1:9" x14ac:dyDescent="0.3">
      <c r="A681">
        <v>20170831</v>
      </c>
      <c r="B681" s="2" t="s">
        <v>9</v>
      </c>
      <c r="C681" s="8">
        <v>115200</v>
      </c>
      <c r="D681" s="8">
        <v>115100</v>
      </c>
      <c r="E681">
        <v>110877</v>
      </c>
      <c r="F681" s="9">
        <v>122635222</v>
      </c>
      <c r="G681" s="1">
        <v>14115314052200</v>
      </c>
      <c r="H681" s="1">
        <v>10868791827100</v>
      </c>
      <c r="I681">
        <f t="shared" si="10"/>
        <v>0</v>
      </c>
    </row>
    <row r="682" spans="1:9" x14ac:dyDescent="0.3">
      <c r="A682">
        <v>20170901</v>
      </c>
      <c r="B682" s="2" t="s">
        <v>9</v>
      </c>
      <c r="C682" s="8">
        <v>115100</v>
      </c>
      <c r="D682" s="8">
        <v>114200</v>
      </c>
      <c r="E682">
        <v>110009</v>
      </c>
      <c r="F682" s="9">
        <v>122635222</v>
      </c>
      <c r="G682" s="1">
        <v>14004942352400</v>
      </c>
      <c r="H682" s="1">
        <v>10783805618200</v>
      </c>
      <c r="I682">
        <f t="shared" si="10"/>
        <v>0</v>
      </c>
    </row>
    <row r="683" spans="1:9" x14ac:dyDescent="0.3">
      <c r="A683">
        <v>20170904</v>
      </c>
      <c r="B683" s="2" t="s">
        <v>9</v>
      </c>
      <c r="C683" s="8">
        <v>114200</v>
      </c>
      <c r="D683" s="8">
        <v>112100</v>
      </c>
      <c r="E683">
        <v>107986</v>
      </c>
      <c r="F683" s="9">
        <v>122635222</v>
      </c>
      <c r="G683" s="1">
        <v>13747408386200</v>
      </c>
      <c r="H683" s="1">
        <v>10585504464100</v>
      </c>
      <c r="I683">
        <f t="shared" si="10"/>
        <v>0</v>
      </c>
    </row>
    <row r="684" spans="1:9" x14ac:dyDescent="0.3">
      <c r="A684">
        <v>20170905</v>
      </c>
      <c r="B684" s="2" t="s">
        <v>9</v>
      </c>
      <c r="C684" s="8">
        <v>112100</v>
      </c>
      <c r="D684" s="8">
        <v>112200</v>
      </c>
      <c r="E684">
        <v>108082</v>
      </c>
      <c r="F684" s="9">
        <v>122635222</v>
      </c>
      <c r="G684" s="1">
        <v>13759671908400</v>
      </c>
      <c r="H684" s="1">
        <v>10594947376200</v>
      </c>
      <c r="I684">
        <f t="shared" si="10"/>
        <v>0</v>
      </c>
    </row>
    <row r="685" spans="1:9" x14ac:dyDescent="0.3">
      <c r="A685">
        <v>20170906</v>
      </c>
      <c r="B685" s="2" t="s">
        <v>9</v>
      </c>
      <c r="C685" s="8">
        <v>112200</v>
      </c>
      <c r="D685" s="8">
        <v>115800</v>
      </c>
      <c r="E685">
        <v>111551</v>
      </c>
      <c r="F685" s="9">
        <v>122635222</v>
      </c>
      <c r="G685" s="1">
        <v>14201158707600</v>
      </c>
      <c r="H685" s="1">
        <v>10934892211800</v>
      </c>
      <c r="I685">
        <f t="shared" si="10"/>
        <v>0</v>
      </c>
    </row>
    <row r="686" spans="1:9" x14ac:dyDescent="0.3">
      <c r="A686">
        <v>20170907</v>
      </c>
      <c r="B686" s="2" t="s">
        <v>9</v>
      </c>
      <c r="C686" s="8">
        <v>115800</v>
      </c>
      <c r="D686" s="8">
        <v>116300</v>
      </c>
      <c r="E686">
        <v>112032</v>
      </c>
      <c r="F686" s="9">
        <v>122635222</v>
      </c>
      <c r="G686" s="1">
        <v>14262476318600</v>
      </c>
      <c r="H686" s="1">
        <v>10982106772300</v>
      </c>
      <c r="I686">
        <f t="shared" si="10"/>
        <v>0</v>
      </c>
    </row>
    <row r="687" spans="1:9" x14ac:dyDescent="0.3">
      <c r="A687">
        <v>20170908</v>
      </c>
      <c r="B687" s="2" t="s">
        <v>9</v>
      </c>
      <c r="C687" s="8">
        <v>116300</v>
      </c>
      <c r="D687" s="8">
        <v>115000</v>
      </c>
      <c r="E687">
        <v>110779</v>
      </c>
      <c r="F687" s="9">
        <v>122635222</v>
      </c>
      <c r="G687" s="1">
        <v>14103050530000</v>
      </c>
      <c r="H687" s="1">
        <v>10859348915000</v>
      </c>
      <c r="I687">
        <f t="shared" si="10"/>
        <v>0</v>
      </c>
    </row>
    <row r="688" spans="1:9" x14ac:dyDescent="0.3">
      <c r="A688">
        <v>20170911</v>
      </c>
      <c r="B688" s="2" t="s">
        <v>9</v>
      </c>
      <c r="C688" s="8">
        <v>115000</v>
      </c>
      <c r="D688" s="8">
        <v>114800</v>
      </c>
      <c r="E688">
        <v>110587</v>
      </c>
      <c r="F688" s="9">
        <v>122635222</v>
      </c>
      <c r="G688" s="1">
        <v>14078523485600</v>
      </c>
      <c r="H688" s="1">
        <v>10840463090800</v>
      </c>
      <c r="I688">
        <f t="shared" si="10"/>
        <v>0</v>
      </c>
    </row>
    <row r="689" spans="1:9" x14ac:dyDescent="0.3">
      <c r="A689">
        <v>20170912</v>
      </c>
      <c r="B689" s="2" t="s">
        <v>9</v>
      </c>
      <c r="C689" s="8">
        <v>114800</v>
      </c>
      <c r="D689" s="8">
        <v>115500</v>
      </c>
      <c r="E689">
        <v>111262</v>
      </c>
      <c r="F689" s="9">
        <v>122635222</v>
      </c>
      <c r="G689" s="1">
        <v>14164368141000</v>
      </c>
      <c r="H689" s="1">
        <v>10906563475500</v>
      </c>
      <c r="I689">
        <f t="shared" si="10"/>
        <v>0</v>
      </c>
    </row>
    <row r="690" spans="1:9" x14ac:dyDescent="0.3">
      <c r="A690">
        <v>20170913</v>
      </c>
      <c r="B690" s="2" t="s">
        <v>9</v>
      </c>
      <c r="C690" s="8">
        <v>115500</v>
      </c>
      <c r="D690" s="8">
        <v>116300</v>
      </c>
      <c r="E690">
        <v>112032</v>
      </c>
      <c r="F690" s="9">
        <v>122635222</v>
      </c>
      <c r="G690" s="1">
        <v>14262476318600</v>
      </c>
      <c r="H690" s="1">
        <v>10982106772300</v>
      </c>
      <c r="I690">
        <f t="shared" si="10"/>
        <v>0</v>
      </c>
    </row>
    <row r="691" spans="1:9" x14ac:dyDescent="0.3">
      <c r="A691">
        <v>20170914</v>
      </c>
      <c r="B691" s="2" t="s">
        <v>9</v>
      </c>
      <c r="C691" s="8">
        <v>116300</v>
      </c>
      <c r="D691" s="8">
        <v>119500</v>
      </c>
      <c r="E691">
        <v>115115</v>
      </c>
      <c r="F691" s="9">
        <v>122635222</v>
      </c>
      <c r="G691" s="1">
        <v>14654909029000</v>
      </c>
      <c r="H691" s="1">
        <v>11284279959500</v>
      </c>
      <c r="I691">
        <f t="shared" si="10"/>
        <v>0</v>
      </c>
    </row>
    <row r="692" spans="1:9" x14ac:dyDescent="0.3">
      <c r="A692">
        <v>20170915</v>
      </c>
      <c r="B692" s="2" t="s">
        <v>9</v>
      </c>
      <c r="C692" s="8">
        <v>119500</v>
      </c>
      <c r="D692" s="8">
        <v>127700</v>
      </c>
      <c r="E692">
        <v>123014</v>
      </c>
      <c r="F692" s="9">
        <v>122635222</v>
      </c>
      <c r="G692" s="1">
        <v>15660517849400</v>
      </c>
      <c r="H692" s="1">
        <v>12058598751700</v>
      </c>
      <c r="I692">
        <f t="shared" si="10"/>
        <v>0</v>
      </c>
    </row>
    <row r="693" spans="1:9" x14ac:dyDescent="0.3">
      <c r="A693">
        <v>20170918</v>
      </c>
      <c r="B693" s="2" t="s">
        <v>9</v>
      </c>
      <c r="C693" s="8">
        <v>127700</v>
      </c>
      <c r="D693" s="8">
        <v>138400</v>
      </c>
      <c r="E693">
        <v>133321</v>
      </c>
      <c r="F693" s="9">
        <v>122635222</v>
      </c>
      <c r="G693" s="1">
        <v>16972714724800</v>
      </c>
      <c r="H693" s="1">
        <v>13068990346400</v>
      </c>
      <c r="I693">
        <f t="shared" si="10"/>
        <v>0</v>
      </c>
    </row>
    <row r="694" spans="1:9" x14ac:dyDescent="0.3">
      <c r="A694">
        <v>20170919</v>
      </c>
      <c r="B694" s="2" t="s">
        <v>9</v>
      </c>
      <c r="C694" s="8">
        <v>138400</v>
      </c>
      <c r="D694" s="8">
        <v>139500</v>
      </c>
      <c r="E694">
        <v>134381</v>
      </c>
      <c r="F694" s="9">
        <v>122635222</v>
      </c>
      <c r="G694" s="1">
        <v>17107613469000</v>
      </c>
      <c r="H694" s="1">
        <v>13172862379500</v>
      </c>
      <c r="I694">
        <f t="shared" si="10"/>
        <v>0</v>
      </c>
    </row>
    <row r="695" spans="1:9" x14ac:dyDescent="0.3">
      <c r="A695">
        <v>20170920</v>
      </c>
      <c r="B695" s="2" t="s">
        <v>9</v>
      </c>
      <c r="C695" s="8">
        <v>139500</v>
      </c>
      <c r="D695" s="8">
        <v>146700</v>
      </c>
      <c r="E695">
        <v>141317</v>
      </c>
      <c r="F695" s="9">
        <v>122635222</v>
      </c>
      <c r="G695" s="1">
        <v>17990587067400</v>
      </c>
      <c r="H695" s="1">
        <v>13852752050700</v>
      </c>
      <c r="I695">
        <f t="shared" si="10"/>
        <v>0</v>
      </c>
    </row>
    <row r="696" spans="1:9" x14ac:dyDescent="0.3">
      <c r="A696">
        <v>20170921</v>
      </c>
      <c r="B696" s="2" t="s">
        <v>9</v>
      </c>
      <c r="C696" s="8">
        <v>146700</v>
      </c>
      <c r="D696" s="8">
        <v>146000</v>
      </c>
      <c r="E696">
        <v>140642</v>
      </c>
      <c r="F696" s="9">
        <v>122635222</v>
      </c>
      <c r="G696" s="1">
        <v>17904742412000</v>
      </c>
      <c r="H696" s="1">
        <v>13786651666000</v>
      </c>
      <c r="I696">
        <f t="shared" si="10"/>
        <v>0</v>
      </c>
    </row>
    <row r="697" spans="1:9" x14ac:dyDescent="0.3">
      <c r="A697">
        <v>20170922</v>
      </c>
      <c r="B697" s="2" t="s">
        <v>9</v>
      </c>
      <c r="C697" s="8">
        <v>146000</v>
      </c>
      <c r="D697" s="8">
        <v>143600</v>
      </c>
      <c r="E697">
        <v>138330</v>
      </c>
      <c r="F697" s="9">
        <v>122635222</v>
      </c>
      <c r="G697" s="1">
        <v>17610417879200</v>
      </c>
      <c r="H697" s="1">
        <v>13560021775600</v>
      </c>
      <c r="I697">
        <f t="shared" si="10"/>
        <v>0</v>
      </c>
    </row>
    <row r="698" spans="1:9" x14ac:dyDescent="0.3">
      <c r="A698">
        <v>20170925</v>
      </c>
      <c r="B698" s="2" t="s">
        <v>9</v>
      </c>
      <c r="C698" s="8">
        <v>143600</v>
      </c>
      <c r="D698" s="8">
        <v>146900</v>
      </c>
      <c r="E698">
        <v>141510</v>
      </c>
      <c r="F698" s="9">
        <v>122635222</v>
      </c>
      <c r="G698" s="1">
        <v>18015114111800</v>
      </c>
      <c r="H698" s="1">
        <v>13871637874900</v>
      </c>
      <c r="I698">
        <f t="shared" si="10"/>
        <v>0</v>
      </c>
    </row>
    <row r="699" spans="1:9" x14ac:dyDescent="0.3">
      <c r="A699">
        <v>20170926</v>
      </c>
      <c r="B699" s="2" t="s">
        <v>9</v>
      </c>
      <c r="C699" s="8">
        <v>146900</v>
      </c>
      <c r="D699" s="8">
        <v>142500</v>
      </c>
      <c r="E699">
        <v>137271</v>
      </c>
      <c r="F699" s="9">
        <v>122635222</v>
      </c>
      <c r="G699" s="1">
        <v>17475519135000</v>
      </c>
      <c r="H699" s="1">
        <v>13456149742500</v>
      </c>
      <c r="I699">
        <f t="shared" si="10"/>
        <v>0</v>
      </c>
    </row>
    <row r="700" spans="1:9" x14ac:dyDescent="0.3">
      <c r="A700">
        <v>20170927</v>
      </c>
      <c r="B700" s="2" t="s">
        <v>9</v>
      </c>
      <c r="C700" s="8">
        <v>142500</v>
      </c>
      <c r="D700" s="8">
        <v>149200</v>
      </c>
      <c r="E700">
        <v>143725</v>
      </c>
      <c r="F700" s="9">
        <v>122635222</v>
      </c>
      <c r="G700" s="1">
        <v>18297175122400</v>
      </c>
      <c r="H700" s="1">
        <v>14088824853200</v>
      </c>
      <c r="I700">
        <f t="shared" si="10"/>
        <v>0</v>
      </c>
    </row>
    <row r="701" spans="1:9" x14ac:dyDescent="0.3">
      <c r="A701">
        <v>20170928</v>
      </c>
      <c r="B701" s="2" t="s">
        <v>9</v>
      </c>
      <c r="C701" s="8">
        <v>149200</v>
      </c>
      <c r="D701" s="8">
        <v>144000</v>
      </c>
      <c r="E701">
        <v>138715</v>
      </c>
      <c r="F701" s="9">
        <v>122635222</v>
      </c>
      <c r="G701" s="1">
        <v>17659471968000</v>
      </c>
      <c r="H701" s="1">
        <v>13597793424000</v>
      </c>
      <c r="I701">
        <f t="shared" si="10"/>
        <v>0</v>
      </c>
    </row>
    <row r="702" spans="1:9" x14ac:dyDescent="0.3">
      <c r="A702">
        <v>20170929</v>
      </c>
      <c r="B702" s="2" t="s">
        <v>9</v>
      </c>
      <c r="C702" s="8">
        <v>144000</v>
      </c>
      <c r="D702" s="8">
        <v>142000</v>
      </c>
      <c r="E702">
        <v>136789</v>
      </c>
      <c r="F702" s="9">
        <v>122635222</v>
      </c>
      <c r="G702" s="1">
        <v>17414201524000</v>
      </c>
      <c r="H702" s="1">
        <v>13408935182000</v>
      </c>
      <c r="I702">
        <f t="shared" si="10"/>
        <v>0</v>
      </c>
    </row>
    <row r="703" spans="1:9" x14ac:dyDescent="0.3">
      <c r="A703">
        <v>20171010</v>
      </c>
      <c r="B703" s="2" t="s">
        <v>9</v>
      </c>
      <c r="C703" s="8">
        <v>142000</v>
      </c>
      <c r="D703" s="8">
        <v>144400</v>
      </c>
      <c r="E703">
        <v>139102</v>
      </c>
      <c r="F703" s="9">
        <v>122635222</v>
      </c>
      <c r="G703" s="1">
        <v>17708526056800</v>
      </c>
      <c r="H703" s="1">
        <v>13635565072400</v>
      </c>
      <c r="I703">
        <f t="shared" si="10"/>
        <v>0</v>
      </c>
    </row>
    <row r="704" spans="1:9" x14ac:dyDescent="0.3">
      <c r="A704">
        <v>20171011</v>
      </c>
      <c r="B704" s="2" t="s">
        <v>9</v>
      </c>
      <c r="C704" s="8">
        <v>144400</v>
      </c>
      <c r="D704" s="8">
        <v>146000</v>
      </c>
      <c r="E704">
        <v>140642</v>
      </c>
      <c r="F704" s="9">
        <v>122635222</v>
      </c>
      <c r="G704" s="1">
        <v>17904742412000</v>
      </c>
      <c r="H704" s="1">
        <v>13786651666000</v>
      </c>
      <c r="I704">
        <f t="shared" si="10"/>
        <v>0</v>
      </c>
    </row>
    <row r="705" spans="1:9" x14ac:dyDescent="0.3">
      <c r="A705">
        <v>20171012</v>
      </c>
      <c r="B705" s="2" t="s">
        <v>9</v>
      </c>
      <c r="C705" s="8">
        <v>146000</v>
      </c>
      <c r="D705" s="8">
        <v>155200</v>
      </c>
      <c r="E705">
        <v>149505</v>
      </c>
      <c r="F705" s="9">
        <v>122635222</v>
      </c>
      <c r="G705" s="1">
        <v>19032986454400</v>
      </c>
      <c r="H705" s="1">
        <v>14655399579200</v>
      </c>
      <c r="I705">
        <f t="shared" si="10"/>
        <v>0</v>
      </c>
    </row>
    <row r="706" spans="1:9" x14ac:dyDescent="0.3">
      <c r="A706">
        <v>20171013</v>
      </c>
      <c r="B706" s="2" t="s">
        <v>9</v>
      </c>
      <c r="C706" s="8">
        <v>155200</v>
      </c>
      <c r="D706" s="8">
        <v>169300</v>
      </c>
      <c r="E706">
        <v>163087</v>
      </c>
      <c r="F706" s="9">
        <v>122635222</v>
      </c>
      <c r="G706" s="1">
        <v>20762143084600</v>
      </c>
      <c r="H706" s="1">
        <v>15986850185300</v>
      </c>
      <c r="I706">
        <f t="shared" si="10"/>
        <v>0</v>
      </c>
    </row>
    <row r="707" spans="1:9" x14ac:dyDescent="0.3">
      <c r="A707">
        <v>20171016</v>
      </c>
      <c r="B707" s="2" t="s">
        <v>9</v>
      </c>
      <c r="C707" s="8">
        <v>169300</v>
      </c>
      <c r="D707" s="8">
        <v>175900</v>
      </c>
      <c r="E707">
        <v>169446</v>
      </c>
      <c r="F707" s="9">
        <v>122635222</v>
      </c>
      <c r="G707" s="1">
        <v>21571535549800</v>
      </c>
      <c r="H707" s="1">
        <v>16610082383900</v>
      </c>
      <c r="I707">
        <f t="shared" ref="I707:I770" si="11">IF(C707*F707=D706*F706,0,1)</f>
        <v>0</v>
      </c>
    </row>
    <row r="708" spans="1:9" x14ac:dyDescent="0.3">
      <c r="A708">
        <v>20171017</v>
      </c>
      <c r="B708" s="2" t="s">
        <v>9</v>
      </c>
      <c r="C708" s="8">
        <v>175900</v>
      </c>
      <c r="D708" s="8">
        <v>191700</v>
      </c>
      <c r="E708">
        <v>184666</v>
      </c>
      <c r="F708" s="9">
        <v>122635222</v>
      </c>
      <c r="G708" s="1">
        <v>23509172057400</v>
      </c>
      <c r="H708" s="1">
        <v>18102062495700</v>
      </c>
      <c r="I708">
        <f t="shared" si="11"/>
        <v>0</v>
      </c>
    </row>
    <row r="709" spans="1:9" x14ac:dyDescent="0.3">
      <c r="A709">
        <v>20171018</v>
      </c>
      <c r="B709" s="2" t="s">
        <v>9</v>
      </c>
      <c r="C709" s="8">
        <v>191700</v>
      </c>
      <c r="D709" s="8">
        <v>192100</v>
      </c>
      <c r="E709">
        <v>185051</v>
      </c>
      <c r="F709" s="9">
        <v>122635222</v>
      </c>
      <c r="G709" s="1">
        <v>23558226146200</v>
      </c>
      <c r="H709" s="1">
        <v>18139834144100</v>
      </c>
      <c r="I709">
        <f t="shared" si="11"/>
        <v>0</v>
      </c>
    </row>
    <row r="710" spans="1:9" x14ac:dyDescent="0.3">
      <c r="A710">
        <v>20171019</v>
      </c>
      <c r="B710" s="2" t="s">
        <v>9</v>
      </c>
      <c r="C710" s="8">
        <v>192100</v>
      </c>
      <c r="D710" s="8">
        <v>175200</v>
      </c>
      <c r="E710">
        <v>168771</v>
      </c>
      <c r="F710" s="9">
        <v>122635222</v>
      </c>
      <c r="G710" s="1">
        <v>21485690894400</v>
      </c>
      <c r="H710" s="1">
        <v>16543981999200</v>
      </c>
      <c r="I710">
        <f t="shared" si="11"/>
        <v>0</v>
      </c>
    </row>
    <row r="711" spans="1:9" x14ac:dyDescent="0.3">
      <c r="A711">
        <v>20171020</v>
      </c>
      <c r="B711" s="2" t="s">
        <v>9</v>
      </c>
      <c r="C711" s="8">
        <v>175200</v>
      </c>
      <c r="D711" s="8">
        <v>178000</v>
      </c>
      <c r="E711">
        <v>171469</v>
      </c>
      <c r="F711" s="9">
        <v>122635222</v>
      </c>
      <c r="G711" s="1">
        <v>21829069516000</v>
      </c>
      <c r="H711" s="1">
        <v>16808383538000</v>
      </c>
      <c r="I711">
        <f t="shared" si="11"/>
        <v>0</v>
      </c>
    </row>
    <row r="712" spans="1:9" x14ac:dyDescent="0.3">
      <c r="A712">
        <v>20171023</v>
      </c>
      <c r="B712" s="2" t="s">
        <v>9</v>
      </c>
      <c r="C712" s="8">
        <v>178000</v>
      </c>
      <c r="D712" s="8">
        <v>178300</v>
      </c>
      <c r="E712">
        <v>171757</v>
      </c>
      <c r="F712" s="9">
        <v>122635222</v>
      </c>
      <c r="G712" s="1">
        <v>21865860082600</v>
      </c>
      <c r="H712" s="1">
        <v>16836712274300</v>
      </c>
      <c r="I712">
        <f t="shared" si="11"/>
        <v>0</v>
      </c>
    </row>
    <row r="713" spans="1:9" x14ac:dyDescent="0.3">
      <c r="A713">
        <v>20171024</v>
      </c>
      <c r="B713" s="2" t="s">
        <v>9</v>
      </c>
      <c r="C713" s="8">
        <v>178300</v>
      </c>
      <c r="D713" s="8">
        <v>190900</v>
      </c>
      <c r="E713">
        <v>183895</v>
      </c>
      <c r="F713" s="9">
        <v>122635222</v>
      </c>
      <c r="G713" s="1">
        <v>23411063879800</v>
      </c>
      <c r="H713" s="1">
        <v>18026519198900</v>
      </c>
      <c r="I713">
        <f t="shared" si="11"/>
        <v>0</v>
      </c>
    </row>
    <row r="714" spans="1:9" x14ac:dyDescent="0.3">
      <c r="A714">
        <v>20171025</v>
      </c>
      <c r="B714" s="2" t="s">
        <v>9</v>
      </c>
      <c r="C714" s="8">
        <v>190900</v>
      </c>
      <c r="D714" s="8">
        <v>181000</v>
      </c>
      <c r="E714">
        <v>174358</v>
      </c>
      <c r="F714" s="9">
        <v>122635222</v>
      </c>
      <c r="G714" s="1">
        <v>22196975182000</v>
      </c>
      <c r="H714" s="1">
        <v>17091670901000</v>
      </c>
      <c r="I714">
        <f t="shared" si="11"/>
        <v>0</v>
      </c>
    </row>
    <row r="715" spans="1:9" x14ac:dyDescent="0.3">
      <c r="A715">
        <v>20171026</v>
      </c>
      <c r="B715" s="2" t="s">
        <v>9</v>
      </c>
      <c r="C715" s="8">
        <v>181000</v>
      </c>
      <c r="D715" s="8">
        <v>172100</v>
      </c>
      <c r="E715">
        <v>165785</v>
      </c>
      <c r="F715" s="9">
        <v>122635222</v>
      </c>
      <c r="G715" s="1">
        <v>21105521706200</v>
      </c>
      <c r="H715" s="1">
        <v>16251251724100</v>
      </c>
      <c r="I715">
        <f t="shared" si="11"/>
        <v>0</v>
      </c>
    </row>
    <row r="716" spans="1:9" x14ac:dyDescent="0.3">
      <c r="A716">
        <v>20171027</v>
      </c>
      <c r="B716" s="2" t="s">
        <v>9</v>
      </c>
      <c r="C716" s="8">
        <v>172100</v>
      </c>
      <c r="D716" s="8">
        <v>175000</v>
      </c>
      <c r="E716">
        <v>168578</v>
      </c>
      <c r="F716" s="9">
        <v>122635222</v>
      </c>
      <c r="G716" s="1">
        <v>21461163850000</v>
      </c>
      <c r="H716" s="1">
        <v>16525096175000</v>
      </c>
      <c r="I716">
        <f t="shared" si="11"/>
        <v>0</v>
      </c>
    </row>
    <row r="717" spans="1:9" x14ac:dyDescent="0.3">
      <c r="A717">
        <v>20171030</v>
      </c>
      <c r="B717" s="2" t="s">
        <v>9</v>
      </c>
      <c r="C717" s="8">
        <v>175000</v>
      </c>
      <c r="D717" s="8">
        <v>168100</v>
      </c>
      <c r="E717">
        <v>161932</v>
      </c>
      <c r="F717" s="9">
        <v>122635222</v>
      </c>
      <c r="G717" s="1">
        <v>20614980818200</v>
      </c>
      <c r="H717" s="1">
        <v>15873535240100</v>
      </c>
      <c r="I717">
        <f t="shared" si="11"/>
        <v>0</v>
      </c>
    </row>
    <row r="718" spans="1:9" x14ac:dyDescent="0.3">
      <c r="A718">
        <v>20171031</v>
      </c>
      <c r="B718" s="2" t="s">
        <v>9</v>
      </c>
      <c r="C718" s="8">
        <v>168100</v>
      </c>
      <c r="D718" s="8">
        <v>173100</v>
      </c>
      <c r="E718">
        <v>166748</v>
      </c>
      <c r="F718" s="9">
        <v>122635222</v>
      </c>
      <c r="G718" s="1">
        <v>21228156928200</v>
      </c>
      <c r="H718" s="1">
        <v>16345680845100</v>
      </c>
      <c r="I718">
        <f t="shared" si="11"/>
        <v>0</v>
      </c>
    </row>
    <row r="719" spans="1:9" x14ac:dyDescent="0.3">
      <c r="A719">
        <v>20171101</v>
      </c>
      <c r="B719" s="2" t="s">
        <v>9</v>
      </c>
      <c r="C719" s="8">
        <v>173100</v>
      </c>
      <c r="D719" s="8">
        <v>171900</v>
      </c>
      <c r="E719">
        <v>165592</v>
      </c>
      <c r="F719" s="9">
        <v>122635222</v>
      </c>
      <c r="G719" s="1">
        <v>21080994661800</v>
      </c>
      <c r="H719" s="1">
        <v>16232365899900</v>
      </c>
      <c r="I719">
        <f t="shared" si="11"/>
        <v>0</v>
      </c>
    </row>
    <row r="720" spans="1:9" x14ac:dyDescent="0.3">
      <c r="A720">
        <v>20171102</v>
      </c>
      <c r="B720" s="2" t="s">
        <v>9</v>
      </c>
      <c r="C720" s="8">
        <v>171900</v>
      </c>
      <c r="D720" s="8">
        <v>172500</v>
      </c>
      <c r="E720">
        <v>166170</v>
      </c>
      <c r="F720" s="9">
        <v>122635222</v>
      </c>
      <c r="G720" s="1">
        <v>21154575795000</v>
      </c>
      <c r="H720" s="1">
        <v>16289023372500</v>
      </c>
      <c r="I720">
        <f t="shared" si="11"/>
        <v>0</v>
      </c>
    </row>
    <row r="721" spans="1:10" x14ac:dyDescent="0.3">
      <c r="A721">
        <v>20171103</v>
      </c>
      <c r="B721" s="2" t="s">
        <v>9</v>
      </c>
      <c r="C721" s="8">
        <v>172500</v>
      </c>
      <c r="D721" s="8">
        <v>176100</v>
      </c>
      <c r="E721">
        <v>169638</v>
      </c>
      <c r="F721" s="9">
        <v>122635222</v>
      </c>
      <c r="G721" s="1">
        <v>21596062594200</v>
      </c>
      <c r="H721" s="1">
        <v>16628968208100</v>
      </c>
      <c r="I721">
        <f t="shared" si="11"/>
        <v>0</v>
      </c>
    </row>
    <row r="722" spans="1:10" x14ac:dyDescent="0.3">
      <c r="A722">
        <v>20171106</v>
      </c>
      <c r="B722" s="2" t="s">
        <v>9</v>
      </c>
      <c r="C722" s="8">
        <v>176100</v>
      </c>
      <c r="D722" s="8">
        <v>175000</v>
      </c>
      <c r="E722">
        <v>168578</v>
      </c>
      <c r="F722" s="9">
        <v>122635222</v>
      </c>
      <c r="G722" s="1">
        <v>21461163850000</v>
      </c>
      <c r="H722" s="1">
        <v>16525096175000</v>
      </c>
      <c r="I722">
        <f t="shared" si="11"/>
        <v>0</v>
      </c>
    </row>
    <row r="723" spans="1:10" x14ac:dyDescent="0.3">
      <c r="A723">
        <v>20171107</v>
      </c>
      <c r="B723" s="2" t="s">
        <v>9</v>
      </c>
      <c r="C723" s="8">
        <v>175000</v>
      </c>
      <c r="D723" s="8">
        <v>166800</v>
      </c>
      <c r="E723">
        <v>160679</v>
      </c>
      <c r="F723" s="9">
        <v>122635222</v>
      </c>
      <c r="G723" s="1">
        <v>20455555029600</v>
      </c>
      <c r="H723" s="1">
        <v>15750777382800</v>
      </c>
      <c r="I723">
        <f t="shared" si="11"/>
        <v>0</v>
      </c>
    </row>
    <row r="724" spans="1:10" x14ac:dyDescent="0.3">
      <c r="A724">
        <v>20171108</v>
      </c>
      <c r="B724" s="2" t="s">
        <v>9</v>
      </c>
      <c r="C724" s="8">
        <v>166800</v>
      </c>
      <c r="D724" s="8">
        <v>173100</v>
      </c>
      <c r="E724">
        <v>166748</v>
      </c>
      <c r="F724" s="9">
        <v>122635222</v>
      </c>
      <c r="G724" s="1">
        <v>21228156928200</v>
      </c>
      <c r="H724" s="1">
        <v>16345680845100</v>
      </c>
      <c r="I724">
        <f t="shared" si="11"/>
        <v>0</v>
      </c>
    </row>
    <row r="725" spans="1:10" x14ac:dyDescent="0.3">
      <c r="A725">
        <v>20171109</v>
      </c>
      <c r="B725" s="2" t="s">
        <v>9</v>
      </c>
      <c r="C725" s="8">
        <v>173100</v>
      </c>
      <c r="D725" s="8">
        <v>171000</v>
      </c>
      <c r="E725">
        <v>164725</v>
      </c>
      <c r="F725" s="9">
        <v>122635222</v>
      </c>
      <c r="G725" s="1">
        <v>20970622962000</v>
      </c>
      <c r="H725" s="1">
        <v>16147379691000</v>
      </c>
      <c r="I725">
        <f t="shared" si="11"/>
        <v>0</v>
      </c>
    </row>
    <row r="726" spans="1:10" x14ac:dyDescent="0.3">
      <c r="A726">
        <v>20171110</v>
      </c>
      <c r="B726" s="2" t="s">
        <v>9</v>
      </c>
      <c r="C726" s="8">
        <v>171000</v>
      </c>
      <c r="D726" s="8">
        <v>176300</v>
      </c>
      <c r="E726">
        <v>169831</v>
      </c>
      <c r="F726" s="9">
        <v>122635222</v>
      </c>
      <c r="G726" s="1">
        <v>21620589638600</v>
      </c>
      <c r="H726" s="1">
        <v>16647854032300</v>
      </c>
      <c r="I726">
        <f t="shared" si="11"/>
        <v>0</v>
      </c>
    </row>
    <row r="727" spans="1:10" x14ac:dyDescent="0.3">
      <c r="A727">
        <v>20171113</v>
      </c>
      <c r="B727" s="2" t="s">
        <v>9</v>
      </c>
      <c r="C727" s="8">
        <v>176300</v>
      </c>
      <c r="D727" s="8">
        <v>190000</v>
      </c>
      <c r="E727">
        <v>183028</v>
      </c>
      <c r="F727" s="9">
        <v>122635222</v>
      </c>
      <c r="G727" s="1">
        <v>23300692180000</v>
      </c>
      <c r="H727" s="1">
        <v>17941532990000</v>
      </c>
      <c r="I727">
        <f t="shared" si="11"/>
        <v>0</v>
      </c>
    </row>
    <row r="728" spans="1:10" x14ac:dyDescent="0.3">
      <c r="A728">
        <v>20171114</v>
      </c>
      <c r="B728" s="2" t="s">
        <v>9</v>
      </c>
      <c r="C728" s="8">
        <v>190000</v>
      </c>
      <c r="D728" s="8">
        <v>192900</v>
      </c>
      <c r="E728">
        <v>185821</v>
      </c>
      <c r="F728" s="9">
        <v>122635222</v>
      </c>
      <c r="G728" s="1">
        <v>23656334323800</v>
      </c>
      <c r="H728" s="1">
        <v>18215377440900</v>
      </c>
      <c r="I728">
        <f t="shared" si="11"/>
        <v>0</v>
      </c>
    </row>
    <row r="729" spans="1:10" x14ac:dyDescent="0.3">
      <c r="A729">
        <v>20171115</v>
      </c>
      <c r="B729" s="2" t="s">
        <v>9</v>
      </c>
      <c r="C729" s="8">
        <v>192900</v>
      </c>
      <c r="D729" s="8">
        <v>208500</v>
      </c>
      <c r="E729">
        <v>200849</v>
      </c>
      <c r="F729" s="9">
        <v>122635222</v>
      </c>
      <c r="G729" s="1">
        <v>25569443787000</v>
      </c>
      <c r="H729" s="1">
        <v>19688471728500</v>
      </c>
      <c r="I729">
        <f t="shared" si="11"/>
        <v>0</v>
      </c>
    </row>
    <row r="730" spans="1:10" x14ac:dyDescent="0.3">
      <c r="A730">
        <v>20171116</v>
      </c>
      <c r="B730" s="2" t="s">
        <v>9</v>
      </c>
      <c r="C730" s="8">
        <v>208500</v>
      </c>
      <c r="D730" s="8">
        <v>219000</v>
      </c>
      <c r="E730">
        <v>210964</v>
      </c>
      <c r="F730" s="9">
        <v>122635222</v>
      </c>
      <c r="G730" s="1">
        <v>26857113618000</v>
      </c>
      <c r="H730" s="1">
        <v>20679977499000</v>
      </c>
      <c r="I730">
        <f t="shared" si="11"/>
        <v>0</v>
      </c>
    </row>
    <row r="731" spans="1:10" x14ac:dyDescent="0.3">
      <c r="A731" s="8">
        <v>20171117</v>
      </c>
      <c r="B731" s="10" t="s">
        <v>9</v>
      </c>
      <c r="C731" s="8">
        <v>219000</v>
      </c>
      <c r="D731" s="8">
        <v>218800</v>
      </c>
      <c r="E731" s="8">
        <v>210772</v>
      </c>
      <c r="F731" s="9">
        <v>122666424</v>
      </c>
      <c r="G731" s="9">
        <v>26839413571200</v>
      </c>
      <c r="H731" s="9">
        <v>20666348344800</v>
      </c>
      <c r="I731" s="8">
        <f t="shared" si="11"/>
        <v>1</v>
      </c>
      <c r="J731" t="s">
        <v>41</v>
      </c>
    </row>
    <row r="732" spans="1:10" x14ac:dyDescent="0.3">
      <c r="A732">
        <v>20171120</v>
      </c>
      <c r="B732" s="2" t="s">
        <v>9</v>
      </c>
      <c r="C732" s="8">
        <v>218800</v>
      </c>
      <c r="D732" s="8">
        <v>216700</v>
      </c>
      <c r="E732">
        <v>208749</v>
      </c>
      <c r="F732" s="9">
        <v>122666424</v>
      </c>
      <c r="G732" s="1">
        <v>26581814080800</v>
      </c>
      <c r="H732" s="1">
        <v>20467996738200</v>
      </c>
      <c r="I732">
        <f t="shared" si="11"/>
        <v>0</v>
      </c>
    </row>
    <row r="733" spans="1:10" x14ac:dyDescent="0.3">
      <c r="A733">
        <v>20171121</v>
      </c>
      <c r="B733" s="2" t="s">
        <v>9</v>
      </c>
      <c r="C733" s="8">
        <v>216700</v>
      </c>
      <c r="D733" s="8">
        <v>222700</v>
      </c>
      <c r="E733">
        <v>214529</v>
      </c>
      <c r="F733" s="9">
        <v>122666424</v>
      </c>
      <c r="G733" s="1">
        <v>27317812624800</v>
      </c>
      <c r="H733" s="1">
        <v>21034715614200</v>
      </c>
      <c r="I733">
        <f t="shared" si="11"/>
        <v>0</v>
      </c>
    </row>
    <row r="734" spans="1:10" x14ac:dyDescent="0.3">
      <c r="A734">
        <v>20171122</v>
      </c>
      <c r="B734" s="2" t="s">
        <v>9</v>
      </c>
      <c r="C734" s="8">
        <v>222700</v>
      </c>
      <c r="D734" s="8">
        <v>215600</v>
      </c>
      <c r="E734">
        <v>207689</v>
      </c>
      <c r="F734" s="9">
        <v>122666424</v>
      </c>
      <c r="G734" s="1">
        <v>26446881014400</v>
      </c>
      <c r="H734" s="1">
        <v>20364098277600</v>
      </c>
      <c r="I734">
        <f t="shared" si="11"/>
        <v>0</v>
      </c>
    </row>
    <row r="735" spans="1:10" x14ac:dyDescent="0.3">
      <c r="A735">
        <v>20171123</v>
      </c>
      <c r="B735" s="2" t="s">
        <v>9</v>
      </c>
      <c r="C735" s="8">
        <v>215600</v>
      </c>
      <c r="D735" s="8">
        <v>220400</v>
      </c>
      <c r="E735">
        <v>212313</v>
      </c>
      <c r="F735" s="9">
        <v>122666424</v>
      </c>
      <c r="G735" s="1">
        <v>27035679849600</v>
      </c>
      <c r="H735" s="1">
        <v>20817473378400</v>
      </c>
      <c r="I735">
        <f t="shared" si="11"/>
        <v>0</v>
      </c>
    </row>
    <row r="736" spans="1:10" x14ac:dyDescent="0.3">
      <c r="A736">
        <v>20171124</v>
      </c>
      <c r="B736" s="2" t="s">
        <v>9</v>
      </c>
      <c r="C736" s="8">
        <v>220400</v>
      </c>
      <c r="D736" s="8">
        <v>214900</v>
      </c>
      <c r="E736">
        <v>207015</v>
      </c>
      <c r="F736" s="9">
        <v>122666424</v>
      </c>
      <c r="G736" s="1">
        <v>26361014517600</v>
      </c>
      <c r="H736" s="1">
        <v>20297981075400</v>
      </c>
      <c r="I736">
        <f t="shared" si="11"/>
        <v>0</v>
      </c>
    </row>
    <row r="737" spans="1:9" x14ac:dyDescent="0.3">
      <c r="A737">
        <v>20171127</v>
      </c>
      <c r="B737" s="2" t="s">
        <v>9</v>
      </c>
      <c r="C737" s="8">
        <v>214900</v>
      </c>
      <c r="D737" s="8">
        <v>213100</v>
      </c>
      <c r="E737">
        <v>205281</v>
      </c>
      <c r="F737" s="9">
        <v>122666424</v>
      </c>
      <c r="G737" s="1">
        <v>26140214954400</v>
      </c>
      <c r="H737" s="1">
        <v>20127965412600</v>
      </c>
      <c r="I737">
        <f t="shared" si="11"/>
        <v>0</v>
      </c>
    </row>
    <row r="738" spans="1:9" x14ac:dyDescent="0.3">
      <c r="A738">
        <v>20171128</v>
      </c>
      <c r="B738" s="2" t="s">
        <v>9</v>
      </c>
      <c r="C738" s="8">
        <v>213100</v>
      </c>
      <c r="D738" s="8">
        <v>205100</v>
      </c>
      <c r="E738">
        <v>197574</v>
      </c>
      <c r="F738" s="9">
        <v>122666424</v>
      </c>
      <c r="G738" s="1">
        <v>25158883562400</v>
      </c>
      <c r="H738" s="1">
        <v>19372340244600</v>
      </c>
      <c r="I738">
        <f t="shared" si="11"/>
        <v>0</v>
      </c>
    </row>
    <row r="739" spans="1:9" x14ac:dyDescent="0.3">
      <c r="A739">
        <v>20171129</v>
      </c>
      <c r="B739" s="2" t="s">
        <v>9</v>
      </c>
      <c r="C739" s="8">
        <v>205100</v>
      </c>
      <c r="D739" s="8">
        <v>205100</v>
      </c>
      <c r="E739">
        <v>197574</v>
      </c>
      <c r="F739" s="9">
        <v>122666424</v>
      </c>
      <c r="G739" s="1">
        <v>25158883562400</v>
      </c>
      <c r="H739" s="1">
        <v>19372340244600</v>
      </c>
      <c r="I739">
        <f t="shared" si="11"/>
        <v>0</v>
      </c>
    </row>
    <row r="740" spans="1:9" x14ac:dyDescent="0.3">
      <c r="A740">
        <v>20171130</v>
      </c>
      <c r="B740" s="2" t="s">
        <v>9</v>
      </c>
      <c r="C740" s="8">
        <v>205100</v>
      </c>
      <c r="D740" s="8">
        <v>200100</v>
      </c>
      <c r="E740">
        <v>192757</v>
      </c>
      <c r="F740" s="9">
        <v>122666424</v>
      </c>
      <c r="G740" s="1">
        <v>24545551442400</v>
      </c>
      <c r="H740" s="1">
        <v>18900074514600</v>
      </c>
      <c r="I740">
        <f t="shared" si="11"/>
        <v>0</v>
      </c>
    </row>
    <row r="741" spans="1:9" x14ac:dyDescent="0.3">
      <c r="A741">
        <v>20171201</v>
      </c>
      <c r="B741" s="2" t="s">
        <v>9</v>
      </c>
      <c r="C741" s="8">
        <v>200100</v>
      </c>
      <c r="D741" s="8">
        <v>211400</v>
      </c>
      <c r="E741">
        <v>203643</v>
      </c>
      <c r="F741" s="9">
        <v>122666424</v>
      </c>
      <c r="G741" s="1">
        <v>25931682033600</v>
      </c>
      <c r="H741" s="1">
        <v>19967395064400</v>
      </c>
      <c r="I741">
        <f t="shared" si="11"/>
        <v>0</v>
      </c>
    </row>
    <row r="742" spans="1:9" x14ac:dyDescent="0.3">
      <c r="A742">
        <v>20171204</v>
      </c>
      <c r="B742" s="2" t="s">
        <v>9</v>
      </c>
      <c r="C742" s="8">
        <v>211400</v>
      </c>
      <c r="D742" s="8">
        <v>209200</v>
      </c>
      <c r="E742">
        <v>201524</v>
      </c>
      <c r="F742" s="9">
        <v>122666424</v>
      </c>
      <c r="G742" s="1">
        <v>25661815900800</v>
      </c>
      <c r="H742" s="1">
        <v>19759598143200</v>
      </c>
      <c r="I742">
        <f t="shared" si="11"/>
        <v>0</v>
      </c>
    </row>
    <row r="743" spans="1:9" x14ac:dyDescent="0.3">
      <c r="A743">
        <v>20171205</v>
      </c>
      <c r="B743" s="2" t="s">
        <v>9</v>
      </c>
      <c r="C743" s="8">
        <v>209200</v>
      </c>
      <c r="D743" s="8">
        <v>205200</v>
      </c>
      <c r="E743">
        <v>197671</v>
      </c>
      <c r="F743" s="9">
        <v>122666424</v>
      </c>
      <c r="G743" s="1">
        <v>25171150204800</v>
      </c>
      <c r="H743" s="1">
        <v>19381785559200</v>
      </c>
      <c r="I743">
        <f t="shared" si="11"/>
        <v>0</v>
      </c>
    </row>
    <row r="744" spans="1:9" x14ac:dyDescent="0.3">
      <c r="A744">
        <v>20171206</v>
      </c>
      <c r="B744" s="2" t="s">
        <v>9</v>
      </c>
      <c r="C744" s="8">
        <v>205200</v>
      </c>
      <c r="D744" s="8">
        <v>201300</v>
      </c>
      <c r="E744">
        <v>193914</v>
      </c>
      <c r="F744" s="9">
        <v>122666424</v>
      </c>
      <c r="G744" s="1">
        <v>24692751151200</v>
      </c>
      <c r="H744" s="1">
        <v>19013418289800</v>
      </c>
      <c r="I744">
        <f t="shared" si="11"/>
        <v>0</v>
      </c>
    </row>
    <row r="745" spans="1:9" x14ac:dyDescent="0.3">
      <c r="A745">
        <v>20171207</v>
      </c>
      <c r="B745" s="2" t="s">
        <v>9</v>
      </c>
      <c r="C745" s="8">
        <v>201300</v>
      </c>
      <c r="D745" s="8">
        <v>194000</v>
      </c>
      <c r="E745">
        <v>186881</v>
      </c>
      <c r="F745" s="9">
        <v>122666424</v>
      </c>
      <c r="G745" s="1">
        <v>23797286256000</v>
      </c>
      <c r="H745" s="1">
        <v>18323910324000</v>
      </c>
      <c r="I745">
        <f t="shared" si="11"/>
        <v>0</v>
      </c>
    </row>
    <row r="746" spans="1:9" x14ac:dyDescent="0.3">
      <c r="A746">
        <v>20171208</v>
      </c>
      <c r="B746" s="2" t="s">
        <v>9</v>
      </c>
      <c r="C746" s="8">
        <v>194000</v>
      </c>
      <c r="D746" s="8">
        <v>196100</v>
      </c>
      <c r="E746">
        <v>188904</v>
      </c>
      <c r="F746" s="9">
        <v>122666424</v>
      </c>
      <c r="G746" s="1">
        <v>24054885746400</v>
      </c>
      <c r="H746" s="1">
        <v>18522261930600</v>
      </c>
      <c r="I746">
        <f t="shared" si="11"/>
        <v>0</v>
      </c>
    </row>
    <row r="747" spans="1:9" x14ac:dyDescent="0.3">
      <c r="A747">
        <v>20171211</v>
      </c>
      <c r="B747" s="2" t="s">
        <v>9</v>
      </c>
      <c r="C747" s="8">
        <v>196100</v>
      </c>
      <c r="D747" s="8">
        <v>205000</v>
      </c>
      <c r="E747">
        <v>197478</v>
      </c>
      <c r="F747" s="9">
        <v>122666424</v>
      </c>
      <c r="G747" s="1">
        <v>25146616920000</v>
      </c>
      <c r="H747" s="1">
        <v>19362894930000</v>
      </c>
      <c r="I747">
        <f t="shared" si="11"/>
        <v>0</v>
      </c>
    </row>
    <row r="748" spans="1:9" x14ac:dyDescent="0.3">
      <c r="A748">
        <v>20171212</v>
      </c>
      <c r="B748" s="2" t="s">
        <v>9</v>
      </c>
      <c r="C748" s="8">
        <v>205000</v>
      </c>
      <c r="D748" s="8">
        <v>205600</v>
      </c>
      <c r="E748">
        <v>198056</v>
      </c>
      <c r="F748" s="9">
        <v>122666424</v>
      </c>
      <c r="G748" s="1">
        <v>25220216774400</v>
      </c>
      <c r="H748" s="1">
        <v>19419566817600</v>
      </c>
      <c r="I748">
        <f t="shared" si="11"/>
        <v>0</v>
      </c>
    </row>
    <row r="749" spans="1:9" x14ac:dyDescent="0.3">
      <c r="A749">
        <v>20171213</v>
      </c>
      <c r="B749" s="2" t="s">
        <v>9</v>
      </c>
      <c r="C749" s="8">
        <v>205600</v>
      </c>
      <c r="D749" s="8">
        <v>210000</v>
      </c>
      <c r="E749">
        <v>202294</v>
      </c>
      <c r="F749" s="9">
        <v>122666424</v>
      </c>
      <c r="G749" s="1">
        <v>25759949040000</v>
      </c>
      <c r="H749" s="1">
        <v>19835160660000</v>
      </c>
      <c r="I749">
        <f t="shared" si="11"/>
        <v>0</v>
      </c>
    </row>
    <row r="750" spans="1:9" x14ac:dyDescent="0.3">
      <c r="A750">
        <v>20171214</v>
      </c>
      <c r="B750" s="2" t="s">
        <v>9</v>
      </c>
      <c r="C750" s="8">
        <v>210000</v>
      </c>
      <c r="D750" s="8">
        <v>209500</v>
      </c>
      <c r="E750">
        <v>201813</v>
      </c>
      <c r="F750" s="9">
        <v>122666424</v>
      </c>
      <c r="G750" s="1">
        <v>25698615828000</v>
      </c>
      <c r="H750" s="1">
        <v>19787934087000</v>
      </c>
      <c r="I750">
        <f t="shared" si="11"/>
        <v>0</v>
      </c>
    </row>
    <row r="751" spans="1:9" x14ac:dyDescent="0.3">
      <c r="A751">
        <v>20171215</v>
      </c>
      <c r="B751" s="2" t="s">
        <v>9</v>
      </c>
      <c r="C751" s="8">
        <v>209500</v>
      </c>
      <c r="D751" s="8">
        <v>210500</v>
      </c>
      <c r="E751">
        <v>202776</v>
      </c>
      <c r="F751" s="9">
        <v>122666424</v>
      </c>
      <c r="G751" s="1">
        <v>25821282252000</v>
      </c>
      <c r="H751" s="1">
        <v>19882387233000</v>
      </c>
      <c r="I751">
        <f t="shared" si="11"/>
        <v>0</v>
      </c>
    </row>
    <row r="752" spans="1:9" x14ac:dyDescent="0.3">
      <c r="A752">
        <v>20171218</v>
      </c>
      <c r="B752" s="2" t="s">
        <v>9</v>
      </c>
      <c r="C752" s="8">
        <v>210500</v>
      </c>
      <c r="D752" s="8">
        <v>208800</v>
      </c>
      <c r="E752">
        <v>201139</v>
      </c>
      <c r="F752" s="9">
        <v>122666424</v>
      </c>
      <c r="G752" s="1">
        <v>25612749331200</v>
      </c>
      <c r="H752" s="1">
        <v>19721816884800</v>
      </c>
      <c r="I752">
        <f t="shared" si="11"/>
        <v>0</v>
      </c>
    </row>
    <row r="753" spans="1:10" x14ac:dyDescent="0.3">
      <c r="A753">
        <v>20171219</v>
      </c>
      <c r="B753" s="2" t="s">
        <v>9</v>
      </c>
      <c r="C753" s="8">
        <v>208800</v>
      </c>
      <c r="D753" s="8">
        <v>205000</v>
      </c>
      <c r="E753">
        <v>197478</v>
      </c>
      <c r="F753" s="9">
        <v>122666424</v>
      </c>
      <c r="G753" s="1">
        <v>25146616920000</v>
      </c>
      <c r="H753" s="1">
        <v>19362894930000</v>
      </c>
      <c r="I753">
        <f t="shared" si="11"/>
        <v>0</v>
      </c>
    </row>
    <row r="754" spans="1:10" x14ac:dyDescent="0.3">
      <c r="A754">
        <v>20171220</v>
      </c>
      <c r="B754" s="2" t="s">
        <v>9</v>
      </c>
      <c r="C754" s="8">
        <v>205000</v>
      </c>
      <c r="D754" s="8">
        <v>201000</v>
      </c>
      <c r="E754">
        <v>193625</v>
      </c>
      <c r="F754" s="9">
        <v>122666424</v>
      </c>
      <c r="G754" s="1">
        <v>24655951224000</v>
      </c>
      <c r="H754" s="1">
        <v>18985082346000</v>
      </c>
      <c r="I754">
        <f t="shared" si="11"/>
        <v>0</v>
      </c>
    </row>
    <row r="755" spans="1:10" x14ac:dyDescent="0.3">
      <c r="A755">
        <v>20171221</v>
      </c>
      <c r="B755" s="2" t="s">
        <v>9</v>
      </c>
      <c r="C755" s="8">
        <v>201000</v>
      </c>
      <c r="D755" s="8">
        <v>197300</v>
      </c>
      <c r="E755">
        <v>190061</v>
      </c>
      <c r="F755" s="9">
        <v>122666424</v>
      </c>
      <c r="G755" s="1">
        <v>24202085455200</v>
      </c>
      <c r="H755" s="1">
        <v>18635605705800</v>
      </c>
      <c r="I755">
        <f t="shared" si="11"/>
        <v>0</v>
      </c>
    </row>
    <row r="756" spans="1:10" x14ac:dyDescent="0.3">
      <c r="A756">
        <v>20171222</v>
      </c>
      <c r="B756" s="2" t="s">
        <v>9</v>
      </c>
      <c r="C756" s="8">
        <v>197300</v>
      </c>
      <c r="D756" s="8">
        <v>201900</v>
      </c>
      <c r="E756">
        <v>194491</v>
      </c>
      <c r="F756" s="9">
        <v>122666424</v>
      </c>
      <c r="G756" s="1">
        <v>24766351005600</v>
      </c>
      <c r="H756" s="1">
        <v>19070090177400</v>
      </c>
      <c r="I756">
        <f t="shared" si="11"/>
        <v>0</v>
      </c>
    </row>
    <row r="757" spans="1:10" x14ac:dyDescent="0.3">
      <c r="A757">
        <v>20171226</v>
      </c>
      <c r="B757" s="2" t="s">
        <v>9</v>
      </c>
      <c r="C757" s="8">
        <v>201900</v>
      </c>
      <c r="D757" s="8">
        <v>195000</v>
      </c>
      <c r="E757">
        <v>187845</v>
      </c>
      <c r="F757" s="9">
        <v>122666424</v>
      </c>
      <c r="G757" s="1">
        <v>23919952680000</v>
      </c>
      <c r="H757" s="1">
        <v>18418363470000</v>
      </c>
      <c r="I757">
        <f t="shared" si="11"/>
        <v>0</v>
      </c>
    </row>
    <row r="758" spans="1:10" x14ac:dyDescent="0.3">
      <c r="A758" s="8">
        <v>20171227</v>
      </c>
      <c r="B758" s="10" t="s">
        <v>9</v>
      </c>
      <c r="C758" s="8">
        <v>191200</v>
      </c>
      <c r="D758" s="8">
        <v>220000</v>
      </c>
      <c r="E758" s="8">
        <v>216140</v>
      </c>
      <c r="F758" s="9">
        <v>122666424</v>
      </c>
      <c r="G758" s="9">
        <v>26986613280000</v>
      </c>
      <c r="H758" s="9">
        <v>21193359000000</v>
      </c>
      <c r="I758" s="8">
        <f t="shared" si="11"/>
        <v>1</v>
      </c>
      <c r="J758" t="s">
        <v>45</v>
      </c>
    </row>
    <row r="759" spans="1:10" x14ac:dyDescent="0.3">
      <c r="A759">
        <v>20171228</v>
      </c>
      <c r="B759" s="2" t="s">
        <v>9</v>
      </c>
      <c r="C759" s="8">
        <v>220000</v>
      </c>
      <c r="D759" s="8">
        <v>221100</v>
      </c>
      <c r="E759">
        <v>217221</v>
      </c>
      <c r="F759" s="9">
        <v>122666424</v>
      </c>
      <c r="G759" s="1">
        <v>27121546346400</v>
      </c>
      <c r="H759" s="1">
        <v>21299325795000</v>
      </c>
      <c r="I759">
        <f t="shared" si="11"/>
        <v>0</v>
      </c>
    </row>
    <row r="760" spans="1:10" x14ac:dyDescent="0.3">
      <c r="A760">
        <v>20180102</v>
      </c>
      <c r="B760" s="2" t="s">
        <v>9</v>
      </c>
      <c r="C760" s="8">
        <v>221100</v>
      </c>
      <c r="D760" s="8">
        <v>225900</v>
      </c>
      <c r="E760">
        <v>221936</v>
      </c>
      <c r="F760" s="9">
        <v>122666424</v>
      </c>
      <c r="G760" s="1">
        <v>27710345181600</v>
      </c>
      <c r="H760" s="1">
        <v>21761726355000</v>
      </c>
      <c r="I760">
        <f t="shared" si="11"/>
        <v>0</v>
      </c>
    </row>
    <row r="761" spans="1:10" x14ac:dyDescent="0.3">
      <c r="A761">
        <v>20180103</v>
      </c>
      <c r="B761" s="2" t="s">
        <v>9</v>
      </c>
      <c r="C761" s="8">
        <v>225900</v>
      </c>
      <c r="D761" s="8">
        <v>246700</v>
      </c>
      <c r="E761">
        <v>242371</v>
      </c>
      <c r="F761" s="9">
        <v>122666424</v>
      </c>
      <c r="G761" s="1">
        <v>30261806800800</v>
      </c>
      <c r="H761" s="1">
        <v>23765462115000</v>
      </c>
      <c r="I761">
        <f t="shared" si="11"/>
        <v>0</v>
      </c>
    </row>
    <row r="762" spans="1:10" x14ac:dyDescent="0.3">
      <c r="A762">
        <v>20180104</v>
      </c>
      <c r="B762" s="2" t="s">
        <v>9</v>
      </c>
      <c r="C762" s="8">
        <v>246700</v>
      </c>
      <c r="D762" s="8">
        <v>250000</v>
      </c>
      <c r="E762">
        <v>245614</v>
      </c>
      <c r="F762" s="9">
        <v>122666424</v>
      </c>
      <c r="G762" s="1">
        <v>30666606000000</v>
      </c>
      <c r="H762" s="1">
        <v>24083362500000</v>
      </c>
      <c r="I762">
        <f t="shared" si="11"/>
        <v>0</v>
      </c>
    </row>
    <row r="763" spans="1:10" x14ac:dyDescent="0.3">
      <c r="A763">
        <v>20180105</v>
      </c>
      <c r="B763" s="2" t="s">
        <v>9</v>
      </c>
      <c r="C763" s="8">
        <v>250000</v>
      </c>
      <c r="D763" s="8">
        <v>266900</v>
      </c>
      <c r="E763">
        <v>262217</v>
      </c>
      <c r="F763" s="9">
        <v>122666424</v>
      </c>
      <c r="G763" s="1">
        <v>32739668565600</v>
      </c>
      <c r="H763" s="1">
        <v>25711397805000</v>
      </c>
      <c r="I763">
        <f t="shared" si="11"/>
        <v>0</v>
      </c>
    </row>
    <row r="764" spans="1:10" x14ac:dyDescent="0.3">
      <c r="A764">
        <v>20180108</v>
      </c>
      <c r="B764" s="2" t="s">
        <v>9</v>
      </c>
      <c r="C764" s="8">
        <v>266900</v>
      </c>
      <c r="D764" s="8">
        <v>302500</v>
      </c>
      <c r="E764">
        <v>297192</v>
      </c>
      <c r="F764" s="9">
        <v>122666424</v>
      </c>
      <c r="G764" s="1">
        <v>37106593260000</v>
      </c>
      <c r="H764" s="1">
        <v>29140868625000</v>
      </c>
      <c r="I764">
        <f t="shared" si="11"/>
        <v>0</v>
      </c>
    </row>
    <row r="765" spans="1:10" x14ac:dyDescent="0.3">
      <c r="A765">
        <v>20180109</v>
      </c>
      <c r="B765" s="2" t="s">
        <v>9</v>
      </c>
      <c r="C765" s="8">
        <v>302500</v>
      </c>
      <c r="D765" s="8">
        <v>292500</v>
      </c>
      <c r="E765">
        <v>287368</v>
      </c>
      <c r="F765" s="9">
        <v>122666424</v>
      </c>
      <c r="G765" s="1">
        <v>35879929020000</v>
      </c>
      <c r="H765" s="1">
        <v>28177534125000</v>
      </c>
      <c r="I765">
        <f t="shared" si="11"/>
        <v>0</v>
      </c>
    </row>
    <row r="766" spans="1:10" x14ac:dyDescent="0.3">
      <c r="A766">
        <v>20180110</v>
      </c>
      <c r="B766" s="2" t="s">
        <v>9</v>
      </c>
      <c r="C766" s="8">
        <v>292500</v>
      </c>
      <c r="D766" s="8">
        <v>296000</v>
      </c>
      <c r="E766">
        <v>290807</v>
      </c>
      <c r="F766" s="9">
        <v>122666424</v>
      </c>
      <c r="G766" s="1">
        <v>36309261504000</v>
      </c>
      <c r="H766" s="1">
        <v>28514701200000</v>
      </c>
      <c r="I766">
        <f t="shared" si="11"/>
        <v>0</v>
      </c>
    </row>
    <row r="767" spans="1:10" x14ac:dyDescent="0.3">
      <c r="A767">
        <v>20180111</v>
      </c>
      <c r="B767" s="2" t="s">
        <v>9</v>
      </c>
      <c r="C767" s="8">
        <v>296000</v>
      </c>
      <c r="D767" s="8">
        <v>307000</v>
      </c>
      <c r="E767">
        <v>301614</v>
      </c>
      <c r="F767" s="9">
        <v>122666424</v>
      </c>
      <c r="G767" s="1">
        <v>37658592168000</v>
      </c>
      <c r="H767" s="1">
        <v>29574369150000</v>
      </c>
      <c r="I767">
        <f t="shared" si="11"/>
        <v>0</v>
      </c>
    </row>
    <row r="768" spans="1:10" x14ac:dyDescent="0.3">
      <c r="A768">
        <v>20180112</v>
      </c>
      <c r="B768" s="2" t="s">
        <v>9</v>
      </c>
      <c r="C768" s="8">
        <v>307000</v>
      </c>
      <c r="D768" s="8">
        <v>341500</v>
      </c>
      <c r="E768">
        <v>335508</v>
      </c>
      <c r="F768" s="9">
        <v>122666424</v>
      </c>
      <c r="G768" s="1">
        <v>41890583796000</v>
      </c>
      <c r="H768" s="1">
        <v>32897873175000</v>
      </c>
      <c r="I768">
        <f t="shared" si="11"/>
        <v>0</v>
      </c>
    </row>
    <row r="769" spans="1:9" x14ac:dyDescent="0.3">
      <c r="A769">
        <v>20180115</v>
      </c>
      <c r="B769" s="2" t="s">
        <v>9</v>
      </c>
      <c r="C769" s="8">
        <v>341500</v>
      </c>
      <c r="D769" s="8">
        <v>350000</v>
      </c>
      <c r="E769">
        <v>343859</v>
      </c>
      <c r="F769" s="9">
        <v>122666424</v>
      </c>
      <c r="G769" s="1">
        <v>42933248400000</v>
      </c>
      <c r="H769" s="1">
        <v>33716707500000</v>
      </c>
      <c r="I769">
        <f t="shared" si="11"/>
        <v>0</v>
      </c>
    </row>
    <row r="770" spans="1:9" x14ac:dyDescent="0.3">
      <c r="A770">
        <v>20180116</v>
      </c>
      <c r="B770" s="2" t="s">
        <v>9</v>
      </c>
      <c r="C770" s="8">
        <v>350000</v>
      </c>
      <c r="D770" s="8">
        <v>347400</v>
      </c>
      <c r="E770">
        <v>341305</v>
      </c>
      <c r="F770" s="9">
        <v>122666424</v>
      </c>
      <c r="G770" s="1">
        <v>42614315697600</v>
      </c>
      <c r="H770" s="1">
        <v>33466240530000</v>
      </c>
      <c r="I770">
        <f t="shared" si="11"/>
        <v>0</v>
      </c>
    </row>
    <row r="771" spans="1:9" x14ac:dyDescent="0.3">
      <c r="A771">
        <v>20180117</v>
      </c>
      <c r="B771" s="2" t="s">
        <v>9</v>
      </c>
      <c r="C771" s="8">
        <v>347400</v>
      </c>
      <c r="D771" s="8">
        <v>313500</v>
      </c>
      <c r="E771">
        <v>308000</v>
      </c>
      <c r="F771" s="9">
        <v>122666424</v>
      </c>
      <c r="G771" s="1">
        <v>38455923924000</v>
      </c>
      <c r="H771" s="1">
        <v>30200536575000</v>
      </c>
      <c r="I771">
        <f t="shared" ref="I771:I834" si="12">IF(C771*F771=D770*F770,0,1)</f>
        <v>0</v>
      </c>
    </row>
    <row r="772" spans="1:9" x14ac:dyDescent="0.3">
      <c r="A772">
        <v>20180118</v>
      </c>
      <c r="B772" s="2" t="s">
        <v>9</v>
      </c>
      <c r="C772" s="8">
        <v>313500</v>
      </c>
      <c r="D772" s="8">
        <v>319300</v>
      </c>
      <c r="E772">
        <v>313698</v>
      </c>
      <c r="F772" s="9">
        <v>122666424</v>
      </c>
      <c r="G772" s="1">
        <v>39167389183200</v>
      </c>
      <c r="H772" s="1">
        <v>30759270585000</v>
      </c>
      <c r="I772">
        <f t="shared" si="12"/>
        <v>0</v>
      </c>
    </row>
    <row r="773" spans="1:9" x14ac:dyDescent="0.3">
      <c r="A773">
        <v>20180119</v>
      </c>
      <c r="B773" s="2" t="s">
        <v>9</v>
      </c>
      <c r="C773" s="8">
        <v>319300</v>
      </c>
      <c r="D773" s="8">
        <v>287800</v>
      </c>
      <c r="E773">
        <v>282750</v>
      </c>
      <c r="F773" s="9">
        <v>122666424</v>
      </c>
      <c r="G773" s="1">
        <v>35303396827200</v>
      </c>
      <c r="H773" s="1">
        <v>27724766910000</v>
      </c>
      <c r="I773">
        <f t="shared" si="12"/>
        <v>0</v>
      </c>
    </row>
    <row r="774" spans="1:9" x14ac:dyDescent="0.3">
      <c r="A774">
        <v>20180122</v>
      </c>
      <c r="B774" s="2" t="s">
        <v>9</v>
      </c>
      <c r="C774" s="8">
        <v>287800</v>
      </c>
      <c r="D774" s="8">
        <v>280600</v>
      </c>
      <c r="E774">
        <v>275677</v>
      </c>
      <c r="F774" s="9">
        <v>122666424</v>
      </c>
      <c r="G774" s="1">
        <v>34420198574400</v>
      </c>
      <c r="H774" s="1">
        <v>27031166070000</v>
      </c>
      <c r="I774">
        <f t="shared" si="12"/>
        <v>0</v>
      </c>
    </row>
    <row r="775" spans="1:9" x14ac:dyDescent="0.3">
      <c r="A775">
        <v>20180123</v>
      </c>
      <c r="B775" s="2" t="s">
        <v>9</v>
      </c>
      <c r="C775" s="8">
        <v>280600</v>
      </c>
      <c r="D775" s="8">
        <v>299000</v>
      </c>
      <c r="E775">
        <v>293754</v>
      </c>
      <c r="F775" s="9">
        <v>122666424</v>
      </c>
      <c r="G775" s="1">
        <v>36677260776000</v>
      </c>
      <c r="H775" s="1">
        <v>28803701550000</v>
      </c>
      <c r="I775">
        <f t="shared" si="12"/>
        <v>0</v>
      </c>
    </row>
    <row r="776" spans="1:9" x14ac:dyDescent="0.3">
      <c r="A776">
        <v>20180124</v>
      </c>
      <c r="B776" s="2" t="s">
        <v>9</v>
      </c>
      <c r="C776" s="8">
        <v>299000</v>
      </c>
      <c r="D776" s="8">
        <v>293500</v>
      </c>
      <c r="E776">
        <v>288350</v>
      </c>
      <c r="F776" s="9">
        <v>122666424</v>
      </c>
      <c r="G776" s="1">
        <v>36002595444000</v>
      </c>
      <c r="H776" s="1">
        <v>28273867575000</v>
      </c>
      <c r="I776">
        <f t="shared" si="12"/>
        <v>0</v>
      </c>
    </row>
    <row r="777" spans="1:9" x14ac:dyDescent="0.3">
      <c r="A777">
        <v>20180125</v>
      </c>
      <c r="B777" s="2" t="s">
        <v>9</v>
      </c>
      <c r="C777" s="8">
        <v>293500</v>
      </c>
      <c r="D777" s="8">
        <v>289700</v>
      </c>
      <c r="E777">
        <v>284617</v>
      </c>
      <c r="F777" s="9">
        <v>122666424</v>
      </c>
      <c r="G777" s="1">
        <v>35536463032800</v>
      </c>
      <c r="H777" s="1">
        <v>27907800465000</v>
      </c>
      <c r="I777">
        <f t="shared" si="12"/>
        <v>0</v>
      </c>
    </row>
    <row r="778" spans="1:9" x14ac:dyDescent="0.3">
      <c r="A778">
        <v>20180126</v>
      </c>
      <c r="B778" s="2" t="s">
        <v>9</v>
      </c>
      <c r="C778" s="8">
        <v>289700</v>
      </c>
      <c r="D778" s="8">
        <v>300000</v>
      </c>
      <c r="E778">
        <v>294736</v>
      </c>
      <c r="F778" s="9">
        <v>122666424</v>
      </c>
      <c r="G778" s="1">
        <v>36799927200000</v>
      </c>
      <c r="H778" s="1">
        <v>28900035000000</v>
      </c>
      <c r="I778">
        <f t="shared" si="12"/>
        <v>0</v>
      </c>
    </row>
    <row r="779" spans="1:9" x14ac:dyDescent="0.3">
      <c r="A779">
        <v>20180129</v>
      </c>
      <c r="B779" s="2" t="s">
        <v>9</v>
      </c>
      <c r="C779" s="8">
        <v>300000</v>
      </c>
      <c r="D779" s="8">
        <v>328300</v>
      </c>
      <c r="E779">
        <v>322540</v>
      </c>
      <c r="F779" s="9">
        <v>122666424</v>
      </c>
      <c r="G779" s="1">
        <v>40271386999200</v>
      </c>
      <c r="H779" s="1">
        <v>31626271635000</v>
      </c>
      <c r="I779">
        <f t="shared" si="12"/>
        <v>0</v>
      </c>
    </row>
    <row r="780" spans="1:9" x14ac:dyDescent="0.3">
      <c r="A780">
        <v>20180130</v>
      </c>
      <c r="B780" s="2" t="s">
        <v>9</v>
      </c>
      <c r="C780" s="8">
        <v>328300</v>
      </c>
      <c r="D780" s="8">
        <v>326600</v>
      </c>
      <c r="E780">
        <v>320870</v>
      </c>
      <c r="F780" s="9">
        <v>122666424</v>
      </c>
      <c r="G780" s="1">
        <v>40062854078400</v>
      </c>
      <c r="H780" s="1">
        <v>31462504770000</v>
      </c>
      <c r="I780">
        <f t="shared" si="12"/>
        <v>0</v>
      </c>
    </row>
    <row r="781" spans="1:9" x14ac:dyDescent="0.3">
      <c r="A781">
        <v>20180131</v>
      </c>
      <c r="B781" s="2" t="s">
        <v>9</v>
      </c>
      <c r="C781" s="8">
        <v>326600</v>
      </c>
      <c r="D781" s="8">
        <v>315700</v>
      </c>
      <c r="E781">
        <v>310161</v>
      </c>
      <c r="F781" s="9">
        <v>122666424</v>
      </c>
      <c r="G781" s="1">
        <v>38725790056800</v>
      </c>
      <c r="H781" s="1">
        <v>30412470165000</v>
      </c>
      <c r="I781">
        <f t="shared" si="12"/>
        <v>0</v>
      </c>
    </row>
    <row r="782" spans="1:9" x14ac:dyDescent="0.3">
      <c r="A782">
        <v>20180201</v>
      </c>
      <c r="B782" s="2" t="s">
        <v>9</v>
      </c>
      <c r="C782" s="8">
        <v>315700</v>
      </c>
      <c r="D782" s="8">
        <v>299800</v>
      </c>
      <c r="E782">
        <v>294540</v>
      </c>
      <c r="F782" s="9">
        <v>122666424</v>
      </c>
      <c r="G782" s="1">
        <v>36775393915200</v>
      </c>
      <c r="H782" s="1">
        <v>28880768310000</v>
      </c>
      <c r="I782">
        <f t="shared" si="12"/>
        <v>0</v>
      </c>
    </row>
    <row r="783" spans="1:9" x14ac:dyDescent="0.3">
      <c r="A783">
        <v>20180202</v>
      </c>
      <c r="B783" s="2" t="s">
        <v>9</v>
      </c>
      <c r="C783" s="8">
        <v>299800</v>
      </c>
      <c r="D783" s="8">
        <v>301400</v>
      </c>
      <c r="E783">
        <v>296112</v>
      </c>
      <c r="F783" s="9">
        <v>122666424</v>
      </c>
      <c r="G783" s="1">
        <v>36971660193600</v>
      </c>
      <c r="H783" s="1">
        <v>29034901830000</v>
      </c>
      <c r="I783">
        <f t="shared" si="12"/>
        <v>0</v>
      </c>
    </row>
    <row r="784" spans="1:9" x14ac:dyDescent="0.3">
      <c r="A784">
        <v>20180205</v>
      </c>
      <c r="B784" s="2" t="s">
        <v>9</v>
      </c>
      <c r="C784" s="8">
        <v>301400</v>
      </c>
      <c r="D784" s="8">
        <v>286000</v>
      </c>
      <c r="E784">
        <v>280982</v>
      </c>
      <c r="F784" s="9">
        <v>122666424</v>
      </c>
      <c r="G784" s="1">
        <v>35082597264000</v>
      </c>
      <c r="H784" s="1">
        <v>27551366700000</v>
      </c>
      <c r="I784">
        <f t="shared" si="12"/>
        <v>0</v>
      </c>
    </row>
    <row r="785" spans="1:10" x14ac:dyDescent="0.3">
      <c r="A785">
        <v>20180206</v>
      </c>
      <c r="B785" s="2" t="s">
        <v>9</v>
      </c>
      <c r="C785" s="8">
        <v>286000</v>
      </c>
      <c r="D785" s="8">
        <v>284200</v>
      </c>
      <c r="E785">
        <v>279214</v>
      </c>
      <c r="F785" s="9">
        <v>122666424</v>
      </c>
      <c r="G785" s="1">
        <v>34861797700800</v>
      </c>
      <c r="H785" s="1">
        <v>27377966490000</v>
      </c>
      <c r="I785">
        <f t="shared" si="12"/>
        <v>0</v>
      </c>
    </row>
    <row r="786" spans="1:10" x14ac:dyDescent="0.3">
      <c r="A786">
        <v>20180207</v>
      </c>
      <c r="B786" s="2" t="s">
        <v>9</v>
      </c>
      <c r="C786" s="8">
        <v>284200</v>
      </c>
      <c r="D786" s="8">
        <v>256000</v>
      </c>
      <c r="E786">
        <v>251508</v>
      </c>
      <c r="F786" s="9">
        <v>122666424</v>
      </c>
      <c r="G786" s="1">
        <v>31402604544000</v>
      </c>
      <c r="H786" s="1">
        <v>24661363200000</v>
      </c>
      <c r="I786">
        <f t="shared" si="12"/>
        <v>0</v>
      </c>
    </row>
    <row r="787" spans="1:10" x14ac:dyDescent="0.3">
      <c r="A787">
        <v>20180208</v>
      </c>
      <c r="B787" s="2" t="s">
        <v>9</v>
      </c>
      <c r="C787" s="8">
        <v>256000</v>
      </c>
      <c r="D787" s="8">
        <v>271400</v>
      </c>
      <c r="E787">
        <v>266638</v>
      </c>
      <c r="F787" s="9">
        <v>122666424</v>
      </c>
      <c r="G787" s="1">
        <v>33291667473600</v>
      </c>
      <c r="H787" s="1">
        <v>26144898330000</v>
      </c>
      <c r="I787">
        <f t="shared" si="12"/>
        <v>0</v>
      </c>
    </row>
    <row r="788" spans="1:10" x14ac:dyDescent="0.3">
      <c r="A788" s="11">
        <v>20180209</v>
      </c>
      <c r="B788" s="12" t="s">
        <v>9</v>
      </c>
      <c r="C788" s="41">
        <v>271500</v>
      </c>
      <c r="D788" s="41">
        <v>288000</v>
      </c>
      <c r="E788" s="13">
        <v>282947</v>
      </c>
      <c r="F788" s="42">
        <v>122666424</v>
      </c>
      <c r="G788" s="14">
        <v>35327930112000</v>
      </c>
      <c r="H788" s="14">
        <v>27744033600000</v>
      </c>
      <c r="I788" s="13">
        <f t="shared" si="12"/>
        <v>1</v>
      </c>
      <c r="J788" s="11" t="s">
        <v>46</v>
      </c>
    </row>
    <row r="789" spans="1:10" x14ac:dyDescent="0.3">
      <c r="A789">
        <v>20180212</v>
      </c>
      <c r="B789" s="2" t="s">
        <v>9</v>
      </c>
      <c r="C789" s="8">
        <v>288000</v>
      </c>
      <c r="D789" s="8">
        <v>302500</v>
      </c>
      <c r="E789">
        <v>297192</v>
      </c>
      <c r="F789" s="9">
        <v>122666424</v>
      </c>
      <c r="G789" s="1">
        <v>37106593260000</v>
      </c>
      <c r="H789" s="1">
        <v>29140868625000</v>
      </c>
      <c r="I789">
        <f t="shared" si="12"/>
        <v>0</v>
      </c>
    </row>
    <row r="790" spans="1:10" x14ac:dyDescent="0.3">
      <c r="A790">
        <v>20180213</v>
      </c>
      <c r="B790" s="2" t="s">
        <v>9</v>
      </c>
      <c r="C790" s="8">
        <v>302500</v>
      </c>
      <c r="D790" s="8">
        <v>294000</v>
      </c>
      <c r="E790">
        <v>288842</v>
      </c>
      <c r="F790" s="9">
        <v>122666424</v>
      </c>
      <c r="G790" s="1">
        <v>36063928656000</v>
      </c>
      <c r="H790" s="1">
        <v>28322034300000</v>
      </c>
      <c r="I790">
        <f t="shared" si="12"/>
        <v>0</v>
      </c>
    </row>
    <row r="791" spans="1:10" x14ac:dyDescent="0.3">
      <c r="A791">
        <v>20180214</v>
      </c>
      <c r="B791" s="2" t="s">
        <v>9</v>
      </c>
      <c r="C791" s="8">
        <v>294000</v>
      </c>
      <c r="D791" s="8">
        <v>312500</v>
      </c>
      <c r="E791">
        <v>307017</v>
      </c>
      <c r="F791" s="9">
        <v>122666424</v>
      </c>
      <c r="G791" s="1">
        <v>38333257500000</v>
      </c>
      <c r="H791" s="1">
        <v>30104203125000</v>
      </c>
      <c r="I791">
        <f t="shared" si="12"/>
        <v>0</v>
      </c>
    </row>
    <row r="792" spans="1:10" x14ac:dyDescent="0.3">
      <c r="A792">
        <v>20180219</v>
      </c>
      <c r="B792" s="2" t="s">
        <v>9</v>
      </c>
      <c r="C792" s="8">
        <v>312500</v>
      </c>
      <c r="D792" s="8">
        <v>316500</v>
      </c>
      <c r="E792">
        <v>310947</v>
      </c>
      <c r="F792" s="9">
        <v>122666424</v>
      </c>
      <c r="G792" s="1">
        <v>38823923196000</v>
      </c>
      <c r="H792" s="1">
        <v>30489536925000</v>
      </c>
      <c r="I792">
        <f t="shared" si="12"/>
        <v>0</v>
      </c>
    </row>
    <row r="793" spans="1:10" x14ac:dyDescent="0.3">
      <c r="A793">
        <v>20180220</v>
      </c>
      <c r="B793" s="2" t="s">
        <v>9</v>
      </c>
      <c r="C793" s="8">
        <v>316500</v>
      </c>
      <c r="D793" s="8">
        <v>304000</v>
      </c>
      <c r="E793">
        <v>298666</v>
      </c>
      <c r="F793" s="9">
        <v>122666424</v>
      </c>
      <c r="G793" s="1">
        <v>37290592896000</v>
      </c>
      <c r="H793" s="1">
        <v>29285368800000</v>
      </c>
      <c r="I793">
        <f t="shared" si="12"/>
        <v>0</v>
      </c>
    </row>
    <row r="794" spans="1:10" x14ac:dyDescent="0.3">
      <c r="A794">
        <v>20180221</v>
      </c>
      <c r="B794" s="2" t="s">
        <v>9</v>
      </c>
      <c r="C794" s="8">
        <v>304000</v>
      </c>
      <c r="D794" s="8">
        <v>307500</v>
      </c>
      <c r="E794">
        <v>302105</v>
      </c>
      <c r="F794" s="9">
        <v>122666424</v>
      </c>
      <c r="G794" s="1">
        <v>37719925380000</v>
      </c>
      <c r="H794" s="1">
        <v>29622535875000</v>
      </c>
      <c r="I794">
        <f t="shared" si="12"/>
        <v>0</v>
      </c>
    </row>
    <row r="795" spans="1:10" x14ac:dyDescent="0.3">
      <c r="A795">
        <v>20180222</v>
      </c>
      <c r="B795" s="2" t="s">
        <v>9</v>
      </c>
      <c r="C795" s="8">
        <v>307500</v>
      </c>
      <c r="D795" s="8">
        <v>307500</v>
      </c>
      <c r="E795">
        <v>302105</v>
      </c>
      <c r="F795" s="9">
        <v>122666424</v>
      </c>
      <c r="G795" s="1">
        <v>37719925380000</v>
      </c>
      <c r="H795" s="1">
        <v>29622535875000</v>
      </c>
      <c r="I795">
        <f t="shared" si="12"/>
        <v>0</v>
      </c>
    </row>
    <row r="796" spans="1:10" x14ac:dyDescent="0.3">
      <c r="A796">
        <v>20180223</v>
      </c>
      <c r="B796" s="2" t="s">
        <v>9</v>
      </c>
      <c r="C796" s="8">
        <v>307500</v>
      </c>
      <c r="D796" s="8">
        <v>318000</v>
      </c>
      <c r="E796">
        <v>312421</v>
      </c>
      <c r="F796" s="9">
        <v>122666424</v>
      </c>
      <c r="G796" s="1">
        <v>39007922832000</v>
      </c>
      <c r="H796" s="1">
        <v>30634037100000</v>
      </c>
      <c r="I796">
        <f t="shared" si="12"/>
        <v>0</v>
      </c>
    </row>
    <row r="797" spans="1:10" x14ac:dyDescent="0.3">
      <c r="A797">
        <v>20180226</v>
      </c>
      <c r="B797" s="2" t="s">
        <v>9</v>
      </c>
      <c r="C797" s="8">
        <v>318000</v>
      </c>
      <c r="D797" s="8">
        <v>326500</v>
      </c>
      <c r="E797">
        <v>320771</v>
      </c>
      <c r="F797" s="9">
        <v>122666424</v>
      </c>
      <c r="G797" s="1">
        <v>40050587436000</v>
      </c>
      <c r="H797" s="1">
        <v>31452871425000</v>
      </c>
      <c r="I797">
        <f t="shared" si="12"/>
        <v>0</v>
      </c>
    </row>
    <row r="798" spans="1:10" x14ac:dyDescent="0.3">
      <c r="A798">
        <v>20180227</v>
      </c>
      <c r="B798" s="2" t="s">
        <v>9</v>
      </c>
      <c r="C798" s="8">
        <v>326500</v>
      </c>
      <c r="D798" s="8">
        <v>351000</v>
      </c>
      <c r="E798">
        <v>344842</v>
      </c>
      <c r="F798" s="9">
        <v>122666424</v>
      </c>
      <c r="G798" s="1">
        <v>43055914824000</v>
      </c>
      <c r="H798" s="1">
        <v>33813040950000</v>
      </c>
      <c r="I798">
        <f t="shared" si="12"/>
        <v>0</v>
      </c>
    </row>
    <row r="799" spans="1:10" x14ac:dyDescent="0.3">
      <c r="A799">
        <v>20180228</v>
      </c>
      <c r="B799" s="2" t="s">
        <v>9</v>
      </c>
      <c r="C799" s="8">
        <v>351000</v>
      </c>
      <c r="D799" s="8">
        <v>353000</v>
      </c>
      <c r="E799">
        <v>346807</v>
      </c>
      <c r="F799" s="9">
        <v>122666424</v>
      </c>
      <c r="G799" s="1">
        <v>43301247672000</v>
      </c>
      <c r="H799" s="1">
        <v>34005707850000</v>
      </c>
      <c r="I799">
        <f t="shared" si="12"/>
        <v>0</v>
      </c>
    </row>
    <row r="800" spans="1:10" x14ac:dyDescent="0.3">
      <c r="A800">
        <v>20180302</v>
      </c>
      <c r="B800" s="2" t="s">
        <v>9</v>
      </c>
      <c r="C800" s="8">
        <v>353000</v>
      </c>
      <c r="D800" s="8">
        <v>372000</v>
      </c>
      <c r="E800">
        <v>365473</v>
      </c>
      <c r="F800" s="9">
        <v>122666424</v>
      </c>
      <c r="G800" s="1">
        <v>45631909728000</v>
      </c>
      <c r="H800" s="1">
        <v>35836043400000</v>
      </c>
      <c r="I800">
        <f t="shared" si="12"/>
        <v>0</v>
      </c>
    </row>
    <row r="801" spans="1:9" x14ac:dyDescent="0.3">
      <c r="A801">
        <v>20180305</v>
      </c>
      <c r="B801" s="2" t="s">
        <v>9</v>
      </c>
      <c r="C801" s="8">
        <v>372000</v>
      </c>
      <c r="D801" s="8">
        <v>373500</v>
      </c>
      <c r="E801">
        <v>366947</v>
      </c>
      <c r="F801" s="9">
        <v>122666424</v>
      </c>
      <c r="G801" s="1">
        <v>45815909364000</v>
      </c>
      <c r="H801" s="1">
        <v>35980543575000</v>
      </c>
      <c r="I801">
        <f t="shared" si="12"/>
        <v>0</v>
      </c>
    </row>
    <row r="802" spans="1:9" x14ac:dyDescent="0.3">
      <c r="A802">
        <v>20180306</v>
      </c>
      <c r="B802" s="2" t="s">
        <v>9</v>
      </c>
      <c r="C802" s="8">
        <v>373500</v>
      </c>
      <c r="D802" s="8">
        <v>370000</v>
      </c>
      <c r="E802">
        <v>363508</v>
      </c>
      <c r="F802" s="9">
        <v>122666424</v>
      </c>
      <c r="G802" s="1">
        <v>45386576880000</v>
      </c>
      <c r="H802" s="1">
        <v>35643376500000</v>
      </c>
      <c r="I802">
        <f t="shared" si="12"/>
        <v>0</v>
      </c>
    </row>
    <row r="803" spans="1:9" x14ac:dyDescent="0.3">
      <c r="A803">
        <v>20180307</v>
      </c>
      <c r="B803" s="2" t="s">
        <v>9</v>
      </c>
      <c r="C803" s="8">
        <v>370000</v>
      </c>
      <c r="D803" s="8">
        <v>325000</v>
      </c>
      <c r="E803">
        <v>319298</v>
      </c>
      <c r="F803" s="9">
        <v>122666424</v>
      </c>
      <c r="G803" s="1">
        <v>39866587800000</v>
      </c>
      <c r="H803" s="1">
        <v>31308371250000</v>
      </c>
      <c r="I803">
        <f t="shared" si="12"/>
        <v>0</v>
      </c>
    </row>
    <row r="804" spans="1:9" x14ac:dyDescent="0.3">
      <c r="A804">
        <v>20180308</v>
      </c>
      <c r="B804" s="2" t="s">
        <v>9</v>
      </c>
      <c r="C804" s="8">
        <v>325000</v>
      </c>
      <c r="D804" s="8">
        <v>354000</v>
      </c>
      <c r="E804">
        <v>347789</v>
      </c>
      <c r="F804" s="9">
        <v>122666424</v>
      </c>
      <c r="G804" s="1">
        <v>43423914096000</v>
      </c>
      <c r="H804" s="1">
        <v>34102041300000</v>
      </c>
      <c r="I804">
        <f t="shared" si="12"/>
        <v>0</v>
      </c>
    </row>
    <row r="805" spans="1:9" x14ac:dyDescent="0.3">
      <c r="A805">
        <v>20180309</v>
      </c>
      <c r="B805" s="2" t="s">
        <v>9</v>
      </c>
      <c r="C805" s="8">
        <v>354000</v>
      </c>
      <c r="D805" s="8">
        <v>326000</v>
      </c>
      <c r="E805">
        <v>320280</v>
      </c>
      <c r="F805" s="9">
        <v>122666424</v>
      </c>
      <c r="G805" s="1">
        <v>39989254224000</v>
      </c>
      <c r="H805" s="1">
        <v>31404704700000</v>
      </c>
      <c r="I805">
        <f t="shared" si="12"/>
        <v>0</v>
      </c>
    </row>
    <row r="806" spans="1:9" x14ac:dyDescent="0.3">
      <c r="A806">
        <v>20180312</v>
      </c>
      <c r="B806" s="2" t="s">
        <v>9</v>
      </c>
      <c r="C806" s="8">
        <v>326000</v>
      </c>
      <c r="D806" s="8">
        <v>322000</v>
      </c>
      <c r="E806">
        <v>316350</v>
      </c>
      <c r="F806" s="9">
        <v>122666424</v>
      </c>
      <c r="G806" s="1">
        <v>39498588528000</v>
      </c>
      <c r="H806" s="1">
        <v>31019370900000</v>
      </c>
      <c r="I806">
        <f t="shared" si="12"/>
        <v>0</v>
      </c>
    </row>
    <row r="807" spans="1:9" x14ac:dyDescent="0.3">
      <c r="A807">
        <v>20180313</v>
      </c>
      <c r="B807" s="2" t="s">
        <v>9</v>
      </c>
      <c r="C807" s="8">
        <v>322000</v>
      </c>
      <c r="D807" s="8">
        <v>311000</v>
      </c>
      <c r="E807">
        <v>305543</v>
      </c>
      <c r="F807" s="9">
        <v>122666424</v>
      </c>
      <c r="G807" s="1">
        <v>38149257864000</v>
      </c>
      <c r="H807" s="1">
        <v>29959702950000</v>
      </c>
      <c r="I807">
        <f t="shared" si="12"/>
        <v>0</v>
      </c>
    </row>
    <row r="808" spans="1:9" x14ac:dyDescent="0.3">
      <c r="A808">
        <v>20180314</v>
      </c>
      <c r="B808" s="2" t="s">
        <v>9</v>
      </c>
      <c r="C808" s="8">
        <v>311000</v>
      </c>
      <c r="D808" s="8">
        <v>306500</v>
      </c>
      <c r="E808">
        <v>301122</v>
      </c>
      <c r="F808" s="9">
        <v>122666424</v>
      </c>
      <c r="G808" s="1">
        <v>37597258956000</v>
      </c>
      <c r="H808" s="1">
        <v>29526202425000</v>
      </c>
      <c r="I808">
        <f t="shared" si="12"/>
        <v>0</v>
      </c>
    </row>
    <row r="809" spans="1:9" x14ac:dyDescent="0.3">
      <c r="A809">
        <v>20180315</v>
      </c>
      <c r="B809" s="2" t="s">
        <v>9</v>
      </c>
      <c r="C809" s="8">
        <v>306500</v>
      </c>
      <c r="D809" s="8">
        <v>322500</v>
      </c>
      <c r="E809">
        <v>316842</v>
      </c>
      <c r="F809" s="9">
        <v>122666424</v>
      </c>
      <c r="G809" s="1">
        <v>39559921740000</v>
      </c>
      <c r="H809" s="1">
        <v>31067537625000</v>
      </c>
      <c r="I809">
        <f t="shared" si="12"/>
        <v>0</v>
      </c>
    </row>
    <row r="810" spans="1:9" x14ac:dyDescent="0.3">
      <c r="A810">
        <v>20180316</v>
      </c>
      <c r="B810" s="2" t="s">
        <v>9</v>
      </c>
      <c r="C810" s="8">
        <v>322500</v>
      </c>
      <c r="D810" s="8">
        <v>324000</v>
      </c>
      <c r="E810">
        <v>318315</v>
      </c>
      <c r="F810" s="9">
        <v>122666424</v>
      </c>
      <c r="G810" s="1">
        <v>39743921376000</v>
      </c>
      <c r="H810" s="1">
        <v>31212037800000</v>
      </c>
      <c r="I810">
        <f t="shared" si="12"/>
        <v>0</v>
      </c>
    </row>
    <row r="811" spans="1:9" x14ac:dyDescent="0.3">
      <c r="A811">
        <v>20180319</v>
      </c>
      <c r="B811" s="2" t="s">
        <v>9</v>
      </c>
      <c r="C811" s="8">
        <v>324000</v>
      </c>
      <c r="D811" s="8">
        <v>319000</v>
      </c>
      <c r="E811">
        <v>313403</v>
      </c>
      <c r="F811" s="9">
        <v>122666424</v>
      </c>
      <c r="G811" s="1">
        <v>39130589256000</v>
      </c>
      <c r="H811" s="1">
        <v>30730370550000</v>
      </c>
      <c r="I811">
        <f t="shared" si="12"/>
        <v>0</v>
      </c>
    </row>
    <row r="812" spans="1:9" x14ac:dyDescent="0.3">
      <c r="A812">
        <v>20180320</v>
      </c>
      <c r="B812" s="2" t="s">
        <v>9</v>
      </c>
      <c r="C812" s="8">
        <v>319000</v>
      </c>
      <c r="D812" s="8">
        <v>322500</v>
      </c>
      <c r="E812">
        <v>316842</v>
      </c>
      <c r="F812" s="9">
        <v>122666424</v>
      </c>
      <c r="G812" s="1">
        <v>39559921740000</v>
      </c>
      <c r="H812" s="1">
        <v>31067537625000</v>
      </c>
      <c r="I812">
        <f t="shared" si="12"/>
        <v>0</v>
      </c>
    </row>
    <row r="813" spans="1:9" x14ac:dyDescent="0.3">
      <c r="A813">
        <v>20180321</v>
      </c>
      <c r="B813" s="2" t="s">
        <v>9</v>
      </c>
      <c r="C813" s="8">
        <v>322500</v>
      </c>
      <c r="D813" s="8">
        <v>311500</v>
      </c>
      <c r="E813">
        <v>306035</v>
      </c>
      <c r="F813" s="9">
        <v>122666424</v>
      </c>
      <c r="G813" s="1">
        <v>38210591076000</v>
      </c>
      <c r="H813" s="1">
        <v>30007869675000</v>
      </c>
      <c r="I813">
        <f t="shared" si="12"/>
        <v>0</v>
      </c>
    </row>
    <row r="814" spans="1:9" x14ac:dyDescent="0.3">
      <c r="A814">
        <v>20180322</v>
      </c>
      <c r="B814" s="2" t="s">
        <v>9</v>
      </c>
      <c r="C814" s="8">
        <v>311500</v>
      </c>
      <c r="D814" s="8">
        <v>310500</v>
      </c>
      <c r="E814">
        <v>305052</v>
      </c>
      <c r="F814" s="9">
        <v>122666424</v>
      </c>
      <c r="G814" s="1">
        <v>38087924652000</v>
      </c>
      <c r="H814" s="1">
        <v>29911536225000</v>
      </c>
      <c r="I814">
        <f t="shared" si="12"/>
        <v>0</v>
      </c>
    </row>
    <row r="815" spans="1:9" x14ac:dyDescent="0.3">
      <c r="A815">
        <v>20180323</v>
      </c>
      <c r="B815" s="2" t="s">
        <v>9</v>
      </c>
      <c r="C815" s="8">
        <v>310500</v>
      </c>
      <c r="D815" s="8">
        <v>300000</v>
      </c>
      <c r="E815">
        <v>294736</v>
      </c>
      <c r="F815" s="9">
        <v>122666424</v>
      </c>
      <c r="G815" s="1">
        <v>36799927200000</v>
      </c>
      <c r="H815" s="1">
        <v>28900035000000</v>
      </c>
      <c r="I815">
        <f t="shared" si="12"/>
        <v>0</v>
      </c>
    </row>
    <row r="816" spans="1:9" x14ac:dyDescent="0.3">
      <c r="A816">
        <v>20180326</v>
      </c>
      <c r="B816" s="2" t="s">
        <v>9</v>
      </c>
      <c r="C816" s="8">
        <v>300000</v>
      </c>
      <c r="D816" s="8">
        <v>300000</v>
      </c>
      <c r="E816">
        <v>294736</v>
      </c>
      <c r="F816" s="9">
        <v>122666424</v>
      </c>
      <c r="G816" s="1">
        <v>36799927200000</v>
      </c>
      <c r="H816" s="1">
        <v>28900035000000</v>
      </c>
      <c r="I816">
        <f t="shared" si="12"/>
        <v>0</v>
      </c>
    </row>
    <row r="817" spans="1:10" x14ac:dyDescent="0.3">
      <c r="A817">
        <v>20180327</v>
      </c>
      <c r="B817" s="2" t="s">
        <v>9</v>
      </c>
      <c r="C817" s="8">
        <v>300000</v>
      </c>
      <c r="D817" s="8">
        <v>297000</v>
      </c>
      <c r="E817">
        <v>291789</v>
      </c>
      <c r="F817" s="9">
        <v>122666424</v>
      </c>
      <c r="G817" s="1">
        <v>36431927928000</v>
      </c>
      <c r="H817" s="1">
        <v>28611034650000</v>
      </c>
      <c r="I817">
        <f t="shared" si="12"/>
        <v>0</v>
      </c>
    </row>
    <row r="818" spans="1:10" x14ac:dyDescent="0.3">
      <c r="A818">
        <v>20180328</v>
      </c>
      <c r="B818" s="2" t="s">
        <v>9</v>
      </c>
      <c r="C818" s="8">
        <v>297000</v>
      </c>
      <c r="D818" s="8">
        <v>289500</v>
      </c>
      <c r="E818">
        <v>284421</v>
      </c>
      <c r="F818" s="9">
        <v>122666424</v>
      </c>
      <c r="G818" s="1">
        <v>35511929748000</v>
      </c>
      <c r="H818" s="1">
        <v>27888533775000</v>
      </c>
      <c r="I818">
        <f t="shared" si="12"/>
        <v>0</v>
      </c>
    </row>
    <row r="819" spans="1:10" x14ac:dyDescent="0.3">
      <c r="A819">
        <v>20180329</v>
      </c>
      <c r="B819" s="2" t="s">
        <v>9</v>
      </c>
      <c r="C819" s="8">
        <v>289500</v>
      </c>
      <c r="D819" s="8">
        <v>317000</v>
      </c>
      <c r="E819">
        <v>311438</v>
      </c>
      <c r="F819" s="9">
        <v>122666424</v>
      </c>
      <c r="G819" s="1">
        <v>38885256408000</v>
      </c>
      <c r="H819" s="1">
        <v>30537703650000</v>
      </c>
      <c r="I819">
        <f t="shared" si="12"/>
        <v>0</v>
      </c>
    </row>
    <row r="820" spans="1:10" x14ac:dyDescent="0.3">
      <c r="A820">
        <v>20180330</v>
      </c>
      <c r="B820" s="2" t="s">
        <v>9</v>
      </c>
      <c r="C820" s="8">
        <v>317000</v>
      </c>
      <c r="D820" s="8">
        <v>309500</v>
      </c>
      <c r="E820">
        <v>304070</v>
      </c>
      <c r="F820" s="9">
        <v>122666424</v>
      </c>
      <c r="G820" s="1">
        <v>37965258228000</v>
      </c>
      <c r="H820" s="1">
        <v>29815202775000</v>
      </c>
      <c r="I820">
        <f t="shared" si="12"/>
        <v>0</v>
      </c>
    </row>
    <row r="821" spans="1:10" x14ac:dyDescent="0.3">
      <c r="A821">
        <v>20180402</v>
      </c>
      <c r="B821" s="2" t="s">
        <v>9</v>
      </c>
      <c r="C821" s="8">
        <v>309500</v>
      </c>
      <c r="D821" s="8">
        <v>304000</v>
      </c>
      <c r="E821">
        <v>298666</v>
      </c>
      <c r="F821" s="9">
        <v>122666424</v>
      </c>
      <c r="G821" s="1">
        <v>37290592896000</v>
      </c>
      <c r="H821" s="1">
        <v>29285368800000</v>
      </c>
      <c r="I821">
        <f t="shared" si="12"/>
        <v>0</v>
      </c>
    </row>
    <row r="822" spans="1:10" x14ac:dyDescent="0.3">
      <c r="A822">
        <v>20180403</v>
      </c>
      <c r="B822" s="2" t="s">
        <v>9</v>
      </c>
      <c r="C822" s="8">
        <v>304000</v>
      </c>
      <c r="D822" s="8">
        <v>299000</v>
      </c>
      <c r="E822">
        <v>293754</v>
      </c>
      <c r="F822" s="9">
        <v>122666424</v>
      </c>
      <c r="G822" s="1">
        <v>36677260776000</v>
      </c>
      <c r="H822" s="1">
        <v>28803701550000</v>
      </c>
      <c r="I822">
        <f t="shared" si="12"/>
        <v>0</v>
      </c>
    </row>
    <row r="823" spans="1:10" x14ac:dyDescent="0.3">
      <c r="A823">
        <v>20180404</v>
      </c>
      <c r="B823" s="2" t="s">
        <v>9</v>
      </c>
      <c r="C823" s="8">
        <v>299000</v>
      </c>
      <c r="D823" s="8">
        <v>294000</v>
      </c>
      <c r="E823">
        <v>288842</v>
      </c>
      <c r="F823" s="9">
        <v>122666424</v>
      </c>
      <c r="G823" s="1">
        <v>36063928656000</v>
      </c>
      <c r="H823" s="1">
        <v>28322034300000</v>
      </c>
      <c r="I823">
        <f t="shared" si="12"/>
        <v>0</v>
      </c>
    </row>
    <row r="824" spans="1:10" x14ac:dyDescent="0.3">
      <c r="A824">
        <v>20180405</v>
      </c>
      <c r="B824" s="2" t="s">
        <v>9</v>
      </c>
      <c r="C824" s="8">
        <v>294000</v>
      </c>
      <c r="D824" s="8">
        <v>295000</v>
      </c>
      <c r="E824">
        <v>289824</v>
      </c>
      <c r="F824" s="9">
        <v>122666424</v>
      </c>
      <c r="G824" s="1">
        <v>36186595080000</v>
      </c>
      <c r="H824" s="1">
        <v>28418367750000</v>
      </c>
      <c r="I824">
        <f t="shared" si="12"/>
        <v>0</v>
      </c>
    </row>
    <row r="825" spans="1:10" x14ac:dyDescent="0.3">
      <c r="A825">
        <v>20180406</v>
      </c>
      <c r="B825" s="2" t="s">
        <v>9</v>
      </c>
      <c r="C825" s="8">
        <v>295000</v>
      </c>
      <c r="D825" s="8">
        <v>292000</v>
      </c>
      <c r="E825">
        <v>286877</v>
      </c>
      <c r="F825" s="9">
        <v>122666424</v>
      </c>
      <c r="G825" s="1">
        <v>35818595808000</v>
      </c>
      <c r="H825" s="1">
        <v>28129367400000</v>
      </c>
      <c r="I825">
        <f t="shared" si="12"/>
        <v>0</v>
      </c>
    </row>
    <row r="826" spans="1:10" x14ac:dyDescent="0.3">
      <c r="A826">
        <v>20180409</v>
      </c>
      <c r="B826" s="2" t="s">
        <v>9</v>
      </c>
      <c r="C826" s="8">
        <v>292000</v>
      </c>
      <c r="D826" s="8">
        <v>306000</v>
      </c>
      <c r="E826">
        <v>300631</v>
      </c>
      <c r="F826" s="9">
        <v>122666424</v>
      </c>
      <c r="G826" s="1">
        <v>37535925744000</v>
      </c>
      <c r="H826" s="1">
        <v>29478035700000</v>
      </c>
      <c r="I826">
        <f t="shared" si="12"/>
        <v>0</v>
      </c>
    </row>
    <row r="827" spans="1:10" x14ac:dyDescent="0.3">
      <c r="A827">
        <v>20180410</v>
      </c>
      <c r="B827" s="2" t="s">
        <v>9</v>
      </c>
      <c r="C827" s="8">
        <v>306000</v>
      </c>
      <c r="D827" s="8">
        <v>303000</v>
      </c>
      <c r="E827">
        <v>297684</v>
      </c>
      <c r="F827" s="9">
        <v>122666424</v>
      </c>
      <c r="G827" s="1">
        <v>37167926472000</v>
      </c>
      <c r="H827" s="1">
        <v>29189035350000</v>
      </c>
      <c r="I827">
        <f t="shared" si="12"/>
        <v>0</v>
      </c>
    </row>
    <row r="828" spans="1:10" x14ac:dyDescent="0.3">
      <c r="A828">
        <v>20180411</v>
      </c>
      <c r="B828" s="2" t="s">
        <v>9</v>
      </c>
      <c r="C828" s="8">
        <v>303000</v>
      </c>
      <c r="D828" s="8">
        <v>298000</v>
      </c>
      <c r="E828">
        <v>292771</v>
      </c>
      <c r="F828" s="9">
        <v>122666424</v>
      </c>
      <c r="G828" s="1">
        <v>36554594352000</v>
      </c>
      <c r="H828" s="1">
        <v>28707368100000</v>
      </c>
      <c r="I828">
        <f t="shared" si="12"/>
        <v>0</v>
      </c>
    </row>
    <row r="829" spans="1:10" x14ac:dyDescent="0.3">
      <c r="A829">
        <v>20180412</v>
      </c>
      <c r="B829" s="2" t="s">
        <v>9</v>
      </c>
      <c r="C829" s="8">
        <v>298000</v>
      </c>
      <c r="D829" s="8">
        <v>298500</v>
      </c>
      <c r="E829">
        <v>293263</v>
      </c>
      <c r="F829" s="9">
        <v>122666424</v>
      </c>
      <c r="G829" s="1">
        <v>36615927564000</v>
      </c>
      <c r="H829" s="1">
        <v>28755534825000</v>
      </c>
      <c r="I829">
        <f t="shared" si="12"/>
        <v>0</v>
      </c>
    </row>
    <row r="830" spans="1:10" x14ac:dyDescent="0.3">
      <c r="A830">
        <v>20180413</v>
      </c>
      <c r="B830" s="2" t="s">
        <v>9</v>
      </c>
      <c r="C830" s="8">
        <v>298500</v>
      </c>
      <c r="D830" s="8">
        <v>290000</v>
      </c>
      <c r="E830">
        <v>284912</v>
      </c>
      <c r="F830" s="9">
        <v>122666424</v>
      </c>
      <c r="G830" s="1">
        <v>35573262960000</v>
      </c>
      <c r="H830" s="1">
        <v>27936700500000</v>
      </c>
      <c r="I830">
        <f t="shared" si="12"/>
        <v>0</v>
      </c>
    </row>
    <row r="831" spans="1:10" x14ac:dyDescent="0.3">
      <c r="A831">
        <v>20180416</v>
      </c>
      <c r="B831" s="2" t="s">
        <v>9</v>
      </c>
      <c r="C831" s="8">
        <v>290000</v>
      </c>
      <c r="D831" s="8">
        <v>295500</v>
      </c>
      <c r="E831">
        <v>290315</v>
      </c>
      <c r="F831" s="9">
        <v>122666424</v>
      </c>
      <c r="G831" s="1">
        <v>36247928292000</v>
      </c>
      <c r="H831" s="1">
        <v>28466534475000</v>
      </c>
      <c r="I831">
        <f t="shared" si="12"/>
        <v>0</v>
      </c>
    </row>
    <row r="832" spans="1:10" x14ac:dyDescent="0.3">
      <c r="A832" s="8">
        <v>20180417</v>
      </c>
      <c r="B832" s="10" t="s">
        <v>9</v>
      </c>
      <c r="C832" s="8">
        <v>295500</v>
      </c>
      <c r="D832" s="8">
        <v>290000</v>
      </c>
      <c r="E832" s="8">
        <v>284912</v>
      </c>
      <c r="F832" s="9">
        <v>125108377</v>
      </c>
      <c r="G832" s="9">
        <v>36281429330000</v>
      </c>
      <c r="H832" s="9">
        <v>27936700500000</v>
      </c>
      <c r="I832" s="8">
        <f t="shared" si="12"/>
        <v>1</v>
      </c>
      <c r="J832" t="s">
        <v>44</v>
      </c>
    </row>
    <row r="833" spans="1:9" x14ac:dyDescent="0.3">
      <c r="A833">
        <v>20180418</v>
      </c>
      <c r="B833" s="2" t="s">
        <v>9</v>
      </c>
      <c r="C833" s="8">
        <v>290000</v>
      </c>
      <c r="D833" s="8">
        <v>284500</v>
      </c>
      <c r="E833">
        <v>279508</v>
      </c>
      <c r="F833" s="9">
        <v>125108377</v>
      </c>
      <c r="G833" s="1">
        <v>35593333256500</v>
      </c>
      <c r="H833" s="1">
        <v>27406866525000</v>
      </c>
      <c r="I833">
        <f t="shared" si="12"/>
        <v>0</v>
      </c>
    </row>
    <row r="834" spans="1:9" x14ac:dyDescent="0.3">
      <c r="A834">
        <v>20180419</v>
      </c>
      <c r="B834" s="2" t="s">
        <v>9</v>
      </c>
      <c r="C834" s="8">
        <v>284500</v>
      </c>
      <c r="D834" s="8">
        <v>266500</v>
      </c>
      <c r="E834">
        <v>261824</v>
      </c>
      <c r="F834" s="9">
        <v>125108377</v>
      </c>
      <c r="G834" s="1">
        <v>33341382470500</v>
      </c>
      <c r="H834" s="1">
        <v>25672864425000</v>
      </c>
      <c r="I834">
        <f t="shared" si="12"/>
        <v>0</v>
      </c>
    </row>
    <row r="835" spans="1:9" x14ac:dyDescent="0.3">
      <c r="A835">
        <v>20180420</v>
      </c>
      <c r="B835" s="2" t="s">
        <v>9</v>
      </c>
      <c r="C835" s="8">
        <v>266500</v>
      </c>
      <c r="D835" s="8">
        <v>269000</v>
      </c>
      <c r="E835">
        <v>264280</v>
      </c>
      <c r="F835" s="9">
        <v>125108377</v>
      </c>
      <c r="G835" s="1">
        <v>33654153413000</v>
      </c>
      <c r="H835" s="1">
        <v>25913698050000</v>
      </c>
      <c r="I835">
        <f t="shared" ref="I835:I898" si="13">IF(C835*F835=D834*F834,0,1)</f>
        <v>0</v>
      </c>
    </row>
    <row r="836" spans="1:9" x14ac:dyDescent="0.3">
      <c r="A836">
        <v>20180423</v>
      </c>
      <c r="B836" s="2" t="s">
        <v>9</v>
      </c>
      <c r="C836" s="8">
        <v>269000</v>
      </c>
      <c r="D836" s="8">
        <v>250500</v>
      </c>
      <c r="E836">
        <v>246105</v>
      </c>
      <c r="F836" s="9">
        <v>125108377</v>
      </c>
      <c r="G836" s="1">
        <v>31339648438500</v>
      </c>
      <c r="H836" s="1">
        <v>24131529225000</v>
      </c>
      <c r="I836">
        <f t="shared" si="13"/>
        <v>0</v>
      </c>
    </row>
    <row r="837" spans="1:9" x14ac:dyDescent="0.3">
      <c r="A837">
        <v>20180424</v>
      </c>
      <c r="B837" s="2" t="s">
        <v>9</v>
      </c>
      <c r="C837" s="8">
        <v>250500</v>
      </c>
      <c r="D837" s="8">
        <v>248500</v>
      </c>
      <c r="E837">
        <v>244140</v>
      </c>
      <c r="F837" s="9">
        <v>125108377</v>
      </c>
      <c r="G837" s="1">
        <v>31089431684500</v>
      </c>
      <c r="H837" s="1">
        <v>23938862325000</v>
      </c>
      <c r="I837">
        <f t="shared" si="13"/>
        <v>0</v>
      </c>
    </row>
    <row r="838" spans="1:9" x14ac:dyDescent="0.3">
      <c r="A838">
        <v>20180425</v>
      </c>
      <c r="B838" s="2" t="s">
        <v>9</v>
      </c>
      <c r="C838" s="8">
        <v>248500</v>
      </c>
      <c r="D838" s="8">
        <v>251000</v>
      </c>
      <c r="E838">
        <v>246596</v>
      </c>
      <c r="F838" s="9">
        <v>125108377</v>
      </c>
      <c r="G838" s="1">
        <v>31402202627000</v>
      </c>
      <c r="H838" s="1">
        <v>24179695950000</v>
      </c>
      <c r="I838">
        <f t="shared" si="13"/>
        <v>0</v>
      </c>
    </row>
    <row r="839" spans="1:9" x14ac:dyDescent="0.3">
      <c r="A839">
        <v>20180426</v>
      </c>
      <c r="B839" s="2" t="s">
        <v>9</v>
      </c>
      <c r="C839" s="8">
        <v>251000</v>
      </c>
      <c r="D839" s="8">
        <v>257000</v>
      </c>
      <c r="E839">
        <v>252491</v>
      </c>
      <c r="F839" s="9">
        <v>125108377</v>
      </c>
      <c r="G839" s="1">
        <v>32152852889000</v>
      </c>
      <c r="H839" s="1">
        <v>24757696650000</v>
      </c>
      <c r="I839">
        <f t="shared" si="13"/>
        <v>0</v>
      </c>
    </row>
    <row r="840" spans="1:9" x14ac:dyDescent="0.3">
      <c r="A840">
        <v>20180427</v>
      </c>
      <c r="B840" s="2" t="s">
        <v>9</v>
      </c>
      <c r="C840" s="8">
        <v>257000</v>
      </c>
      <c r="D840" s="8">
        <v>276500</v>
      </c>
      <c r="E840">
        <v>271649</v>
      </c>
      <c r="F840" s="9">
        <v>125108377</v>
      </c>
      <c r="G840" s="1">
        <v>34592466240500</v>
      </c>
      <c r="H840" s="1">
        <v>26636198925000</v>
      </c>
      <c r="I840">
        <f t="shared" si="13"/>
        <v>0</v>
      </c>
    </row>
    <row r="841" spans="1:9" x14ac:dyDescent="0.3">
      <c r="A841">
        <v>20180430</v>
      </c>
      <c r="B841" s="2" t="s">
        <v>9</v>
      </c>
      <c r="C841" s="8">
        <v>276500</v>
      </c>
      <c r="D841" s="8">
        <v>271000</v>
      </c>
      <c r="E841">
        <v>266245</v>
      </c>
      <c r="F841" s="9">
        <v>125108377</v>
      </c>
      <c r="G841" s="1">
        <v>33904370167000</v>
      </c>
      <c r="H841" s="1">
        <v>26106364950000</v>
      </c>
      <c r="I841">
        <f t="shared" si="13"/>
        <v>0</v>
      </c>
    </row>
    <row r="842" spans="1:9" x14ac:dyDescent="0.3">
      <c r="A842">
        <v>20180502</v>
      </c>
      <c r="B842" s="2" t="s">
        <v>9</v>
      </c>
      <c r="C842" s="8">
        <v>271000</v>
      </c>
      <c r="D842" s="8">
        <v>259000</v>
      </c>
      <c r="E842">
        <v>254456</v>
      </c>
      <c r="F842" s="9">
        <v>125108377</v>
      </c>
      <c r="G842" s="1">
        <v>32403069643000</v>
      </c>
      <c r="H842" s="1">
        <v>24950363550000</v>
      </c>
      <c r="I842">
        <f t="shared" si="13"/>
        <v>0</v>
      </c>
    </row>
    <row r="843" spans="1:9" x14ac:dyDescent="0.3">
      <c r="A843">
        <v>20180503</v>
      </c>
      <c r="B843" s="2" t="s">
        <v>9</v>
      </c>
      <c r="C843" s="8">
        <v>259000</v>
      </c>
      <c r="D843" s="8">
        <v>262000</v>
      </c>
      <c r="E843">
        <v>257403</v>
      </c>
      <c r="F843" s="9">
        <v>125108377</v>
      </c>
      <c r="G843" s="1">
        <v>32778394774000</v>
      </c>
      <c r="H843" s="1">
        <v>25239363900000</v>
      </c>
      <c r="I843">
        <f t="shared" si="13"/>
        <v>0</v>
      </c>
    </row>
    <row r="844" spans="1:9" x14ac:dyDescent="0.3">
      <c r="A844">
        <v>20180504</v>
      </c>
      <c r="B844" s="2" t="s">
        <v>9</v>
      </c>
      <c r="C844" s="8">
        <v>262000</v>
      </c>
      <c r="D844" s="8">
        <v>250000</v>
      </c>
      <c r="E844">
        <v>245614</v>
      </c>
      <c r="F844" s="9">
        <v>125108377</v>
      </c>
      <c r="G844" s="1">
        <v>31277094250000</v>
      </c>
      <c r="H844" s="1">
        <v>24083362500000</v>
      </c>
      <c r="I844">
        <f t="shared" si="13"/>
        <v>0</v>
      </c>
    </row>
    <row r="845" spans="1:9" x14ac:dyDescent="0.3">
      <c r="A845">
        <v>20180508</v>
      </c>
      <c r="B845" s="2" t="s">
        <v>9</v>
      </c>
      <c r="C845" s="8">
        <v>250000</v>
      </c>
      <c r="D845" s="8">
        <v>236000</v>
      </c>
      <c r="E845">
        <v>231859</v>
      </c>
      <c r="F845" s="9">
        <v>125108377</v>
      </c>
      <c r="G845" s="1">
        <v>29525576972000</v>
      </c>
      <c r="H845" s="1">
        <v>22734694200000</v>
      </c>
      <c r="I845">
        <f t="shared" si="13"/>
        <v>0</v>
      </c>
    </row>
    <row r="846" spans="1:9" x14ac:dyDescent="0.3">
      <c r="A846">
        <v>20180509</v>
      </c>
      <c r="B846" s="2" t="s">
        <v>9</v>
      </c>
      <c r="C846" s="8">
        <v>236000</v>
      </c>
      <c r="D846" s="8">
        <v>259000</v>
      </c>
      <c r="E846">
        <v>254456</v>
      </c>
      <c r="F846" s="9">
        <v>125108377</v>
      </c>
      <c r="G846" s="1">
        <v>32403069643000</v>
      </c>
      <c r="H846" s="1">
        <v>24950363550000</v>
      </c>
      <c r="I846">
        <f t="shared" si="13"/>
        <v>0</v>
      </c>
    </row>
    <row r="847" spans="1:9" x14ac:dyDescent="0.3">
      <c r="A847">
        <v>20180510</v>
      </c>
      <c r="B847" s="2" t="s">
        <v>9</v>
      </c>
      <c r="C847" s="8">
        <v>259000</v>
      </c>
      <c r="D847" s="8">
        <v>259000</v>
      </c>
      <c r="E847">
        <v>254456</v>
      </c>
      <c r="F847" s="9">
        <v>125108377</v>
      </c>
      <c r="G847" s="1">
        <v>32403069643000</v>
      </c>
      <c r="H847" s="1">
        <v>24950363550000</v>
      </c>
      <c r="I847">
        <f t="shared" si="13"/>
        <v>0</v>
      </c>
    </row>
    <row r="848" spans="1:9" x14ac:dyDescent="0.3">
      <c r="A848">
        <v>20180511</v>
      </c>
      <c r="B848" s="2" t="s">
        <v>9</v>
      </c>
      <c r="C848" s="8">
        <v>259000</v>
      </c>
      <c r="D848" s="8">
        <v>260000</v>
      </c>
      <c r="E848">
        <v>255438</v>
      </c>
      <c r="F848" s="9">
        <v>125108377</v>
      </c>
      <c r="G848" s="1">
        <v>32528178020000</v>
      </c>
      <c r="H848" s="1">
        <v>25046697000000</v>
      </c>
      <c r="I848">
        <f t="shared" si="13"/>
        <v>0</v>
      </c>
    </row>
    <row r="849" spans="1:10" x14ac:dyDescent="0.3">
      <c r="A849">
        <v>20180514</v>
      </c>
      <c r="B849" s="2" t="s">
        <v>9</v>
      </c>
      <c r="C849" s="8">
        <v>260000</v>
      </c>
      <c r="D849" s="8">
        <v>255000</v>
      </c>
      <c r="E849">
        <v>250526</v>
      </c>
      <c r="F849" s="9">
        <v>125108377</v>
      </c>
      <c r="G849" s="1">
        <v>31902636135000</v>
      </c>
      <c r="H849" s="1">
        <v>24565029750000</v>
      </c>
      <c r="I849">
        <f t="shared" si="13"/>
        <v>0</v>
      </c>
    </row>
    <row r="850" spans="1:10" x14ac:dyDescent="0.3">
      <c r="A850" s="8">
        <v>20180515</v>
      </c>
      <c r="B850" s="10" t="s">
        <v>9</v>
      </c>
      <c r="C850" s="8">
        <v>255000</v>
      </c>
      <c r="D850" s="8">
        <v>268000</v>
      </c>
      <c r="E850" s="8">
        <v>263298</v>
      </c>
      <c r="F850" s="9">
        <v>125395903</v>
      </c>
      <c r="G850" s="9">
        <v>33606102004000</v>
      </c>
      <c r="H850" s="9">
        <v>25876698460000</v>
      </c>
      <c r="I850" s="8">
        <f t="shared" si="13"/>
        <v>1</v>
      </c>
      <c r="J850" t="s">
        <v>47</v>
      </c>
    </row>
    <row r="851" spans="1:10" x14ac:dyDescent="0.3">
      <c r="A851">
        <v>20180516</v>
      </c>
      <c r="B851" s="2" t="s">
        <v>9</v>
      </c>
      <c r="C851" s="8">
        <v>268000</v>
      </c>
      <c r="D851" s="8">
        <v>268500</v>
      </c>
      <c r="E851">
        <v>263789</v>
      </c>
      <c r="F851" s="9">
        <v>125395903</v>
      </c>
      <c r="G851" s="1">
        <v>33668799955500</v>
      </c>
      <c r="H851" s="1">
        <v>25924975882500</v>
      </c>
      <c r="I851">
        <f t="shared" si="13"/>
        <v>0</v>
      </c>
    </row>
    <row r="852" spans="1:10" x14ac:dyDescent="0.3">
      <c r="A852">
        <v>20180517</v>
      </c>
      <c r="B852" s="2" t="s">
        <v>9</v>
      </c>
      <c r="C852" s="8">
        <v>268500</v>
      </c>
      <c r="D852" s="8">
        <v>267500</v>
      </c>
      <c r="E852">
        <v>262807</v>
      </c>
      <c r="F852" s="9">
        <v>125395903</v>
      </c>
      <c r="G852" s="1">
        <v>33543404052500</v>
      </c>
      <c r="H852" s="1">
        <v>25828421037500</v>
      </c>
      <c r="I852">
        <f t="shared" si="13"/>
        <v>0</v>
      </c>
    </row>
    <row r="853" spans="1:10" x14ac:dyDescent="0.3">
      <c r="A853">
        <v>20180518</v>
      </c>
      <c r="B853" s="2" t="s">
        <v>9</v>
      </c>
      <c r="C853" s="8">
        <v>267500</v>
      </c>
      <c r="D853" s="8">
        <v>270000</v>
      </c>
      <c r="E853">
        <v>265263</v>
      </c>
      <c r="F853" s="9">
        <v>125395903</v>
      </c>
      <c r="G853" s="1">
        <v>33856893810000</v>
      </c>
      <c r="H853" s="1">
        <v>26069808150000</v>
      </c>
      <c r="I853">
        <f t="shared" si="13"/>
        <v>0</v>
      </c>
    </row>
    <row r="854" spans="1:10" x14ac:dyDescent="0.3">
      <c r="A854">
        <v>20180521</v>
      </c>
      <c r="B854" s="2" t="s">
        <v>9</v>
      </c>
      <c r="C854" s="8">
        <v>270000</v>
      </c>
      <c r="D854" s="8">
        <v>270000</v>
      </c>
      <c r="E854">
        <v>265263</v>
      </c>
      <c r="F854" s="9">
        <v>125395903</v>
      </c>
      <c r="G854" s="1">
        <v>33856893810000</v>
      </c>
      <c r="H854" s="1">
        <v>26069808150000</v>
      </c>
      <c r="I854">
        <f t="shared" si="13"/>
        <v>0</v>
      </c>
    </row>
    <row r="855" spans="1:10" x14ac:dyDescent="0.3">
      <c r="A855">
        <v>20180523</v>
      </c>
      <c r="B855" s="2" t="s">
        <v>9</v>
      </c>
      <c r="C855" s="8">
        <v>270000</v>
      </c>
      <c r="D855" s="8">
        <v>257500</v>
      </c>
      <c r="E855">
        <v>252982</v>
      </c>
      <c r="F855" s="9">
        <v>125395903</v>
      </c>
      <c r="G855" s="1">
        <v>32289445022500</v>
      </c>
      <c r="H855" s="1">
        <v>24862872587500</v>
      </c>
      <c r="I855">
        <f t="shared" si="13"/>
        <v>0</v>
      </c>
    </row>
    <row r="856" spans="1:10" x14ac:dyDescent="0.3">
      <c r="A856">
        <v>20180524</v>
      </c>
      <c r="B856" s="2" t="s">
        <v>9</v>
      </c>
      <c r="C856" s="8">
        <v>257500</v>
      </c>
      <c r="D856" s="8">
        <v>264500</v>
      </c>
      <c r="E856">
        <v>259859</v>
      </c>
      <c r="F856" s="9">
        <v>125395903</v>
      </c>
      <c r="G856" s="1">
        <v>33167216343500</v>
      </c>
      <c r="H856" s="1">
        <v>25538756502500</v>
      </c>
      <c r="I856">
        <f t="shared" si="13"/>
        <v>0</v>
      </c>
    </row>
    <row r="857" spans="1:10" x14ac:dyDescent="0.3">
      <c r="A857">
        <v>20180525</v>
      </c>
      <c r="B857" s="2" t="s">
        <v>9</v>
      </c>
      <c r="C857" s="8">
        <v>264500</v>
      </c>
      <c r="D857" s="8">
        <v>275000</v>
      </c>
      <c r="E857">
        <v>270175</v>
      </c>
      <c r="F857" s="9">
        <v>125395903</v>
      </c>
      <c r="G857" s="1">
        <v>34483873325000</v>
      </c>
      <c r="H857" s="1">
        <v>26552582375000</v>
      </c>
      <c r="I857">
        <f t="shared" si="13"/>
        <v>0</v>
      </c>
    </row>
    <row r="858" spans="1:10" x14ac:dyDescent="0.3">
      <c r="A858">
        <v>20180528</v>
      </c>
      <c r="B858" s="2" t="s">
        <v>9</v>
      </c>
      <c r="C858" s="8">
        <v>275000</v>
      </c>
      <c r="D858" s="8">
        <v>271000</v>
      </c>
      <c r="E858">
        <v>266245</v>
      </c>
      <c r="F858" s="9">
        <v>125395903</v>
      </c>
      <c r="G858" s="1">
        <v>33982289713000</v>
      </c>
      <c r="H858" s="1">
        <v>26166362995000</v>
      </c>
      <c r="I858">
        <f t="shared" si="13"/>
        <v>0</v>
      </c>
    </row>
    <row r="859" spans="1:10" x14ac:dyDescent="0.3">
      <c r="A859">
        <v>20180529</v>
      </c>
      <c r="B859" s="2" t="s">
        <v>9</v>
      </c>
      <c r="C859" s="8">
        <v>271000</v>
      </c>
      <c r="D859" s="8">
        <v>270500</v>
      </c>
      <c r="E859">
        <v>265754</v>
      </c>
      <c r="F859" s="9">
        <v>125395903</v>
      </c>
      <c r="G859" s="1">
        <v>33919591761500</v>
      </c>
      <c r="H859" s="1">
        <v>26118085572500</v>
      </c>
      <c r="I859">
        <f t="shared" si="13"/>
        <v>0</v>
      </c>
    </row>
    <row r="860" spans="1:10" x14ac:dyDescent="0.3">
      <c r="A860">
        <v>20180530</v>
      </c>
      <c r="B860" s="2" t="s">
        <v>9</v>
      </c>
      <c r="C860" s="8">
        <v>270500</v>
      </c>
      <c r="D860" s="8">
        <v>269500</v>
      </c>
      <c r="E860">
        <v>264771</v>
      </c>
      <c r="F860" s="9">
        <v>125395903</v>
      </c>
      <c r="G860" s="1">
        <v>33794195858500</v>
      </c>
      <c r="H860" s="1">
        <v>26021530727500</v>
      </c>
      <c r="I860">
        <f t="shared" si="13"/>
        <v>0</v>
      </c>
    </row>
    <row r="861" spans="1:10" x14ac:dyDescent="0.3">
      <c r="A861">
        <v>20180531</v>
      </c>
      <c r="B861" s="2" t="s">
        <v>9</v>
      </c>
      <c r="C861" s="8">
        <v>269500</v>
      </c>
      <c r="D861" s="8">
        <v>265500</v>
      </c>
      <c r="E861">
        <v>260842</v>
      </c>
      <c r="F861" s="9">
        <v>125395903</v>
      </c>
      <c r="G861" s="1">
        <v>33292612246500</v>
      </c>
      <c r="H861" s="1">
        <v>25635311347500</v>
      </c>
      <c r="I861">
        <f t="shared" si="13"/>
        <v>0</v>
      </c>
    </row>
    <row r="862" spans="1:10" x14ac:dyDescent="0.3">
      <c r="A862">
        <v>20180601</v>
      </c>
      <c r="B862" s="2" t="s">
        <v>9</v>
      </c>
      <c r="C862" s="8">
        <v>265500</v>
      </c>
      <c r="D862" s="8">
        <v>273500</v>
      </c>
      <c r="E862">
        <v>268701</v>
      </c>
      <c r="F862" s="9">
        <v>125395903</v>
      </c>
      <c r="G862" s="1">
        <v>34295779470500</v>
      </c>
      <c r="H862" s="1">
        <v>26407750107500</v>
      </c>
      <c r="I862">
        <f t="shared" si="13"/>
        <v>0</v>
      </c>
    </row>
    <row r="863" spans="1:10" x14ac:dyDescent="0.3">
      <c r="A863">
        <v>20180604</v>
      </c>
      <c r="B863" s="2" t="s">
        <v>9</v>
      </c>
      <c r="C863" s="8">
        <v>273500</v>
      </c>
      <c r="D863" s="8">
        <v>266500</v>
      </c>
      <c r="E863">
        <v>261824</v>
      </c>
      <c r="F863" s="9">
        <v>125395903</v>
      </c>
      <c r="G863" s="1">
        <v>33418008149500</v>
      </c>
      <c r="H863" s="1">
        <v>25731866192500</v>
      </c>
      <c r="I863">
        <f t="shared" si="13"/>
        <v>0</v>
      </c>
    </row>
    <row r="864" spans="1:10" x14ac:dyDescent="0.3">
      <c r="A864">
        <v>20180605</v>
      </c>
      <c r="B864" s="2" t="s">
        <v>9</v>
      </c>
      <c r="C864" s="8">
        <v>266500</v>
      </c>
      <c r="D864" s="8">
        <v>267000</v>
      </c>
      <c r="E864">
        <v>262315</v>
      </c>
      <c r="F864" s="9">
        <v>125395903</v>
      </c>
      <c r="G864" s="1">
        <v>33480706101000</v>
      </c>
      <c r="H864" s="1">
        <v>25780143615000</v>
      </c>
      <c r="I864">
        <f t="shared" si="13"/>
        <v>0</v>
      </c>
    </row>
    <row r="865" spans="1:9" x14ac:dyDescent="0.3">
      <c r="A865">
        <v>20180607</v>
      </c>
      <c r="B865" s="2" t="s">
        <v>9</v>
      </c>
      <c r="C865" s="8">
        <v>267000</v>
      </c>
      <c r="D865" s="8">
        <v>271000</v>
      </c>
      <c r="E865">
        <v>266245</v>
      </c>
      <c r="F865" s="9">
        <v>125395903</v>
      </c>
      <c r="G865" s="1">
        <v>33982289713000</v>
      </c>
      <c r="H865" s="1">
        <v>26166362995000</v>
      </c>
      <c r="I865">
        <f t="shared" si="13"/>
        <v>0</v>
      </c>
    </row>
    <row r="866" spans="1:9" x14ac:dyDescent="0.3">
      <c r="A866">
        <v>20180608</v>
      </c>
      <c r="B866" s="2" t="s">
        <v>9</v>
      </c>
      <c r="C866" s="8">
        <v>271000</v>
      </c>
      <c r="D866" s="8">
        <v>269500</v>
      </c>
      <c r="E866">
        <v>264771</v>
      </c>
      <c r="F866" s="9">
        <v>125395903</v>
      </c>
      <c r="G866" s="1">
        <v>33794195858500</v>
      </c>
      <c r="H866" s="1">
        <v>26021530727500</v>
      </c>
      <c r="I866">
        <f t="shared" si="13"/>
        <v>0</v>
      </c>
    </row>
    <row r="867" spans="1:9" x14ac:dyDescent="0.3">
      <c r="A867">
        <v>20180611</v>
      </c>
      <c r="B867" s="2" t="s">
        <v>9</v>
      </c>
      <c r="C867" s="8">
        <v>269500</v>
      </c>
      <c r="D867" s="8">
        <v>267500</v>
      </c>
      <c r="E867">
        <v>262807</v>
      </c>
      <c r="F867" s="9">
        <v>125395903</v>
      </c>
      <c r="G867" s="1">
        <v>33543404052500</v>
      </c>
      <c r="H867" s="1">
        <v>25828421037500</v>
      </c>
      <c r="I867">
        <f t="shared" si="13"/>
        <v>0</v>
      </c>
    </row>
    <row r="868" spans="1:9" x14ac:dyDescent="0.3">
      <c r="A868">
        <v>20180612</v>
      </c>
      <c r="B868" s="2" t="s">
        <v>9</v>
      </c>
      <c r="C868" s="8">
        <v>267500</v>
      </c>
      <c r="D868" s="8">
        <v>273000</v>
      </c>
      <c r="E868">
        <v>268210</v>
      </c>
      <c r="F868" s="9">
        <v>125395903</v>
      </c>
      <c r="G868" s="1">
        <v>34233081519000</v>
      </c>
      <c r="H868" s="1">
        <v>26359472685000</v>
      </c>
      <c r="I868">
        <f t="shared" si="13"/>
        <v>0</v>
      </c>
    </row>
    <row r="869" spans="1:9" x14ac:dyDescent="0.3">
      <c r="A869">
        <v>20180614</v>
      </c>
      <c r="B869" s="2" t="s">
        <v>9</v>
      </c>
      <c r="C869" s="8">
        <v>273000</v>
      </c>
      <c r="D869" s="8">
        <v>280000</v>
      </c>
      <c r="E869">
        <v>275087</v>
      </c>
      <c r="F869" s="9">
        <v>125395903</v>
      </c>
      <c r="G869" s="1">
        <v>35110852840000</v>
      </c>
      <c r="H869" s="1">
        <v>27035356600000</v>
      </c>
      <c r="I869">
        <f t="shared" si="13"/>
        <v>0</v>
      </c>
    </row>
    <row r="870" spans="1:9" x14ac:dyDescent="0.3">
      <c r="A870">
        <v>20180615</v>
      </c>
      <c r="B870" s="2" t="s">
        <v>9</v>
      </c>
      <c r="C870" s="8">
        <v>280000</v>
      </c>
      <c r="D870" s="8">
        <v>298500</v>
      </c>
      <c r="E870">
        <v>293263</v>
      </c>
      <c r="F870" s="9">
        <v>125395903</v>
      </c>
      <c r="G870" s="1">
        <v>37430677045500</v>
      </c>
      <c r="H870" s="1">
        <v>28821621232500</v>
      </c>
      <c r="I870">
        <f t="shared" si="13"/>
        <v>0</v>
      </c>
    </row>
    <row r="871" spans="1:9" x14ac:dyDescent="0.3">
      <c r="A871">
        <v>20180618</v>
      </c>
      <c r="B871" s="2" t="s">
        <v>9</v>
      </c>
      <c r="C871" s="8">
        <v>298500</v>
      </c>
      <c r="D871" s="8">
        <v>305000</v>
      </c>
      <c r="E871">
        <v>299649</v>
      </c>
      <c r="F871" s="9">
        <v>125395903</v>
      </c>
      <c r="G871" s="1">
        <v>38245750415000</v>
      </c>
      <c r="H871" s="1">
        <v>29449227725000</v>
      </c>
      <c r="I871">
        <f t="shared" si="13"/>
        <v>0</v>
      </c>
    </row>
    <row r="872" spans="1:9" x14ac:dyDescent="0.3">
      <c r="A872">
        <v>20180619</v>
      </c>
      <c r="B872" s="2" t="s">
        <v>9</v>
      </c>
      <c r="C872" s="8">
        <v>305000</v>
      </c>
      <c r="D872" s="8">
        <v>287500</v>
      </c>
      <c r="E872">
        <v>282456</v>
      </c>
      <c r="F872" s="9">
        <v>125395903</v>
      </c>
      <c r="G872" s="1">
        <v>36051322112500</v>
      </c>
      <c r="H872" s="1">
        <v>27759517937500</v>
      </c>
      <c r="I872">
        <f t="shared" si="13"/>
        <v>0</v>
      </c>
    </row>
    <row r="873" spans="1:9" x14ac:dyDescent="0.3">
      <c r="A873">
        <v>20180620</v>
      </c>
      <c r="B873" s="2" t="s">
        <v>9</v>
      </c>
      <c r="C873" s="8">
        <v>287500</v>
      </c>
      <c r="D873" s="8">
        <v>297000</v>
      </c>
      <c r="E873">
        <v>291789</v>
      </c>
      <c r="F873" s="9">
        <v>125395903</v>
      </c>
      <c r="G873" s="1">
        <v>37242583191000</v>
      </c>
      <c r="H873" s="1">
        <v>28676788965000</v>
      </c>
      <c r="I873">
        <f t="shared" si="13"/>
        <v>0</v>
      </c>
    </row>
    <row r="874" spans="1:9" x14ac:dyDescent="0.3">
      <c r="A874">
        <v>20180621</v>
      </c>
      <c r="B874" s="2" t="s">
        <v>9</v>
      </c>
      <c r="C874" s="8">
        <v>297000</v>
      </c>
      <c r="D874" s="8">
        <v>292000</v>
      </c>
      <c r="E874">
        <v>286877</v>
      </c>
      <c r="F874" s="9">
        <v>125395903</v>
      </c>
      <c r="G874" s="1">
        <v>36615603676000</v>
      </c>
      <c r="H874" s="1">
        <v>28194014740000</v>
      </c>
      <c r="I874">
        <f t="shared" si="13"/>
        <v>0</v>
      </c>
    </row>
    <row r="875" spans="1:9" x14ac:dyDescent="0.3">
      <c r="A875">
        <v>20180622</v>
      </c>
      <c r="B875" s="2" t="s">
        <v>9</v>
      </c>
      <c r="C875" s="8">
        <v>292000</v>
      </c>
      <c r="D875" s="8">
        <v>295500</v>
      </c>
      <c r="E875">
        <v>290315</v>
      </c>
      <c r="F875" s="9">
        <v>125395903</v>
      </c>
      <c r="G875" s="1">
        <v>37054489336500</v>
      </c>
      <c r="H875" s="1">
        <v>28531956697500</v>
      </c>
      <c r="I875">
        <f t="shared" si="13"/>
        <v>0</v>
      </c>
    </row>
    <row r="876" spans="1:9" x14ac:dyDescent="0.3">
      <c r="A876">
        <v>20180625</v>
      </c>
      <c r="B876" s="2" t="s">
        <v>9</v>
      </c>
      <c r="C876" s="8">
        <v>295500</v>
      </c>
      <c r="D876" s="8">
        <v>296000</v>
      </c>
      <c r="E876">
        <v>290807</v>
      </c>
      <c r="F876" s="9">
        <v>125395903</v>
      </c>
      <c r="G876" s="1">
        <v>37117187288000</v>
      </c>
      <c r="H876" s="1">
        <v>28580234120000</v>
      </c>
      <c r="I876">
        <f t="shared" si="13"/>
        <v>0</v>
      </c>
    </row>
    <row r="877" spans="1:9" x14ac:dyDescent="0.3">
      <c r="A877">
        <v>20180626</v>
      </c>
      <c r="B877" s="2" t="s">
        <v>9</v>
      </c>
      <c r="C877" s="8">
        <v>296000</v>
      </c>
      <c r="D877" s="8">
        <v>301000</v>
      </c>
      <c r="E877">
        <v>295719</v>
      </c>
      <c r="F877" s="9">
        <v>125395903</v>
      </c>
      <c r="G877" s="1">
        <v>37744166803000</v>
      </c>
      <c r="H877" s="1">
        <v>29063008345000</v>
      </c>
      <c r="I877">
        <f t="shared" si="13"/>
        <v>0</v>
      </c>
    </row>
    <row r="878" spans="1:9" x14ac:dyDescent="0.3">
      <c r="A878">
        <v>20180627</v>
      </c>
      <c r="B878" s="2" t="s">
        <v>9</v>
      </c>
      <c r="C878" s="8">
        <v>301000</v>
      </c>
      <c r="D878" s="8">
        <v>302000</v>
      </c>
      <c r="E878">
        <v>296701</v>
      </c>
      <c r="F878" s="9">
        <v>125395903</v>
      </c>
      <c r="G878" s="1">
        <v>37869562706000</v>
      </c>
      <c r="H878" s="1">
        <v>29159563190000</v>
      </c>
      <c r="I878">
        <f t="shared" si="13"/>
        <v>0</v>
      </c>
    </row>
    <row r="879" spans="1:9" x14ac:dyDescent="0.3">
      <c r="A879">
        <v>20180628</v>
      </c>
      <c r="B879" s="2" t="s">
        <v>9</v>
      </c>
      <c r="C879" s="8">
        <v>302000</v>
      </c>
      <c r="D879" s="8">
        <v>298000</v>
      </c>
      <c r="E879">
        <v>292771</v>
      </c>
      <c r="F879" s="9">
        <v>125395903</v>
      </c>
      <c r="G879" s="1">
        <v>37367979094000</v>
      </c>
      <c r="H879" s="1">
        <v>28773343810000</v>
      </c>
      <c r="I879">
        <f t="shared" si="13"/>
        <v>0</v>
      </c>
    </row>
    <row r="880" spans="1:9" x14ac:dyDescent="0.3">
      <c r="A880">
        <v>20180629</v>
      </c>
      <c r="B880" s="2" t="s">
        <v>9</v>
      </c>
      <c r="C880" s="8">
        <v>298000</v>
      </c>
      <c r="D880" s="8">
        <v>303500</v>
      </c>
      <c r="E880">
        <v>298175</v>
      </c>
      <c r="F880" s="9">
        <v>125395903</v>
      </c>
      <c r="G880" s="1">
        <v>38057656560500</v>
      </c>
      <c r="H880" s="1">
        <v>29304395457500</v>
      </c>
      <c r="I880">
        <f t="shared" si="13"/>
        <v>0</v>
      </c>
    </row>
    <row r="881" spans="1:9" x14ac:dyDescent="0.3">
      <c r="A881">
        <v>20180702</v>
      </c>
      <c r="B881" s="2" t="s">
        <v>9</v>
      </c>
      <c r="C881" s="8">
        <v>303500</v>
      </c>
      <c r="D881" s="8">
        <v>303500</v>
      </c>
      <c r="E881">
        <v>298175</v>
      </c>
      <c r="F881" s="9">
        <v>125395903</v>
      </c>
      <c r="G881" s="1">
        <v>38057656560500</v>
      </c>
      <c r="H881" s="1">
        <v>29304395457500</v>
      </c>
      <c r="I881">
        <f t="shared" si="13"/>
        <v>0</v>
      </c>
    </row>
    <row r="882" spans="1:9" x14ac:dyDescent="0.3">
      <c r="A882">
        <v>20180703</v>
      </c>
      <c r="B882" s="2" t="s">
        <v>9</v>
      </c>
      <c r="C882" s="8">
        <v>303500</v>
      </c>
      <c r="D882" s="8">
        <v>303000</v>
      </c>
      <c r="E882">
        <v>297684</v>
      </c>
      <c r="F882" s="9">
        <v>125395903</v>
      </c>
      <c r="G882" s="1">
        <v>37994958609000</v>
      </c>
      <c r="H882" s="1">
        <v>29256118035000</v>
      </c>
      <c r="I882">
        <f t="shared" si="13"/>
        <v>0</v>
      </c>
    </row>
    <row r="883" spans="1:9" x14ac:dyDescent="0.3">
      <c r="A883">
        <v>20180704</v>
      </c>
      <c r="B883" s="2" t="s">
        <v>9</v>
      </c>
      <c r="C883" s="8">
        <v>303000</v>
      </c>
      <c r="D883" s="8">
        <v>291500</v>
      </c>
      <c r="E883">
        <v>286385</v>
      </c>
      <c r="F883" s="9">
        <v>125395903</v>
      </c>
      <c r="G883" s="1">
        <v>36552905724500</v>
      </c>
      <c r="H883" s="1">
        <v>28145737317500</v>
      </c>
      <c r="I883">
        <f t="shared" si="13"/>
        <v>0</v>
      </c>
    </row>
    <row r="884" spans="1:9" x14ac:dyDescent="0.3">
      <c r="A884">
        <v>20180705</v>
      </c>
      <c r="B884" s="2" t="s">
        <v>9</v>
      </c>
      <c r="C884" s="8">
        <v>291500</v>
      </c>
      <c r="D884" s="8">
        <v>282000</v>
      </c>
      <c r="E884">
        <v>277052</v>
      </c>
      <c r="F884" s="9">
        <v>125395903</v>
      </c>
      <c r="G884" s="1">
        <v>35361644646000</v>
      </c>
      <c r="H884" s="1">
        <v>27228466290000</v>
      </c>
      <c r="I884">
        <f t="shared" si="13"/>
        <v>0</v>
      </c>
    </row>
    <row r="885" spans="1:9" x14ac:dyDescent="0.3">
      <c r="A885">
        <v>20180706</v>
      </c>
      <c r="B885" s="2" t="s">
        <v>9</v>
      </c>
      <c r="C885" s="8">
        <v>282000</v>
      </c>
      <c r="D885" s="8">
        <v>289500</v>
      </c>
      <c r="E885">
        <v>284421</v>
      </c>
      <c r="F885" s="9">
        <v>125395903</v>
      </c>
      <c r="G885" s="1">
        <v>36302113918500</v>
      </c>
      <c r="H885" s="1">
        <v>27952627627500</v>
      </c>
      <c r="I885">
        <f t="shared" si="13"/>
        <v>0</v>
      </c>
    </row>
    <row r="886" spans="1:9" x14ac:dyDescent="0.3">
      <c r="A886">
        <v>20180709</v>
      </c>
      <c r="B886" s="2" t="s">
        <v>9</v>
      </c>
      <c r="C886" s="8">
        <v>289500</v>
      </c>
      <c r="D886" s="8">
        <v>284000</v>
      </c>
      <c r="E886">
        <v>279017</v>
      </c>
      <c r="F886" s="9">
        <v>125395903</v>
      </c>
      <c r="G886" s="1">
        <v>35612436452000</v>
      </c>
      <c r="H886" s="1">
        <v>27421575980000</v>
      </c>
      <c r="I886">
        <f t="shared" si="13"/>
        <v>0</v>
      </c>
    </row>
    <row r="887" spans="1:9" x14ac:dyDescent="0.3">
      <c r="A887">
        <v>20180710</v>
      </c>
      <c r="B887" s="2" t="s">
        <v>9</v>
      </c>
      <c r="C887" s="8">
        <v>284000</v>
      </c>
      <c r="D887" s="8">
        <v>281000</v>
      </c>
      <c r="E887">
        <v>276070</v>
      </c>
      <c r="F887" s="9">
        <v>125395903</v>
      </c>
      <c r="G887" s="1">
        <v>35236248743000</v>
      </c>
      <c r="H887" s="1">
        <v>27131911445000</v>
      </c>
      <c r="I887">
        <f t="shared" si="13"/>
        <v>0</v>
      </c>
    </row>
    <row r="888" spans="1:9" x14ac:dyDescent="0.3">
      <c r="A888">
        <v>20180711</v>
      </c>
      <c r="B888" s="2" t="s">
        <v>9</v>
      </c>
      <c r="C888" s="8">
        <v>281000</v>
      </c>
      <c r="D888" s="8">
        <v>276500</v>
      </c>
      <c r="E888">
        <v>271649</v>
      </c>
      <c r="F888" s="9">
        <v>125395903</v>
      </c>
      <c r="G888" s="1">
        <v>34671967179500</v>
      </c>
      <c r="H888" s="1">
        <v>26697414642500</v>
      </c>
      <c r="I888">
        <f t="shared" si="13"/>
        <v>0</v>
      </c>
    </row>
    <row r="889" spans="1:9" x14ac:dyDescent="0.3">
      <c r="A889">
        <v>20180712</v>
      </c>
      <c r="B889" s="2" t="s">
        <v>9</v>
      </c>
      <c r="C889" s="8">
        <v>276500</v>
      </c>
      <c r="D889" s="8">
        <v>288000</v>
      </c>
      <c r="E889">
        <v>282947</v>
      </c>
      <c r="F889" s="9">
        <v>125395903</v>
      </c>
      <c r="G889" s="1">
        <v>36114020064000</v>
      </c>
      <c r="H889" s="1">
        <v>27807795360000</v>
      </c>
      <c r="I889">
        <f t="shared" si="13"/>
        <v>0</v>
      </c>
    </row>
    <row r="890" spans="1:9" x14ac:dyDescent="0.3">
      <c r="A890">
        <v>20180713</v>
      </c>
      <c r="B890" s="2" t="s">
        <v>9</v>
      </c>
      <c r="C890" s="8">
        <v>288000</v>
      </c>
      <c r="D890" s="8">
        <v>288000</v>
      </c>
      <c r="E890">
        <v>282947</v>
      </c>
      <c r="F890" s="9">
        <v>125395903</v>
      </c>
      <c r="G890" s="1">
        <v>36114020064000</v>
      </c>
      <c r="H890" s="1">
        <v>27807795360000</v>
      </c>
      <c r="I890">
        <f t="shared" si="13"/>
        <v>0</v>
      </c>
    </row>
    <row r="891" spans="1:9" x14ac:dyDescent="0.3">
      <c r="A891">
        <v>20180716</v>
      </c>
      <c r="B891" s="2" t="s">
        <v>9</v>
      </c>
      <c r="C891" s="8">
        <v>288000</v>
      </c>
      <c r="D891" s="8">
        <v>293500</v>
      </c>
      <c r="E891">
        <v>288350</v>
      </c>
      <c r="F891" s="9">
        <v>125395903</v>
      </c>
      <c r="G891" s="1">
        <v>36803697530500</v>
      </c>
      <c r="H891" s="1">
        <v>28338847007500</v>
      </c>
      <c r="I891">
        <f t="shared" si="13"/>
        <v>0</v>
      </c>
    </row>
    <row r="892" spans="1:9" x14ac:dyDescent="0.3">
      <c r="A892">
        <v>20180717</v>
      </c>
      <c r="B892" s="2" t="s">
        <v>9</v>
      </c>
      <c r="C892" s="8">
        <v>293500</v>
      </c>
      <c r="D892" s="8">
        <v>295500</v>
      </c>
      <c r="E892">
        <v>290315</v>
      </c>
      <c r="F892" s="9">
        <v>125395903</v>
      </c>
      <c r="G892" s="1">
        <v>37054489336500</v>
      </c>
      <c r="H892" s="1">
        <v>28531956697500</v>
      </c>
      <c r="I892">
        <f t="shared" si="13"/>
        <v>0</v>
      </c>
    </row>
    <row r="893" spans="1:9" x14ac:dyDescent="0.3">
      <c r="A893">
        <v>20180718</v>
      </c>
      <c r="B893" s="2" t="s">
        <v>9</v>
      </c>
      <c r="C893" s="8">
        <v>295500</v>
      </c>
      <c r="D893" s="8">
        <v>290000</v>
      </c>
      <c r="E893">
        <v>284912</v>
      </c>
      <c r="F893" s="9">
        <v>125395903</v>
      </c>
      <c r="G893" s="1">
        <v>36364811870000</v>
      </c>
      <c r="H893" s="1">
        <v>28000905050000</v>
      </c>
      <c r="I893">
        <f t="shared" si="13"/>
        <v>0</v>
      </c>
    </row>
    <row r="894" spans="1:9" x14ac:dyDescent="0.3">
      <c r="A894">
        <v>20180719</v>
      </c>
      <c r="B894" s="2" t="s">
        <v>9</v>
      </c>
      <c r="C894" s="8">
        <v>290000</v>
      </c>
      <c r="D894" s="8">
        <v>288500</v>
      </c>
      <c r="E894">
        <v>283438</v>
      </c>
      <c r="F894" s="9">
        <v>125395903</v>
      </c>
      <c r="G894" s="1">
        <v>36176718015500</v>
      </c>
      <c r="H894" s="1">
        <v>27856072782500</v>
      </c>
      <c r="I894">
        <f t="shared" si="13"/>
        <v>0</v>
      </c>
    </row>
    <row r="895" spans="1:9" x14ac:dyDescent="0.3">
      <c r="A895">
        <v>20180720</v>
      </c>
      <c r="B895" s="2" t="s">
        <v>9</v>
      </c>
      <c r="C895" s="8">
        <v>288500</v>
      </c>
      <c r="D895" s="8">
        <v>285500</v>
      </c>
      <c r="E895">
        <v>280491</v>
      </c>
      <c r="F895" s="9">
        <v>125395903</v>
      </c>
      <c r="G895" s="1">
        <v>35800530306500</v>
      </c>
      <c r="H895" s="1">
        <v>27566408247500</v>
      </c>
      <c r="I895">
        <f t="shared" si="13"/>
        <v>0</v>
      </c>
    </row>
    <row r="896" spans="1:9" x14ac:dyDescent="0.3">
      <c r="A896">
        <v>20180723</v>
      </c>
      <c r="B896" s="2" t="s">
        <v>9</v>
      </c>
      <c r="C896" s="8">
        <v>285500</v>
      </c>
      <c r="D896" s="8">
        <v>267500</v>
      </c>
      <c r="E896">
        <v>262807</v>
      </c>
      <c r="F896" s="9">
        <v>125395903</v>
      </c>
      <c r="G896" s="1">
        <v>33543404052500</v>
      </c>
      <c r="H896" s="1">
        <v>25828421037500</v>
      </c>
      <c r="I896">
        <f t="shared" si="13"/>
        <v>0</v>
      </c>
    </row>
    <row r="897" spans="1:9" x14ac:dyDescent="0.3">
      <c r="A897">
        <v>20180724</v>
      </c>
      <c r="B897" s="2" t="s">
        <v>9</v>
      </c>
      <c r="C897" s="8">
        <v>267500</v>
      </c>
      <c r="D897" s="8">
        <v>265000</v>
      </c>
      <c r="E897">
        <v>260350</v>
      </c>
      <c r="F897" s="9">
        <v>125395903</v>
      </c>
      <c r="G897" s="1">
        <v>33229914295000</v>
      </c>
      <c r="H897" s="1">
        <v>25587033925000</v>
      </c>
      <c r="I897">
        <f t="shared" si="13"/>
        <v>0</v>
      </c>
    </row>
    <row r="898" spans="1:9" x14ac:dyDescent="0.3">
      <c r="A898">
        <v>20180725</v>
      </c>
      <c r="B898" s="2" t="s">
        <v>9</v>
      </c>
      <c r="C898" s="8">
        <v>265000</v>
      </c>
      <c r="D898" s="8">
        <v>251000</v>
      </c>
      <c r="E898">
        <v>246596</v>
      </c>
      <c r="F898" s="9">
        <v>125395903</v>
      </c>
      <c r="G898" s="1">
        <v>31474371653000</v>
      </c>
      <c r="H898" s="1">
        <v>24235266095000</v>
      </c>
      <c r="I898">
        <f t="shared" si="13"/>
        <v>0</v>
      </c>
    </row>
    <row r="899" spans="1:9" x14ac:dyDescent="0.3">
      <c r="A899">
        <v>20180726</v>
      </c>
      <c r="B899" s="2" t="s">
        <v>9</v>
      </c>
      <c r="C899" s="8">
        <v>251000</v>
      </c>
      <c r="D899" s="8">
        <v>254500</v>
      </c>
      <c r="E899">
        <v>250035</v>
      </c>
      <c r="F899" s="9">
        <v>125395903</v>
      </c>
      <c r="G899" s="1">
        <v>31913257313500</v>
      </c>
      <c r="H899" s="1">
        <v>24573208052500</v>
      </c>
      <c r="I899">
        <f t="shared" ref="I899:I962" si="14">IF(C899*F899=D898*F898,0,1)</f>
        <v>0</v>
      </c>
    </row>
    <row r="900" spans="1:9" x14ac:dyDescent="0.3">
      <c r="A900">
        <v>20180727</v>
      </c>
      <c r="B900" s="2" t="s">
        <v>9</v>
      </c>
      <c r="C900" s="8">
        <v>254500</v>
      </c>
      <c r="D900" s="8">
        <v>256500</v>
      </c>
      <c r="E900">
        <v>252000</v>
      </c>
      <c r="F900" s="9">
        <v>125395903</v>
      </c>
      <c r="G900" s="1">
        <v>32164049119500</v>
      </c>
      <c r="H900" s="1">
        <v>24766317742500</v>
      </c>
      <c r="I900">
        <f t="shared" si="14"/>
        <v>0</v>
      </c>
    </row>
    <row r="901" spans="1:9" x14ac:dyDescent="0.3">
      <c r="A901">
        <v>20180730</v>
      </c>
      <c r="B901" s="2" t="s">
        <v>9</v>
      </c>
      <c r="C901" s="8">
        <v>256500</v>
      </c>
      <c r="D901" s="8">
        <v>258000</v>
      </c>
      <c r="E901">
        <v>253473</v>
      </c>
      <c r="F901" s="9">
        <v>125395903</v>
      </c>
      <c r="G901" s="1">
        <v>32352142974000</v>
      </c>
      <c r="H901" s="1">
        <v>24911150010000</v>
      </c>
      <c r="I901">
        <f t="shared" si="14"/>
        <v>0</v>
      </c>
    </row>
    <row r="902" spans="1:9" x14ac:dyDescent="0.3">
      <c r="A902">
        <v>20180731</v>
      </c>
      <c r="B902" s="2" t="s">
        <v>9</v>
      </c>
      <c r="C902" s="8">
        <v>258000</v>
      </c>
      <c r="D902" s="8">
        <v>271500</v>
      </c>
      <c r="E902">
        <v>266736</v>
      </c>
      <c r="F902" s="9">
        <v>125395903</v>
      </c>
      <c r="G902" s="1">
        <v>34044987664500</v>
      </c>
      <c r="H902" s="1">
        <v>26214640417500</v>
      </c>
      <c r="I902">
        <f t="shared" si="14"/>
        <v>0</v>
      </c>
    </row>
    <row r="903" spans="1:9" x14ac:dyDescent="0.3">
      <c r="A903">
        <v>20180801</v>
      </c>
      <c r="B903" s="2" t="s">
        <v>9</v>
      </c>
      <c r="C903" s="8">
        <v>271500</v>
      </c>
      <c r="D903" s="8">
        <v>280500</v>
      </c>
      <c r="E903">
        <v>275578</v>
      </c>
      <c r="F903" s="9">
        <v>125395903</v>
      </c>
      <c r="G903" s="1">
        <v>35173550791500</v>
      </c>
      <c r="H903" s="1">
        <v>27083634022500</v>
      </c>
      <c r="I903">
        <f t="shared" si="14"/>
        <v>0</v>
      </c>
    </row>
    <row r="904" spans="1:9" x14ac:dyDescent="0.3">
      <c r="A904">
        <v>20180802</v>
      </c>
      <c r="B904" s="2" t="s">
        <v>9</v>
      </c>
      <c r="C904" s="8">
        <v>280500</v>
      </c>
      <c r="D904" s="8">
        <v>281500</v>
      </c>
      <c r="E904">
        <v>276561</v>
      </c>
      <c r="F904" s="9">
        <v>125395903</v>
      </c>
      <c r="G904" s="1">
        <v>35298946694500</v>
      </c>
      <c r="H904" s="1">
        <v>27180188867500</v>
      </c>
      <c r="I904">
        <f t="shared" si="14"/>
        <v>0</v>
      </c>
    </row>
    <row r="905" spans="1:9" x14ac:dyDescent="0.3">
      <c r="A905">
        <v>20180803</v>
      </c>
      <c r="B905" s="2" t="s">
        <v>9</v>
      </c>
      <c r="C905" s="8">
        <v>281500</v>
      </c>
      <c r="D905" s="8">
        <v>280500</v>
      </c>
      <c r="E905">
        <v>275578</v>
      </c>
      <c r="F905" s="9">
        <v>125395903</v>
      </c>
      <c r="G905" s="1">
        <v>35173550791500</v>
      </c>
      <c r="H905" s="1">
        <v>27083634022500</v>
      </c>
      <c r="I905">
        <f t="shared" si="14"/>
        <v>0</v>
      </c>
    </row>
    <row r="906" spans="1:9" x14ac:dyDescent="0.3">
      <c r="A906">
        <v>20180806</v>
      </c>
      <c r="B906" s="2" t="s">
        <v>9</v>
      </c>
      <c r="C906" s="8">
        <v>280500</v>
      </c>
      <c r="D906" s="8">
        <v>274000</v>
      </c>
      <c r="E906">
        <v>269192</v>
      </c>
      <c r="F906" s="9">
        <v>125395903</v>
      </c>
      <c r="G906" s="1">
        <v>34358477422000</v>
      </c>
      <c r="H906" s="1">
        <v>26456027530000</v>
      </c>
      <c r="I906">
        <f t="shared" si="14"/>
        <v>0</v>
      </c>
    </row>
    <row r="907" spans="1:9" x14ac:dyDescent="0.3">
      <c r="A907">
        <v>20180807</v>
      </c>
      <c r="B907" s="2" t="s">
        <v>9</v>
      </c>
      <c r="C907" s="8">
        <v>274000</v>
      </c>
      <c r="D907" s="8">
        <v>274500</v>
      </c>
      <c r="E907">
        <v>269684</v>
      </c>
      <c r="F907" s="9">
        <v>125395903</v>
      </c>
      <c r="G907" s="1">
        <v>34421175373500</v>
      </c>
      <c r="H907" s="1">
        <v>26504304952500</v>
      </c>
      <c r="I907">
        <f t="shared" si="14"/>
        <v>0</v>
      </c>
    </row>
    <row r="908" spans="1:9" x14ac:dyDescent="0.3">
      <c r="A908">
        <v>20180808</v>
      </c>
      <c r="B908" s="2" t="s">
        <v>9</v>
      </c>
      <c r="C908" s="8">
        <v>274500</v>
      </c>
      <c r="D908" s="8">
        <v>276000</v>
      </c>
      <c r="E908">
        <v>271157</v>
      </c>
      <c r="F908" s="9">
        <v>125395903</v>
      </c>
      <c r="G908" s="1">
        <v>34609269228000</v>
      </c>
      <c r="H908" s="1">
        <v>26649137220000</v>
      </c>
      <c r="I908">
        <f t="shared" si="14"/>
        <v>0</v>
      </c>
    </row>
    <row r="909" spans="1:9" x14ac:dyDescent="0.3">
      <c r="A909">
        <v>20180809</v>
      </c>
      <c r="B909" s="2" t="s">
        <v>9</v>
      </c>
      <c r="C909" s="8">
        <v>276000</v>
      </c>
      <c r="D909" s="8">
        <v>276000</v>
      </c>
      <c r="E909">
        <v>271157</v>
      </c>
      <c r="F909" s="9">
        <v>125395903</v>
      </c>
      <c r="G909" s="1">
        <v>34609269228000</v>
      </c>
      <c r="H909" s="1">
        <v>26649137220000</v>
      </c>
      <c r="I909">
        <f t="shared" si="14"/>
        <v>0</v>
      </c>
    </row>
    <row r="910" spans="1:9" x14ac:dyDescent="0.3">
      <c r="A910">
        <v>20180810</v>
      </c>
      <c r="B910" s="2" t="s">
        <v>9</v>
      </c>
      <c r="C910" s="8">
        <v>276000</v>
      </c>
      <c r="D910" s="8">
        <v>272000</v>
      </c>
      <c r="E910">
        <v>267228</v>
      </c>
      <c r="F910" s="9">
        <v>125395903</v>
      </c>
      <c r="G910" s="1">
        <v>34107685616000</v>
      </c>
      <c r="H910" s="1">
        <v>26262917840000</v>
      </c>
      <c r="I910">
        <f t="shared" si="14"/>
        <v>0</v>
      </c>
    </row>
    <row r="911" spans="1:9" x14ac:dyDescent="0.3">
      <c r="A911">
        <v>20180813</v>
      </c>
      <c r="B911" s="2" t="s">
        <v>9</v>
      </c>
      <c r="C911" s="8">
        <v>272000</v>
      </c>
      <c r="D911" s="8">
        <v>260500</v>
      </c>
      <c r="E911">
        <v>255929</v>
      </c>
      <c r="F911" s="9">
        <v>125395903</v>
      </c>
      <c r="G911" s="1">
        <v>32665632731500</v>
      </c>
      <c r="H911" s="1">
        <v>25152537122500</v>
      </c>
      <c r="I911">
        <f t="shared" si="14"/>
        <v>0</v>
      </c>
    </row>
    <row r="912" spans="1:9" x14ac:dyDescent="0.3">
      <c r="A912">
        <v>20180814</v>
      </c>
      <c r="B912" s="2" t="s">
        <v>9</v>
      </c>
      <c r="C912" s="8">
        <v>260500</v>
      </c>
      <c r="D912" s="8">
        <v>261000</v>
      </c>
      <c r="E912">
        <v>256421</v>
      </c>
      <c r="F912" s="9">
        <v>125395903</v>
      </c>
      <c r="G912" s="1">
        <v>32728330683000</v>
      </c>
      <c r="H912" s="1">
        <v>25200814545000</v>
      </c>
      <c r="I912">
        <f t="shared" si="14"/>
        <v>0</v>
      </c>
    </row>
    <row r="913" spans="1:9" x14ac:dyDescent="0.3">
      <c r="A913">
        <v>20180816</v>
      </c>
      <c r="B913" s="2" t="s">
        <v>9</v>
      </c>
      <c r="C913" s="8">
        <v>261000</v>
      </c>
      <c r="D913" s="8">
        <v>258500</v>
      </c>
      <c r="E913">
        <v>253964</v>
      </c>
      <c r="F913" s="9">
        <v>125395903</v>
      </c>
      <c r="G913" s="1">
        <v>32414840925500</v>
      </c>
      <c r="H913" s="1">
        <v>24959427432500</v>
      </c>
      <c r="I913">
        <f t="shared" si="14"/>
        <v>0</v>
      </c>
    </row>
    <row r="914" spans="1:9" x14ac:dyDescent="0.3">
      <c r="A914">
        <v>20180817</v>
      </c>
      <c r="B914" s="2" t="s">
        <v>9</v>
      </c>
      <c r="C914" s="8">
        <v>258500</v>
      </c>
      <c r="D914" s="8">
        <v>263000</v>
      </c>
      <c r="E914">
        <v>258385</v>
      </c>
      <c r="F914" s="9">
        <v>125395903</v>
      </c>
      <c r="G914" s="1">
        <v>32979122489000</v>
      </c>
      <c r="H914" s="1">
        <v>25393924235000</v>
      </c>
      <c r="I914">
        <f t="shared" si="14"/>
        <v>0</v>
      </c>
    </row>
    <row r="915" spans="1:9" x14ac:dyDescent="0.3">
      <c r="A915">
        <v>20180820</v>
      </c>
      <c r="B915" s="2" t="s">
        <v>9</v>
      </c>
      <c r="C915" s="8">
        <v>263000</v>
      </c>
      <c r="D915" s="8">
        <v>261000</v>
      </c>
      <c r="E915">
        <v>256421</v>
      </c>
      <c r="F915" s="9">
        <v>125395903</v>
      </c>
      <c r="G915" s="1">
        <v>32728330683000</v>
      </c>
      <c r="H915" s="1">
        <v>25200814545000</v>
      </c>
      <c r="I915">
        <f t="shared" si="14"/>
        <v>0</v>
      </c>
    </row>
    <row r="916" spans="1:9" x14ac:dyDescent="0.3">
      <c r="A916">
        <v>20180821</v>
      </c>
      <c r="B916" s="2" t="s">
        <v>9</v>
      </c>
      <c r="C916" s="8">
        <v>261000</v>
      </c>
      <c r="D916" s="8">
        <v>268500</v>
      </c>
      <c r="E916">
        <v>263789</v>
      </c>
      <c r="F916" s="9">
        <v>125395903</v>
      </c>
      <c r="G916" s="1">
        <v>33668799955500</v>
      </c>
      <c r="H916" s="1">
        <v>25924975882500</v>
      </c>
      <c r="I916">
        <f t="shared" si="14"/>
        <v>0</v>
      </c>
    </row>
    <row r="917" spans="1:9" x14ac:dyDescent="0.3">
      <c r="A917">
        <v>20180822</v>
      </c>
      <c r="B917" s="2" t="s">
        <v>9</v>
      </c>
      <c r="C917" s="8">
        <v>268500</v>
      </c>
      <c r="D917" s="8">
        <v>268500</v>
      </c>
      <c r="E917">
        <v>263789</v>
      </c>
      <c r="F917" s="9">
        <v>125395903</v>
      </c>
      <c r="G917" s="1">
        <v>33668799955500</v>
      </c>
      <c r="H917" s="1">
        <v>25924975882500</v>
      </c>
      <c r="I917">
        <f t="shared" si="14"/>
        <v>0</v>
      </c>
    </row>
    <row r="918" spans="1:9" x14ac:dyDescent="0.3">
      <c r="A918">
        <v>20180823</v>
      </c>
      <c r="B918" s="2" t="s">
        <v>9</v>
      </c>
      <c r="C918" s="8">
        <v>268500</v>
      </c>
      <c r="D918" s="8">
        <v>274000</v>
      </c>
      <c r="E918">
        <v>269192</v>
      </c>
      <c r="F918" s="9">
        <v>125395903</v>
      </c>
      <c r="G918" s="1">
        <v>34358477422000</v>
      </c>
      <c r="H918" s="1">
        <v>26456027530000</v>
      </c>
      <c r="I918">
        <f t="shared" si="14"/>
        <v>0</v>
      </c>
    </row>
    <row r="919" spans="1:9" x14ac:dyDescent="0.3">
      <c r="A919">
        <v>20180824</v>
      </c>
      <c r="B919" s="2" t="s">
        <v>9</v>
      </c>
      <c r="C919" s="8">
        <v>274000</v>
      </c>
      <c r="D919" s="8">
        <v>279500</v>
      </c>
      <c r="E919">
        <v>274596</v>
      </c>
      <c r="F919" s="9">
        <v>125395903</v>
      </c>
      <c r="G919" s="1">
        <v>35048154888500</v>
      </c>
      <c r="H919" s="1">
        <v>26987079177500</v>
      </c>
      <c r="I919">
        <f t="shared" si="14"/>
        <v>0</v>
      </c>
    </row>
    <row r="920" spans="1:9" x14ac:dyDescent="0.3">
      <c r="A920">
        <v>20180827</v>
      </c>
      <c r="B920" s="2" t="s">
        <v>9</v>
      </c>
      <c r="C920" s="8">
        <v>279500</v>
      </c>
      <c r="D920" s="8">
        <v>278000</v>
      </c>
      <c r="E920">
        <v>273122</v>
      </c>
      <c r="F920" s="9">
        <v>125395903</v>
      </c>
      <c r="G920" s="1">
        <v>34860061034000</v>
      </c>
      <c r="H920" s="1">
        <v>26842246910000</v>
      </c>
      <c r="I920">
        <f t="shared" si="14"/>
        <v>0</v>
      </c>
    </row>
    <row r="921" spans="1:9" x14ac:dyDescent="0.3">
      <c r="A921">
        <v>20180828</v>
      </c>
      <c r="B921" s="2" t="s">
        <v>9</v>
      </c>
      <c r="C921" s="8">
        <v>278000</v>
      </c>
      <c r="D921" s="8">
        <v>269000</v>
      </c>
      <c r="E921">
        <v>264280</v>
      </c>
      <c r="F921" s="9">
        <v>125395903</v>
      </c>
      <c r="G921" s="1">
        <v>33731497907000</v>
      </c>
      <c r="H921" s="1">
        <v>25973253305000</v>
      </c>
      <c r="I921">
        <f t="shared" si="14"/>
        <v>0</v>
      </c>
    </row>
    <row r="922" spans="1:9" x14ac:dyDescent="0.3">
      <c r="A922">
        <v>20180829</v>
      </c>
      <c r="B922" s="2" t="s">
        <v>9</v>
      </c>
      <c r="C922" s="8">
        <v>269000</v>
      </c>
      <c r="D922" s="8">
        <v>269500</v>
      </c>
      <c r="E922">
        <v>264771</v>
      </c>
      <c r="F922" s="9">
        <v>125395903</v>
      </c>
      <c r="G922" s="1">
        <v>33794195858500</v>
      </c>
      <c r="H922" s="1">
        <v>26021530727500</v>
      </c>
      <c r="I922">
        <f t="shared" si="14"/>
        <v>0</v>
      </c>
    </row>
    <row r="923" spans="1:9" x14ac:dyDescent="0.3">
      <c r="A923">
        <v>20180830</v>
      </c>
      <c r="B923" s="2" t="s">
        <v>9</v>
      </c>
      <c r="C923" s="8">
        <v>269500</v>
      </c>
      <c r="D923" s="8">
        <v>266500</v>
      </c>
      <c r="E923">
        <v>261824</v>
      </c>
      <c r="F923" s="9">
        <v>125395903</v>
      </c>
      <c r="G923" s="1">
        <v>33418008149500</v>
      </c>
      <c r="H923" s="1">
        <v>25731866192500</v>
      </c>
      <c r="I923">
        <f t="shared" si="14"/>
        <v>0</v>
      </c>
    </row>
    <row r="924" spans="1:9" x14ac:dyDescent="0.3">
      <c r="A924">
        <v>20180831</v>
      </c>
      <c r="B924" s="2" t="s">
        <v>9</v>
      </c>
      <c r="C924" s="8">
        <v>266500</v>
      </c>
      <c r="D924" s="8">
        <v>270000</v>
      </c>
      <c r="E924">
        <v>265263</v>
      </c>
      <c r="F924" s="9">
        <v>125395903</v>
      </c>
      <c r="G924" s="1">
        <v>33856893810000</v>
      </c>
      <c r="H924" s="1">
        <v>26069808150000</v>
      </c>
      <c r="I924">
        <f t="shared" si="14"/>
        <v>0</v>
      </c>
    </row>
    <row r="925" spans="1:9" x14ac:dyDescent="0.3">
      <c r="A925">
        <v>20180903</v>
      </c>
      <c r="B925" s="2" t="s">
        <v>9</v>
      </c>
      <c r="C925" s="8">
        <v>270000</v>
      </c>
      <c r="D925" s="8">
        <v>267000</v>
      </c>
      <c r="E925">
        <v>262315</v>
      </c>
      <c r="F925" s="9">
        <v>125395903</v>
      </c>
      <c r="G925" s="1">
        <v>33480706101000</v>
      </c>
      <c r="H925" s="1">
        <v>25780143615000</v>
      </c>
      <c r="I925">
        <f t="shared" si="14"/>
        <v>0</v>
      </c>
    </row>
    <row r="926" spans="1:9" x14ac:dyDescent="0.3">
      <c r="A926">
        <v>20180904</v>
      </c>
      <c r="B926" s="2" t="s">
        <v>9</v>
      </c>
      <c r="C926" s="8">
        <v>267000</v>
      </c>
      <c r="D926" s="8">
        <v>280000</v>
      </c>
      <c r="E926">
        <v>275087</v>
      </c>
      <c r="F926" s="9">
        <v>125395903</v>
      </c>
      <c r="G926" s="1">
        <v>35110852840000</v>
      </c>
      <c r="H926" s="1">
        <v>27035356600000</v>
      </c>
      <c r="I926">
        <f t="shared" si="14"/>
        <v>0</v>
      </c>
    </row>
    <row r="927" spans="1:9" x14ac:dyDescent="0.3">
      <c r="A927">
        <v>20180905</v>
      </c>
      <c r="B927" s="2" t="s">
        <v>9</v>
      </c>
      <c r="C927" s="8">
        <v>280000</v>
      </c>
      <c r="D927" s="8">
        <v>274500</v>
      </c>
      <c r="E927">
        <v>269684</v>
      </c>
      <c r="F927" s="9">
        <v>125395903</v>
      </c>
      <c r="G927" s="1">
        <v>34421175373500</v>
      </c>
      <c r="H927" s="1">
        <v>26504304952500</v>
      </c>
      <c r="I927">
        <f t="shared" si="14"/>
        <v>0</v>
      </c>
    </row>
    <row r="928" spans="1:9" x14ac:dyDescent="0.3">
      <c r="A928">
        <v>20180906</v>
      </c>
      <c r="B928" s="2" t="s">
        <v>9</v>
      </c>
      <c r="C928" s="8">
        <v>274500</v>
      </c>
      <c r="D928" s="8">
        <v>277500</v>
      </c>
      <c r="E928">
        <v>272631</v>
      </c>
      <c r="F928" s="9">
        <v>125395903</v>
      </c>
      <c r="G928" s="1">
        <v>34797363082500</v>
      </c>
      <c r="H928" s="1">
        <v>26793969487500</v>
      </c>
      <c r="I928">
        <f t="shared" si="14"/>
        <v>0</v>
      </c>
    </row>
    <row r="929" spans="1:9" x14ac:dyDescent="0.3">
      <c r="A929">
        <v>20180907</v>
      </c>
      <c r="B929" s="2" t="s">
        <v>9</v>
      </c>
      <c r="C929" s="8">
        <v>277500</v>
      </c>
      <c r="D929" s="8">
        <v>279500</v>
      </c>
      <c r="E929">
        <v>274596</v>
      </c>
      <c r="F929" s="9">
        <v>125395903</v>
      </c>
      <c r="G929" s="1">
        <v>35048154888500</v>
      </c>
      <c r="H929" s="1">
        <v>26987079177500</v>
      </c>
      <c r="I929">
        <f t="shared" si="14"/>
        <v>0</v>
      </c>
    </row>
    <row r="930" spans="1:9" x14ac:dyDescent="0.3">
      <c r="A930">
        <v>20180910</v>
      </c>
      <c r="B930" s="2" t="s">
        <v>9</v>
      </c>
      <c r="C930" s="8">
        <v>279500</v>
      </c>
      <c r="D930" s="8">
        <v>274000</v>
      </c>
      <c r="E930">
        <v>269192</v>
      </c>
      <c r="F930" s="9">
        <v>125395903</v>
      </c>
      <c r="G930" s="1">
        <v>34358477422000</v>
      </c>
      <c r="H930" s="1">
        <v>26456027530000</v>
      </c>
      <c r="I930">
        <f t="shared" si="14"/>
        <v>0</v>
      </c>
    </row>
    <row r="931" spans="1:9" x14ac:dyDescent="0.3">
      <c r="A931">
        <v>20180911</v>
      </c>
      <c r="B931" s="2" t="s">
        <v>9</v>
      </c>
      <c r="C931" s="8">
        <v>274000</v>
      </c>
      <c r="D931" s="8">
        <v>274500</v>
      </c>
      <c r="E931">
        <v>269684</v>
      </c>
      <c r="F931" s="9">
        <v>125395903</v>
      </c>
      <c r="G931" s="1">
        <v>34421175373500</v>
      </c>
      <c r="H931" s="1">
        <v>26504304952500</v>
      </c>
      <c r="I931">
        <f t="shared" si="14"/>
        <v>0</v>
      </c>
    </row>
    <row r="932" spans="1:9" x14ac:dyDescent="0.3">
      <c r="A932">
        <v>20180912</v>
      </c>
      <c r="B932" s="2" t="s">
        <v>9</v>
      </c>
      <c r="C932" s="8">
        <v>274500</v>
      </c>
      <c r="D932" s="8">
        <v>285000</v>
      </c>
      <c r="E932">
        <v>280000</v>
      </c>
      <c r="F932" s="9">
        <v>125395903</v>
      </c>
      <c r="G932" s="1">
        <v>35737832355000</v>
      </c>
      <c r="H932" s="1">
        <v>27518130825000</v>
      </c>
      <c r="I932">
        <f t="shared" si="14"/>
        <v>0</v>
      </c>
    </row>
    <row r="933" spans="1:9" x14ac:dyDescent="0.3">
      <c r="A933">
        <v>20180913</v>
      </c>
      <c r="B933" s="2" t="s">
        <v>9</v>
      </c>
      <c r="C933" s="8">
        <v>285000</v>
      </c>
      <c r="D933" s="8">
        <v>293500</v>
      </c>
      <c r="E933">
        <v>288350</v>
      </c>
      <c r="F933" s="9">
        <v>125395903</v>
      </c>
      <c r="G933" s="1">
        <v>36803697530500</v>
      </c>
      <c r="H933" s="1">
        <v>28338847007500</v>
      </c>
      <c r="I933">
        <f t="shared" si="14"/>
        <v>0</v>
      </c>
    </row>
    <row r="934" spans="1:9" x14ac:dyDescent="0.3">
      <c r="A934">
        <v>20180914</v>
      </c>
      <c r="B934" s="2" t="s">
        <v>9</v>
      </c>
      <c r="C934" s="8">
        <v>293500</v>
      </c>
      <c r="D934" s="8">
        <v>291000</v>
      </c>
      <c r="E934">
        <v>285894</v>
      </c>
      <c r="F934" s="9">
        <v>125395903</v>
      </c>
      <c r="G934" s="1">
        <v>36490207773000</v>
      </c>
      <c r="H934" s="1">
        <v>28097459895000</v>
      </c>
      <c r="I934">
        <f t="shared" si="14"/>
        <v>0</v>
      </c>
    </row>
    <row r="935" spans="1:9" x14ac:dyDescent="0.3">
      <c r="A935">
        <v>20180917</v>
      </c>
      <c r="B935" s="2" t="s">
        <v>9</v>
      </c>
      <c r="C935" s="8">
        <v>291000</v>
      </c>
      <c r="D935" s="8">
        <v>302500</v>
      </c>
      <c r="E935">
        <v>297192</v>
      </c>
      <c r="F935" s="9">
        <v>125395903</v>
      </c>
      <c r="G935" s="1">
        <v>37932260657500</v>
      </c>
      <c r="H935" s="1">
        <v>29207840612500</v>
      </c>
      <c r="I935">
        <f t="shared" si="14"/>
        <v>0</v>
      </c>
    </row>
    <row r="936" spans="1:9" x14ac:dyDescent="0.3">
      <c r="A936">
        <v>20180918</v>
      </c>
      <c r="B936" s="2" t="s">
        <v>9</v>
      </c>
      <c r="C936" s="8">
        <v>302500</v>
      </c>
      <c r="D936" s="8">
        <v>300500</v>
      </c>
      <c r="E936">
        <v>295228</v>
      </c>
      <c r="F936" s="9">
        <v>125395903</v>
      </c>
      <c r="G936" s="1">
        <v>37681468851500</v>
      </c>
      <c r="H936" s="1">
        <v>29014730922500</v>
      </c>
      <c r="I936">
        <f t="shared" si="14"/>
        <v>0</v>
      </c>
    </row>
    <row r="937" spans="1:9" x14ac:dyDescent="0.3">
      <c r="A937">
        <v>20180919</v>
      </c>
      <c r="B937" s="2" t="s">
        <v>9</v>
      </c>
      <c r="C937" s="8">
        <v>300500</v>
      </c>
      <c r="D937" s="8">
        <v>306000</v>
      </c>
      <c r="E937">
        <v>300631</v>
      </c>
      <c r="F937" s="9">
        <v>125395903</v>
      </c>
      <c r="G937" s="1">
        <v>38371146318000</v>
      </c>
      <c r="H937" s="1">
        <v>29545782570000</v>
      </c>
      <c r="I937">
        <f t="shared" si="14"/>
        <v>0</v>
      </c>
    </row>
    <row r="938" spans="1:9" x14ac:dyDescent="0.3">
      <c r="A938">
        <v>20180920</v>
      </c>
      <c r="B938" s="2" t="s">
        <v>9</v>
      </c>
      <c r="C938" s="8">
        <v>306000</v>
      </c>
      <c r="D938" s="8">
        <v>296500</v>
      </c>
      <c r="E938">
        <v>291298</v>
      </c>
      <c r="F938" s="9">
        <v>125395903</v>
      </c>
      <c r="G938" s="1">
        <v>37179885239500</v>
      </c>
      <c r="H938" s="1">
        <v>28628511542500</v>
      </c>
      <c r="I938">
        <f t="shared" si="14"/>
        <v>0</v>
      </c>
    </row>
    <row r="939" spans="1:9" x14ac:dyDescent="0.3">
      <c r="A939">
        <v>20180921</v>
      </c>
      <c r="B939" s="2" t="s">
        <v>9</v>
      </c>
      <c r="C939" s="8">
        <v>296500</v>
      </c>
      <c r="D939" s="8">
        <v>302500</v>
      </c>
      <c r="E939">
        <v>297192</v>
      </c>
      <c r="F939" s="9">
        <v>125395903</v>
      </c>
      <c r="G939" s="1">
        <v>37932260657500</v>
      </c>
      <c r="H939" s="1">
        <v>29207840612500</v>
      </c>
      <c r="I939">
        <f t="shared" si="14"/>
        <v>0</v>
      </c>
    </row>
    <row r="940" spans="1:9" x14ac:dyDescent="0.3">
      <c r="A940">
        <v>20180927</v>
      </c>
      <c r="B940" s="2" t="s">
        <v>9</v>
      </c>
      <c r="C940" s="8">
        <v>302500</v>
      </c>
      <c r="D940" s="8">
        <v>301000</v>
      </c>
      <c r="E940">
        <v>295719</v>
      </c>
      <c r="F940" s="9">
        <v>125395903</v>
      </c>
      <c r="G940" s="1">
        <v>37744166803000</v>
      </c>
      <c r="H940" s="1">
        <v>29063008345000</v>
      </c>
      <c r="I940">
        <f t="shared" si="14"/>
        <v>0</v>
      </c>
    </row>
    <row r="941" spans="1:9" x14ac:dyDescent="0.3">
      <c r="A941">
        <v>20180928</v>
      </c>
      <c r="B941" s="2" t="s">
        <v>9</v>
      </c>
      <c r="C941" s="8">
        <v>301000</v>
      </c>
      <c r="D941" s="8">
        <v>297000</v>
      </c>
      <c r="E941">
        <v>291789</v>
      </c>
      <c r="F941" s="9">
        <v>125395903</v>
      </c>
      <c r="G941" s="1">
        <v>37242583191000</v>
      </c>
      <c r="H941" s="1">
        <v>28676788965000</v>
      </c>
      <c r="I941">
        <f t="shared" si="14"/>
        <v>0</v>
      </c>
    </row>
    <row r="942" spans="1:9" x14ac:dyDescent="0.3">
      <c r="A942">
        <v>20181001</v>
      </c>
      <c r="B942" s="2" t="s">
        <v>9</v>
      </c>
      <c r="C942" s="8">
        <v>297000</v>
      </c>
      <c r="D942" s="8">
        <v>292000</v>
      </c>
      <c r="E942">
        <v>286877</v>
      </c>
      <c r="F942" s="9">
        <v>125395903</v>
      </c>
      <c r="G942" s="1">
        <v>36615603676000</v>
      </c>
      <c r="H942" s="1">
        <v>28194014740000</v>
      </c>
      <c r="I942">
        <f t="shared" si="14"/>
        <v>0</v>
      </c>
    </row>
    <row r="943" spans="1:9" x14ac:dyDescent="0.3">
      <c r="A943">
        <v>20181002</v>
      </c>
      <c r="B943" s="2" t="s">
        <v>9</v>
      </c>
      <c r="C943" s="8">
        <v>292000</v>
      </c>
      <c r="D943" s="8">
        <v>288500</v>
      </c>
      <c r="E943">
        <v>283438</v>
      </c>
      <c r="F943" s="9">
        <v>125395903</v>
      </c>
      <c r="G943" s="1">
        <v>36176718015500</v>
      </c>
      <c r="H943" s="1">
        <v>27856072782500</v>
      </c>
      <c r="I943">
        <f t="shared" si="14"/>
        <v>0</v>
      </c>
    </row>
    <row r="944" spans="1:9" x14ac:dyDescent="0.3">
      <c r="A944">
        <v>20181004</v>
      </c>
      <c r="B944" s="2" t="s">
        <v>9</v>
      </c>
      <c r="C944" s="8">
        <v>288500</v>
      </c>
      <c r="D944" s="8">
        <v>290500</v>
      </c>
      <c r="E944">
        <v>285403</v>
      </c>
      <c r="F944" s="9">
        <v>125395903</v>
      </c>
      <c r="G944" s="1">
        <v>36427509821500</v>
      </c>
      <c r="H944" s="1">
        <v>28049182472500</v>
      </c>
      <c r="I944">
        <f t="shared" si="14"/>
        <v>0</v>
      </c>
    </row>
    <row r="945" spans="1:9" x14ac:dyDescent="0.3">
      <c r="A945">
        <v>20181005</v>
      </c>
      <c r="B945" s="2" t="s">
        <v>9</v>
      </c>
      <c r="C945" s="8">
        <v>290500</v>
      </c>
      <c r="D945" s="8">
        <v>289000</v>
      </c>
      <c r="E945">
        <v>283929</v>
      </c>
      <c r="F945" s="9">
        <v>125395903</v>
      </c>
      <c r="G945" s="1">
        <v>36239415967000</v>
      </c>
      <c r="H945" s="1">
        <v>27904350205000</v>
      </c>
      <c r="I945">
        <f t="shared" si="14"/>
        <v>0</v>
      </c>
    </row>
    <row r="946" spans="1:9" x14ac:dyDescent="0.3">
      <c r="A946">
        <v>20181008</v>
      </c>
      <c r="B946" s="2" t="s">
        <v>9</v>
      </c>
      <c r="C946" s="8">
        <v>289000</v>
      </c>
      <c r="D946" s="8">
        <v>290000</v>
      </c>
      <c r="E946">
        <v>284912</v>
      </c>
      <c r="F946" s="9">
        <v>125395903</v>
      </c>
      <c r="G946" s="1">
        <v>36364811870000</v>
      </c>
      <c r="H946" s="1">
        <v>28000905050000</v>
      </c>
      <c r="I946">
        <f t="shared" si="14"/>
        <v>0</v>
      </c>
    </row>
    <row r="947" spans="1:9" x14ac:dyDescent="0.3">
      <c r="A947">
        <v>20181010</v>
      </c>
      <c r="B947" s="2" t="s">
        <v>9</v>
      </c>
      <c r="C947" s="8">
        <v>290000</v>
      </c>
      <c r="D947" s="8">
        <v>286500</v>
      </c>
      <c r="E947">
        <v>281473</v>
      </c>
      <c r="F947" s="9">
        <v>125395903</v>
      </c>
      <c r="G947" s="1">
        <v>35925926209500</v>
      </c>
      <c r="H947" s="1">
        <v>27662963092500</v>
      </c>
      <c r="I947">
        <f t="shared" si="14"/>
        <v>0</v>
      </c>
    </row>
    <row r="948" spans="1:9" x14ac:dyDescent="0.3">
      <c r="A948">
        <v>20181011</v>
      </c>
      <c r="B948" s="2" t="s">
        <v>9</v>
      </c>
      <c r="C948" s="8">
        <v>286500</v>
      </c>
      <c r="D948" s="8">
        <v>271500</v>
      </c>
      <c r="E948">
        <v>266736</v>
      </c>
      <c r="F948" s="9">
        <v>125395903</v>
      </c>
      <c r="G948" s="1">
        <v>34044987664500</v>
      </c>
      <c r="H948" s="1">
        <v>26214640417500</v>
      </c>
      <c r="I948">
        <f t="shared" si="14"/>
        <v>0</v>
      </c>
    </row>
    <row r="949" spans="1:9" x14ac:dyDescent="0.3">
      <c r="A949">
        <v>20181012</v>
      </c>
      <c r="B949" s="2" t="s">
        <v>9</v>
      </c>
      <c r="C949" s="8">
        <v>271500</v>
      </c>
      <c r="D949" s="8">
        <v>274500</v>
      </c>
      <c r="E949">
        <v>269684</v>
      </c>
      <c r="F949" s="9">
        <v>125395903</v>
      </c>
      <c r="G949" s="1">
        <v>34421175373500</v>
      </c>
      <c r="H949" s="1">
        <v>26504304952500</v>
      </c>
      <c r="I949">
        <f t="shared" si="14"/>
        <v>0</v>
      </c>
    </row>
    <row r="950" spans="1:9" x14ac:dyDescent="0.3">
      <c r="A950">
        <v>20181015</v>
      </c>
      <c r="B950" s="2" t="s">
        <v>9</v>
      </c>
      <c r="C950" s="8">
        <v>274500</v>
      </c>
      <c r="D950" s="8">
        <v>261500</v>
      </c>
      <c r="E950">
        <v>256912</v>
      </c>
      <c r="F950" s="9">
        <v>125395903</v>
      </c>
      <c r="G950" s="1">
        <v>32791028634500</v>
      </c>
      <c r="H950" s="1">
        <v>25249091967500</v>
      </c>
      <c r="I950">
        <f t="shared" si="14"/>
        <v>0</v>
      </c>
    </row>
    <row r="951" spans="1:9" x14ac:dyDescent="0.3">
      <c r="A951">
        <v>20181016</v>
      </c>
      <c r="B951" s="2" t="s">
        <v>9</v>
      </c>
      <c r="C951" s="8">
        <v>261500</v>
      </c>
      <c r="D951" s="8">
        <v>262000</v>
      </c>
      <c r="E951">
        <v>257403</v>
      </c>
      <c r="F951" s="9">
        <v>125395903</v>
      </c>
      <c r="G951" s="1">
        <v>32853726586000</v>
      </c>
      <c r="H951" s="1">
        <v>25297369390000</v>
      </c>
      <c r="I951">
        <f t="shared" si="14"/>
        <v>0</v>
      </c>
    </row>
    <row r="952" spans="1:9" x14ac:dyDescent="0.3">
      <c r="A952">
        <v>20181017</v>
      </c>
      <c r="B952" s="2" t="s">
        <v>9</v>
      </c>
      <c r="C952" s="8">
        <v>262000</v>
      </c>
      <c r="D952" s="8">
        <v>265500</v>
      </c>
      <c r="E952">
        <v>260842</v>
      </c>
      <c r="F952" s="9">
        <v>125395903</v>
      </c>
      <c r="G952" s="1">
        <v>33292612246500</v>
      </c>
      <c r="H952" s="1">
        <v>25635311347500</v>
      </c>
      <c r="I952">
        <f t="shared" si="14"/>
        <v>0</v>
      </c>
    </row>
    <row r="953" spans="1:9" x14ac:dyDescent="0.3">
      <c r="A953">
        <v>20181018</v>
      </c>
      <c r="B953" s="2" t="s">
        <v>9</v>
      </c>
      <c r="C953" s="8">
        <v>265500</v>
      </c>
      <c r="D953" s="8">
        <v>260500</v>
      </c>
      <c r="E953">
        <v>255929</v>
      </c>
      <c r="F953" s="9">
        <v>125395903</v>
      </c>
      <c r="G953" s="1">
        <v>32665632731500</v>
      </c>
      <c r="H953" s="1">
        <v>25152537122500</v>
      </c>
      <c r="I953">
        <f t="shared" si="14"/>
        <v>0</v>
      </c>
    </row>
    <row r="954" spans="1:9" x14ac:dyDescent="0.3">
      <c r="A954">
        <v>20181019</v>
      </c>
      <c r="B954" s="2" t="s">
        <v>9</v>
      </c>
      <c r="C954" s="8">
        <v>260500</v>
      </c>
      <c r="D954" s="8">
        <v>273000</v>
      </c>
      <c r="E954">
        <v>268210</v>
      </c>
      <c r="F954" s="9">
        <v>125395903</v>
      </c>
      <c r="G954" s="1">
        <v>34233081519000</v>
      </c>
      <c r="H954" s="1">
        <v>26359472685000</v>
      </c>
      <c r="I954">
        <f t="shared" si="14"/>
        <v>0</v>
      </c>
    </row>
    <row r="955" spans="1:9" x14ac:dyDescent="0.3">
      <c r="A955">
        <v>20181022</v>
      </c>
      <c r="B955" s="2" t="s">
        <v>9</v>
      </c>
      <c r="C955" s="8">
        <v>273000</v>
      </c>
      <c r="D955" s="8">
        <v>268500</v>
      </c>
      <c r="E955">
        <v>263789</v>
      </c>
      <c r="F955" s="9">
        <v>125395903</v>
      </c>
      <c r="G955" s="1">
        <v>33668799955500</v>
      </c>
      <c r="H955" s="1">
        <v>25924975882500</v>
      </c>
      <c r="I955">
        <f t="shared" si="14"/>
        <v>0</v>
      </c>
    </row>
    <row r="956" spans="1:9" x14ac:dyDescent="0.3">
      <c r="A956">
        <v>20181023</v>
      </c>
      <c r="B956" s="2" t="s">
        <v>9</v>
      </c>
      <c r="C956" s="8">
        <v>268500</v>
      </c>
      <c r="D956" s="8">
        <v>246500</v>
      </c>
      <c r="E956">
        <v>242175</v>
      </c>
      <c r="F956" s="9">
        <v>125395903</v>
      </c>
      <c r="G956" s="1">
        <v>30910090089500</v>
      </c>
      <c r="H956" s="1">
        <v>23800769292500</v>
      </c>
      <c r="I956">
        <f t="shared" si="14"/>
        <v>0</v>
      </c>
    </row>
    <row r="957" spans="1:9" x14ac:dyDescent="0.3">
      <c r="A957">
        <v>20181024</v>
      </c>
      <c r="B957" s="2" t="s">
        <v>9</v>
      </c>
      <c r="C957" s="8">
        <v>246500</v>
      </c>
      <c r="D957" s="8">
        <v>225500</v>
      </c>
      <c r="E957">
        <v>221543</v>
      </c>
      <c r="F957" s="9">
        <v>125395903</v>
      </c>
      <c r="G957" s="1">
        <v>28276776126500</v>
      </c>
      <c r="H957" s="1">
        <v>21773117547500</v>
      </c>
      <c r="I957">
        <f t="shared" si="14"/>
        <v>0</v>
      </c>
    </row>
    <row r="958" spans="1:9" x14ac:dyDescent="0.3">
      <c r="A958">
        <v>20181025</v>
      </c>
      <c r="B958" s="2" t="s">
        <v>9</v>
      </c>
      <c r="C958" s="8">
        <v>225500</v>
      </c>
      <c r="D958" s="8">
        <v>236500</v>
      </c>
      <c r="E958">
        <v>232350</v>
      </c>
      <c r="F958" s="9">
        <v>125395903</v>
      </c>
      <c r="G958" s="1">
        <v>29656131059500</v>
      </c>
      <c r="H958" s="1">
        <v>22835220842500</v>
      </c>
      <c r="I958">
        <f t="shared" si="14"/>
        <v>0</v>
      </c>
    </row>
    <row r="959" spans="1:9" x14ac:dyDescent="0.3">
      <c r="A959">
        <v>20181026</v>
      </c>
      <c r="B959" s="2" t="s">
        <v>9</v>
      </c>
      <c r="C959" s="8">
        <v>236500</v>
      </c>
      <c r="D959" s="8">
        <v>228000</v>
      </c>
      <c r="E959">
        <v>224000</v>
      </c>
      <c r="F959" s="9">
        <v>125395903</v>
      </c>
      <c r="G959" s="1">
        <v>28590265884000</v>
      </c>
      <c r="H959" s="1">
        <v>22014504660000</v>
      </c>
      <c r="I959">
        <f t="shared" si="14"/>
        <v>0</v>
      </c>
    </row>
    <row r="960" spans="1:9" x14ac:dyDescent="0.3">
      <c r="A960">
        <v>20181029</v>
      </c>
      <c r="B960" s="2" t="s">
        <v>9</v>
      </c>
      <c r="C960" s="8">
        <v>228000</v>
      </c>
      <c r="D960" s="8">
        <v>218000</v>
      </c>
      <c r="E960">
        <v>214175</v>
      </c>
      <c r="F960" s="9">
        <v>125395903</v>
      </c>
      <c r="G960" s="1">
        <v>27336306854000</v>
      </c>
      <c r="H960" s="1">
        <v>21048956210000</v>
      </c>
      <c r="I960">
        <f t="shared" si="14"/>
        <v>0</v>
      </c>
    </row>
    <row r="961" spans="1:10" x14ac:dyDescent="0.3">
      <c r="A961">
        <v>20181030</v>
      </c>
      <c r="B961" s="2" t="s">
        <v>9</v>
      </c>
      <c r="C961" s="8">
        <v>218000</v>
      </c>
      <c r="D961" s="8">
        <v>225500</v>
      </c>
      <c r="E961">
        <v>221543</v>
      </c>
      <c r="F961" s="9">
        <v>125395903</v>
      </c>
      <c r="G961" s="1">
        <v>28276776126500</v>
      </c>
      <c r="H961" s="1">
        <v>21773117547500</v>
      </c>
      <c r="I961">
        <f t="shared" si="14"/>
        <v>0</v>
      </c>
    </row>
    <row r="962" spans="1:10" x14ac:dyDescent="0.3">
      <c r="A962">
        <v>20181031</v>
      </c>
      <c r="B962" s="2" t="s">
        <v>9</v>
      </c>
      <c r="C962" s="8">
        <v>225500</v>
      </c>
      <c r="D962" s="8">
        <v>217500</v>
      </c>
      <c r="E962">
        <v>213684</v>
      </c>
      <c r="F962" s="9">
        <v>125395903</v>
      </c>
      <c r="G962" s="1">
        <v>27273608902500</v>
      </c>
      <c r="H962" s="1">
        <v>21000678787500</v>
      </c>
      <c r="I962">
        <f t="shared" si="14"/>
        <v>0</v>
      </c>
    </row>
    <row r="963" spans="1:10" x14ac:dyDescent="0.3">
      <c r="A963">
        <v>20181101</v>
      </c>
      <c r="B963" s="2" t="s">
        <v>9</v>
      </c>
      <c r="C963" s="8">
        <v>217500</v>
      </c>
      <c r="D963" s="8">
        <v>227500</v>
      </c>
      <c r="E963">
        <v>223508</v>
      </c>
      <c r="F963" s="9">
        <v>125395903</v>
      </c>
      <c r="G963" s="1">
        <v>28527567932500</v>
      </c>
      <c r="H963" s="1">
        <v>21966227237500</v>
      </c>
      <c r="I963">
        <f t="shared" ref="I963:I1026" si="15">IF(C963*F963=D962*F962,0,1)</f>
        <v>0</v>
      </c>
    </row>
    <row r="964" spans="1:10" x14ac:dyDescent="0.3">
      <c r="A964">
        <v>20181102</v>
      </c>
      <c r="B964" s="2" t="s">
        <v>9</v>
      </c>
      <c r="C964" s="8">
        <v>227500</v>
      </c>
      <c r="D964" s="8">
        <v>236500</v>
      </c>
      <c r="E964">
        <v>232350</v>
      </c>
      <c r="F964" s="9">
        <v>125395903</v>
      </c>
      <c r="G964" s="1">
        <v>29656131059500</v>
      </c>
      <c r="H964" s="1">
        <v>22835220842500</v>
      </c>
      <c r="I964">
        <f t="shared" si="15"/>
        <v>0</v>
      </c>
    </row>
    <row r="965" spans="1:10" x14ac:dyDescent="0.3">
      <c r="A965">
        <v>20181105</v>
      </c>
      <c r="B965" s="2" t="s">
        <v>9</v>
      </c>
      <c r="C965" s="8">
        <v>236500</v>
      </c>
      <c r="D965" s="8">
        <v>240000</v>
      </c>
      <c r="E965">
        <v>235789</v>
      </c>
      <c r="F965" s="9">
        <v>125395903</v>
      </c>
      <c r="G965" s="1">
        <v>30095016720000</v>
      </c>
      <c r="H965" s="1">
        <v>23173162800000</v>
      </c>
      <c r="I965">
        <f t="shared" si="15"/>
        <v>0</v>
      </c>
    </row>
    <row r="966" spans="1:10" x14ac:dyDescent="0.3">
      <c r="A966">
        <v>20181106</v>
      </c>
      <c r="B966" s="2" t="s">
        <v>9</v>
      </c>
      <c r="C966" s="8">
        <v>240000</v>
      </c>
      <c r="D966" s="8">
        <v>241000</v>
      </c>
      <c r="E966">
        <v>236771</v>
      </c>
      <c r="F966" s="9">
        <v>125395903</v>
      </c>
      <c r="G966" s="1">
        <v>30220412623000</v>
      </c>
      <c r="H966" s="1">
        <v>23269717645000</v>
      </c>
      <c r="I966">
        <f t="shared" si="15"/>
        <v>0</v>
      </c>
    </row>
    <row r="967" spans="1:10" x14ac:dyDescent="0.3">
      <c r="A967">
        <v>20181107</v>
      </c>
      <c r="B967" s="2" t="s">
        <v>9</v>
      </c>
      <c r="C967" s="8">
        <v>241000</v>
      </c>
      <c r="D967" s="8">
        <v>233500</v>
      </c>
      <c r="E967">
        <v>229403</v>
      </c>
      <c r="F967" s="9">
        <v>125395903</v>
      </c>
      <c r="G967" s="1">
        <v>29279943350500</v>
      </c>
      <c r="H967" s="1">
        <v>22545556307500</v>
      </c>
      <c r="I967">
        <f t="shared" si="15"/>
        <v>0</v>
      </c>
    </row>
    <row r="968" spans="1:10" x14ac:dyDescent="0.3">
      <c r="A968">
        <v>20181108</v>
      </c>
      <c r="B968" s="2" t="s">
        <v>9</v>
      </c>
      <c r="C968" s="8">
        <v>233500</v>
      </c>
      <c r="D968" s="8">
        <v>238500</v>
      </c>
      <c r="E968">
        <v>234315</v>
      </c>
      <c r="F968" s="9">
        <v>125395903</v>
      </c>
      <c r="G968" s="1">
        <v>29906922865500</v>
      </c>
      <c r="H968" s="1">
        <v>23028330532500</v>
      </c>
      <c r="I968">
        <f t="shared" si="15"/>
        <v>0</v>
      </c>
    </row>
    <row r="969" spans="1:10" x14ac:dyDescent="0.3">
      <c r="A969">
        <v>20181109</v>
      </c>
      <c r="B969" s="2" t="s">
        <v>9</v>
      </c>
      <c r="C969" s="8">
        <v>238500</v>
      </c>
      <c r="D969" s="8">
        <v>229500</v>
      </c>
      <c r="E969">
        <v>225473</v>
      </c>
      <c r="F969" s="9">
        <v>125395903</v>
      </c>
      <c r="G969" s="1">
        <v>28778359738500</v>
      </c>
      <c r="H969" s="1">
        <v>22159336927500</v>
      </c>
      <c r="I969">
        <f t="shared" si="15"/>
        <v>0</v>
      </c>
    </row>
    <row r="970" spans="1:10" x14ac:dyDescent="0.3">
      <c r="A970">
        <v>20181112</v>
      </c>
      <c r="B970" s="2" t="s">
        <v>9</v>
      </c>
      <c r="C970" s="8">
        <v>229500</v>
      </c>
      <c r="D970" s="8">
        <v>202000</v>
      </c>
      <c r="E970">
        <v>198456</v>
      </c>
      <c r="F970" s="9">
        <v>125395903</v>
      </c>
      <c r="G970" s="1">
        <v>25329972406000</v>
      </c>
      <c r="H970" s="1">
        <v>19504078690000</v>
      </c>
      <c r="I970">
        <f t="shared" si="15"/>
        <v>0</v>
      </c>
    </row>
    <row r="971" spans="1:10" x14ac:dyDescent="0.3">
      <c r="A971">
        <v>20181113</v>
      </c>
      <c r="B971" s="2" t="s">
        <v>9</v>
      </c>
      <c r="C971" s="8">
        <v>202000</v>
      </c>
      <c r="D971" s="8">
        <v>200500</v>
      </c>
      <c r="E971">
        <v>196982</v>
      </c>
      <c r="F971" s="9">
        <v>125395903</v>
      </c>
      <c r="G971" s="1">
        <v>25141878551500</v>
      </c>
      <c r="H971" s="1">
        <v>19359246422500</v>
      </c>
      <c r="I971">
        <f t="shared" si="15"/>
        <v>0</v>
      </c>
    </row>
    <row r="972" spans="1:10" x14ac:dyDescent="0.3">
      <c r="A972">
        <v>20181114</v>
      </c>
      <c r="B972" s="2" t="s">
        <v>9</v>
      </c>
      <c r="C972" s="8">
        <v>200500</v>
      </c>
      <c r="D972" s="8">
        <v>208000</v>
      </c>
      <c r="E972">
        <v>204350</v>
      </c>
      <c r="F972" s="9">
        <v>125395903</v>
      </c>
      <c r="G972" s="1">
        <v>26082347824000</v>
      </c>
      <c r="H972" s="1">
        <v>20083407760000</v>
      </c>
      <c r="I972">
        <f t="shared" si="15"/>
        <v>0</v>
      </c>
    </row>
    <row r="973" spans="1:10" x14ac:dyDescent="0.3">
      <c r="A973" s="8">
        <v>20181115</v>
      </c>
      <c r="B973" s="10" t="s">
        <v>9</v>
      </c>
      <c r="C973" s="8">
        <v>208000</v>
      </c>
      <c r="D973" s="8">
        <v>218500</v>
      </c>
      <c r="E973" s="8">
        <v>214666</v>
      </c>
      <c r="F973" s="9">
        <v>125456133</v>
      </c>
      <c r="G973" s="9">
        <v>27412165060500</v>
      </c>
      <c r="H973" s="9">
        <v>21107367007000</v>
      </c>
      <c r="I973" s="8">
        <f t="shared" si="15"/>
        <v>1</v>
      </c>
      <c r="J973" t="s">
        <v>47</v>
      </c>
    </row>
    <row r="974" spans="1:10" x14ac:dyDescent="0.3">
      <c r="A974">
        <v>20181116</v>
      </c>
      <c r="B974" s="2" t="s">
        <v>9</v>
      </c>
      <c r="C974" s="8">
        <v>218500</v>
      </c>
      <c r="D974" s="8">
        <v>224000</v>
      </c>
      <c r="E974">
        <v>220070</v>
      </c>
      <c r="F974" s="9">
        <v>125456133</v>
      </c>
      <c r="G974" s="1">
        <v>28102173792000</v>
      </c>
      <c r="H974" s="1">
        <v>21638673728000</v>
      </c>
      <c r="I974">
        <f t="shared" si="15"/>
        <v>0</v>
      </c>
    </row>
    <row r="975" spans="1:10" x14ac:dyDescent="0.3">
      <c r="A975">
        <v>20181119</v>
      </c>
      <c r="B975" s="2" t="s">
        <v>9</v>
      </c>
      <c r="C975" s="8">
        <v>224000</v>
      </c>
      <c r="D975" s="8">
        <v>229000</v>
      </c>
      <c r="E975">
        <v>224982</v>
      </c>
      <c r="F975" s="9">
        <v>125456133</v>
      </c>
      <c r="G975" s="1">
        <v>28729454457000</v>
      </c>
      <c r="H975" s="1">
        <v>22121679838000</v>
      </c>
      <c r="I975">
        <f t="shared" si="15"/>
        <v>0</v>
      </c>
    </row>
    <row r="976" spans="1:10" x14ac:dyDescent="0.3">
      <c r="A976">
        <v>20181120</v>
      </c>
      <c r="B976" s="2" t="s">
        <v>9</v>
      </c>
      <c r="C976" s="8">
        <v>229000</v>
      </c>
      <c r="D976" s="8">
        <v>227500</v>
      </c>
      <c r="E976">
        <v>223508</v>
      </c>
      <c r="F976" s="9">
        <v>125456133</v>
      </c>
      <c r="G976" s="1">
        <v>28541270257500</v>
      </c>
      <c r="H976" s="1">
        <v>21976778005000</v>
      </c>
      <c r="I976">
        <f t="shared" si="15"/>
        <v>0</v>
      </c>
    </row>
    <row r="977" spans="1:9" x14ac:dyDescent="0.3">
      <c r="A977">
        <v>20181121</v>
      </c>
      <c r="B977" s="2" t="s">
        <v>9</v>
      </c>
      <c r="C977" s="8">
        <v>227500</v>
      </c>
      <c r="D977" s="8">
        <v>225000</v>
      </c>
      <c r="E977">
        <v>221052</v>
      </c>
      <c r="F977" s="9">
        <v>125456133</v>
      </c>
      <c r="G977" s="1">
        <v>28227629925000</v>
      </c>
      <c r="H977" s="1">
        <v>21735274950000</v>
      </c>
      <c r="I977">
        <f t="shared" si="15"/>
        <v>0</v>
      </c>
    </row>
    <row r="978" spans="1:9" x14ac:dyDescent="0.3">
      <c r="A978">
        <v>20181122</v>
      </c>
      <c r="B978" s="2" t="s">
        <v>9</v>
      </c>
      <c r="C978" s="8">
        <v>225000</v>
      </c>
      <c r="D978" s="8">
        <v>223000</v>
      </c>
      <c r="E978">
        <v>219087</v>
      </c>
      <c r="F978" s="9">
        <v>125456133</v>
      </c>
      <c r="G978" s="1">
        <v>27976717659000</v>
      </c>
      <c r="H978" s="1">
        <v>21542072506000</v>
      </c>
      <c r="I978">
        <f t="shared" si="15"/>
        <v>0</v>
      </c>
    </row>
    <row r="979" spans="1:9" x14ac:dyDescent="0.3">
      <c r="A979">
        <v>20181123</v>
      </c>
      <c r="B979" s="2" t="s">
        <v>9</v>
      </c>
      <c r="C979" s="8">
        <v>223000</v>
      </c>
      <c r="D979" s="8">
        <v>221000</v>
      </c>
      <c r="E979">
        <v>217122</v>
      </c>
      <c r="F979" s="9">
        <v>125456133</v>
      </c>
      <c r="G979" s="1">
        <v>27725805393000</v>
      </c>
      <c r="H979" s="1">
        <v>21348870062000</v>
      </c>
      <c r="I979">
        <f t="shared" si="15"/>
        <v>0</v>
      </c>
    </row>
    <row r="980" spans="1:9" x14ac:dyDescent="0.3">
      <c r="A980">
        <v>20181126</v>
      </c>
      <c r="B980" s="2" t="s">
        <v>9</v>
      </c>
      <c r="C980" s="8">
        <v>221000</v>
      </c>
      <c r="D980" s="8">
        <v>240500</v>
      </c>
      <c r="E980">
        <v>236280</v>
      </c>
      <c r="F980" s="9">
        <v>125456133</v>
      </c>
      <c r="G980" s="1">
        <v>30172199986500</v>
      </c>
      <c r="H980" s="1">
        <v>23232593891000</v>
      </c>
      <c r="I980">
        <f t="shared" si="15"/>
        <v>0</v>
      </c>
    </row>
    <row r="981" spans="1:9" x14ac:dyDescent="0.3">
      <c r="A981">
        <v>20181127</v>
      </c>
      <c r="B981" s="2" t="s">
        <v>9</v>
      </c>
      <c r="C981" s="8">
        <v>240500</v>
      </c>
      <c r="D981" s="8">
        <v>238000</v>
      </c>
      <c r="E981">
        <v>233824</v>
      </c>
      <c r="F981" s="9">
        <v>125456133</v>
      </c>
      <c r="G981" s="1">
        <v>29858559654000</v>
      </c>
      <c r="H981" s="1">
        <v>22991090836000</v>
      </c>
      <c r="I981">
        <f t="shared" si="15"/>
        <v>0</v>
      </c>
    </row>
    <row r="982" spans="1:9" x14ac:dyDescent="0.3">
      <c r="A982">
        <v>20181128</v>
      </c>
      <c r="B982" s="2" t="s">
        <v>9</v>
      </c>
      <c r="C982" s="8">
        <v>238000</v>
      </c>
      <c r="D982" s="8">
        <v>236000</v>
      </c>
      <c r="E982">
        <v>231859</v>
      </c>
      <c r="F982" s="9">
        <v>125456133</v>
      </c>
      <c r="G982" s="1">
        <v>29607647388000</v>
      </c>
      <c r="H982" s="1">
        <v>22797888392000</v>
      </c>
      <c r="I982">
        <f t="shared" si="15"/>
        <v>0</v>
      </c>
    </row>
    <row r="983" spans="1:9" x14ac:dyDescent="0.3">
      <c r="A983">
        <v>20181129</v>
      </c>
      <c r="B983" s="2" t="s">
        <v>9</v>
      </c>
      <c r="C983" s="8">
        <v>236000</v>
      </c>
      <c r="D983" s="8">
        <v>237000</v>
      </c>
      <c r="E983">
        <v>232842</v>
      </c>
      <c r="F983" s="9">
        <v>125456133</v>
      </c>
      <c r="G983" s="1">
        <v>29733103521000</v>
      </c>
      <c r="H983" s="1">
        <v>22894489614000</v>
      </c>
      <c r="I983">
        <f t="shared" si="15"/>
        <v>0</v>
      </c>
    </row>
    <row r="984" spans="1:9" x14ac:dyDescent="0.3">
      <c r="A984">
        <v>20181130</v>
      </c>
      <c r="B984" s="2" t="s">
        <v>9</v>
      </c>
      <c r="C984" s="8">
        <v>237000</v>
      </c>
      <c r="D984" s="8">
        <v>239500</v>
      </c>
      <c r="E984">
        <v>235298</v>
      </c>
      <c r="F984" s="9">
        <v>125456133</v>
      </c>
      <c r="G984" s="1">
        <v>30046743853500</v>
      </c>
      <c r="H984" s="1">
        <v>23135992669000</v>
      </c>
      <c r="I984">
        <f t="shared" si="15"/>
        <v>0</v>
      </c>
    </row>
    <row r="985" spans="1:9" x14ac:dyDescent="0.3">
      <c r="A985">
        <v>20181203</v>
      </c>
      <c r="B985" s="2" t="s">
        <v>9</v>
      </c>
      <c r="C985" s="8">
        <v>239500</v>
      </c>
      <c r="D985" s="8">
        <v>240500</v>
      </c>
      <c r="E985">
        <v>236280</v>
      </c>
      <c r="F985" s="9">
        <v>125456133</v>
      </c>
      <c r="G985" s="1">
        <v>30172199986500</v>
      </c>
      <c r="H985" s="1">
        <v>23232593891000</v>
      </c>
      <c r="I985">
        <f t="shared" si="15"/>
        <v>0</v>
      </c>
    </row>
    <row r="986" spans="1:9" x14ac:dyDescent="0.3">
      <c r="A986">
        <v>20181204</v>
      </c>
      <c r="B986" s="2" t="s">
        <v>9</v>
      </c>
      <c r="C986" s="8">
        <v>240500</v>
      </c>
      <c r="D986" s="8">
        <v>243500</v>
      </c>
      <c r="E986">
        <v>239228</v>
      </c>
      <c r="F986" s="9">
        <v>125456133</v>
      </c>
      <c r="G986" s="1">
        <v>30548568385500</v>
      </c>
      <c r="H986" s="1">
        <v>23522397557000</v>
      </c>
      <c r="I986">
        <f t="shared" si="15"/>
        <v>0</v>
      </c>
    </row>
    <row r="987" spans="1:9" x14ac:dyDescent="0.3">
      <c r="A987">
        <v>20181205</v>
      </c>
      <c r="B987" s="2" t="s">
        <v>9</v>
      </c>
      <c r="C987" s="8">
        <v>243500</v>
      </c>
      <c r="D987" s="8">
        <v>242000</v>
      </c>
      <c r="E987">
        <v>237754</v>
      </c>
      <c r="F987" s="9">
        <v>125456133</v>
      </c>
      <c r="G987" s="1">
        <v>30360384186000</v>
      </c>
      <c r="H987" s="1">
        <v>23377495724000</v>
      </c>
      <c r="I987">
        <f t="shared" si="15"/>
        <v>0</v>
      </c>
    </row>
    <row r="988" spans="1:9" x14ac:dyDescent="0.3">
      <c r="A988">
        <v>20181206</v>
      </c>
      <c r="B988" s="2" t="s">
        <v>9</v>
      </c>
      <c r="C988" s="8">
        <v>242000</v>
      </c>
      <c r="D988" s="8">
        <v>235500</v>
      </c>
      <c r="E988">
        <v>231368</v>
      </c>
      <c r="F988" s="9">
        <v>125456133</v>
      </c>
      <c r="G988" s="1">
        <v>29544919321500</v>
      </c>
      <c r="H988" s="1">
        <v>22749587781000</v>
      </c>
      <c r="I988">
        <f t="shared" si="15"/>
        <v>0</v>
      </c>
    </row>
    <row r="989" spans="1:9" x14ac:dyDescent="0.3">
      <c r="A989">
        <v>20181207</v>
      </c>
      <c r="B989" s="2" t="s">
        <v>9</v>
      </c>
      <c r="C989" s="8">
        <v>235500</v>
      </c>
      <c r="D989" s="8">
        <v>245500</v>
      </c>
      <c r="E989">
        <v>241192</v>
      </c>
      <c r="F989" s="9">
        <v>125456133</v>
      </c>
      <c r="G989" s="1">
        <v>30799480651500</v>
      </c>
      <c r="H989" s="1">
        <v>23715600001000</v>
      </c>
      <c r="I989">
        <f t="shared" si="15"/>
        <v>0</v>
      </c>
    </row>
    <row r="990" spans="1:9" x14ac:dyDescent="0.3">
      <c r="A990">
        <v>20181210</v>
      </c>
      <c r="B990" s="2" t="s">
        <v>9</v>
      </c>
      <c r="C990" s="8">
        <v>245500</v>
      </c>
      <c r="D990" s="8">
        <v>244500</v>
      </c>
      <c r="E990">
        <v>240210</v>
      </c>
      <c r="F990" s="9">
        <v>125456133</v>
      </c>
      <c r="G990" s="1">
        <v>30674024518500</v>
      </c>
      <c r="H990" s="1">
        <v>23618998779000</v>
      </c>
      <c r="I990">
        <f t="shared" si="15"/>
        <v>0</v>
      </c>
    </row>
    <row r="991" spans="1:9" x14ac:dyDescent="0.3">
      <c r="A991">
        <v>20181211</v>
      </c>
      <c r="B991" s="2" t="s">
        <v>9</v>
      </c>
      <c r="C991" s="8">
        <v>244500</v>
      </c>
      <c r="D991" s="8">
        <v>220000</v>
      </c>
      <c r="E991">
        <v>216140</v>
      </c>
      <c r="F991" s="9">
        <v>125456133</v>
      </c>
      <c r="G991" s="1">
        <v>27600349260000</v>
      </c>
      <c r="H991" s="1">
        <v>21252268840000</v>
      </c>
      <c r="I991">
        <f t="shared" si="15"/>
        <v>0</v>
      </c>
    </row>
    <row r="992" spans="1:9" x14ac:dyDescent="0.3">
      <c r="A992">
        <v>20181212</v>
      </c>
      <c r="B992" s="2" t="s">
        <v>9</v>
      </c>
      <c r="C992" s="8">
        <v>220000</v>
      </c>
      <c r="D992" s="8">
        <v>226500</v>
      </c>
      <c r="E992">
        <v>222526</v>
      </c>
      <c r="F992" s="9">
        <v>125456133</v>
      </c>
      <c r="G992" s="1">
        <v>28415814124500</v>
      </c>
      <c r="H992" s="1">
        <v>21880176783000</v>
      </c>
      <c r="I992">
        <f t="shared" si="15"/>
        <v>0</v>
      </c>
    </row>
    <row r="993" spans="1:10" x14ac:dyDescent="0.3">
      <c r="A993">
        <v>20181213</v>
      </c>
      <c r="B993" s="2" t="s">
        <v>9</v>
      </c>
      <c r="C993" s="8">
        <v>226500</v>
      </c>
      <c r="D993" s="8">
        <v>217500</v>
      </c>
      <c r="E993">
        <v>213684</v>
      </c>
      <c r="F993" s="9">
        <v>125456133</v>
      </c>
      <c r="G993" s="1">
        <v>27286708927500</v>
      </c>
      <c r="H993" s="1">
        <v>21010765785000</v>
      </c>
      <c r="I993">
        <f t="shared" si="15"/>
        <v>0</v>
      </c>
    </row>
    <row r="994" spans="1:10" x14ac:dyDescent="0.3">
      <c r="A994">
        <v>20181214</v>
      </c>
      <c r="B994" s="2" t="s">
        <v>9</v>
      </c>
      <c r="C994" s="8">
        <v>217500</v>
      </c>
      <c r="D994" s="8">
        <v>208000</v>
      </c>
      <c r="E994">
        <v>204350</v>
      </c>
      <c r="F994" s="9">
        <v>125456133</v>
      </c>
      <c r="G994" s="1">
        <v>26094875664000</v>
      </c>
      <c r="H994" s="1">
        <v>20093054176000</v>
      </c>
      <c r="I994">
        <f t="shared" si="15"/>
        <v>0</v>
      </c>
    </row>
    <row r="995" spans="1:10" x14ac:dyDescent="0.3">
      <c r="A995">
        <v>20181217</v>
      </c>
      <c r="B995" s="2" t="s">
        <v>9</v>
      </c>
      <c r="C995" s="8">
        <v>208000</v>
      </c>
      <c r="D995" s="8">
        <v>214500</v>
      </c>
      <c r="E995">
        <v>210736</v>
      </c>
      <c r="F995" s="9">
        <v>125456133</v>
      </c>
      <c r="G995" s="1">
        <v>26910340528500</v>
      </c>
      <c r="H995" s="1">
        <v>20720962119000</v>
      </c>
      <c r="I995">
        <f t="shared" si="15"/>
        <v>0</v>
      </c>
    </row>
    <row r="996" spans="1:10" x14ac:dyDescent="0.3">
      <c r="A996">
        <v>20181218</v>
      </c>
      <c r="B996" s="2" t="s">
        <v>9</v>
      </c>
      <c r="C996" s="8">
        <v>214500</v>
      </c>
      <c r="D996" s="8">
        <v>218500</v>
      </c>
      <c r="E996">
        <v>214666</v>
      </c>
      <c r="F996" s="9">
        <v>125456133</v>
      </c>
      <c r="G996" s="1">
        <v>27412165060500</v>
      </c>
      <c r="H996" s="1">
        <v>21107367007000</v>
      </c>
      <c r="I996">
        <f t="shared" si="15"/>
        <v>0</v>
      </c>
    </row>
    <row r="997" spans="1:10" x14ac:dyDescent="0.3">
      <c r="A997">
        <v>20181219</v>
      </c>
      <c r="B997" s="2" t="s">
        <v>9</v>
      </c>
      <c r="C997" s="8">
        <v>218500</v>
      </c>
      <c r="D997" s="8">
        <v>225500</v>
      </c>
      <c r="E997">
        <v>221543</v>
      </c>
      <c r="F997" s="9">
        <v>125456133</v>
      </c>
      <c r="G997" s="1">
        <v>28290357991500</v>
      </c>
      <c r="H997" s="1">
        <v>21783575561000</v>
      </c>
      <c r="I997">
        <f t="shared" si="15"/>
        <v>0</v>
      </c>
    </row>
    <row r="998" spans="1:10" x14ac:dyDescent="0.3">
      <c r="A998">
        <v>20181220</v>
      </c>
      <c r="B998" s="2" t="s">
        <v>9</v>
      </c>
      <c r="C998" s="8">
        <v>225500</v>
      </c>
      <c r="D998" s="8">
        <v>224000</v>
      </c>
      <c r="E998">
        <v>220070</v>
      </c>
      <c r="F998" s="9">
        <v>125456133</v>
      </c>
      <c r="G998" s="1">
        <v>28102173792000</v>
      </c>
      <c r="H998" s="1">
        <v>21638673728000</v>
      </c>
      <c r="I998">
        <f t="shared" si="15"/>
        <v>0</v>
      </c>
    </row>
    <row r="999" spans="1:10" x14ac:dyDescent="0.3">
      <c r="A999">
        <v>20181221</v>
      </c>
      <c r="B999" s="2" t="s">
        <v>9</v>
      </c>
      <c r="C999" s="8">
        <v>224000</v>
      </c>
      <c r="D999" s="8">
        <v>220000</v>
      </c>
      <c r="E999">
        <v>216140</v>
      </c>
      <c r="F999" s="9">
        <v>125456133</v>
      </c>
      <c r="G999" s="1">
        <v>27600349260000</v>
      </c>
      <c r="H999" s="1">
        <v>21252268840000</v>
      </c>
      <c r="I999">
        <f t="shared" si="15"/>
        <v>0</v>
      </c>
    </row>
    <row r="1000" spans="1:10" x14ac:dyDescent="0.3">
      <c r="A1000">
        <v>20181224</v>
      </c>
      <c r="B1000" s="2" t="s">
        <v>9</v>
      </c>
      <c r="C1000" s="8">
        <v>220000</v>
      </c>
      <c r="D1000" s="8">
        <v>210500</v>
      </c>
      <c r="E1000">
        <v>206807</v>
      </c>
      <c r="F1000" s="9">
        <v>125456133</v>
      </c>
      <c r="G1000" s="1">
        <v>26408515996500</v>
      </c>
      <c r="H1000" s="1">
        <v>20334557231000</v>
      </c>
      <c r="I1000">
        <f t="shared" si="15"/>
        <v>0</v>
      </c>
    </row>
    <row r="1001" spans="1:10" x14ac:dyDescent="0.3">
      <c r="A1001">
        <v>20181226</v>
      </c>
      <c r="B1001" s="2" t="s">
        <v>9</v>
      </c>
      <c r="C1001" s="8">
        <v>210500</v>
      </c>
      <c r="D1001" s="8">
        <v>228000</v>
      </c>
      <c r="E1001">
        <v>224000</v>
      </c>
      <c r="F1001" s="9">
        <v>125456133</v>
      </c>
      <c r="G1001" s="1">
        <v>28603998324000</v>
      </c>
      <c r="H1001" s="1">
        <v>22025078616000</v>
      </c>
      <c r="I1001">
        <f t="shared" si="15"/>
        <v>0</v>
      </c>
    </row>
    <row r="1002" spans="1:10" x14ac:dyDescent="0.3">
      <c r="A1002" s="8">
        <v>20181227</v>
      </c>
      <c r="B1002" s="10" t="s">
        <v>9</v>
      </c>
      <c r="C1002" s="8">
        <v>224000</v>
      </c>
      <c r="D1002" s="8">
        <v>223000</v>
      </c>
      <c r="E1002" s="8">
        <v>223000</v>
      </c>
      <c r="F1002" s="9">
        <v>125456133</v>
      </c>
      <c r="G1002" s="9">
        <v>27976717659000</v>
      </c>
      <c r="H1002" s="9">
        <v>21970017088000</v>
      </c>
      <c r="I1002" s="8">
        <f t="shared" si="15"/>
        <v>1</v>
      </c>
      <c r="J1002" t="s">
        <v>48</v>
      </c>
    </row>
    <row r="1003" spans="1:10" x14ac:dyDescent="0.3">
      <c r="A1003">
        <v>20181228</v>
      </c>
      <c r="B1003" s="2" t="s">
        <v>9</v>
      </c>
      <c r="C1003" s="8">
        <v>223000</v>
      </c>
      <c r="D1003" s="8">
        <v>222500</v>
      </c>
      <c r="E1003">
        <v>222500</v>
      </c>
      <c r="F1003" s="9">
        <v>125456133</v>
      </c>
      <c r="G1003" s="1">
        <v>27913989592500</v>
      </c>
      <c r="H1003" s="1">
        <v>21920756960000</v>
      </c>
      <c r="I1003">
        <f t="shared" si="15"/>
        <v>0</v>
      </c>
    </row>
    <row r="1004" spans="1:10" x14ac:dyDescent="0.3">
      <c r="A1004">
        <v>20190102</v>
      </c>
      <c r="B1004" s="2" t="s">
        <v>9</v>
      </c>
      <c r="C1004" s="8">
        <v>222500</v>
      </c>
      <c r="D1004" s="8">
        <v>214500</v>
      </c>
      <c r="E1004">
        <v>214500</v>
      </c>
      <c r="F1004" s="9">
        <v>125456133</v>
      </c>
      <c r="G1004" s="1">
        <v>26910340528500</v>
      </c>
      <c r="H1004" s="1">
        <v>21132594912000</v>
      </c>
      <c r="I1004">
        <f t="shared" si="15"/>
        <v>0</v>
      </c>
    </row>
    <row r="1005" spans="1:10" x14ac:dyDescent="0.3">
      <c r="A1005">
        <v>20190103</v>
      </c>
      <c r="B1005" s="2" t="s">
        <v>9</v>
      </c>
      <c r="C1005" s="8">
        <v>214500</v>
      </c>
      <c r="D1005" s="8">
        <v>210500</v>
      </c>
      <c r="E1005">
        <v>210500</v>
      </c>
      <c r="F1005" s="9">
        <v>125456133</v>
      </c>
      <c r="G1005" s="1">
        <v>26408515996500</v>
      </c>
      <c r="H1005" s="1">
        <v>20738513888000</v>
      </c>
      <c r="I1005">
        <f t="shared" si="15"/>
        <v>0</v>
      </c>
    </row>
    <row r="1006" spans="1:10" x14ac:dyDescent="0.3">
      <c r="A1006">
        <v>20190104</v>
      </c>
      <c r="B1006" s="2" t="s">
        <v>9</v>
      </c>
      <c r="C1006" s="8">
        <v>210500</v>
      </c>
      <c r="D1006" s="8">
        <v>220000</v>
      </c>
      <c r="E1006">
        <v>220000</v>
      </c>
      <c r="F1006" s="9">
        <v>125456133</v>
      </c>
      <c r="G1006" s="1">
        <v>27600349260000</v>
      </c>
      <c r="H1006" s="1">
        <v>21674456320000</v>
      </c>
      <c r="I1006">
        <f t="shared" si="15"/>
        <v>0</v>
      </c>
    </row>
    <row r="1007" spans="1:10" x14ac:dyDescent="0.3">
      <c r="A1007">
        <v>20190107</v>
      </c>
      <c r="B1007" s="2" t="s">
        <v>9</v>
      </c>
      <c r="C1007" s="8">
        <v>220000</v>
      </c>
      <c r="D1007" s="8">
        <v>216000</v>
      </c>
      <c r="E1007">
        <v>216000</v>
      </c>
      <c r="F1007" s="9">
        <v>125456133</v>
      </c>
      <c r="G1007" s="1">
        <v>27098524728000</v>
      </c>
      <c r="H1007" s="1">
        <v>21280375296000</v>
      </c>
      <c r="I1007">
        <f t="shared" si="15"/>
        <v>0</v>
      </c>
    </row>
    <row r="1008" spans="1:10" x14ac:dyDescent="0.3">
      <c r="A1008">
        <v>20190108</v>
      </c>
      <c r="B1008" s="2" t="s">
        <v>9</v>
      </c>
      <c r="C1008" s="8">
        <v>216000</v>
      </c>
      <c r="D1008" s="8">
        <v>213500</v>
      </c>
      <c r="E1008">
        <v>213500</v>
      </c>
      <c r="F1008" s="9">
        <v>125456133</v>
      </c>
      <c r="G1008" s="1">
        <v>26784884395500</v>
      </c>
      <c r="H1008" s="1">
        <v>21034074656000</v>
      </c>
      <c r="I1008">
        <f t="shared" si="15"/>
        <v>0</v>
      </c>
    </row>
    <row r="1009" spans="1:9" x14ac:dyDescent="0.3">
      <c r="A1009">
        <v>20190109</v>
      </c>
      <c r="B1009" s="2" t="s">
        <v>9</v>
      </c>
      <c r="C1009" s="8">
        <v>213500</v>
      </c>
      <c r="D1009" s="8">
        <v>214000</v>
      </c>
      <c r="E1009">
        <v>214000</v>
      </c>
      <c r="F1009" s="9">
        <v>125456133</v>
      </c>
      <c r="G1009" s="1">
        <v>26847612462000</v>
      </c>
      <c r="H1009" s="1">
        <v>21083334784000</v>
      </c>
      <c r="I1009">
        <f t="shared" si="15"/>
        <v>0</v>
      </c>
    </row>
    <row r="1010" spans="1:9" x14ac:dyDescent="0.3">
      <c r="A1010">
        <v>20190110</v>
      </c>
      <c r="B1010" s="2" t="s">
        <v>9</v>
      </c>
      <c r="C1010" s="8">
        <v>214000</v>
      </c>
      <c r="D1010" s="8">
        <v>216500</v>
      </c>
      <c r="E1010">
        <v>216500</v>
      </c>
      <c r="F1010" s="9">
        <v>125456133</v>
      </c>
      <c r="G1010" s="1">
        <v>27161252794500</v>
      </c>
      <c r="H1010" s="1">
        <v>21329635424000</v>
      </c>
      <c r="I1010">
        <f t="shared" si="15"/>
        <v>0</v>
      </c>
    </row>
    <row r="1011" spans="1:9" x14ac:dyDescent="0.3">
      <c r="A1011">
        <v>20190111</v>
      </c>
      <c r="B1011" s="2" t="s">
        <v>9</v>
      </c>
      <c r="C1011" s="8">
        <v>216500</v>
      </c>
      <c r="D1011" s="8">
        <v>216500</v>
      </c>
      <c r="E1011">
        <v>216500</v>
      </c>
      <c r="F1011" s="9">
        <v>125456133</v>
      </c>
      <c r="G1011" s="1">
        <v>27161252794500</v>
      </c>
      <c r="H1011" s="1">
        <v>21329635424000</v>
      </c>
      <c r="I1011">
        <f t="shared" si="15"/>
        <v>0</v>
      </c>
    </row>
    <row r="1012" spans="1:9" x14ac:dyDescent="0.3">
      <c r="A1012">
        <v>20190114</v>
      </c>
      <c r="B1012" s="2" t="s">
        <v>9</v>
      </c>
      <c r="C1012" s="8">
        <v>216500</v>
      </c>
      <c r="D1012" s="8">
        <v>211000</v>
      </c>
      <c r="E1012">
        <v>211000</v>
      </c>
      <c r="F1012" s="9">
        <v>125456133</v>
      </c>
      <c r="G1012" s="1">
        <v>26471244063000</v>
      </c>
      <c r="H1012" s="1">
        <v>20787774016000</v>
      </c>
      <c r="I1012">
        <f t="shared" si="15"/>
        <v>0</v>
      </c>
    </row>
    <row r="1013" spans="1:9" x14ac:dyDescent="0.3">
      <c r="A1013">
        <v>20190115</v>
      </c>
      <c r="B1013" s="2" t="s">
        <v>9</v>
      </c>
      <c r="C1013" s="8">
        <v>211000</v>
      </c>
      <c r="D1013" s="8">
        <v>207500</v>
      </c>
      <c r="E1013">
        <v>207500</v>
      </c>
      <c r="F1013" s="9">
        <v>125456133</v>
      </c>
      <c r="G1013" s="1">
        <v>26032147597500</v>
      </c>
      <c r="H1013" s="1">
        <v>20442953120000</v>
      </c>
      <c r="I1013">
        <f t="shared" si="15"/>
        <v>0</v>
      </c>
    </row>
    <row r="1014" spans="1:9" x14ac:dyDescent="0.3">
      <c r="A1014">
        <v>20190116</v>
      </c>
      <c r="B1014" s="2" t="s">
        <v>9</v>
      </c>
      <c r="C1014" s="8">
        <v>207500</v>
      </c>
      <c r="D1014" s="8">
        <v>202000</v>
      </c>
      <c r="E1014">
        <v>202000</v>
      </c>
      <c r="F1014" s="9">
        <v>125456133</v>
      </c>
      <c r="G1014" s="1">
        <v>25342138866000</v>
      </c>
      <c r="H1014" s="1">
        <v>19901091712000</v>
      </c>
      <c r="I1014">
        <f t="shared" si="15"/>
        <v>0</v>
      </c>
    </row>
    <row r="1015" spans="1:9" x14ac:dyDescent="0.3">
      <c r="A1015">
        <v>20190117</v>
      </c>
      <c r="B1015" s="2" t="s">
        <v>9</v>
      </c>
      <c r="C1015" s="8">
        <v>202000</v>
      </c>
      <c r="D1015" s="8">
        <v>195500</v>
      </c>
      <c r="E1015">
        <v>195500</v>
      </c>
      <c r="F1015" s="9">
        <v>125456133</v>
      </c>
      <c r="G1015" s="1">
        <v>24526674001500</v>
      </c>
      <c r="H1015" s="1">
        <v>19260710048000</v>
      </c>
      <c r="I1015">
        <f t="shared" si="15"/>
        <v>0</v>
      </c>
    </row>
    <row r="1016" spans="1:9" x14ac:dyDescent="0.3">
      <c r="A1016">
        <v>20190118</v>
      </c>
      <c r="B1016" s="2" t="s">
        <v>9</v>
      </c>
      <c r="C1016" s="8">
        <v>195500</v>
      </c>
      <c r="D1016" s="8">
        <v>201000</v>
      </c>
      <c r="E1016">
        <v>201000</v>
      </c>
      <c r="F1016" s="9">
        <v>125456133</v>
      </c>
      <c r="G1016" s="1">
        <v>25216682733000</v>
      </c>
      <c r="H1016" s="1">
        <v>19802571456000</v>
      </c>
      <c r="I1016">
        <f t="shared" si="15"/>
        <v>0</v>
      </c>
    </row>
    <row r="1017" spans="1:9" x14ac:dyDescent="0.3">
      <c r="A1017">
        <v>20190121</v>
      </c>
      <c r="B1017" s="2" t="s">
        <v>9</v>
      </c>
      <c r="C1017" s="8">
        <v>201000</v>
      </c>
      <c r="D1017" s="8">
        <v>198000</v>
      </c>
      <c r="E1017">
        <v>198000</v>
      </c>
      <c r="F1017" s="9">
        <v>125456133</v>
      </c>
      <c r="G1017" s="1">
        <v>24840314334000</v>
      </c>
      <c r="H1017" s="1">
        <v>19507010688000</v>
      </c>
      <c r="I1017">
        <f t="shared" si="15"/>
        <v>0</v>
      </c>
    </row>
    <row r="1018" spans="1:9" x14ac:dyDescent="0.3">
      <c r="A1018">
        <v>20190122</v>
      </c>
      <c r="B1018" s="2" t="s">
        <v>9</v>
      </c>
      <c r="C1018" s="8">
        <v>198000</v>
      </c>
      <c r="D1018" s="8">
        <v>200000</v>
      </c>
      <c r="E1018">
        <v>200000</v>
      </c>
      <c r="F1018" s="9">
        <v>125456133</v>
      </c>
      <c r="G1018" s="1">
        <v>25091226600000</v>
      </c>
      <c r="H1018" s="1">
        <v>19704051200000</v>
      </c>
      <c r="I1018">
        <f t="shared" si="15"/>
        <v>0</v>
      </c>
    </row>
    <row r="1019" spans="1:9" x14ac:dyDescent="0.3">
      <c r="A1019">
        <v>20190123</v>
      </c>
      <c r="B1019" s="2" t="s">
        <v>9</v>
      </c>
      <c r="C1019" s="8">
        <v>200000</v>
      </c>
      <c r="D1019" s="8">
        <v>200000</v>
      </c>
      <c r="E1019">
        <v>200000</v>
      </c>
      <c r="F1019" s="9">
        <v>125456133</v>
      </c>
      <c r="G1019" s="1">
        <v>25091226600000</v>
      </c>
      <c r="H1019" s="1">
        <v>19704051200000</v>
      </c>
      <c r="I1019">
        <f t="shared" si="15"/>
        <v>0</v>
      </c>
    </row>
    <row r="1020" spans="1:9" x14ac:dyDescent="0.3">
      <c r="A1020">
        <v>20190124</v>
      </c>
      <c r="B1020" s="2" t="s">
        <v>9</v>
      </c>
      <c r="C1020" s="8">
        <v>200000</v>
      </c>
      <c r="D1020" s="8">
        <v>208000</v>
      </c>
      <c r="E1020">
        <v>208000</v>
      </c>
      <c r="F1020" s="9">
        <v>125456133</v>
      </c>
      <c r="G1020" s="1">
        <v>26094875664000</v>
      </c>
      <c r="H1020" s="1">
        <v>20492213248000</v>
      </c>
      <c r="I1020">
        <f t="shared" si="15"/>
        <v>0</v>
      </c>
    </row>
    <row r="1021" spans="1:9" x14ac:dyDescent="0.3">
      <c r="A1021">
        <v>20190125</v>
      </c>
      <c r="B1021" s="2" t="s">
        <v>9</v>
      </c>
      <c r="C1021" s="8">
        <v>208000</v>
      </c>
      <c r="D1021" s="8">
        <v>208500</v>
      </c>
      <c r="E1021">
        <v>208500</v>
      </c>
      <c r="F1021" s="9">
        <v>125456133</v>
      </c>
      <c r="G1021" s="1">
        <v>26157603730500</v>
      </c>
      <c r="H1021" s="1">
        <v>20541473376000</v>
      </c>
      <c r="I1021">
        <f t="shared" si="15"/>
        <v>0</v>
      </c>
    </row>
    <row r="1022" spans="1:9" x14ac:dyDescent="0.3">
      <c r="A1022">
        <v>20190128</v>
      </c>
      <c r="B1022" s="2" t="s">
        <v>9</v>
      </c>
      <c r="C1022" s="8">
        <v>208500</v>
      </c>
      <c r="D1022" s="8">
        <v>211000</v>
      </c>
      <c r="E1022">
        <v>211000</v>
      </c>
      <c r="F1022" s="9">
        <v>125456133</v>
      </c>
      <c r="G1022" s="1">
        <v>26471244063000</v>
      </c>
      <c r="H1022" s="1">
        <v>20787774016000</v>
      </c>
      <c r="I1022">
        <f t="shared" si="15"/>
        <v>0</v>
      </c>
    </row>
    <row r="1023" spans="1:9" x14ac:dyDescent="0.3">
      <c r="A1023">
        <v>20190129</v>
      </c>
      <c r="B1023" s="2" t="s">
        <v>9</v>
      </c>
      <c r="C1023" s="8">
        <v>211000</v>
      </c>
      <c r="D1023" s="8">
        <v>210500</v>
      </c>
      <c r="E1023">
        <v>210500</v>
      </c>
      <c r="F1023" s="9">
        <v>125456133</v>
      </c>
      <c r="G1023" s="1">
        <v>26408515996500</v>
      </c>
      <c r="H1023" s="1">
        <v>20738513888000</v>
      </c>
      <c r="I1023">
        <f t="shared" si="15"/>
        <v>0</v>
      </c>
    </row>
    <row r="1024" spans="1:9" x14ac:dyDescent="0.3">
      <c r="A1024">
        <v>20190130</v>
      </c>
      <c r="B1024" s="2" t="s">
        <v>9</v>
      </c>
      <c r="C1024" s="8">
        <v>210500</v>
      </c>
      <c r="D1024" s="8">
        <v>215000</v>
      </c>
      <c r="E1024">
        <v>215000</v>
      </c>
      <c r="F1024" s="9">
        <v>125456133</v>
      </c>
      <c r="G1024" s="1">
        <v>26973068595000</v>
      </c>
      <c r="H1024" s="1">
        <v>21181855040000</v>
      </c>
      <c r="I1024">
        <f t="shared" si="15"/>
        <v>0</v>
      </c>
    </row>
    <row r="1025" spans="1:10" x14ac:dyDescent="0.3">
      <c r="A1025">
        <v>20190131</v>
      </c>
      <c r="B1025" s="2" t="s">
        <v>9</v>
      </c>
      <c r="C1025" s="8">
        <v>215000</v>
      </c>
      <c r="D1025" s="8">
        <v>219000</v>
      </c>
      <c r="E1025">
        <v>219000</v>
      </c>
      <c r="F1025" s="9">
        <v>125456133</v>
      </c>
      <c r="G1025" s="1">
        <v>27474893127000</v>
      </c>
      <c r="H1025" s="1">
        <v>21575936064000</v>
      </c>
      <c r="I1025">
        <f t="shared" si="15"/>
        <v>0</v>
      </c>
    </row>
    <row r="1026" spans="1:10" x14ac:dyDescent="0.3">
      <c r="A1026">
        <v>20190201</v>
      </c>
      <c r="B1026" s="2" t="s">
        <v>9</v>
      </c>
      <c r="C1026" s="8">
        <v>219000</v>
      </c>
      <c r="D1026" s="8">
        <v>214500</v>
      </c>
      <c r="E1026">
        <v>214500</v>
      </c>
      <c r="F1026" s="9">
        <v>125456133</v>
      </c>
      <c r="G1026" s="1">
        <v>26910340528500</v>
      </c>
      <c r="H1026" s="1">
        <v>21132594912000</v>
      </c>
      <c r="I1026">
        <f t="shared" si="15"/>
        <v>0</v>
      </c>
    </row>
    <row r="1027" spans="1:10" x14ac:dyDescent="0.3">
      <c r="A1027">
        <v>20190207</v>
      </c>
      <c r="B1027" s="2" t="s">
        <v>9</v>
      </c>
      <c r="C1027" s="8">
        <v>214500</v>
      </c>
      <c r="D1027" s="8">
        <v>214000</v>
      </c>
      <c r="E1027">
        <v>214000</v>
      </c>
      <c r="F1027" s="9">
        <v>125456133</v>
      </c>
      <c r="G1027" s="1">
        <v>26847612462000</v>
      </c>
      <c r="H1027" s="1">
        <v>21083334784000</v>
      </c>
      <c r="I1027">
        <f t="shared" ref="I1027:I1090" si="16">IF(C1027*F1027=D1026*F1026,0,1)</f>
        <v>0</v>
      </c>
    </row>
    <row r="1028" spans="1:10" x14ac:dyDescent="0.3">
      <c r="A1028">
        <v>20190208</v>
      </c>
      <c r="B1028" s="2" t="s">
        <v>9</v>
      </c>
      <c r="C1028" s="8">
        <v>214000</v>
      </c>
      <c r="D1028" s="8">
        <v>215000</v>
      </c>
      <c r="E1028">
        <v>215000</v>
      </c>
      <c r="F1028" s="9">
        <v>125456133</v>
      </c>
      <c r="G1028" s="1">
        <v>26973068595000</v>
      </c>
      <c r="H1028" s="1">
        <v>21181855040000</v>
      </c>
      <c r="I1028">
        <f t="shared" si="16"/>
        <v>0</v>
      </c>
    </row>
    <row r="1029" spans="1:10" x14ac:dyDescent="0.3">
      <c r="A1029">
        <v>20190211</v>
      </c>
      <c r="B1029" s="2" t="s">
        <v>9</v>
      </c>
      <c r="C1029" s="8">
        <v>215000</v>
      </c>
      <c r="D1029" s="8">
        <v>215500</v>
      </c>
      <c r="E1029">
        <v>215500</v>
      </c>
      <c r="F1029" s="9">
        <v>125456133</v>
      </c>
      <c r="G1029" s="1">
        <v>27035796661500</v>
      </c>
      <c r="H1029" s="1">
        <v>21231115168000</v>
      </c>
      <c r="I1029">
        <f t="shared" si="16"/>
        <v>0</v>
      </c>
    </row>
    <row r="1030" spans="1:10" x14ac:dyDescent="0.3">
      <c r="A1030">
        <v>20190212</v>
      </c>
      <c r="B1030" s="2" t="s">
        <v>9</v>
      </c>
      <c r="C1030" s="8">
        <v>215500</v>
      </c>
      <c r="D1030" s="8">
        <v>212500</v>
      </c>
      <c r="E1030">
        <v>212500</v>
      </c>
      <c r="F1030" s="9">
        <v>125456133</v>
      </c>
      <c r="G1030" s="1">
        <v>26659428262500</v>
      </c>
      <c r="H1030" s="1">
        <v>20935554400000</v>
      </c>
      <c r="I1030">
        <f t="shared" si="16"/>
        <v>0</v>
      </c>
    </row>
    <row r="1031" spans="1:10" x14ac:dyDescent="0.3">
      <c r="A1031">
        <v>20190213</v>
      </c>
      <c r="B1031" s="2" t="s">
        <v>9</v>
      </c>
      <c r="C1031" s="8">
        <v>212500</v>
      </c>
      <c r="D1031" s="8">
        <v>212000</v>
      </c>
      <c r="E1031">
        <v>212000</v>
      </c>
      <c r="F1031" s="9">
        <v>125456133</v>
      </c>
      <c r="G1031" s="1">
        <v>26596700196000</v>
      </c>
      <c r="H1031" s="1">
        <v>20886294272000</v>
      </c>
      <c r="I1031">
        <f t="shared" si="16"/>
        <v>0</v>
      </c>
    </row>
    <row r="1032" spans="1:10" x14ac:dyDescent="0.3">
      <c r="A1032">
        <v>20190214</v>
      </c>
      <c r="B1032" s="2" t="s">
        <v>9</v>
      </c>
      <c r="C1032" s="8">
        <v>212000</v>
      </c>
      <c r="D1032" s="8">
        <v>210000</v>
      </c>
      <c r="E1032">
        <v>210000</v>
      </c>
      <c r="F1032" s="9">
        <v>125456133</v>
      </c>
      <c r="G1032" s="1">
        <v>26345787930000</v>
      </c>
      <c r="H1032" s="1">
        <v>20689253760000</v>
      </c>
      <c r="I1032">
        <f t="shared" si="16"/>
        <v>0</v>
      </c>
    </row>
    <row r="1033" spans="1:10" x14ac:dyDescent="0.3">
      <c r="A1033">
        <v>20190215</v>
      </c>
      <c r="B1033" s="2" t="s">
        <v>9</v>
      </c>
      <c r="C1033" s="8">
        <v>210000</v>
      </c>
      <c r="D1033" s="8">
        <v>209500</v>
      </c>
      <c r="E1033">
        <v>209500</v>
      </c>
      <c r="F1033" s="9">
        <v>125456133</v>
      </c>
      <c r="G1033" s="1">
        <v>26283059863500</v>
      </c>
      <c r="H1033" s="1">
        <v>20639993632000</v>
      </c>
      <c r="I1033">
        <f t="shared" si="16"/>
        <v>0</v>
      </c>
    </row>
    <row r="1034" spans="1:10" x14ac:dyDescent="0.3">
      <c r="A1034">
        <v>20190218</v>
      </c>
      <c r="B1034" s="2" t="s">
        <v>9</v>
      </c>
      <c r="C1034" s="8">
        <v>209500</v>
      </c>
      <c r="D1034" s="8">
        <v>212000</v>
      </c>
      <c r="E1034">
        <v>212000</v>
      </c>
      <c r="F1034" s="9">
        <v>125456133</v>
      </c>
      <c r="G1034" s="1">
        <v>26596700196000</v>
      </c>
      <c r="H1034" s="1">
        <v>20886294272000</v>
      </c>
      <c r="I1034">
        <f t="shared" si="16"/>
        <v>0</v>
      </c>
    </row>
    <row r="1035" spans="1:10" x14ac:dyDescent="0.3">
      <c r="A1035">
        <v>20190219</v>
      </c>
      <c r="B1035" s="2" t="s">
        <v>9</v>
      </c>
      <c r="C1035" s="8">
        <v>212000</v>
      </c>
      <c r="D1035" s="8">
        <v>215000</v>
      </c>
      <c r="E1035">
        <v>215000</v>
      </c>
      <c r="F1035" s="9">
        <v>125456133</v>
      </c>
      <c r="G1035" s="1">
        <v>26973068595000</v>
      </c>
      <c r="H1035" s="1">
        <v>21181855040000</v>
      </c>
      <c r="I1035">
        <f t="shared" si="16"/>
        <v>0</v>
      </c>
    </row>
    <row r="1036" spans="1:10" x14ac:dyDescent="0.3">
      <c r="A1036" s="8">
        <v>20190220</v>
      </c>
      <c r="B1036" s="10" t="s">
        <v>9</v>
      </c>
      <c r="C1036" s="8">
        <v>215000</v>
      </c>
      <c r="D1036" s="8">
        <v>213500</v>
      </c>
      <c r="E1036" s="8">
        <v>213500</v>
      </c>
      <c r="F1036" s="9">
        <v>125461438</v>
      </c>
      <c r="G1036" s="9">
        <v>26786017013000</v>
      </c>
      <c r="H1036" s="9">
        <v>21034946803500</v>
      </c>
      <c r="I1036" s="8">
        <f t="shared" si="16"/>
        <v>1</v>
      </c>
      <c r="J1036" t="s">
        <v>47</v>
      </c>
    </row>
    <row r="1037" spans="1:10" x14ac:dyDescent="0.3">
      <c r="A1037">
        <v>20190221</v>
      </c>
      <c r="B1037" s="2" t="s">
        <v>9</v>
      </c>
      <c r="C1037" s="8">
        <v>213500</v>
      </c>
      <c r="D1037" s="8">
        <v>207500</v>
      </c>
      <c r="E1037">
        <v>207500</v>
      </c>
      <c r="F1037" s="9">
        <v>125461438</v>
      </c>
      <c r="G1037" s="1">
        <v>26033248385000</v>
      </c>
      <c r="H1037" s="1">
        <v>20443800757500</v>
      </c>
      <c r="I1037">
        <f t="shared" si="16"/>
        <v>0</v>
      </c>
    </row>
    <row r="1038" spans="1:10" x14ac:dyDescent="0.3">
      <c r="A1038">
        <v>20190222</v>
      </c>
      <c r="B1038" s="2" t="s">
        <v>9</v>
      </c>
      <c r="C1038" s="8">
        <v>207500</v>
      </c>
      <c r="D1038" s="8">
        <v>207000</v>
      </c>
      <c r="E1038">
        <v>207000</v>
      </c>
      <c r="F1038" s="9">
        <v>125461438</v>
      </c>
      <c r="G1038" s="1">
        <v>25970517666000</v>
      </c>
      <c r="H1038" s="1">
        <v>20394538587000</v>
      </c>
      <c r="I1038">
        <f t="shared" si="16"/>
        <v>0</v>
      </c>
    </row>
    <row r="1039" spans="1:10" x14ac:dyDescent="0.3">
      <c r="A1039">
        <v>20190225</v>
      </c>
      <c r="B1039" s="2" t="s">
        <v>9</v>
      </c>
      <c r="C1039" s="8">
        <v>207000</v>
      </c>
      <c r="D1039" s="8">
        <v>204000</v>
      </c>
      <c r="E1039">
        <v>204000</v>
      </c>
      <c r="F1039" s="9">
        <v>125461438</v>
      </c>
      <c r="G1039" s="1">
        <v>25594133352000</v>
      </c>
      <c r="H1039" s="1">
        <v>20098965564000</v>
      </c>
      <c r="I1039">
        <f t="shared" si="16"/>
        <v>0</v>
      </c>
    </row>
    <row r="1040" spans="1:10" x14ac:dyDescent="0.3">
      <c r="A1040">
        <v>20190226</v>
      </c>
      <c r="B1040" s="2" t="s">
        <v>9</v>
      </c>
      <c r="C1040" s="8">
        <v>204000</v>
      </c>
      <c r="D1040" s="8">
        <v>204500</v>
      </c>
      <c r="E1040">
        <v>204500</v>
      </c>
      <c r="F1040" s="9">
        <v>125461438</v>
      </c>
      <c r="G1040" s="1">
        <v>25656864071000</v>
      </c>
      <c r="H1040" s="1">
        <v>20148227734500</v>
      </c>
      <c r="I1040">
        <f t="shared" si="16"/>
        <v>0</v>
      </c>
    </row>
    <row r="1041" spans="1:9" x14ac:dyDescent="0.3">
      <c r="A1041">
        <v>20190227</v>
      </c>
      <c r="B1041" s="2" t="s">
        <v>9</v>
      </c>
      <c r="C1041" s="8">
        <v>204500</v>
      </c>
      <c r="D1041" s="8">
        <v>202500</v>
      </c>
      <c r="E1041">
        <v>202500</v>
      </c>
      <c r="F1041" s="9">
        <v>125461438</v>
      </c>
      <c r="G1041" s="1">
        <v>25405941195000</v>
      </c>
      <c r="H1041" s="1">
        <v>19951179052500</v>
      </c>
      <c r="I1041">
        <f t="shared" si="16"/>
        <v>0</v>
      </c>
    </row>
    <row r="1042" spans="1:9" x14ac:dyDescent="0.3">
      <c r="A1042">
        <v>20190228</v>
      </c>
      <c r="B1042" s="2" t="s">
        <v>9</v>
      </c>
      <c r="C1042" s="8">
        <v>202500</v>
      </c>
      <c r="D1042" s="8">
        <v>204500</v>
      </c>
      <c r="E1042">
        <v>204500</v>
      </c>
      <c r="F1042" s="9">
        <v>125461438</v>
      </c>
      <c r="G1042" s="1">
        <v>25656864071000</v>
      </c>
      <c r="H1042" s="1">
        <v>20148227734500</v>
      </c>
      <c r="I1042">
        <f t="shared" si="16"/>
        <v>0</v>
      </c>
    </row>
    <row r="1043" spans="1:9" x14ac:dyDescent="0.3">
      <c r="A1043">
        <v>20190304</v>
      </c>
      <c r="B1043" s="2" t="s">
        <v>9</v>
      </c>
      <c r="C1043" s="8">
        <v>204500</v>
      </c>
      <c r="D1043" s="8">
        <v>207500</v>
      </c>
      <c r="E1043">
        <v>207500</v>
      </c>
      <c r="F1043" s="9">
        <v>125461438</v>
      </c>
      <c r="G1043" s="1">
        <v>26033248385000</v>
      </c>
      <c r="H1043" s="1">
        <v>20443800757500</v>
      </c>
      <c r="I1043">
        <f t="shared" si="16"/>
        <v>0</v>
      </c>
    </row>
    <row r="1044" spans="1:9" x14ac:dyDescent="0.3">
      <c r="A1044">
        <v>20190305</v>
      </c>
      <c r="B1044" s="2" t="s">
        <v>9</v>
      </c>
      <c r="C1044" s="8">
        <v>207500</v>
      </c>
      <c r="D1044" s="8">
        <v>210000</v>
      </c>
      <c r="E1044">
        <v>210000</v>
      </c>
      <c r="F1044" s="9">
        <v>125461438</v>
      </c>
      <c r="G1044" s="1">
        <v>26346901980000</v>
      </c>
      <c r="H1044" s="1">
        <v>20690111610000</v>
      </c>
      <c r="I1044">
        <f t="shared" si="16"/>
        <v>0</v>
      </c>
    </row>
    <row r="1045" spans="1:9" x14ac:dyDescent="0.3">
      <c r="A1045">
        <v>20190306</v>
      </c>
      <c r="B1045" s="2" t="s">
        <v>9</v>
      </c>
      <c r="C1045" s="8">
        <v>210000</v>
      </c>
      <c r="D1045" s="8">
        <v>211000</v>
      </c>
      <c r="E1045">
        <v>211000</v>
      </c>
      <c r="F1045" s="9">
        <v>125461438</v>
      </c>
      <c r="G1045" s="1">
        <v>26472363418000</v>
      </c>
      <c r="H1045" s="1">
        <v>20788635951000</v>
      </c>
      <c r="I1045">
        <f t="shared" si="16"/>
        <v>0</v>
      </c>
    </row>
    <row r="1046" spans="1:9" x14ac:dyDescent="0.3">
      <c r="A1046">
        <v>20190307</v>
      </c>
      <c r="B1046" s="2" t="s">
        <v>9</v>
      </c>
      <c r="C1046" s="8">
        <v>211000</v>
      </c>
      <c r="D1046" s="8">
        <v>207000</v>
      </c>
      <c r="E1046">
        <v>207000</v>
      </c>
      <c r="F1046" s="9">
        <v>125461438</v>
      </c>
      <c r="G1046" s="1">
        <v>25970517666000</v>
      </c>
      <c r="H1046" s="1">
        <v>20394538587000</v>
      </c>
      <c r="I1046">
        <f t="shared" si="16"/>
        <v>0</v>
      </c>
    </row>
    <row r="1047" spans="1:9" x14ac:dyDescent="0.3">
      <c r="A1047">
        <v>20190308</v>
      </c>
      <c r="B1047" s="2" t="s">
        <v>9</v>
      </c>
      <c r="C1047" s="8">
        <v>207000</v>
      </c>
      <c r="D1047" s="8">
        <v>206000</v>
      </c>
      <c r="E1047">
        <v>206000</v>
      </c>
      <c r="F1047" s="9">
        <v>125461438</v>
      </c>
      <c r="G1047" s="1">
        <v>25845056228000</v>
      </c>
      <c r="H1047" s="1">
        <v>20296014246000</v>
      </c>
      <c r="I1047">
        <f t="shared" si="16"/>
        <v>0</v>
      </c>
    </row>
    <row r="1048" spans="1:9" x14ac:dyDescent="0.3">
      <c r="A1048">
        <v>20190311</v>
      </c>
      <c r="B1048" s="2" t="s">
        <v>9</v>
      </c>
      <c r="C1048" s="8">
        <v>206000</v>
      </c>
      <c r="D1048" s="8">
        <v>205000</v>
      </c>
      <c r="E1048">
        <v>205000</v>
      </c>
      <c r="F1048" s="9">
        <v>125461438</v>
      </c>
      <c r="G1048" s="1">
        <v>25719594790000</v>
      </c>
      <c r="H1048" s="1">
        <v>20197489905000</v>
      </c>
      <c r="I1048">
        <f t="shared" si="16"/>
        <v>0</v>
      </c>
    </row>
    <row r="1049" spans="1:9" x14ac:dyDescent="0.3">
      <c r="A1049">
        <v>20190312</v>
      </c>
      <c r="B1049" s="2" t="s">
        <v>9</v>
      </c>
      <c r="C1049" s="8">
        <v>205000</v>
      </c>
      <c r="D1049" s="8">
        <v>209000</v>
      </c>
      <c r="E1049">
        <v>209000</v>
      </c>
      <c r="F1049" s="9">
        <v>125461438</v>
      </c>
      <c r="G1049" s="1">
        <v>26221440542000</v>
      </c>
      <c r="H1049" s="1">
        <v>20591587269000</v>
      </c>
      <c r="I1049">
        <f t="shared" si="16"/>
        <v>0</v>
      </c>
    </row>
    <row r="1050" spans="1:9" x14ac:dyDescent="0.3">
      <c r="A1050">
        <v>20190313</v>
      </c>
      <c r="B1050" s="2" t="s">
        <v>9</v>
      </c>
      <c r="C1050" s="8">
        <v>209000</v>
      </c>
      <c r="D1050" s="8">
        <v>207500</v>
      </c>
      <c r="E1050">
        <v>207500</v>
      </c>
      <c r="F1050" s="9">
        <v>125461438</v>
      </c>
      <c r="G1050" s="1">
        <v>26033248385000</v>
      </c>
      <c r="H1050" s="1">
        <v>20443800757500</v>
      </c>
      <c r="I1050">
        <f t="shared" si="16"/>
        <v>0</v>
      </c>
    </row>
    <row r="1051" spans="1:9" x14ac:dyDescent="0.3">
      <c r="A1051">
        <v>20190314</v>
      </c>
      <c r="B1051" s="2" t="s">
        <v>9</v>
      </c>
      <c r="C1051" s="8">
        <v>207500</v>
      </c>
      <c r="D1051" s="8">
        <v>206000</v>
      </c>
      <c r="E1051">
        <v>206000</v>
      </c>
      <c r="F1051" s="9">
        <v>125461438</v>
      </c>
      <c r="G1051" s="1">
        <v>25845056228000</v>
      </c>
      <c r="H1051" s="1">
        <v>20296014246000</v>
      </c>
      <c r="I1051">
        <f t="shared" si="16"/>
        <v>0</v>
      </c>
    </row>
    <row r="1052" spans="1:9" x14ac:dyDescent="0.3">
      <c r="A1052">
        <v>20190315</v>
      </c>
      <c r="B1052" s="2" t="s">
        <v>9</v>
      </c>
      <c r="C1052" s="8">
        <v>206000</v>
      </c>
      <c r="D1052" s="8">
        <v>203000</v>
      </c>
      <c r="E1052">
        <v>203000</v>
      </c>
      <c r="F1052" s="9">
        <v>125461438</v>
      </c>
      <c r="G1052" s="1">
        <v>25468671914000</v>
      </c>
      <c r="H1052" s="1">
        <v>20000441223000</v>
      </c>
      <c r="I1052">
        <f t="shared" si="16"/>
        <v>0</v>
      </c>
    </row>
    <row r="1053" spans="1:9" x14ac:dyDescent="0.3">
      <c r="A1053">
        <v>20190318</v>
      </c>
      <c r="B1053" s="2" t="s">
        <v>9</v>
      </c>
      <c r="C1053" s="8">
        <v>203000</v>
      </c>
      <c r="D1053" s="8">
        <v>201000</v>
      </c>
      <c r="E1053">
        <v>201000</v>
      </c>
      <c r="F1053" s="9">
        <v>125461438</v>
      </c>
      <c r="G1053" s="1">
        <v>25217749038000</v>
      </c>
      <c r="H1053" s="1">
        <v>19803392541000</v>
      </c>
      <c r="I1053">
        <f t="shared" si="16"/>
        <v>0</v>
      </c>
    </row>
    <row r="1054" spans="1:9" x14ac:dyDescent="0.3">
      <c r="A1054">
        <v>20190319</v>
      </c>
      <c r="B1054" s="2" t="s">
        <v>9</v>
      </c>
      <c r="C1054" s="8">
        <v>201000</v>
      </c>
      <c r="D1054" s="8">
        <v>203000</v>
      </c>
      <c r="E1054">
        <v>203000</v>
      </c>
      <c r="F1054" s="9">
        <v>125461438</v>
      </c>
      <c r="G1054" s="1">
        <v>25468671914000</v>
      </c>
      <c r="H1054" s="1">
        <v>20000441223000</v>
      </c>
      <c r="I1054">
        <f t="shared" si="16"/>
        <v>0</v>
      </c>
    </row>
    <row r="1055" spans="1:9" x14ac:dyDescent="0.3">
      <c r="A1055">
        <v>20190320</v>
      </c>
      <c r="B1055" s="2" t="s">
        <v>9</v>
      </c>
      <c r="C1055" s="8">
        <v>203000</v>
      </c>
      <c r="D1055" s="8">
        <v>201000</v>
      </c>
      <c r="E1055">
        <v>201000</v>
      </c>
      <c r="F1055" s="9">
        <v>125461438</v>
      </c>
      <c r="G1055" s="1">
        <v>25217749038000</v>
      </c>
      <c r="H1055" s="1">
        <v>19803392541000</v>
      </c>
      <c r="I1055">
        <f t="shared" si="16"/>
        <v>0</v>
      </c>
    </row>
    <row r="1056" spans="1:9" x14ac:dyDescent="0.3">
      <c r="A1056">
        <v>20190321</v>
      </c>
      <c r="B1056" s="2" t="s">
        <v>9</v>
      </c>
      <c r="C1056" s="8">
        <v>201000</v>
      </c>
      <c r="D1056" s="8">
        <v>200500</v>
      </c>
      <c r="E1056">
        <v>200500</v>
      </c>
      <c r="F1056" s="9">
        <v>125461438</v>
      </c>
      <c r="G1056" s="1">
        <v>25155018319000</v>
      </c>
      <c r="H1056" s="1">
        <v>19754130370500</v>
      </c>
      <c r="I1056">
        <f t="shared" si="16"/>
        <v>0</v>
      </c>
    </row>
    <row r="1057" spans="1:9" x14ac:dyDescent="0.3">
      <c r="A1057">
        <v>20190322</v>
      </c>
      <c r="B1057" s="2" t="s">
        <v>9</v>
      </c>
      <c r="C1057" s="8">
        <v>200500</v>
      </c>
      <c r="D1057" s="8">
        <v>199500</v>
      </c>
      <c r="E1057">
        <v>199500</v>
      </c>
      <c r="F1057" s="9">
        <v>125461438</v>
      </c>
      <c r="G1057" s="1">
        <v>25029556881000</v>
      </c>
      <c r="H1057" s="1">
        <v>19655606029500</v>
      </c>
      <c r="I1057">
        <f t="shared" si="16"/>
        <v>0</v>
      </c>
    </row>
    <row r="1058" spans="1:9" x14ac:dyDescent="0.3">
      <c r="A1058">
        <v>20190325</v>
      </c>
      <c r="B1058" s="2" t="s">
        <v>9</v>
      </c>
      <c r="C1058" s="8">
        <v>199500</v>
      </c>
      <c r="D1058" s="8">
        <v>198000</v>
      </c>
      <c r="E1058">
        <v>198000</v>
      </c>
      <c r="F1058" s="9">
        <v>125461438</v>
      </c>
      <c r="G1058" s="1">
        <v>24841364724000</v>
      </c>
      <c r="H1058" s="1">
        <v>19507819518000</v>
      </c>
      <c r="I1058">
        <f t="shared" si="16"/>
        <v>0</v>
      </c>
    </row>
    <row r="1059" spans="1:9" x14ac:dyDescent="0.3">
      <c r="A1059">
        <v>20190326</v>
      </c>
      <c r="B1059" s="2" t="s">
        <v>9</v>
      </c>
      <c r="C1059" s="8">
        <v>198000</v>
      </c>
      <c r="D1059" s="8">
        <v>192500</v>
      </c>
      <c r="E1059">
        <v>192500</v>
      </c>
      <c r="F1059" s="9">
        <v>125461438</v>
      </c>
      <c r="G1059" s="1">
        <v>24151326815000</v>
      </c>
      <c r="H1059" s="1">
        <v>18965935642500</v>
      </c>
      <c r="I1059">
        <f t="shared" si="16"/>
        <v>0</v>
      </c>
    </row>
    <row r="1060" spans="1:9" x14ac:dyDescent="0.3">
      <c r="A1060">
        <v>20190327</v>
      </c>
      <c r="B1060" s="2" t="s">
        <v>9</v>
      </c>
      <c r="C1060" s="8">
        <v>192500</v>
      </c>
      <c r="D1060" s="8">
        <v>183000</v>
      </c>
      <c r="E1060">
        <v>183000</v>
      </c>
      <c r="F1060" s="9">
        <v>125461438</v>
      </c>
      <c r="G1060" s="1">
        <v>22959443154000</v>
      </c>
      <c r="H1060" s="1">
        <v>18029954403000</v>
      </c>
      <c r="I1060">
        <f t="shared" si="16"/>
        <v>0</v>
      </c>
    </row>
    <row r="1061" spans="1:9" x14ac:dyDescent="0.3">
      <c r="A1061">
        <v>20190328</v>
      </c>
      <c r="B1061" s="2" t="s">
        <v>9</v>
      </c>
      <c r="C1061" s="8">
        <v>183000</v>
      </c>
      <c r="D1061" s="8">
        <v>180500</v>
      </c>
      <c r="E1061">
        <v>180500</v>
      </c>
      <c r="F1061" s="9">
        <v>125461438</v>
      </c>
      <c r="G1061" s="1">
        <v>22645789559000</v>
      </c>
      <c r="H1061" s="1">
        <v>17783643550500</v>
      </c>
      <c r="I1061">
        <f t="shared" si="16"/>
        <v>0</v>
      </c>
    </row>
    <row r="1062" spans="1:9" x14ac:dyDescent="0.3">
      <c r="A1062">
        <v>20190329</v>
      </c>
      <c r="B1062" s="2" t="s">
        <v>9</v>
      </c>
      <c r="C1062" s="8">
        <v>180500</v>
      </c>
      <c r="D1062" s="8">
        <v>181000</v>
      </c>
      <c r="E1062">
        <v>181000</v>
      </c>
      <c r="F1062" s="9">
        <v>125461438</v>
      </c>
      <c r="G1062" s="1">
        <v>22708520278000</v>
      </c>
      <c r="H1062" s="1">
        <v>17832905721000</v>
      </c>
      <c r="I1062">
        <f t="shared" si="16"/>
        <v>0</v>
      </c>
    </row>
    <row r="1063" spans="1:9" x14ac:dyDescent="0.3">
      <c r="A1063">
        <v>20190401</v>
      </c>
      <c r="B1063" s="2" t="s">
        <v>9</v>
      </c>
      <c r="C1063" s="8">
        <v>181000</v>
      </c>
      <c r="D1063" s="8">
        <v>182000</v>
      </c>
      <c r="E1063">
        <v>182000</v>
      </c>
      <c r="F1063" s="9">
        <v>125461438</v>
      </c>
      <c r="G1063" s="1">
        <v>22833981716000</v>
      </c>
      <c r="H1063" s="1">
        <v>17931430062000</v>
      </c>
      <c r="I1063">
        <f t="shared" si="16"/>
        <v>0</v>
      </c>
    </row>
    <row r="1064" spans="1:9" x14ac:dyDescent="0.3">
      <c r="A1064">
        <v>20190402</v>
      </c>
      <c r="B1064" s="2" t="s">
        <v>9</v>
      </c>
      <c r="C1064" s="8">
        <v>182000</v>
      </c>
      <c r="D1064" s="8">
        <v>190000</v>
      </c>
      <c r="E1064">
        <v>190000</v>
      </c>
      <c r="F1064" s="9">
        <v>125461438</v>
      </c>
      <c r="G1064" s="1">
        <v>23837673220000</v>
      </c>
      <c r="H1064" s="1">
        <v>18719624790000</v>
      </c>
      <c r="I1064">
        <f t="shared" si="16"/>
        <v>0</v>
      </c>
    </row>
    <row r="1065" spans="1:9" x14ac:dyDescent="0.3">
      <c r="A1065">
        <v>20190403</v>
      </c>
      <c r="B1065" s="2" t="s">
        <v>9</v>
      </c>
      <c r="C1065" s="8">
        <v>190000</v>
      </c>
      <c r="D1065" s="8">
        <v>193500</v>
      </c>
      <c r="E1065">
        <v>193500</v>
      </c>
      <c r="F1065" s="9">
        <v>125461438</v>
      </c>
      <c r="G1065" s="1">
        <v>24276788253000</v>
      </c>
      <c r="H1065" s="1">
        <v>19064459983500</v>
      </c>
      <c r="I1065">
        <f t="shared" si="16"/>
        <v>0</v>
      </c>
    </row>
    <row r="1066" spans="1:9" x14ac:dyDescent="0.3">
      <c r="A1066">
        <v>20190404</v>
      </c>
      <c r="B1066" s="2" t="s">
        <v>9</v>
      </c>
      <c r="C1066" s="8">
        <v>193500</v>
      </c>
      <c r="D1066" s="8">
        <v>192500</v>
      </c>
      <c r="E1066">
        <v>192500</v>
      </c>
      <c r="F1066" s="9">
        <v>125461438</v>
      </c>
      <c r="G1066" s="1">
        <v>24151326815000</v>
      </c>
      <c r="H1066" s="1">
        <v>18965935642500</v>
      </c>
      <c r="I1066">
        <f t="shared" si="16"/>
        <v>0</v>
      </c>
    </row>
    <row r="1067" spans="1:9" x14ac:dyDescent="0.3">
      <c r="A1067">
        <v>20190405</v>
      </c>
      <c r="B1067" s="2" t="s">
        <v>9</v>
      </c>
      <c r="C1067" s="8">
        <v>192500</v>
      </c>
      <c r="D1067" s="8">
        <v>192000</v>
      </c>
      <c r="E1067">
        <v>192000</v>
      </c>
      <c r="F1067" s="9">
        <v>125461438</v>
      </c>
      <c r="G1067" s="1">
        <v>24088596096000</v>
      </c>
      <c r="H1067" s="1">
        <v>18916673472000</v>
      </c>
      <c r="I1067">
        <f t="shared" si="16"/>
        <v>0</v>
      </c>
    </row>
    <row r="1068" spans="1:9" x14ac:dyDescent="0.3">
      <c r="A1068">
        <v>20190408</v>
      </c>
      <c r="B1068" s="2" t="s">
        <v>9</v>
      </c>
      <c r="C1068" s="8">
        <v>192000</v>
      </c>
      <c r="D1068" s="8">
        <v>195500</v>
      </c>
      <c r="E1068">
        <v>195500</v>
      </c>
      <c r="F1068" s="9">
        <v>125461438</v>
      </c>
      <c r="G1068" s="1">
        <v>24527711129000</v>
      </c>
      <c r="H1068" s="1">
        <v>19261508665500</v>
      </c>
      <c r="I1068">
        <f t="shared" si="16"/>
        <v>0</v>
      </c>
    </row>
    <row r="1069" spans="1:9" x14ac:dyDescent="0.3">
      <c r="A1069">
        <v>20190409</v>
      </c>
      <c r="B1069" s="2" t="s">
        <v>9</v>
      </c>
      <c r="C1069" s="8">
        <v>195500</v>
      </c>
      <c r="D1069" s="8">
        <v>204500</v>
      </c>
      <c r="E1069">
        <v>204500</v>
      </c>
      <c r="F1069" s="9">
        <v>125461438</v>
      </c>
      <c r="G1069" s="1">
        <v>25656864071000</v>
      </c>
      <c r="H1069" s="1">
        <v>20148227734500</v>
      </c>
      <c r="I1069">
        <f t="shared" si="16"/>
        <v>0</v>
      </c>
    </row>
    <row r="1070" spans="1:9" x14ac:dyDescent="0.3">
      <c r="A1070">
        <v>20190410</v>
      </c>
      <c r="B1070" s="2" t="s">
        <v>9</v>
      </c>
      <c r="C1070" s="8">
        <v>204500</v>
      </c>
      <c r="D1070" s="8">
        <v>205500</v>
      </c>
      <c r="E1070">
        <v>205500</v>
      </c>
      <c r="F1070" s="9">
        <v>125461438</v>
      </c>
      <c r="G1070" s="1">
        <v>25782325509000</v>
      </c>
      <c r="H1070" s="1">
        <v>20246752075500</v>
      </c>
      <c r="I1070">
        <f t="shared" si="16"/>
        <v>0</v>
      </c>
    </row>
    <row r="1071" spans="1:9" x14ac:dyDescent="0.3">
      <c r="A1071">
        <v>20190411</v>
      </c>
      <c r="B1071" s="2" t="s">
        <v>9</v>
      </c>
      <c r="C1071" s="8">
        <v>205500</v>
      </c>
      <c r="D1071" s="8">
        <v>210500</v>
      </c>
      <c r="E1071">
        <v>210500</v>
      </c>
      <c r="F1071" s="9">
        <v>125461438</v>
      </c>
      <c r="G1071" s="1">
        <v>26409632699000</v>
      </c>
      <c r="H1071" s="1">
        <v>20739373780500</v>
      </c>
      <c r="I1071">
        <f t="shared" si="16"/>
        <v>0</v>
      </c>
    </row>
    <row r="1072" spans="1:9" x14ac:dyDescent="0.3">
      <c r="A1072">
        <v>20190412</v>
      </c>
      <c r="B1072" s="2" t="s">
        <v>9</v>
      </c>
      <c r="C1072" s="8">
        <v>210500</v>
      </c>
      <c r="D1072" s="8">
        <v>209000</v>
      </c>
      <c r="E1072">
        <v>209000</v>
      </c>
      <c r="F1072" s="9">
        <v>125461438</v>
      </c>
      <c r="G1072" s="1">
        <v>26221440542000</v>
      </c>
      <c r="H1072" s="1">
        <v>20591587269000</v>
      </c>
      <c r="I1072">
        <f t="shared" si="16"/>
        <v>0</v>
      </c>
    </row>
    <row r="1073" spans="1:10" x14ac:dyDescent="0.3">
      <c r="A1073">
        <v>20190415</v>
      </c>
      <c r="B1073" s="2" t="s">
        <v>9</v>
      </c>
      <c r="C1073" s="8">
        <v>209000</v>
      </c>
      <c r="D1073" s="8">
        <v>203500</v>
      </c>
      <c r="E1073">
        <v>203500</v>
      </c>
      <c r="F1073" s="9">
        <v>125461438</v>
      </c>
      <c r="G1073" s="1">
        <v>25531402633000</v>
      </c>
      <c r="H1073" s="1">
        <v>20049703393500</v>
      </c>
      <c r="I1073">
        <f t="shared" si="16"/>
        <v>0</v>
      </c>
    </row>
    <row r="1074" spans="1:10" x14ac:dyDescent="0.3">
      <c r="A1074">
        <v>20190416</v>
      </c>
      <c r="B1074" s="2" t="s">
        <v>9</v>
      </c>
      <c r="C1074" s="8">
        <v>203500</v>
      </c>
      <c r="D1074" s="8">
        <v>208000</v>
      </c>
      <c r="E1074">
        <v>208000</v>
      </c>
      <c r="F1074" s="9">
        <v>125461438</v>
      </c>
      <c r="G1074" s="1">
        <v>26095979104000</v>
      </c>
      <c r="H1074" s="1">
        <v>20493062928000</v>
      </c>
      <c r="I1074">
        <f t="shared" si="16"/>
        <v>0</v>
      </c>
    </row>
    <row r="1075" spans="1:10" x14ac:dyDescent="0.3">
      <c r="A1075">
        <v>20190417</v>
      </c>
      <c r="B1075" s="2" t="s">
        <v>9</v>
      </c>
      <c r="C1075" s="8">
        <v>208000</v>
      </c>
      <c r="D1075" s="8">
        <v>208500</v>
      </c>
      <c r="E1075">
        <v>208500</v>
      </c>
      <c r="F1075" s="9">
        <v>125461438</v>
      </c>
      <c r="G1075" s="1">
        <v>26158709823000</v>
      </c>
      <c r="H1075" s="1">
        <v>20542325098500</v>
      </c>
      <c r="I1075">
        <f t="shared" si="16"/>
        <v>0</v>
      </c>
    </row>
    <row r="1076" spans="1:10" x14ac:dyDescent="0.3">
      <c r="A1076">
        <v>20190418</v>
      </c>
      <c r="B1076" s="2" t="s">
        <v>9</v>
      </c>
      <c r="C1076" s="8">
        <v>208500</v>
      </c>
      <c r="D1076" s="8">
        <v>203500</v>
      </c>
      <c r="E1076">
        <v>203500</v>
      </c>
      <c r="F1076" s="9">
        <v>125461438</v>
      </c>
      <c r="G1076" s="1">
        <v>25531402633000</v>
      </c>
      <c r="H1076" s="1">
        <v>20049703393500</v>
      </c>
      <c r="I1076">
        <f t="shared" si="16"/>
        <v>0</v>
      </c>
    </row>
    <row r="1077" spans="1:10" x14ac:dyDescent="0.3">
      <c r="A1077">
        <v>20190419</v>
      </c>
      <c r="B1077" s="2" t="s">
        <v>9</v>
      </c>
      <c r="C1077" s="8">
        <v>203500</v>
      </c>
      <c r="D1077" s="8">
        <v>218000</v>
      </c>
      <c r="E1077">
        <v>218000</v>
      </c>
      <c r="F1077" s="9">
        <v>125461438</v>
      </c>
      <c r="G1077" s="1">
        <v>27350593484000</v>
      </c>
      <c r="H1077" s="1">
        <v>21478306338000</v>
      </c>
      <c r="I1077">
        <f t="shared" si="16"/>
        <v>0</v>
      </c>
    </row>
    <row r="1078" spans="1:10" x14ac:dyDescent="0.3">
      <c r="A1078">
        <v>20190422</v>
      </c>
      <c r="B1078" s="2" t="s">
        <v>9</v>
      </c>
      <c r="C1078" s="8">
        <v>218000</v>
      </c>
      <c r="D1078" s="8">
        <v>220500</v>
      </c>
      <c r="E1078">
        <v>220500</v>
      </c>
      <c r="F1078" s="9">
        <v>125461438</v>
      </c>
      <c r="G1078" s="1">
        <v>27664247079000</v>
      </c>
      <c r="H1078" s="1">
        <v>21724617190500</v>
      </c>
      <c r="I1078">
        <f t="shared" si="16"/>
        <v>0</v>
      </c>
    </row>
    <row r="1079" spans="1:10" x14ac:dyDescent="0.3">
      <c r="A1079">
        <v>20190423</v>
      </c>
      <c r="B1079" s="2" t="s">
        <v>9</v>
      </c>
      <c r="C1079" s="8">
        <v>220500</v>
      </c>
      <c r="D1079" s="8">
        <v>221500</v>
      </c>
      <c r="E1079">
        <v>221500</v>
      </c>
      <c r="F1079" s="9">
        <v>125461438</v>
      </c>
      <c r="G1079" s="1">
        <v>27789708517000</v>
      </c>
      <c r="H1079" s="1">
        <v>21823141531500</v>
      </c>
      <c r="I1079">
        <f t="shared" si="16"/>
        <v>0</v>
      </c>
    </row>
    <row r="1080" spans="1:10" x14ac:dyDescent="0.3">
      <c r="A1080" s="8">
        <v>20190424</v>
      </c>
      <c r="B1080" s="10" t="s">
        <v>9</v>
      </c>
      <c r="C1080" s="8">
        <v>221500</v>
      </c>
      <c r="D1080" s="8">
        <v>218000</v>
      </c>
      <c r="E1080" s="8">
        <v>218000</v>
      </c>
      <c r="F1080" s="9">
        <v>127953489</v>
      </c>
      <c r="G1080" s="9">
        <v>27893860602000</v>
      </c>
      <c r="H1080" s="9">
        <v>21478306338000</v>
      </c>
      <c r="I1080" s="8">
        <f t="shared" si="16"/>
        <v>1</v>
      </c>
      <c r="J1080" t="s">
        <v>44</v>
      </c>
    </row>
    <row r="1081" spans="1:10" x14ac:dyDescent="0.3">
      <c r="A1081">
        <v>20190425</v>
      </c>
      <c r="B1081" s="2" t="s">
        <v>9</v>
      </c>
      <c r="C1081" s="8">
        <v>218000</v>
      </c>
      <c r="D1081" s="8">
        <v>211500</v>
      </c>
      <c r="E1081">
        <v>211500</v>
      </c>
      <c r="F1081" s="9">
        <v>127953489</v>
      </c>
      <c r="G1081" s="1">
        <v>27062162923500</v>
      </c>
      <c r="H1081" s="1">
        <v>20837898121500</v>
      </c>
      <c r="I1081">
        <f t="shared" si="16"/>
        <v>0</v>
      </c>
    </row>
    <row r="1082" spans="1:10" x14ac:dyDescent="0.3">
      <c r="A1082">
        <v>20190426</v>
      </c>
      <c r="B1082" s="2" t="s">
        <v>9</v>
      </c>
      <c r="C1082" s="8">
        <v>211500</v>
      </c>
      <c r="D1082" s="8">
        <v>212000</v>
      </c>
      <c r="E1082">
        <v>212000</v>
      </c>
      <c r="F1082" s="9">
        <v>127953489</v>
      </c>
      <c r="G1082" s="1">
        <v>27126139668000</v>
      </c>
      <c r="H1082" s="1">
        <v>20887160292000</v>
      </c>
      <c r="I1082">
        <f t="shared" si="16"/>
        <v>0</v>
      </c>
    </row>
    <row r="1083" spans="1:10" x14ac:dyDescent="0.3">
      <c r="A1083">
        <v>20190429</v>
      </c>
      <c r="B1083" s="2" t="s">
        <v>9</v>
      </c>
      <c r="C1083" s="8">
        <v>212000</v>
      </c>
      <c r="D1083" s="8">
        <v>216000</v>
      </c>
      <c r="E1083">
        <v>216000</v>
      </c>
      <c r="F1083" s="9">
        <v>127953489</v>
      </c>
      <c r="G1083" s="1">
        <v>27637953624000</v>
      </c>
      <c r="H1083" s="1">
        <v>21281257656000</v>
      </c>
      <c r="I1083">
        <f t="shared" si="16"/>
        <v>0</v>
      </c>
    </row>
    <row r="1084" spans="1:10" x14ac:dyDescent="0.3">
      <c r="A1084">
        <v>20190430</v>
      </c>
      <c r="B1084" s="2" t="s">
        <v>9</v>
      </c>
      <c r="C1084" s="8">
        <v>216000</v>
      </c>
      <c r="D1084" s="8">
        <v>212000</v>
      </c>
      <c r="E1084">
        <v>212000</v>
      </c>
      <c r="F1084" s="9">
        <v>127953489</v>
      </c>
      <c r="G1084" s="1">
        <v>27126139668000</v>
      </c>
      <c r="H1084" s="1">
        <v>20887160292000</v>
      </c>
      <c r="I1084">
        <f t="shared" si="16"/>
        <v>0</v>
      </c>
    </row>
    <row r="1085" spans="1:10" x14ac:dyDescent="0.3">
      <c r="A1085">
        <v>20190502</v>
      </c>
      <c r="B1085" s="2" t="s">
        <v>9</v>
      </c>
      <c r="C1085" s="8">
        <v>212000</v>
      </c>
      <c r="D1085" s="8">
        <v>207000</v>
      </c>
      <c r="E1085">
        <v>207000</v>
      </c>
      <c r="F1085" s="9">
        <v>127953489</v>
      </c>
      <c r="G1085" s="1">
        <v>26486372223000</v>
      </c>
      <c r="H1085" s="1">
        <v>20394538587000</v>
      </c>
      <c r="I1085">
        <f t="shared" si="16"/>
        <v>0</v>
      </c>
    </row>
    <row r="1086" spans="1:10" x14ac:dyDescent="0.3">
      <c r="A1086">
        <v>20190503</v>
      </c>
      <c r="B1086" s="2" t="s">
        <v>9</v>
      </c>
      <c r="C1086" s="8">
        <v>207000</v>
      </c>
      <c r="D1086" s="8">
        <v>204500</v>
      </c>
      <c r="E1086">
        <v>204500</v>
      </c>
      <c r="F1086" s="9">
        <v>127953489</v>
      </c>
      <c r="G1086" s="1">
        <v>26166488500500</v>
      </c>
      <c r="H1086" s="1">
        <v>20148227734500</v>
      </c>
      <c r="I1086">
        <f t="shared" si="16"/>
        <v>0</v>
      </c>
    </row>
    <row r="1087" spans="1:10" x14ac:dyDescent="0.3">
      <c r="A1087">
        <v>20190507</v>
      </c>
      <c r="B1087" s="2" t="s">
        <v>9</v>
      </c>
      <c r="C1087" s="8">
        <v>204500</v>
      </c>
      <c r="D1087" s="8">
        <v>205500</v>
      </c>
      <c r="E1087">
        <v>205500</v>
      </c>
      <c r="F1087" s="9">
        <v>127953489</v>
      </c>
      <c r="G1087" s="1">
        <v>26294441989500</v>
      </c>
      <c r="H1087" s="1">
        <v>20246752075500</v>
      </c>
      <c r="I1087">
        <f t="shared" si="16"/>
        <v>0</v>
      </c>
    </row>
    <row r="1088" spans="1:10" x14ac:dyDescent="0.3">
      <c r="A1088">
        <v>20190508</v>
      </c>
      <c r="B1088" s="2" t="s">
        <v>9</v>
      </c>
      <c r="C1088" s="8">
        <v>205500</v>
      </c>
      <c r="D1088" s="8">
        <v>205500</v>
      </c>
      <c r="E1088">
        <v>205500</v>
      </c>
      <c r="F1088" s="9">
        <v>127953489</v>
      </c>
      <c r="G1088" s="1">
        <v>26294441989500</v>
      </c>
      <c r="H1088" s="1">
        <v>20246752075500</v>
      </c>
      <c r="I1088">
        <f t="shared" si="16"/>
        <v>0</v>
      </c>
    </row>
    <row r="1089" spans="1:10" x14ac:dyDescent="0.3">
      <c r="A1089">
        <v>20190509</v>
      </c>
      <c r="B1089" s="2" t="s">
        <v>9</v>
      </c>
      <c r="C1089" s="8">
        <v>205500</v>
      </c>
      <c r="D1089" s="8">
        <v>210000</v>
      </c>
      <c r="E1089">
        <v>210000</v>
      </c>
      <c r="F1089" s="9">
        <v>127953489</v>
      </c>
      <c r="G1089" s="1">
        <v>26870232690000</v>
      </c>
      <c r="H1089" s="1">
        <v>20690111610000</v>
      </c>
      <c r="I1089">
        <f t="shared" si="16"/>
        <v>0</v>
      </c>
    </row>
    <row r="1090" spans="1:10" x14ac:dyDescent="0.3">
      <c r="A1090">
        <v>20190510</v>
      </c>
      <c r="B1090" s="2" t="s">
        <v>9</v>
      </c>
      <c r="C1090" s="8">
        <v>210000</v>
      </c>
      <c r="D1090" s="8">
        <v>201500</v>
      </c>
      <c r="E1090">
        <v>201500</v>
      </c>
      <c r="F1090" s="9">
        <v>127953489</v>
      </c>
      <c r="G1090" s="1">
        <v>25782628033500</v>
      </c>
      <c r="H1090" s="1">
        <v>19852654711500</v>
      </c>
      <c r="I1090">
        <f t="shared" si="16"/>
        <v>0</v>
      </c>
    </row>
    <row r="1091" spans="1:10" x14ac:dyDescent="0.3">
      <c r="A1091">
        <v>20190513</v>
      </c>
      <c r="B1091" s="2" t="s">
        <v>9</v>
      </c>
      <c r="C1091" s="8">
        <v>201500</v>
      </c>
      <c r="D1091" s="8">
        <v>194500</v>
      </c>
      <c r="E1091">
        <v>194500</v>
      </c>
      <c r="F1091" s="9">
        <v>127953489</v>
      </c>
      <c r="G1091" s="1">
        <v>24886953610500</v>
      </c>
      <c r="H1091" s="1">
        <v>19162984324500</v>
      </c>
      <c r="I1091">
        <f t="shared" ref="I1091:I1137" si="17">IF(C1091*F1091=D1090*F1090,0,1)</f>
        <v>0</v>
      </c>
    </row>
    <row r="1092" spans="1:10" x14ac:dyDescent="0.3">
      <c r="A1092">
        <v>20190514</v>
      </c>
      <c r="B1092" s="2" t="s">
        <v>9</v>
      </c>
      <c r="C1092" s="8">
        <v>194500</v>
      </c>
      <c r="D1092" s="8">
        <v>195500</v>
      </c>
      <c r="E1092">
        <v>195500</v>
      </c>
      <c r="F1092" s="9">
        <v>127953489</v>
      </c>
      <c r="G1092" s="1">
        <v>25014907099500</v>
      </c>
      <c r="H1092" s="1">
        <v>19261508665500</v>
      </c>
      <c r="I1092">
        <f t="shared" si="17"/>
        <v>0</v>
      </c>
    </row>
    <row r="1093" spans="1:10" x14ac:dyDescent="0.3">
      <c r="A1093">
        <v>20190515</v>
      </c>
      <c r="B1093" s="2" t="s">
        <v>9</v>
      </c>
      <c r="C1093" s="8">
        <v>195500</v>
      </c>
      <c r="D1093" s="8">
        <v>196000</v>
      </c>
      <c r="E1093">
        <v>196000</v>
      </c>
      <c r="F1093" s="9">
        <v>127953489</v>
      </c>
      <c r="G1093" s="1">
        <v>25078883844000</v>
      </c>
      <c r="H1093" s="1">
        <v>19310770836000</v>
      </c>
      <c r="I1093">
        <f t="shared" si="17"/>
        <v>0</v>
      </c>
    </row>
    <row r="1094" spans="1:10" x14ac:dyDescent="0.3">
      <c r="A1094">
        <v>20190516</v>
      </c>
      <c r="B1094" s="2" t="s">
        <v>9</v>
      </c>
      <c r="C1094" s="8">
        <v>196000</v>
      </c>
      <c r="D1094" s="8">
        <v>196500</v>
      </c>
      <c r="E1094">
        <v>196500</v>
      </c>
      <c r="F1094" s="9">
        <v>127953489</v>
      </c>
      <c r="G1094" s="1">
        <v>25142860588500</v>
      </c>
      <c r="H1094" s="1">
        <v>19360033006500</v>
      </c>
      <c r="I1094">
        <f t="shared" si="17"/>
        <v>0</v>
      </c>
    </row>
    <row r="1095" spans="1:10" x14ac:dyDescent="0.3">
      <c r="A1095" s="8">
        <v>20190517</v>
      </c>
      <c r="B1095" s="10" t="s">
        <v>9</v>
      </c>
      <c r="C1095" s="8">
        <v>196500</v>
      </c>
      <c r="D1095" s="8">
        <v>195500</v>
      </c>
      <c r="E1095" s="8">
        <v>195500</v>
      </c>
      <c r="F1095" s="9">
        <v>128329070</v>
      </c>
      <c r="G1095" s="9">
        <v>25088333185000</v>
      </c>
      <c r="H1095" s="9">
        <v>19318016572000</v>
      </c>
      <c r="I1095" s="8">
        <f t="shared" si="17"/>
        <v>1</v>
      </c>
      <c r="J1095" t="s">
        <v>47</v>
      </c>
    </row>
    <row r="1096" spans="1:10" x14ac:dyDescent="0.3">
      <c r="A1096">
        <v>20190520</v>
      </c>
      <c r="B1096" s="2" t="s">
        <v>9</v>
      </c>
      <c r="C1096" s="8">
        <v>195500</v>
      </c>
      <c r="D1096" s="8">
        <v>188000</v>
      </c>
      <c r="E1096">
        <v>188000</v>
      </c>
      <c r="F1096" s="9">
        <v>128329070</v>
      </c>
      <c r="G1096" s="1">
        <v>24125865160000</v>
      </c>
      <c r="H1096" s="1">
        <v>18576916192000</v>
      </c>
      <c r="I1096">
        <f t="shared" si="17"/>
        <v>0</v>
      </c>
    </row>
    <row r="1097" spans="1:10" x14ac:dyDescent="0.3">
      <c r="A1097">
        <v>20190521</v>
      </c>
      <c r="B1097" s="2" t="s">
        <v>9</v>
      </c>
      <c r="C1097" s="8">
        <v>188000</v>
      </c>
      <c r="D1097" s="8">
        <v>181000</v>
      </c>
      <c r="E1097">
        <v>181000</v>
      </c>
      <c r="F1097" s="9">
        <v>128329070</v>
      </c>
      <c r="G1097" s="1">
        <v>23227561670000</v>
      </c>
      <c r="H1097" s="1">
        <v>17885222504000</v>
      </c>
      <c r="I1097">
        <f t="shared" si="17"/>
        <v>0</v>
      </c>
    </row>
    <row r="1098" spans="1:10" x14ac:dyDescent="0.3">
      <c r="A1098">
        <v>20190522</v>
      </c>
      <c r="B1098" s="2" t="s">
        <v>9</v>
      </c>
      <c r="C1098" s="8">
        <v>181000</v>
      </c>
      <c r="D1098" s="8">
        <v>184500</v>
      </c>
      <c r="E1098">
        <v>184500</v>
      </c>
      <c r="F1098" s="9">
        <v>128329070</v>
      </c>
      <c r="G1098" s="1">
        <v>23676713415000</v>
      </c>
      <c r="H1098" s="1">
        <v>18231069348000</v>
      </c>
      <c r="I1098">
        <f t="shared" si="17"/>
        <v>0</v>
      </c>
    </row>
    <row r="1099" spans="1:10" x14ac:dyDescent="0.3">
      <c r="A1099">
        <v>20190523</v>
      </c>
      <c r="B1099" s="2" t="s">
        <v>9</v>
      </c>
      <c r="C1099" s="8">
        <v>184500</v>
      </c>
      <c r="D1099" s="8">
        <v>180500</v>
      </c>
      <c r="E1099">
        <v>180500</v>
      </c>
      <c r="F1099" s="9">
        <v>128329070</v>
      </c>
      <c r="G1099" s="1">
        <v>23163397135000</v>
      </c>
      <c r="H1099" s="1">
        <v>17835815812000</v>
      </c>
      <c r="I1099">
        <f t="shared" si="17"/>
        <v>0</v>
      </c>
    </row>
    <row r="1100" spans="1:10" x14ac:dyDescent="0.3">
      <c r="A1100">
        <v>20190524</v>
      </c>
      <c r="B1100" s="2" t="s">
        <v>9</v>
      </c>
      <c r="C1100" s="8">
        <v>180500</v>
      </c>
      <c r="D1100" s="8">
        <v>181000</v>
      </c>
      <c r="E1100">
        <v>181000</v>
      </c>
      <c r="F1100" s="9">
        <v>128329070</v>
      </c>
      <c r="G1100" s="1">
        <v>23227561670000</v>
      </c>
      <c r="H1100" s="1">
        <v>17885222504000</v>
      </c>
      <c r="I1100">
        <f t="shared" si="17"/>
        <v>0</v>
      </c>
    </row>
    <row r="1101" spans="1:10" x14ac:dyDescent="0.3">
      <c r="A1101">
        <v>20190527</v>
      </c>
      <c r="B1101" s="2" t="s">
        <v>9</v>
      </c>
      <c r="C1101" s="8">
        <v>181000</v>
      </c>
      <c r="D1101" s="8">
        <v>174000</v>
      </c>
      <c r="E1101">
        <v>174000</v>
      </c>
      <c r="F1101" s="9">
        <v>128329070</v>
      </c>
      <c r="G1101" s="1">
        <v>22329258180000</v>
      </c>
      <c r="H1101" s="1">
        <v>17193528816000</v>
      </c>
      <c r="I1101">
        <f t="shared" si="17"/>
        <v>0</v>
      </c>
    </row>
    <row r="1102" spans="1:10" x14ac:dyDescent="0.3">
      <c r="A1102">
        <v>20190528</v>
      </c>
      <c r="B1102" s="2" t="s">
        <v>9</v>
      </c>
      <c r="C1102" s="8">
        <v>174000</v>
      </c>
      <c r="D1102" s="8">
        <v>186000</v>
      </c>
      <c r="E1102">
        <v>186000</v>
      </c>
      <c r="F1102" s="9">
        <v>128329070</v>
      </c>
      <c r="G1102" s="1">
        <v>23869207020000</v>
      </c>
      <c r="H1102" s="1">
        <v>18379289424000</v>
      </c>
      <c r="I1102">
        <f t="shared" si="17"/>
        <v>0</v>
      </c>
    </row>
    <row r="1103" spans="1:10" x14ac:dyDescent="0.3">
      <c r="A1103">
        <v>20190529</v>
      </c>
      <c r="B1103" s="2" t="s">
        <v>9</v>
      </c>
      <c r="C1103" s="8">
        <v>186000</v>
      </c>
      <c r="D1103" s="8">
        <v>185500</v>
      </c>
      <c r="E1103">
        <v>185500</v>
      </c>
      <c r="F1103" s="9">
        <v>128329070</v>
      </c>
      <c r="G1103" s="1">
        <v>23805042485000</v>
      </c>
      <c r="H1103" s="1">
        <v>18329882732000</v>
      </c>
      <c r="I1103">
        <f t="shared" si="17"/>
        <v>0</v>
      </c>
    </row>
    <row r="1104" spans="1:10" x14ac:dyDescent="0.3">
      <c r="A1104">
        <v>20190530</v>
      </c>
      <c r="B1104" s="2" t="s">
        <v>9</v>
      </c>
      <c r="C1104" s="8">
        <v>185500</v>
      </c>
      <c r="D1104" s="8">
        <v>186000</v>
      </c>
      <c r="E1104">
        <v>186000</v>
      </c>
      <c r="F1104" s="9">
        <v>128329070</v>
      </c>
      <c r="G1104" s="1">
        <v>23869207020000</v>
      </c>
      <c r="H1104" s="1">
        <v>18379289424000</v>
      </c>
      <c r="I1104">
        <f t="shared" si="17"/>
        <v>0</v>
      </c>
    </row>
    <row r="1105" spans="1:9" x14ac:dyDescent="0.3">
      <c r="A1105">
        <v>20190531</v>
      </c>
      <c r="B1105" s="2" t="s">
        <v>9</v>
      </c>
      <c r="C1105" s="8">
        <v>186000</v>
      </c>
      <c r="D1105" s="8">
        <v>190000</v>
      </c>
      <c r="E1105">
        <v>190000</v>
      </c>
      <c r="F1105" s="9">
        <v>128329070</v>
      </c>
      <c r="G1105" s="1">
        <v>24382523300000</v>
      </c>
      <c r="H1105" s="1">
        <v>18774542960000</v>
      </c>
      <c r="I1105">
        <f t="shared" si="17"/>
        <v>0</v>
      </c>
    </row>
    <row r="1106" spans="1:9" x14ac:dyDescent="0.3">
      <c r="A1106">
        <v>20190603</v>
      </c>
      <c r="B1106" s="2" t="s">
        <v>9</v>
      </c>
      <c r="C1106" s="8">
        <v>190000</v>
      </c>
      <c r="D1106" s="8">
        <v>193000</v>
      </c>
      <c r="E1106">
        <v>193000</v>
      </c>
      <c r="F1106" s="9">
        <v>128329070</v>
      </c>
      <c r="G1106" s="1">
        <v>24767510510000</v>
      </c>
      <c r="H1106" s="1">
        <v>19070983112000</v>
      </c>
      <c r="I1106">
        <f t="shared" si="17"/>
        <v>0</v>
      </c>
    </row>
    <row r="1107" spans="1:9" x14ac:dyDescent="0.3">
      <c r="A1107">
        <v>20190604</v>
      </c>
      <c r="B1107" s="2" t="s">
        <v>9</v>
      </c>
      <c r="C1107" s="8">
        <v>193000</v>
      </c>
      <c r="D1107" s="8">
        <v>195500</v>
      </c>
      <c r="E1107">
        <v>195500</v>
      </c>
      <c r="F1107" s="9">
        <v>128329070</v>
      </c>
      <c r="G1107" s="1">
        <v>25088333185000</v>
      </c>
      <c r="H1107" s="1">
        <v>19318016572000</v>
      </c>
      <c r="I1107">
        <f t="shared" si="17"/>
        <v>0</v>
      </c>
    </row>
    <row r="1108" spans="1:9" x14ac:dyDescent="0.3">
      <c r="A1108">
        <v>20190605</v>
      </c>
      <c r="B1108" s="2" t="s">
        <v>9</v>
      </c>
      <c r="C1108" s="8">
        <v>195500</v>
      </c>
      <c r="D1108" s="8">
        <v>196000</v>
      </c>
      <c r="E1108">
        <v>196000</v>
      </c>
      <c r="F1108" s="9">
        <v>128329070</v>
      </c>
      <c r="G1108" s="1">
        <v>25152497720000</v>
      </c>
      <c r="H1108" s="1">
        <v>19367423264000</v>
      </c>
      <c r="I1108">
        <f t="shared" si="17"/>
        <v>0</v>
      </c>
    </row>
    <row r="1109" spans="1:9" x14ac:dyDescent="0.3">
      <c r="A1109">
        <v>20190607</v>
      </c>
      <c r="B1109" s="2" t="s">
        <v>9</v>
      </c>
      <c r="C1109" s="8">
        <v>196000</v>
      </c>
      <c r="D1109" s="8">
        <v>196500</v>
      </c>
      <c r="E1109">
        <v>196500</v>
      </c>
      <c r="F1109" s="9">
        <v>128329070</v>
      </c>
      <c r="G1109" s="1">
        <v>25216662255000</v>
      </c>
      <c r="H1109" s="1">
        <v>19416829956000</v>
      </c>
      <c r="I1109">
        <f t="shared" si="17"/>
        <v>0</v>
      </c>
    </row>
    <row r="1110" spans="1:9" x14ac:dyDescent="0.3">
      <c r="A1110">
        <v>20190610</v>
      </c>
      <c r="B1110" s="2" t="s">
        <v>9</v>
      </c>
      <c r="C1110" s="8">
        <v>196500</v>
      </c>
      <c r="D1110" s="8">
        <v>198500</v>
      </c>
      <c r="E1110">
        <v>198500</v>
      </c>
      <c r="F1110" s="9">
        <v>128329070</v>
      </c>
      <c r="G1110" s="1">
        <v>25473320395000</v>
      </c>
      <c r="H1110" s="1">
        <v>19614456724000</v>
      </c>
      <c r="I1110">
        <f t="shared" si="17"/>
        <v>0</v>
      </c>
    </row>
    <row r="1111" spans="1:9" x14ac:dyDescent="0.3">
      <c r="A1111">
        <v>20190611</v>
      </c>
      <c r="B1111" s="2" t="s">
        <v>9</v>
      </c>
      <c r="C1111" s="8">
        <v>198500</v>
      </c>
      <c r="D1111" s="8">
        <v>202000</v>
      </c>
      <c r="E1111">
        <v>202000</v>
      </c>
      <c r="F1111" s="9">
        <v>128329070</v>
      </c>
      <c r="G1111" s="1">
        <v>25922472140000</v>
      </c>
      <c r="H1111" s="1">
        <v>19960303568000</v>
      </c>
      <c r="I1111">
        <f t="shared" si="17"/>
        <v>0</v>
      </c>
    </row>
    <row r="1112" spans="1:9" x14ac:dyDescent="0.3">
      <c r="A1112">
        <v>20190612</v>
      </c>
      <c r="B1112" s="2" t="s">
        <v>9</v>
      </c>
      <c r="C1112" s="8">
        <v>202000</v>
      </c>
      <c r="D1112" s="8">
        <v>204000</v>
      </c>
      <c r="E1112">
        <v>204000</v>
      </c>
      <c r="F1112" s="9">
        <v>128329070</v>
      </c>
      <c r="G1112" s="1">
        <v>26179130280000</v>
      </c>
      <c r="H1112" s="1">
        <v>20157930336000</v>
      </c>
      <c r="I1112">
        <f t="shared" si="17"/>
        <v>0</v>
      </c>
    </row>
    <row r="1113" spans="1:9" x14ac:dyDescent="0.3">
      <c r="A1113">
        <v>20190613</v>
      </c>
      <c r="B1113" s="2" t="s">
        <v>9</v>
      </c>
      <c r="C1113" s="8">
        <v>204000</v>
      </c>
      <c r="D1113" s="8">
        <v>207000</v>
      </c>
      <c r="E1113">
        <v>207000</v>
      </c>
      <c r="F1113" s="9">
        <v>128329070</v>
      </c>
      <c r="G1113" s="1">
        <v>26564117490000</v>
      </c>
      <c r="H1113" s="1">
        <v>20454370488000</v>
      </c>
      <c r="I1113">
        <f t="shared" si="17"/>
        <v>0</v>
      </c>
    </row>
    <row r="1114" spans="1:9" x14ac:dyDescent="0.3">
      <c r="A1114">
        <v>20190614</v>
      </c>
      <c r="B1114" s="2" t="s">
        <v>9</v>
      </c>
      <c r="C1114" s="8">
        <v>207000</v>
      </c>
      <c r="D1114" s="8">
        <v>201000</v>
      </c>
      <c r="E1114">
        <v>201000</v>
      </c>
      <c r="F1114" s="9">
        <v>128329070</v>
      </c>
      <c r="G1114" s="1">
        <v>25794143070000</v>
      </c>
      <c r="H1114" s="1">
        <v>19861490184000</v>
      </c>
      <c r="I1114">
        <f t="shared" si="17"/>
        <v>0</v>
      </c>
    </row>
    <row r="1115" spans="1:9" x14ac:dyDescent="0.3">
      <c r="A1115">
        <v>20190617</v>
      </c>
      <c r="B1115" s="2" t="s">
        <v>9</v>
      </c>
      <c r="C1115" s="8">
        <v>201000</v>
      </c>
      <c r="D1115" s="8">
        <v>205000</v>
      </c>
      <c r="E1115">
        <v>205000</v>
      </c>
      <c r="F1115" s="9">
        <v>128329070</v>
      </c>
      <c r="G1115" s="1">
        <v>26307459350000</v>
      </c>
      <c r="H1115" s="1">
        <v>20256743720000</v>
      </c>
      <c r="I1115">
        <f t="shared" si="17"/>
        <v>0</v>
      </c>
    </row>
    <row r="1116" spans="1:9" x14ac:dyDescent="0.3">
      <c r="A1116">
        <v>20190618</v>
      </c>
      <c r="B1116" s="2" t="s">
        <v>9</v>
      </c>
      <c r="C1116" s="8">
        <v>205000</v>
      </c>
      <c r="D1116" s="8">
        <v>208000</v>
      </c>
      <c r="E1116">
        <v>208000</v>
      </c>
      <c r="F1116" s="9">
        <v>128329070</v>
      </c>
      <c r="G1116" s="1">
        <v>26692446560000</v>
      </c>
      <c r="H1116" s="1">
        <v>20553183872000</v>
      </c>
      <c r="I1116">
        <f t="shared" si="17"/>
        <v>0</v>
      </c>
    </row>
    <row r="1117" spans="1:9" x14ac:dyDescent="0.3">
      <c r="A1117">
        <v>20190619</v>
      </c>
      <c r="B1117" s="2" t="s">
        <v>9</v>
      </c>
      <c r="C1117" s="8">
        <v>208000</v>
      </c>
      <c r="D1117" s="8">
        <v>211500</v>
      </c>
      <c r="E1117">
        <v>211500</v>
      </c>
      <c r="F1117" s="9">
        <v>128329070</v>
      </c>
      <c r="G1117" s="1">
        <v>27141598305000</v>
      </c>
      <c r="H1117" s="1">
        <v>20899030716000</v>
      </c>
      <c r="I1117">
        <f t="shared" si="17"/>
        <v>0</v>
      </c>
    </row>
    <row r="1118" spans="1:9" x14ac:dyDescent="0.3">
      <c r="A1118">
        <v>20190620</v>
      </c>
      <c r="B1118" s="2" t="s">
        <v>9</v>
      </c>
      <c r="C1118" s="8">
        <v>211500</v>
      </c>
      <c r="D1118" s="8">
        <v>214000</v>
      </c>
      <c r="E1118">
        <v>214000</v>
      </c>
      <c r="F1118" s="9">
        <v>128329070</v>
      </c>
      <c r="G1118" s="1">
        <v>27462420980000</v>
      </c>
      <c r="H1118" s="1">
        <v>21146064176000</v>
      </c>
      <c r="I1118">
        <f t="shared" si="17"/>
        <v>0</v>
      </c>
    </row>
    <row r="1119" spans="1:9" x14ac:dyDescent="0.3">
      <c r="A1119">
        <v>20190621</v>
      </c>
      <c r="B1119" s="2" t="s">
        <v>9</v>
      </c>
      <c r="C1119" s="8">
        <v>214000</v>
      </c>
      <c r="D1119" s="8">
        <v>212500</v>
      </c>
      <c r="E1119">
        <v>212500</v>
      </c>
      <c r="F1119" s="9">
        <v>128329070</v>
      </c>
      <c r="G1119" s="1">
        <v>27269927375000</v>
      </c>
      <c r="H1119" s="1">
        <v>20997844100000</v>
      </c>
      <c r="I1119">
        <f t="shared" si="17"/>
        <v>0</v>
      </c>
    </row>
    <row r="1120" spans="1:9" x14ac:dyDescent="0.3">
      <c r="A1120">
        <v>20190624</v>
      </c>
      <c r="B1120" s="2" t="s">
        <v>9</v>
      </c>
      <c r="C1120" s="8">
        <v>212500</v>
      </c>
      <c r="D1120" s="8">
        <v>208500</v>
      </c>
      <c r="E1120">
        <v>208500</v>
      </c>
      <c r="F1120" s="9">
        <v>128329070</v>
      </c>
      <c r="G1120" s="1">
        <v>26756611095000</v>
      </c>
      <c r="H1120" s="1">
        <v>20602590564000</v>
      </c>
      <c r="I1120">
        <f t="shared" si="17"/>
        <v>0</v>
      </c>
    </row>
    <row r="1121" spans="1:9" x14ac:dyDescent="0.3">
      <c r="A1121">
        <v>20190625</v>
      </c>
      <c r="B1121" s="2" t="s">
        <v>9</v>
      </c>
      <c r="C1121" s="8">
        <v>208500</v>
      </c>
      <c r="D1121" s="8">
        <v>208000</v>
      </c>
      <c r="E1121">
        <v>208000</v>
      </c>
      <c r="F1121" s="9">
        <v>128329070</v>
      </c>
      <c r="G1121" s="1">
        <v>26692446560000</v>
      </c>
      <c r="H1121" s="1">
        <v>20553183872000</v>
      </c>
      <c r="I1121">
        <f t="shared" si="17"/>
        <v>0</v>
      </c>
    </row>
    <row r="1122" spans="1:9" x14ac:dyDescent="0.3">
      <c r="A1122">
        <v>20190626</v>
      </c>
      <c r="B1122" s="2" t="s">
        <v>9</v>
      </c>
      <c r="C1122" s="8">
        <v>208000</v>
      </c>
      <c r="D1122" s="8">
        <v>210500</v>
      </c>
      <c r="E1122">
        <v>210500</v>
      </c>
      <c r="F1122" s="9">
        <v>128329070</v>
      </c>
      <c r="G1122" s="1">
        <v>27013269235000</v>
      </c>
      <c r="H1122" s="1">
        <v>20800217332000</v>
      </c>
      <c r="I1122">
        <f t="shared" si="17"/>
        <v>0</v>
      </c>
    </row>
    <row r="1123" spans="1:9" x14ac:dyDescent="0.3">
      <c r="A1123">
        <v>20190627</v>
      </c>
      <c r="B1123" s="2" t="s">
        <v>9</v>
      </c>
      <c r="C1123" s="8">
        <v>210500</v>
      </c>
      <c r="D1123" s="8">
        <v>204000</v>
      </c>
      <c r="E1123">
        <v>204000</v>
      </c>
      <c r="F1123" s="9">
        <v>128329070</v>
      </c>
      <c r="G1123" s="1">
        <v>26179130280000</v>
      </c>
      <c r="H1123" s="1">
        <v>20157930336000</v>
      </c>
      <c r="I1123">
        <f t="shared" si="17"/>
        <v>0</v>
      </c>
    </row>
    <row r="1124" spans="1:9" x14ac:dyDescent="0.3">
      <c r="A1124">
        <v>20190628</v>
      </c>
      <c r="B1124" s="2" t="s">
        <v>9</v>
      </c>
      <c r="C1124" s="8">
        <v>204000</v>
      </c>
      <c r="D1124" s="8">
        <v>205500</v>
      </c>
      <c r="E1124">
        <v>205500</v>
      </c>
      <c r="F1124" s="9">
        <v>128329070</v>
      </c>
      <c r="G1124" s="1">
        <v>26371623885000</v>
      </c>
      <c r="H1124" s="1">
        <v>20306150412000</v>
      </c>
      <c r="I1124">
        <f t="shared" si="17"/>
        <v>0</v>
      </c>
    </row>
    <row r="1125" spans="1:9" x14ac:dyDescent="0.3">
      <c r="A1125">
        <v>20190701</v>
      </c>
      <c r="B1125" s="2" t="s">
        <v>9</v>
      </c>
      <c r="C1125" s="8">
        <v>205500</v>
      </c>
      <c r="D1125" s="8">
        <v>208000</v>
      </c>
      <c r="E1125">
        <v>208000</v>
      </c>
      <c r="F1125" s="9">
        <v>128329070</v>
      </c>
      <c r="G1125" s="1">
        <v>26692446560000</v>
      </c>
      <c r="H1125" s="1">
        <v>20553183872000</v>
      </c>
      <c r="I1125">
        <f t="shared" si="17"/>
        <v>0</v>
      </c>
    </row>
    <row r="1126" spans="1:9" x14ac:dyDescent="0.3">
      <c r="A1126">
        <v>20190702</v>
      </c>
      <c r="B1126" s="2" t="s">
        <v>9</v>
      </c>
      <c r="C1126" s="8">
        <v>208000</v>
      </c>
      <c r="D1126" s="8">
        <v>205000</v>
      </c>
      <c r="E1126">
        <v>205000</v>
      </c>
      <c r="F1126" s="9">
        <v>128329070</v>
      </c>
      <c r="G1126" s="1">
        <v>26307459350000</v>
      </c>
      <c r="H1126" s="1">
        <v>20256743720000</v>
      </c>
      <c r="I1126">
        <f t="shared" si="17"/>
        <v>0</v>
      </c>
    </row>
    <row r="1127" spans="1:9" x14ac:dyDescent="0.3">
      <c r="A1127">
        <v>20190703</v>
      </c>
      <c r="B1127" s="2" t="s">
        <v>9</v>
      </c>
      <c r="C1127" s="8">
        <v>205000</v>
      </c>
      <c r="D1127" s="8">
        <v>206000</v>
      </c>
      <c r="E1127">
        <v>206000</v>
      </c>
      <c r="F1127" s="9">
        <v>128329070</v>
      </c>
      <c r="G1127" s="1">
        <v>26435788420000</v>
      </c>
      <c r="H1127" s="1">
        <v>20355557104000</v>
      </c>
      <c r="I1127">
        <f t="shared" si="17"/>
        <v>0</v>
      </c>
    </row>
    <row r="1128" spans="1:9" x14ac:dyDescent="0.3">
      <c r="A1128">
        <v>20190704</v>
      </c>
      <c r="B1128" s="2" t="s">
        <v>9</v>
      </c>
      <c r="C1128" s="8">
        <v>206000</v>
      </c>
      <c r="D1128" s="8">
        <v>203500</v>
      </c>
      <c r="E1128">
        <v>203500</v>
      </c>
      <c r="F1128" s="9">
        <v>128329070</v>
      </c>
      <c r="G1128" s="1">
        <v>26114965745000</v>
      </c>
      <c r="H1128" s="1">
        <v>20108523644000</v>
      </c>
      <c r="I1128">
        <f t="shared" si="17"/>
        <v>0</v>
      </c>
    </row>
    <row r="1129" spans="1:9" x14ac:dyDescent="0.3">
      <c r="A1129">
        <v>20190705</v>
      </c>
      <c r="B1129" s="2" t="s">
        <v>9</v>
      </c>
      <c r="C1129" s="8">
        <v>203500</v>
      </c>
      <c r="D1129" s="8">
        <v>208000</v>
      </c>
      <c r="E1129">
        <v>208000</v>
      </c>
      <c r="F1129" s="9">
        <v>128329070</v>
      </c>
      <c r="G1129" s="1">
        <v>26692446560000</v>
      </c>
      <c r="H1129" s="1">
        <v>20553183872000</v>
      </c>
      <c r="I1129">
        <f t="shared" si="17"/>
        <v>0</v>
      </c>
    </row>
    <row r="1130" spans="1:9" x14ac:dyDescent="0.3">
      <c r="A1130">
        <v>20190708</v>
      </c>
      <c r="B1130" s="2" t="s">
        <v>9</v>
      </c>
      <c r="C1130" s="8">
        <v>208000</v>
      </c>
      <c r="D1130" s="8">
        <v>206000</v>
      </c>
      <c r="E1130">
        <v>206000</v>
      </c>
      <c r="F1130" s="9">
        <v>128329070</v>
      </c>
      <c r="G1130" s="1">
        <v>26435788420000</v>
      </c>
      <c r="H1130" s="1">
        <v>20355557104000</v>
      </c>
      <c r="I1130">
        <f t="shared" si="17"/>
        <v>0</v>
      </c>
    </row>
    <row r="1131" spans="1:9" x14ac:dyDescent="0.3">
      <c r="A1131">
        <v>20190709</v>
      </c>
      <c r="B1131" s="2" t="s">
        <v>9</v>
      </c>
      <c r="C1131" s="8">
        <v>206000</v>
      </c>
      <c r="D1131" s="8">
        <v>192500</v>
      </c>
      <c r="E1131">
        <v>192500</v>
      </c>
      <c r="F1131" s="9">
        <v>128329070</v>
      </c>
      <c r="G1131" s="1">
        <v>24703345975000</v>
      </c>
      <c r="H1131" s="1">
        <v>19021576420000</v>
      </c>
      <c r="I1131">
        <f t="shared" si="17"/>
        <v>0</v>
      </c>
    </row>
    <row r="1132" spans="1:9" x14ac:dyDescent="0.3">
      <c r="A1132">
        <v>20190710</v>
      </c>
      <c r="B1132" s="2" t="s">
        <v>9</v>
      </c>
      <c r="C1132" s="8">
        <v>192500</v>
      </c>
      <c r="D1132" s="8">
        <v>189000</v>
      </c>
      <c r="E1132">
        <v>189000</v>
      </c>
      <c r="F1132" s="9">
        <v>128329070</v>
      </c>
      <c r="G1132" s="1">
        <v>24254194230000</v>
      </c>
      <c r="H1132" s="1">
        <v>18675729576000</v>
      </c>
      <c r="I1132">
        <f t="shared" si="17"/>
        <v>0</v>
      </c>
    </row>
    <row r="1133" spans="1:9" x14ac:dyDescent="0.3">
      <c r="A1133">
        <v>20190711</v>
      </c>
      <c r="B1133" s="2" t="s">
        <v>9</v>
      </c>
      <c r="C1133" s="8">
        <v>189000</v>
      </c>
      <c r="D1133" s="8">
        <v>191500</v>
      </c>
      <c r="E1133">
        <v>191500</v>
      </c>
      <c r="F1133" s="9">
        <v>128329070</v>
      </c>
      <c r="G1133" s="1">
        <v>24575016905000</v>
      </c>
      <c r="H1133" s="1">
        <v>18922763036000</v>
      </c>
      <c r="I1133">
        <f t="shared" si="17"/>
        <v>0</v>
      </c>
    </row>
    <row r="1134" spans="1:9" x14ac:dyDescent="0.3">
      <c r="A1134">
        <v>20190712</v>
      </c>
      <c r="B1134" s="2" t="s">
        <v>9</v>
      </c>
      <c r="C1134" s="8">
        <v>191500</v>
      </c>
      <c r="D1134" s="8">
        <v>188500</v>
      </c>
      <c r="E1134">
        <v>188500</v>
      </c>
      <c r="F1134" s="9">
        <v>128329070</v>
      </c>
      <c r="G1134" s="1">
        <v>24190029695000</v>
      </c>
      <c r="H1134" s="1">
        <v>18626322884000</v>
      </c>
      <c r="I1134">
        <f t="shared" si="17"/>
        <v>0</v>
      </c>
    </row>
    <row r="1135" spans="1:9" x14ac:dyDescent="0.3">
      <c r="A1135">
        <v>20190715</v>
      </c>
      <c r="B1135" s="2" t="s">
        <v>9</v>
      </c>
      <c r="C1135" s="8">
        <v>188500</v>
      </c>
      <c r="D1135" s="8">
        <v>183500</v>
      </c>
      <c r="E1135">
        <v>183500</v>
      </c>
      <c r="F1135" s="9">
        <v>128329070</v>
      </c>
      <c r="G1135" s="1">
        <v>23548384345000</v>
      </c>
      <c r="H1135" s="1">
        <v>18132255964000</v>
      </c>
      <c r="I1135">
        <f t="shared" si="17"/>
        <v>0</v>
      </c>
    </row>
    <row r="1136" spans="1:9" x14ac:dyDescent="0.3">
      <c r="A1136">
        <v>20190716</v>
      </c>
      <c r="B1136" s="2" t="s">
        <v>9</v>
      </c>
      <c r="C1136" s="8">
        <v>183500</v>
      </c>
      <c r="D1136" s="8">
        <v>188500</v>
      </c>
      <c r="E1136">
        <v>188500</v>
      </c>
      <c r="F1136" s="9">
        <v>128329070</v>
      </c>
      <c r="G1136" s="1">
        <v>24190029695000</v>
      </c>
      <c r="H1136" s="1">
        <v>18626322884000</v>
      </c>
      <c r="I1136">
        <f t="shared" si="17"/>
        <v>0</v>
      </c>
    </row>
    <row r="1137" spans="1:9" x14ac:dyDescent="0.3">
      <c r="A1137">
        <v>20190717</v>
      </c>
      <c r="B1137" s="2" t="s">
        <v>9</v>
      </c>
      <c r="C1137" s="8">
        <v>188500</v>
      </c>
      <c r="D1137" s="8">
        <v>184500</v>
      </c>
      <c r="E1137">
        <v>184500</v>
      </c>
      <c r="F1137" s="9">
        <v>128329070</v>
      </c>
      <c r="G1137" s="1">
        <v>23676713415000</v>
      </c>
      <c r="H1137" s="1">
        <v>18231069348000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60" sqref="E760:E1137"/>
    </sheetView>
  </sheetViews>
  <sheetFormatPr defaultColWidth="8.875" defaultRowHeight="16.5" x14ac:dyDescent="0.3"/>
  <cols>
    <col min="1" max="1" width="9.5" bestFit="1" customWidth="1"/>
    <col min="2" max="2" width="6.5" bestFit="1" customWidth="1"/>
    <col min="3" max="4" width="7.5" style="8" bestFit="1" customWidth="1"/>
    <col min="5" max="5" width="11.375" customWidth="1"/>
    <col min="6" max="6" width="9.5" style="8" bestFit="1" customWidth="1"/>
    <col min="7" max="8" width="15.625" bestFit="1" customWidth="1"/>
    <col min="10" max="10" width="28" bestFit="1" customWidth="1"/>
  </cols>
  <sheetData>
    <row r="1" spans="1:10" x14ac:dyDescent="0.3">
      <c r="A1" s="3" t="s">
        <v>0</v>
      </c>
      <c r="B1" s="3" t="s">
        <v>1</v>
      </c>
      <c r="C1" s="40" t="s">
        <v>11</v>
      </c>
      <c r="D1" s="40" t="s">
        <v>2</v>
      </c>
      <c r="E1" s="3" t="s">
        <v>3</v>
      </c>
      <c r="F1" s="40" t="s">
        <v>6</v>
      </c>
      <c r="G1" s="4" t="s">
        <v>7</v>
      </c>
      <c r="H1" s="3" t="s">
        <v>8</v>
      </c>
      <c r="I1" s="3" t="s">
        <v>31</v>
      </c>
      <c r="J1" s="3" t="s">
        <v>35</v>
      </c>
    </row>
    <row r="2" spans="1:10" x14ac:dyDescent="0.3">
      <c r="A2">
        <v>20141201</v>
      </c>
      <c r="B2">
        <v>84990</v>
      </c>
      <c r="C2" s="8">
        <v>52100</v>
      </c>
      <c r="D2" s="8">
        <v>51200</v>
      </c>
      <c r="E2">
        <v>49032</v>
      </c>
      <c r="F2" s="8">
        <v>14197877</v>
      </c>
      <c r="G2" s="1">
        <v>726931302400</v>
      </c>
      <c r="H2" s="1">
        <v>654238156800</v>
      </c>
      <c r="I2" t="e">
        <f>IF(C2*F2=D1*F1,0,1)</f>
        <v>#VALUE!</v>
      </c>
    </row>
    <row r="3" spans="1:10" x14ac:dyDescent="0.3">
      <c r="A3">
        <v>20141202</v>
      </c>
      <c r="B3">
        <v>84990</v>
      </c>
      <c r="C3" s="8">
        <v>51200</v>
      </c>
      <c r="D3" s="8">
        <v>52600</v>
      </c>
      <c r="E3">
        <v>50372</v>
      </c>
      <c r="F3" s="8">
        <v>14197877</v>
      </c>
      <c r="G3" s="1">
        <v>746808330200</v>
      </c>
      <c r="H3" s="1">
        <v>672127481400</v>
      </c>
      <c r="I3">
        <f t="shared" ref="I3:I66" si="0">IF(C3*F3=D2*F2,0,1)</f>
        <v>0</v>
      </c>
    </row>
    <row r="4" spans="1:10" x14ac:dyDescent="0.3">
      <c r="A4">
        <v>20141203</v>
      </c>
      <c r="B4">
        <v>84990</v>
      </c>
      <c r="C4" s="8">
        <v>52600</v>
      </c>
      <c r="D4" s="8">
        <v>54100</v>
      </c>
      <c r="E4">
        <v>51809</v>
      </c>
      <c r="F4" s="8">
        <v>14197877</v>
      </c>
      <c r="G4" s="1">
        <v>768105145700</v>
      </c>
      <c r="H4" s="1">
        <v>691294614900</v>
      </c>
      <c r="I4">
        <f t="shared" si="0"/>
        <v>0</v>
      </c>
    </row>
    <row r="5" spans="1:10" x14ac:dyDescent="0.3">
      <c r="A5">
        <v>20141204</v>
      </c>
      <c r="B5">
        <v>84990</v>
      </c>
      <c r="C5" s="8">
        <v>54100</v>
      </c>
      <c r="D5" s="8">
        <v>54100</v>
      </c>
      <c r="E5">
        <v>51809</v>
      </c>
      <c r="F5" s="8">
        <v>14197877</v>
      </c>
      <c r="G5" s="1">
        <v>768105145700</v>
      </c>
      <c r="H5" s="1">
        <v>691294614900</v>
      </c>
      <c r="I5">
        <f t="shared" si="0"/>
        <v>0</v>
      </c>
    </row>
    <row r="6" spans="1:10" x14ac:dyDescent="0.3">
      <c r="A6">
        <v>20141205</v>
      </c>
      <c r="B6">
        <v>84990</v>
      </c>
      <c r="C6" s="8">
        <v>54100</v>
      </c>
      <c r="D6" s="8">
        <v>54200</v>
      </c>
      <c r="E6">
        <v>51904</v>
      </c>
      <c r="F6" s="8">
        <v>14197877</v>
      </c>
      <c r="G6" s="1">
        <v>769524933400</v>
      </c>
      <c r="H6" s="1">
        <v>692572423800</v>
      </c>
      <c r="I6">
        <f t="shared" si="0"/>
        <v>0</v>
      </c>
    </row>
    <row r="7" spans="1:10" x14ac:dyDescent="0.3">
      <c r="A7">
        <v>20141208</v>
      </c>
      <c r="B7">
        <v>84990</v>
      </c>
      <c r="C7" s="8">
        <v>54200</v>
      </c>
      <c r="D7" s="8">
        <v>51800</v>
      </c>
      <c r="E7">
        <v>49606</v>
      </c>
      <c r="F7" s="8">
        <v>14197877</v>
      </c>
      <c r="G7" s="1">
        <v>735450028600</v>
      </c>
      <c r="H7" s="1">
        <v>661905010200</v>
      </c>
      <c r="I7">
        <f t="shared" si="0"/>
        <v>0</v>
      </c>
    </row>
    <row r="8" spans="1:10" x14ac:dyDescent="0.3">
      <c r="A8">
        <v>20141209</v>
      </c>
      <c r="B8">
        <v>84990</v>
      </c>
      <c r="C8" s="8">
        <v>51800</v>
      </c>
      <c r="D8" s="8">
        <v>52700</v>
      </c>
      <c r="E8">
        <v>50468</v>
      </c>
      <c r="F8" s="8">
        <v>14197877</v>
      </c>
      <c r="G8" s="1">
        <v>748228117900</v>
      </c>
      <c r="H8" s="1">
        <v>673405290300</v>
      </c>
      <c r="I8">
        <f t="shared" si="0"/>
        <v>0</v>
      </c>
    </row>
    <row r="9" spans="1:10" x14ac:dyDescent="0.3">
      <c r="A9">
        <v>20141210</v>
      </c>
      <c r="B9">
        <v>84990</v>
      </c>
      <c r="C9" s="8">
        <v>52700</v>
      </c>
      <c r="D9" s="8">
        <v>52400</v>
      </c>
      <c r="E9">
        <v>50181</v>
      </c>
      <c r="F9" s="8">
        <v>14197877</v>
      </c>
      <c r="G9" s="1">
        <v>743968754800</v>
      </c>
      <c r="H9" s="1">
        <v>669571863600</v>
      </c>
      <c r="I9">
        <f t="shared" si="0"/>
        <v>0</v>
      </c>
    </row>
    <row r="10" spans="1:10" x14ac:dyDescent="0.3">
      <c r="A10">
        <v>20141211</v>
      </c>
      <c r="B10">
        <v>84990</v>
      </c>
      <c r="C10" s="8">
        <v>52400</v>
      </c>
      <c r="D10" s="8">
        <v>53500</v>
      </c>
      <c r="E10">
        <v>51234</v>
      </c>
      <c r="F10" s="8">
        <v>14197877</v>
      </c>
      <c r="G10" s="1">
        <v>759586419500</v>
      </c>
      <c r="H10" s="1">
        <v>683627761500</v>
      </c>
      <c r="I10">
        <f t="shared" si="0"/>
        <v>0</v>
      </c>
    </row>
    <row r="11" spans="1:10" x14ac:dyDescent="0.3">
      <c r="A11">
        <v>20141212</v>
      </c>
      <c r="B11">
        <v>84990</v>
      </c>
      <c r="C11" s="8">
        <v>53500</v>
      </c>
      <c r="D11" s="8">
        <v>51500</v>
      </c>
      <c r="E11">
        <v>49319</v>
      </c>
      <c r="F11" s="8">
        <v>14197877</v>
      </c>
      <c r="G11" s="1">
        <v>731190665500</v>
      </c>
      <c r="H11" s="1">
        <v>658071583500</v>
      </c>
      <c r="I11">
        <f t="shared" si="0"/>
        <v>0</v>
      </c>
    </row>
    <row r="12" spans="1:10" x14ac:dyDescent="0.3">
      <c r="A12">
        <v>20141215</v>
      </c>
      <c r="B12">
        <v>84990</v>
      </c>
      <c r="C12" s="8">
        <v>51500</v>
      </c>
      <c r="D12" s="8">
        <v>50000</v>
      </c>
      <c r="E12">
        <v>47882</v>
      </c>
      <c r="F12" s="8">
        <v>14197877</v>
      </c>
      <c r="G12" s="1">
        <v>709893850000</v>
      </c>
      <c r="H12" s="1">
        <v>638904450000</v>
      </c>
      <c r="I12">
        <f t="shared" si="0"/>
        <v>0</v>
      </c>
    </row>
    <row r="13" spans="1:10" x14ac:dyDescent="0.3">
      <c r="A13">
        <v>20141216</v>
      </c>
      <c r="B13">
        <v>84990</v>
      </c>
      <c r="C13" s="8">
        <v>50000</v>
      </c>
      <c r="D13" s="8">
        <v>50000</v>
      </c>
      <c r="E13">
        <v>47882</v>
      </c>
      <c r="F13" s="8">
        <v>14197877</v>
      </c>
      <c r="G13" s="1">
        <v>709893850000</v>
      </c>
      <c r="H13" s="1">
        <v>638904450000</v>
      </c>
      <c r="I13">
        <f t="shared" si="0"/>
        <v>0</v>
      </c>
    </row>
    <row r="14" spans="1:10" x14ac:dyDescent="0.3">
      <c r="A14">
        <v>20141217</v>
      </c>
      <c r="B14">
        <v>84990</v>
      </c>
      <c r="C14" s="8">
        <v>50000</v>
      </c>
      <c r="D14" s="8">
        <v>49600</v>
      </c>
      <c r="E14">
        <v>47499</v>
      </c>
      <c r="F14" s="8">
        <v>14197877</v>
      </c>
      <c r="G14" s="1">
        <v>704214699200</v>
      </c>
      <c r="H14" s="1">
        <v>633793214400</v>
      </c>
      <c r="I14">
        <f t="shared" si="0"/>
        <v>0</v>
      </c>
    </row>
    <row r="15" spans="1:10" x14ac:dyDescent="0.3">
      <c r="A15">
        <v>20141218</v>
      </c>
      <c r="B15">
        <v>84990</v>
      </c>
      <c r="C15" s="8">
        <v>49600</v>
      </c>
      <c r="D15" s="8">
        <v>47950</v>
      </c>
      <c r="E15">
        <v>45919</v>
      </c>
      <c r="F15" s="8">
        <v>14197877</v>
      </c>
      <c r="G15" s="1">
        <v>680788202150</v>
      </c>
      <c r="H15" s="1">
        <v>612709367550</v>
      </c>
      <c r="I15">
        <f t="shared" si="0"/>
        <v>0</v>
      </c>
    </row>
    <row r="16" spans="1:10" x14ac:dyDescent="0.3">
      <c r="A16">
        <v>20141219</v>
      </c>
      <c r="B16">
        <v>84990</v>
      </c>
      <c r="C16" s="8">
        <v>47950</v>
      </c>
      <c r="D16" s="8">
        <v>49450</v>
      </c>
      <c r="E16">
        <v>47355</v>
      </c>
      <c r="F16" s="8">
        <v>14197877</v>
      </c>
      <c r="G16" s="1">
        <v>702085017650</v>
      </c>
      <c r="H16" s="1">
        <v>631876501050</v>
      </c>
      <c r="I16">
        <f t="shared" si="0"/>
        <v>0</v>
      </c>
    </row>
    <row r="17" spans="1:9" x14ac:dyDescent="0.3">
      <c r="A17">
        <v>20141222</v>
      </c>
      <c r="B17">
        <v>84990</v>
      </c>
      <c r="C17" s="8">
        <v>49450</v>
      </c>
      <c r="D17" s="8">
        <v>48600</v>
      </c>
      <c r="E17">
        <v>46542</v>
      </c>
      <c r="F17" s="8">
        <v>14197877</v>
      </c>
      <c r="G17" s="1">
        <v>690016822200</v>
      </c>
      <c r="H17" s="1">
        <v>621015125400</v>
      </c>
      <c r="I17">
        <f t="shared" si="0"/>
        <v>0</v>
      </c>
    </row>
    <row r="18" spans="1:9" x14ac:dyDescent="0.3">
      <c r="A18">
        <v>20141223</v>
      </c>
      <c r="B18">
        <v>84990</v>
      </c>
      <c r="C18" s="8">
        <v>48600</v>
      </c>
      <c r="D18" s="8">
        <v>46000</v>
      </c>
      <c r="E18">
        <v>44051</v>
      </c>
      <c r="F18" s="8">
        <v>14197877</v>
      </c>
      <c r="G18" s="1">
        <v>653102342000</v>
      </c>
      <c r="H18" s="1">
        <v>587792094000</v>
      </c>
      <c r="I18">
        <f t="shared" si="0"/>
        <v>0</v>
      </c>
    </row>
    <row r="19" spans="1:9" x14ac:dyDescent="0.3">
      <c r="A19">
        <v>20141224</v>
      </c>
      <c r="B19">
        <v>84990</v>
      </c>
      <c r="C19" s="8">
        <v>46000</v>
      </c>
      <c r="D19" s="8">
        <v>44850</v>
      </c>
      <c r="E19">
        <v>42950</v>
      </c>
      <c r="F19" s="8">
        <v>14197877</v>
      </c>
      <c r="G19" s="1">
        <v>636774783450</v>
      </c>
      <c r="H19" s="1">
        <v>573097291650</v>
      </c>
      <c r="I19">
        <f t="shared" si="0"/>
        <v>0</v>
      </c>
    </row>
    <row r="20" spans="1:9" x14ac:dyDescent="0.3">
      <c r="A20">
        <v>20141226</v>
      </c>
      <c r="B20">
        <v>84990</v>
      </c>
      <c r="C20" s="8">
        <v>44850</v>
      </c>
      <c r="D20" s="8">
        <v>47800</v>
      </c>
      <c r="E20">
        <v>45775</v>
      </c>
      <c r="F20" s="8">
        <v>14197877</v>
      </c>
      <c r="G20" s="1">
        <v>678658520600</v>
      </c>
      <c r="H20" s="1">
        <v>610792654200</v>
      </c>
      <c r="I20">
        <f t="shared" si="0"/>
        <v>0</v>
      </c>
    </row>
    <row r="21" spans="1:9" x14ac:dyDescent="0.3">
      <c r="A21">
        <v>20141229</v>
      </c>
      <c r="B21">
        <v>84990</v>
      </c>
      <c r="C21" s="8">
        <v>47800</v>
      </c>
      <c r="D21" s="8">
        <v>49850</v>
      </c>
      <c r="E21">
        <v>47738</v>
      </c>
      <c r="F21" s="8">
        <v>14197877</v>
      </c>
      <c r="G21" s="1">
        <v>707764168450</v>
      </c>
      <c r="H21" s="1">
        <v>636987736650</v>
      </c>
      <c r="I21">
        <f t="shared" si="0"/>
        <v>0</v>
      </c>
    </row>
    <row r="22" spans="1:9" x14ac:dyDescent="0.3">
      <c r="A22">
        <v>20141230</v>
      </c>
      <c r="B22">
        <v>84990</v>
      </c>
      <c r="C22" s="8">
        <v>49850</v>
      </c>
      <c r="D22" s="8">
        <v>52700</v>
      </c>
      <c r="E22">
        <v>50468</v>
      </c>
      <c r="F22" s="8">
        <v>14197877</v>
      </c>
      <c r="G22" s="1">
        <v>748228117900</v>
      </c>
      <c r="H22" s="1">
        <v>673405290300</v>
      </c>
      <c r="I22">
        <f t="shared" si="0"/>
        <v>0</v>
      </c>
    </row>
    <row r="23" spans="1:9" x14ac:dyDescent="0.3">
      <c r="A23">
        <v>20150102</v>
      </c>
      <c r="B23">
        <v>84990</v>
      </c>
      <c r="C23" s="8">
        <v>52700</v>
      </c>
      <c r="D23" s="8">
        <v>52400</v>
      </c>
      <c r="E23">
        <v>50181</v>
      </c>
      <c r="F23" s="8">
        <v>14197877</v>
      </c>
      <c r="G23" s="1">
        <v>743968754800</v>
      </c>
      <c r="H23" s="1">
        <v>669571863600</v>
      </c>
      <c r="I23">
        <f t="shared" si="0"/>
        <v>0</v>
      </c>
    </row>
    <row r="24" spans="1:9" x14ac:dyDescent="0.3">
      <c r="A24">
        <v>20150105</v>
      </c>
      <c r="B24">
        <v>84990</v>
      </c>
      <c r="C24" s="8">
        <v>52400</v>
      </c>
      <c r="D24" s="8">
        <v>52900</v>
      </c>
      <c r="E24">
        <v>50660</v>
      </c>
      <c r="F24" s="8">
        <v>14197877</v>
      </c>
      <c r="G24" s="1">
        <v>751067693300</v>
      </c>
      <c r="H24" s="1">
        <v>675960908100</v>
      </c>
      <c r="I24">
        <f t="shared" si="0"/>
        <v>0</v>
      </c>
    </row>
    <row r="25" spans="1:9" x14ac:dyDescent="0.3">
      <c r="A25">
        <v>20150106</v>
      </c>
      <c r="B25">
        <v>84990</v>
      </c>
      <c r="C25" s="8">
        <v>52900</v>
      </c>
      <c r="D25" s="8">
        <v>52500</v>
      </c>
      <c r="E25">
        <v>50276</v>
      </c>
      <c r="F25" s="8">
        <v>14197877</v>
      </c>
      <c r="G25" s="1">
        <v>745388542500</v>
      </c>
      <c r="H25" s="1">
        <v>670849672500</v>
      </c>
      <c r="I25">
        <f t="shared" si="0"/>
        <v>0</v>
      </c>
    </row>
    <row r="26" spans="1:9" x14ac:dyDescent="0.3">
      <c r="A26">
        <v>20150107</v>
      </c>
      <c r="B26">
        <v>84990</v>
      </c>
      <c r="C26" s="8">
        <v>52500</v>
      </c>
      <c r="D26" s="8">
        <v>52400</v>
      </c>
      <c r="E26">
        <v>50181</v>
      </c>
      <c r="F26" s="8">
        <v>14197877</v>
      </c>
      <c r="G26" s="1">
        <v>743968754800</v>
      </c>
      <c r="H26" s="1">
        <v>669571863600</v>
      </c>
      <c r="I26">
        <f t="shared" si="0"/>
        <v>0</v>
      </c>
    </row>
    <row r="27" spans="1:9" x14ac:dyDescent="0.3">
      <c r="A27">
        <v>20150108</v>
      </c>
      <c r="B27">
        <v>84990</v>
      </c>
      <c r="C27" s="8">
        <v>52400</v>
      </c>
      <c r="D27" s="8">
        <v>55000</v>
      </c>
      <c r="E27">
        <v>52670</v>
      </c>
      <c r="F27" s="8">
        <v>14197877</v>
      </c>
      <c r="G27" s="1">
        <v>780883235000</v>
      </c>
      <c r="H27" s="1">
        <v>702794895000</v>
      </c>
      <c r="I27">
        <f t="shared" si="0"/>
        <v>0</v>
      </c>
    </row>
    <row r="28" spans="1:9" x14ac:dyDescent="0.3">
      <c r="A28">
        <v>20150109</v>
      </c>
      <c r="B28">
        <v>84990</v>
      </c>
      <c r="C28" s="8">
        <v>55000</v>
      </c>
      <c r="D28" s="8">
        <v>53700</v>
      </c>
      <c r="E28">
        <v>51425</v>
      </c>
      <c r="F28" s="8">
        <v>14197877</v>
      </c>
      <c r="G28" s="1">
        <v>762425994900</v>
      </c>
      <c r="H28" s="1">
        <v>686183379300</v>
      </c>
      <c r="I28">
        <f t="shared" si="0"/>
        <v>0</v>
      </c>
    </row>
    <row r="29" spans="1:9" x14ac:dyDescent="0.3">
      <c r="A29">
        <v>20150112</v>
      </c>
      <c r="B29">
        <v>84990</v>
      </c>
      <c r="C29" s="8">
        <v>53700</v>
      </c>
      <c r="D29" s="8">
        <v>55000</v>
      </c>
      <c r="E29">
        <v>52670</v>
      </c>
      <c r="F29" s="8">
        <v>14197877</v>
      </c>
      <c r="G29" s="1">
        <v>780883235000</v>
      </c>
      <c r="H29" s="1">
        <v>702794895000</v>
      </c>
      <c r="I29">
        <f t="shared" si="0"/>
        <v>0</v>
      </c>
    </row>
    <row r="30" spans="1:9" x14ac:dyDescent="0.3">
      <c r="A30">
        <v>20150113</v>
      </c>
      <c r="B30">
        <v>84990</v>
      </c>
      <c r="C30" s="8">
        <v>55000</v>
      </c>
      <c r="D30" s="8">
        <v>55400</v>
      </c>
      <c r="E30">
        <v>53053</v>
      </c>
      <c r="F30" s="8">
        <v>14197877</v>
      </c>
      <c r="G30" s="1">
        <v>786562385800</v>
      </c>
      <c r="H30" s="1">
        <v>707906130600</v>
      </c>
      <c r="I30">
        <f t="shared" si="0"/>
        <v>0</v>
      </c>
    </row>
    <row r="31" spans="1:9" x14ac:dyDescent="0.3">
      <c r="A31">
        <v>20150114</v>
      </c>
      <c r="B31">
        <v>84990</v>
      </c>
      <c r="C31" s="8">
        <v>55400</v>
      </c>
      <c r="D31" s="8">
        <v>56100</v>
      </c>
      <c r="E31">
        <v>53723</v>
      </c>
      <c r="F31" s="8">
        <v>14197877</v>
      </c>
      <c r="G31" s="1">
        <v>796500899700</v>
      </c>
      <c r="H31" s="1">
        <v>716850792900</v>
      </c>
      <c r="I31">
        <f t="shared" si="0"/>
        <v>0</v>
      </c>
    </row>
    <row r="32" spans="1:9" x14ac:dyDescent="0.3">
      <c r="A32">
        <v>20150115</v>
      </c>
      <c r="B32">
        <v>84990</v>
      </c>
      <c r="C32" s="8">
        <v>56100</v>
      </c>
      <c r="D32" s="8">
        <v>56400</v>
      </c>
      <c r="E32">
        <v>54011</v>
      </c>
      <c r="F32" s="8">
        <v>14197877</v>
      </c>
      <c r="G32" s="1">
        <v>800760262800</v>
      </c>
      <c r="H32" s="1">
        <v>720684219600</v>
      </c>
      <c r="I32">
        <f t="shared" si="0"/>
        <v>0</v>
      </c>
    </row>
    <row r="33" spans="1:9" x14ac:dyDescent="0.3">
      <c r="A33">
        <v>20150116</v>
      </c>
      <c r="B33">
        <v>84990</v>
      </c>
      <c r="C33" s="8">
        <v>56400</v>
      </c>
      <c r="D33" s="8">
        <v>53600</v>
      </c>
      <c r="E33">
        <v>51330</v>
      </c>
      <c r="F33" s="8">
        <v>14197877</v>
      </c>
      <c r="G33" s="1">
        <v>761006207200</v>
      </c>
      <c r="H33" s="1">
        <v>684905570400</v>
      </c>
      <c r="I33">
        <f t="shared" si="0"/>
        <v>0</v>
      </c>
    </row>
    <row r="34" spans="1:9" x14ac:dyDescent="0.3">
      <c r="A34">
        <v>20150119</v>
      </c>
      <c r="B34">
        <v>84990</v>
      </c>
      <c r="C34" s="8">
        <v>53600</v>
      </c>
      <c r="D34" s="8">
        <v>54000</v>
      </c>
      <c r="E34">
        <v>51713</v>
      </c>
      <c r="F34" s="8">
        <v>14197877</v>
      </c>
      <c r="G34" s="1">
        <v>766685358000</v>
      </c>
      <c r="H34" s="1">
        <v>690016806000</v>
      </c>
      <c r="I34">
        <f t="shared" si="0"/>
        <v>0</v>
      </c>
    </row>
    <row r="35" spans="1:9" x14ac:dyDescent="0.3">
      <c r="A35">
        <v>20150120</v>
      </c>
      <c r="B35">
        <v>84990</v>
      </c>
      <c r="C35" s="8">
        <v>54000</v>
      </c>
      <c r="D35" s="8">
        <v>53900</v>
      </c>
      <c r="E35">
        <v>51617</v>
      </c>
      <c r="F35" s="8">
        <v>14197877</v>
      </c>
      <c r="G35" s="1">
        <v>765265570300</v>
      </c>
      <c r="H35" s="1">
        <v>688738997100</v>
      </c>
      <c r="I35">
        <f t="shared" si="0"/>
        <v>0</v>
      </c>
    </row>
    <row r="36" spans="1:9" x14ac:dyDescent="0.3">
      <c r="A36">
        <v>20150121</v>
      </c>
      <c r="B36">
        <v>84990</v>
      </c>
      <c r="C36" s="8">
        <v>53900</v>
      </c>
      <c r="D36" s="8">
        <v>54900</v>
      </c>
      <c r="E36">
        <v>52574</v>
      </c>
      <c r="F36" s="8">
        <v>14197877</v>
      </c>
      <c r="G36" s="1">
        <v>779463447300</v>
      </c>
      <c r="H36" s="1">
        <v>701517086100</v>
      </c>
      <c r="I36">
        <f t="shared" si="0"/>
        <v>0</v>
      </c>
    </row>
    <row r="37" spans="1:9" x14ac:dyDescent="0.3">
      <c r="A37">
        <v>20150122</v>
      </c>
      <c r="B37">
        <v>84990</v>
      </c>
      <c r="C37" s="8">
        <v>54900</v>
      </c>
      <c r="D37" s="8">
        <v>53900</v>
      </c>
      <c r="E37">
        <v>51617</v>
      </c>
      <c r="F37" s="8">
        <v>14197877</v>
      </c>
      <c r="G37" s="1">
        <v>765265570300</v>
      </c>
      <c r="H37" s="1">
        <v>688738997100</v>
      </c>
      <c r="I37">
        <f t="shared" si="0"/>
        <v>0</v>
      </c>
    </row>
    <row r="38" spans="1:9" x14ac:dyDescent="0.3">
      <c r="A38">
        <v>20150123</v>
      </c>
      <c r="B38">
        <v>84990</v>
      </c>
      <c r="C38" s="8">
        <v>53900</v>
      </c>
      <c r="D38" s="8">
        <v>53900</v>
      </c>
      <c r="E38">
        <v>51617</v>
      </c>
      <c r="F38" s="8">
        <v>14197877</v>
      </c>
      <c r="G38" s="1">
        <v>765265570300</v>
      </c>
      <c r="H38" s="1">
        <v>688738997100</v>
      </c>
      <c r="I38">
        <f t="shared" si="0"/>
        <v>0</v>
      </c>
    </row>
    <row r="39" spans="1:9" x14ac:dyDescent="0.3">
      <c r="A39">
        <v>20150126</v>
      </c>
      <c r="B39">
        <v>84990</v>
      </c>
      <c r="C39" s="8">
        <v>53900</v>
      </c>
      <c r="D39" s="8">
        <v>53000</v>
      </c>
      <c r="E39">
        <v>50755</v>
      </c>
      <c r="F39" s="8">
        <v>14197877</v>
      </c>
      <c r="G39" s="1">
        <v>752487481000</v>
      </c>
      <c r="H39" s="1">
        <v>677238717000</v>
      </c>
      <c r="I39">
        <f t="shared" si="0"/>
        <v>0</v>
      </c>
    </row>
    <row r="40" spans="1:9" x14ac:dyDescent="0.3">
      <c r="A40">
        <v>20150127</v>
      </c>
      <c r="B40">
        <v>84990</v>
      </c>
      <c r="C40" s="8">
        <v>53000</v>
      </c>
      <c r="D40" s="8">
        <v>53800</v>
      </c>
      <c r="E40">
        <v>51521</v>
      </c>
      <c r="F40" s="8">
        <v>14197877</v>
      </c>
      <c r="G40" s="1">
        <v>763845782600</v>
      </c>
      <c r="H40" s="1">
        <v>687461188200</v>
      </c>
      <c r="I40">
        <f t="shared" si="0"/>
        <v>0</v>
      </c>
    </row>
    <row r="41" spans="1:9" x14ac:dyDescent="0.3">
      <c r="A41">
        <v>20150128</v>
      </c>
      <c r="B41">
        <v>84990</v>
      </c>
      <c r="C41" s="8">
        <v>53800</v>
      </c>
      <c r="D41" s="8">
        <v>53400</v>
      </c>
      <c r="E41">
        <v>51139</v>
      </c>
      <c r="F41" s="8">
        <v>14197877</v>
      </c>
      <c r="G41" s="1">
        <v>758166631800</v>
      </c>
      <c r="H41" s="1">
        <v>682349952600</v>
      </c>
      <c r="I41">
        <f t="shared" si="0"/>
        <v>0</v>
      </c>
    </row>
    <row r="42" spans="1:9" x14ac:dyDescent="0.3">
      <c r="A42">
        <v>20150129</v>
      </c>
      <c r="B42">
        <v>84990</v>
      </c>
      <c r="C42" s="8">
        <v>53400</v>
      </c>
      <c r="D42" s="8">
        <v>52500</v>
      </c>
      <c r="E42">
        <v>50276</v>
      </c>
      <c r="F42" s="8">
        <v>14197877</v>
      </c>
      <c r="G42" s="1">
        <v>745388542500</v>
      </c>
      <c r="H42" s="1">
        <v>670849672500</v>
      </c>
      <c r="I42">
        <f t="shared" si="0"/>
        <v>0</v>
      </c>
    </row>
    <row r="43" spans="1:9" x14ac:dyDescent="0.3">
      <c r="A43">
        <v>20150130</v>
      </c>
      <c r="B43">
        <v>84990</v>
      </c>
      <c r="C43" s="8">
        <v>52500</v>
      </c>
      <c r="D43" s="8">
        <v>52500</v>
      </c>
      <c r="E43">
        <v>50276</v>
      </c>
      <c r="F43" s="8">
        <v>14197877</v>
      </c>
      <c r="G43" s="1">
        <v>745388542500</v>
      </c>
      <c r="H43" s="1">
        <v>670849672500</v>
      </c>
      <c r="I43">
        <f t="shared" si="0"/>
        <v>0</v>
      </c>
    </row>
    <row r="44" spans="1:9" x14ac:dyDescent="0.3">
      <c r="A44">
        <v>20150202</v>
      </c>
      <c r="B44">
        <v>84990</v>
      </c>
      <c r="C44" s="8">
        <v>52500</v>
      </c>
      <c r="D44" s="8">
        <v>51000</v>
      </c>
      <c r="E44">
        <v>48840</v>
      </c>
      <c r="F44" s="8">
        <v>14197877</v>
      </c>
      <c r="G44" s="1">
        <v>724091727000</v>
      </c>
      <c r="H44" s="1">
        <v>651682539000</v>
      </c>
      <c r="I44">
        <f t="shared" si="0"/>
        <v>0</v>
      </c>
    </row>
    <row r="45" spans="1:9" x14ac:dyDescent="0.3">
      <c r="A45">
        <v>20150203</v>
      </c>
      <c r="B45">
        <v>84990</v>
      </c>
      <c r="C45" s="8">
        <v>51000</v>
      </c>
      <c r="D45" s="8">
        <v>51000</v>
      </c>
      <c r="E45">
        <v>48840</v>
      </c>
      <c r="F45" s="8">
        <v>14197877</v>
      </c>
      <c r="G45" s="1">
        <v>724091727000</v>
      </c>
      <c r="H45" s="1">
        <v>651682539000</v>
      </c>
      <c r="I45">
        <f t="shared" si="0"/>
        <v>0</v>
      </c>
    </row>
    <row r="46" spans="1:9" x14ac:dyDescent="0.3">
      <c r="A46">
        <v>20150204</v>
      </c>
      <c r="B46">
        <v>84990</v>
      </c>
      <c r="C46" s="8">
        <v>51000</v>
      </c>
      <c r="D46" s="8">
        <v>53000</v>
      </c>
      <c r="E46">
        <v>50755</v>
      </c>
      <c r="F46" s="8">
        <v>14197877</v>
      </c>
      <c r="G46" s="1">
        <v>752487481000</v>
      </c>
      <c r="H46" s="1">
        <v>677238717000</v>
      </c>
      <c r="I46">
        <f t="shared" si="0"/>
        <v>0</v>
      </c>
    </row>
    <row r="47" spans="1:9" x14ac:dyDescent="0.3">
      <c r="A47">
        <v>20150205</v>
      </c>
      <c r="B47">
        <v>84990</v>
      </c>
      <c r="C47" s="8">
        <v>53000</v>
      </c>
      <c r="D47" s="8">
        <v>51000</v>
      </c>
      <c r="E47">
        <v>48840</v>
      </c>
      <c r="F47" s="8">
        <v>14197877</v>
      </c>
      <c r="G47" s="1">
        <v>724091727000</v>
      </c>
      <c r="H47" s="1">
        <v>651682539000</v>
      </c>
      <c r="I47">
        <f t="shared" si="0"/>
        <v>0</v>
      </c>
    </row>
    <row r="48" spans="1:9" x14ac:dyDescent="0.3">
      <c r="A48">
        <v>20150206</v>
      </c>
      <c r="B48">
        <v>84990</v>
      </c>
      <c r="C48" s="8">
        <v>51000</v>
      </c>
      <c r="D48" s="8">
        <v>50400</v>
      </c>
      <c r="E48">
        <v>48265</v>
      </c>
      <c r="F48" s="8">
        <v>14197877</v>
      </c>
      <c r="G48" s="1">
        <v>715573000800</v>
      </c>
      <c r="H48" s="1">
        <v>644015685600</v>
      </c>
      <c r="I48">
        <f t="shared" si="0"/>
        <v>0</v>
      </c>
    </row>
    <row r="49" spans="1:9" x14ac:dyDescent="0.3">
      <c r="A49">
        <v>20150209</v>
      </c>
      <c r="B49">
        <v>84990</v>
      </c>
      <c r="C49" s="8">
        <v>50400</v>
      </c>
      <c r="D49" s="8">
        <v>49600</v>
      </c>
      <c r="E49">
        <v>47499</v>
      </c>
      <c r="F49" s="8">
        <v>14197877</v>
      </c>
      <c r="G49" s="1">
        <v>704214699200</v>
      </c>
      <c r="H49" s="1">
        <v>633793214400</v>
      </c>
      <c r="I49">
        <f t="shared" si="0"/>
        <v>0</v>
      </c>
    </row>
    <row r="50" spans="1:9" x14ac:dyDescent="0.3">
      <c r="A50">
        <v>20150210</v>
      </c>
      <c r="B50">
        <v>84990</v>
      </c>
      <c r="C50" s="8">
        <v>49600</v>
      </c>
      <c r="D50" s="8">
        <v>49300</v>
      </c>
      <c r="E50">
        <v>47212</v>
      </c>
      <c r="F50" s="8">
        <v>14197877</v>
      </c>
      <c r="G50" s="1">
        <v>699955336100</v>
      </c>
      <c r="H50" s="1">
        <v>629959787700</v>
      </c>
      <c r="I50">
        <f t="shared" si="0"/>
        <v>0</v>
      </c>
    </row>
    <row r="51" spans="1:9" x14ac:dyDescent="0.3">
      <c r="A51">
        <v>20150211</v>
      </c>
      <c r="B51">
        <v>84990</v>
      </c>
      <c r="C51" s="8">
        <v>49300</v>
      </c>
      <c r="D51" s="8">
        <v>48300</v>
      </c>
      <c r="E51">
        <v>46254</v>
      </c>
      <c r="F51" s="8">
        <v>14197877</v>
      </c>
      <c r="G51" s="1">
        <v>685757459100</v>
      </c>
      <c r="H51" s="1">
        <v>617181698700</v>
      </c>
      <c r="I51">
        <f t="shared" si="0"/>
        <v>0</v>
      </c>
    </row>
    <row r="52" spans="1:9" x14ac:dyDescent="0.3">
      <c r="A52">
        <v>20150212</v>
      </c>
      <c r="B52">
        <v>84990</v>
      </c>
      <c r="C52" s="8">
        <v>48300</v>
      </c>
      <c r="D52" s="8">
        <v>52100</v>
      </c>
      <c r="E52">
        <v>49893</v>
      </c>
      <c r="F52" s="8">
        <v>14197877</v>
      </c>
      <c r="G52" s="1">
        <v>739709391700</v>
      </c>
      <c r="H52" s="1">
        <v>665738436900</v>
      </c>
      <c r="I52">
        <f t="shared" si="0"/>
        <v>0</v>
      </c>
    </row>
    <row r="53" spans="1:9" x14ac:dyDescent="0.3">
      <c r="A53">
        <v>20150213</v>
      </c>
      <c r="B53">
        <v>84990</v>
      </c>
      <c r="C53" s="8">
        <v>52100</v>
      </c>
      <c r="D53" s="8">
        <v>53800</v>
      </c>
      <c r="E53">
        <v>51521</v>
      </c>
      <c r="F53" s="8">
        <v>14197877</v>
      </c>
      <c r="G53" s="1">
        <v>763845782600</v>
      </c>
      <c r="H53" s="1">
        <v>687461188200</v>
      </c>
      <c r="I53">
        <f t="shared" si="0"/>
        <v>0</v>
      </c>
    </row>
    <row r="54" spans="1:9" x14ac:dyDescent="0.3">
      <c r="A54">
        <v>20150216</v>
      </c>
      <c r="B54">
        <v>84990</v>
      </c>
      <c r="C54" s="8">
        <v>53800</v>
      </c>
      <c r="D54" s="8">
        <v>54400</v>
      </c>
      <c r="E54">
        <v>52095</v>
      </c>
      <c r="F54" s="8">
        <v>14197877</v>
      </c>
      <c r="G54" s="1">
        <v>772364508800</v>
      </c>
      <c r="H54" s="1">
        <v>695128041600</v>
      </c>
      <c r="I54">
        <f t="shared" si="0"/>
        <v>0</v>
      </c>
    </row>
    <row r="55" spans="1:9" x14ac:dyDescent="0.3">
      <c r="A55">
        <v>20150217</v>
      </c>
      <c r="B55">
        <v>84990</v>
      </c>
      <c r="C55" s="8">
        <v>54400</v>
      </c>
      <c r="D55" s="8">
        <v>56800</v>
      </c>
      <c r="E55">
        <v>54395</v>
      </c>
      <c r="F55" s="8">
        <v>14197877</v>
      </c>
      <c r="G55" s="1">
        <v>806439413600</v>
      </c>
      <c r="H55" s="1">
        <v>725795455200</v>
      </c>
      <c r="I55">
        <f t="shared" si="0"/>
        <v>0</v>
      </c>
    </row>
    <row r="56" spans="1:9" x14ac:dyDescent="0.3">
      <c r="A56">
        <v>20150223</v>
      </c>
      <c r="B56">
        <v>84990</v>
      </c>
      <c r="C56" s="8">
        <v>56800</v>
      </c>
      <c r="D56" s="8">
        <v>56800</v>
      </c>
      <c r="E56">
        <v>54395</v>
      </c>
      <c r="F56" s="8">
        <v>14197877</v>
      </c>
      <c r="G56" s="1">
        <v>806439413600</v>
      </c>
      <c r="H56" s="1">
        <v>725795455200</v>
      </c>
      <c r="I56">
        <f t="shared" si="0"/>
        <v>0</v>
      </c>
    </row>
    <row r="57" spans="1:9" x14ac:dyDescent="0.3">
      <c r="A57">
        <v>20150224</v>
      </c>
      <c r="B57">
        <v>84990</v>
      </c>
      <c r="C57" s="8">
        <v>56800</v>
      </c>
      <c r="D57" s="8">
        <v>58900</v>
      </c>
      <c r="E57">
        <v>56406</v>
      </c>
      <c r="F57" s="8">
        <v>14197877</v>
      </c>
      <c r="G57" s="1">
        <v>836254955300</v>
      </c>
      <c r="H57" s="1">
        <v>752629442100</v>
      </c>
      <c r="I57">
        <f t="shared" si="0"/>
        <v>0</v>
      </c>
    </row>
    <row r="58" spans="1:9" x14ac:dyDescent="0.3">
      <c r="A58">
        <v>20150225</v>
      </c>
      <c r="B58">
        <v>84990</v>
      </c>
      <c r="C58" s="8">
        <v>58900</v>
      </c>
      <c r="D58" s="8">
        <v>57200</v>
      </c>
      <c r="E58">
        <v>54777</v>
      </c>
      <c r="F58" s="8">
        <v>14197877</v>
      </c>
      <c r="G58" s="1">
        <v>812118564400</v>
      </c>
      <c r="H58" s="1">
        <v>730906690800</v>
      </c>
      <c r="I58">
        <f t="shared" si="0"/>
        <v>0</v>
      </c>
    </row>
    <row r="59" spans="1:9" x14ac:dyDescent="0.3">
      <c r="A59">
        <v>20150226</v>
      </c>
      <c r="B59">
        <v>84990</v>
      </c>
      <c r="C59" s="8">
        <v>57200</v>
      </c>
      <c r="D59" s="8">
        <v>57500</v>
      </c>
      <c r="E59">
        <v>55065</v>
      </c>
      <c r="F59" s="8">
        <v>14197877</v>
      </c>
      <c r="G59" s="1">
        <v>816377927500</v>
      </c>
      <c r="H59" s="1">
        <v>734740117500</v>
      </c>
      <c r="I59">
        <f t="shared" si="0"/>
        <v>0</v>
      </c>
    </row>
    <row r="60" spans="1:9" x14ac:dyDescent="0.3">
      <c r="A60">
        <v>20150227</v>
      </c>
      <c r="B60">
        <v>84990</v>
      </c>
      <c r="C60" s="8">
        <v>57500</v>
      </c>
      <c r="D60" s="8">
        <v>58300</v>
      </c>
      <c r="E60">
        <v>55830</v>
      </c>
      <c r="F60" s="8">
        <v>14197877</v>
      </c>
      <c r="G60" s="1">
        <v>827736229100</v>
      </c>
      <c r="H60" s="1">
        <v>744962588700</v>
      </c>
      <c r="I60">
        <f t="shared" si="0"/>
        <v>0</v>
      </c>
    </row>
    <row r="61" spans="1:9" x14ac:dyDescent="0.3">
      <c r="A61">
        <v>20150302</v>
      </c>
      <c r="B61">
        <v>84990</v>
      </c>
      <c r="C61" s="8">
        <v>58300</v>
      </c>
      <c r="D61" s="8">
        <v>57300</v>
      </c>
      <c r="E61">
        <v>54873</v>
      </c>
      <c r="F61" s="8">
        <v>14197877</v>
      </c>
      <c r="G61" s="1">
        <v>813538352100</v>
      </c>
      <c r="H61" s="1">
        <v>732184499700</v>
      </c>
      <c r="I61">
        <f t="shared" si="0"/>
        <v>0</v>
      </c>
    </row>
    <row r="62" spans="1:9" x14ac:dyDescent="0.3">
      <c r="A62">
        <v>20150303</v>
      </c>
      <c r="B62">
        <v>84990</v>
      </c>
      <c r="C62" s="8">
        <v>57300</v>
      </c>
      <c r="D62" s="8">
        <v>56000</v>
      </c>
      <c r="E62">
        <v>53628</v>
      </c>
      <c r="F62" s="8">
        <v>14197877</v>
      </c>
      <c r="G62" s="1">
        <v>795081112000</v>
      </c>
      <c r="H62" s="1">
        <v>715572984000</v>
      </c>
      <c r="I62">
        <f t="shared" si="0"/>
        <v>0</v>
      </c>
    </row>
    <row r="63" spans="1:9" x14ac:dyDescent="0.3">
      <c r="A63">
        <v>20150304</v>
      </c>
      <c r="B63">
        <v>84990</v>
      </c>
      <c r="C63" s="8">
        <v>56000</v>
      </c>
      <c r="D63" s="8">
        <v>56500</v>
      </c>
      <c r="E63">
        <v>54107</v>
      </c>
      <c r="F63" s="8">
        <v>14197877</v>
      </c>
      <c r="G63" s="1">
        <v>802180050500</v>
      </c>
      <c r="H63" s="1">
        <v>721962028500</v>
      </c>
      <c r="I63">
        <f t="shared" si="0"/>
        <v>0</v>
      </c>
    </row>
    <row r="64" spans="1:9" x14ac:dyDescent="0.3">
      <c r="A64">
        <v>20150305</v>
      </c>
      <c r="B64">
        <v>84990</v>
      </c>
      <c r="C64" s="8">
        <v>56500</v>
      </c>
      <c r="D64" s="8">
        <v>55500</v>
      </c>
      <c r="E64">
        <v>53149</v>
      </c>
      <c r="F64" s="8">
        <v>14197877</v>
      </c>
      <c r="G64" s="1">
        <v>787982173500</v>
      </c>
      <c r="H64" s="1">
        <v>709183939500</v>
      </c>
      <c r="I64">
        <f t="shared" si="0"/>
        <v>0</v>
      </c>
    </row>
    <row r="65" spans="1:9" x14ac:dyDescent="0.3">
      <c r="A65">
        <v>20150306</v>
      </c>
      <c r="B65">
        <v>84990</v>
      </c>
      <c r="C65" s="8">
        <v>55500</v>
      </c>
      <c r="D65" s="8">
        <v>60000</v>
      </c>
      <c r="E65">
        <v>57459</v>
      </c>
      <c r="F65" s="8">
        <v>14197877</v>
      </c>
      <c r="G65" s="1">
        <v>851872620000</v>
      </c>
      <c r="H65" s="1">
        <v>766685340000</v>
      </c>
      <c r="I65">
        <f t="shared" si="0"/>
        <v>0</v>
      </c>
    </row>
    <row r="66" spans="1:9" x14ac:dyDescent="0.3">
      <c r="A66">
        <v>20150309</v>
      </c>
      <c r="B66">
        <v>84990</v>
      </c>
      <c r="C66" s="8">
        <v>60000</v>
      </c>
      <c r="D66" s="8">
        <v>58500</v>
      </c>
      <c r="E66">
        <v>56022</v>
      </c>
      <c r="F66" s="8">
        <v>14197877</v>
      </c>
      <c r="G66" s="1">
        <v>830575804500</v>
      </c>
      <c r="H66" s="1">
        <v>747518206500</v>
      </c>
      <c r="I66">
        <f t="shared" si="0"/>
        <v>0</v>
      </c>
    </row>
    <row r="67" spans="1:9" x14ac:dyDescent="0.3">
      <c r="A67">
        <v>20150310</v>
      </c>
      <c r="B67">
        <v>84990</v>
      </c>
      <c r="C67" s="8">
        <v>58500</v>
      </c>
      <c r="D67" s="8">
        <v>63000</v>
      </c>
      <c r="E67">
        <v>60332</v>
      </c>
      <c r="F67" s="8">
        <v>14197877</v>
      </c>
      <c r="G67" s="1">
        <v>894466251000</v>
      </c>
      <c r="H67" s="1">
        <v>805019607000</v>
      </c>
      <c r="I67">
        <f t="shared" ref="I67:I130" si="1">IF(C67*F67=D66*F66,0,1)</f>
        <v>0</v>
      </c>
    </row>
    <row r="68" spans="1:9" x14ac:dyDescent="0.3">
      <c r="A68">
        <v>20150311</v>
      </c>
      <c r="B68">
        <v>84990</v>
      </c>
      <c r="C68" s="8">
        <v>63000</v>
      </c>
      <c r="D68" s="8">
        <v>62500</v>
      </c>
      <c r="E68">
        <v>59853</v>
      </c>
      <c r="F68" s="8">
        <v>14197877</v>
      </c>
      <c r="G68" s="1">
        <v>887367312500</v>
      </c>
      <c r="H68" s="1">
        <v>798630562500</v>
      </c>
      <c r="I68">
        <f t="shared" si="1"/>
        <v>0</v>
      </c>
    </row>
    <row r="69" spans="1:9" x14ac:dyDescent="0.3">
      <c r="A69">
        <v>20150312</v>
      </c>
      <c r="B69">
        <v>84990</v>
      </c>
      <c r="C69" s="8">
        <v>62500</v>
      </c>
      <c r="D69" s="8">
        <v>62700</v>
      </c>
      <c r="E69">
        <v>60044</v>
      </c>
      <c r="F69" s="8">
        <v>14197877</v>
      </c>
      <c r="G69" s="1">
        <v>890206887900</v>
      </c>
      <c r="H69" s="1">
        <v>801186180300</v>
      </c>
      <c r="I69">
        <f t="shared" si="1"/>
        <v>0</v>
      </c>
    </row>
    <row r="70" spans="1:9" x14ac:dyDescent="0.3">
      <c r="A70">
        <v>20150313</v>
      </c>
      <c r="B70">
        <v>84990</v>
      </c>
      <c r="C70" s="8">
        <v>62700</v>
      </c>
      <c r="D70" s="8">
        <v>62700</v>
      </c>
      <c r="E70">
        <v>60044</v>
      </c>
      <c r="F70" s="8">
        <v>14197877</v>
      </c>
      <c r="G70" s="1">
        <v>890206887900</v>
      </c>
      <c r="H70" s="1">
        <v>801186180300</v>
      </c>
      <c r="I70">
        <f t="shared" si="1"/>
        <v>0</v>
      </c>
    </row>
    <row r="71" spans="1:9" x14ac:dyDescent="0.3">
      <c r="A71">
        <v>20150316</v>
      </c>
      <c r="B71">
        <v>84990</v>
      </c>
      <c r="C71" s="8">
        <v>62700</v>
      </c>
      <c r="D71" s="8">
        <v>62700</v>
      </c>
      <c r="E71">
        <v>60044</v>
      </c>
      <c r="F71" s="8">
        <v>14197877</v>
      </c>
      <c r="G71" s="1">
        <v>890206887900</v>
      </c>
      <c r="H71" s="1">
        <v>801186180300</v>
      </c>
      <c r="I71">
        <f t="shared" si="1"/>
        <v>0</v>
      </c>
    </row>
    <row r="72" spans="1:9" x14ac:dyDescent="0.3">
      <c r="A72">
        <v>20150317</v>
      </c>
      <c r="B72">
        <v>84990</v>
      </c>
      <c r="C72" s="8">
        <v>62700</v>
      </c>
      <c r="D72" s="8">
        <v>63300</v>
      </c>
      <c r="E72">
        <v>60619</v>
      </c>
      <c r="F72" s="8">
        <v>14197877</v>
      </c>
      <c r="G72" s="1">
        <v>898725614100</v>
      </c>
      <c r="H72" s="1">
        <v>808853033700</v>
      </c>
      <c r="I72">
        <f t="shared" si="1"/>
        <v>0</v>
      </c>
    </row>
    <row r="73" spans="1:9" x14ac:dyDescent="0.3">
      <c r="A73">
        <v>20150318</v>
      </c>
      <c r="B73">
        <v>84990</v>
      </c>
      <c r="C73" s="8">
        <v>63300</v>
      </c>
      <c r="D73" s="8">
        <v>64200</v>
      </c>
      <c r="E73">
        <v>61481</v>
      </c>
      <c r="F73" s="8">
        <v>14197877</v>
      </c>
      <c r="G73" s="1">
        <v>911503703400</v>
      </c>
      <c r="H73" s="1">
        <v>820353313800</v>
      </c>
      <c r="I73">
        <f t="shared" si="1"/>
        <v>0</v>
      </c>
    </row>
    <row r="74" spans="1:9" x14ac:dyDescent="0.3">
      <c r="A74">
        <v>20150319</v>
      </c>
      <c r="B74">
        <v>84990</v>
      </c>
      <c r="C74" s="8">
        <v>64200</v>
      </c>
      <c r="D74" s="8">
        <v>66000</v>
      </c>
      <c r="E74">
        <v>63204</v>
      </c>
      <c r="F74" s="8">
        <v>14197877</v>
      </c>
      <c r="G74" s="1">
        <v>937059882000</v>
      </c>
      <c r="H74" s="1">
        <v>843353874000</v>
      </c>
      <c r="I74">
        <f t="shared" si="1"/>
        <v>0</v>
      </c>
    </row>
    <row r="75" spans="1:9" x14ac:dyDescent="0.3">
      <c r="A75">
        <v>20150320</v>
      </c>
      <c r="B75">
        <v>84990</v>
      </c>
      <c r="C75" s="8">
        <v>66000</v>
      </c>
      <c r="D75" s="8">
        <v>70900</v>
      </c>
      <c r="E75">
        <v>67897</v>
      </c>
      <c r="F75" s="8">
        <v>14197877</v>
      </c>
      <c r="G75" s="1">
        <v>1006629479300</v>
      </c>
      <c r="H75" s="1">
        <v>905966510100</v>
      </c>
      <c r="I75">
        <f t="shared" si="1"/>
        <v>0</v>
      </c>
    </row>
    <row r="76" spans="1:9" x14ac:dyDescent="0.3">
      <c r="A76">
        <v>20150323</v>
      </c>
      <c r="B76">
        <v>84990</v>
      </c>
      <c r="C76" s="8">
        <v>70900</v>
      </c>
      <c r="D76" s="8">
        <v>74000</v>
      </c>
      <c r="E76">
        <v>70866</v>
      </c>
      <c r="F76" s="8">
        <v>14197877</v>
      </c>
      <c r="G76" s="1">
        <v>1050642898000</v>
      </c>
      <c r="H76" s="1">
        <v>945578586000</v>
      </c>
      <c r="I76">
        <f t="shared" si="1"/>
        <v>0</v>
      </c>
    </row>
    <row r="77" spans="1:9" x14ac:dyDescent="0.3">
      <c r="A77">
        <v>20150324</v>
      </c>
      <c r="B77">
        <v>84990</v>
      </c>
      <c r="C77" s="8">
        <v>74000</v>
      </c>
      <c r="D77" s="8">
        <v>73200</v>
      </c>
      <c r="E77">
        <v>70099</v>
      </c>
      <c r="F77" s="8">
        <v>14197877</v>
      </c>
      <c r="G77" s="1">
        <v>1039284596400</v>
      </c>
      <c r="H77" s="1">
        <v>935356114800</v>
      </c>
      <c r="I77">
        <f t="shared" si="1"/>
        <v>0</v>
      </c>
    </row>
    <row r="78" spans="1:9" x14ac:dyDescent="0.3">
      <c r="A78">
        <v>20150325</v>
      </c>
      <c r="B78">
        <v>84990</v>
      </c>
      <c r="C78" s="8">
        <v>73200</v>
      </c>
      <c r="D78" s="8">
        <v>77900</v>
      </c>
      <c r="E78">
        <v>74601</v>
      </c>
      <c r="F78" s="8">
        <v>14197877</v>
      </c>
      <c r="G78" s="1">
        <v>1106014618300</v>
      </c>
      <c r="H78" s="1">
        <v>995413133100</v>
      </c>
      <c r="I78">
        <f t="shared" si="1"/>
        <v>0</v>
      </c>
    </row>
    <row r="79" spans="1:9" x14ac:dyDescent="0.3">
      <c r="A79">
        <v>20150326</v>
      </c>
      <c r="B79">
        <v>84990</v>
      </c>
      <c r="C79" s="8">
        <v>77900</v>
      </c>
      <c r="D79" s="8">
        <v>71100</v>
      </c>
      <c r="E79">
        <v>68089</v>
      </c>
      <c r="F79" s="8">
        <v>14197877</v>
      </c>
      <c r="G79" s="1">
        <v>1009469054700</v>
      </c>
      <c r="H79" s="1">
        <v>908522127900</v>
      </c>
      <c r="I79">
        <f t="shared" si="1"/>
        <v>0</v>
      </c>
    </row>
    <row r="80" spans="1:9" x14ac:dyDescent="0.3">
      <c r="A80">
        <v>20150327</v>
      </c>
      <c r="B80">
        <v>84990</v>
      </c>
      <c r="C80" s="8">
        <v>71100</v>
      </c>
      <c r="D80" s="8">
        <v>71700</v>
      </c>
      <c r="E80">
        <v>68664</v>
      </c>
      <c r="F80" s="8">
        <v>14197877</v>
      </c>
      <c r="G80" s="1">
        <v>1017987780900</v>
      </c>
      <c r="H80" s="1">
        <v>916188981300</v>
      </c>
      <c r="I80">
        <f t="shared" si="1"/>
        <v>0</v>
      </c>
    </row>
    <row r="81" spans="1:9" x14ac:dyDescent="0.3">
      <c r="A81">
        <v>20150330</v>
      </c>
      <c r="B81">
        <v>84990</v>
      </c>
      <c r="C81" s="8">
        <v>71700</v>
      </c>
      <c r="D81" s="8">
        <v>74000</v>
      </c>
      <c r="E81">
        <v>70866</v>
      </c>
      <c r="F81" s="8">
        <v>14197877</v>
      </c>
      <c r="G81" s="1">
        <v>1050642898000</v>
      </c>
      <c r="H81" s="1">
        <v>945578586000</v>
      </c>
      <c r="I81">
        <f t="shared" si="1"/>
        <v>0</v>
      </c>
    </row>
    <row r="82" spans="1:9" x14ac:dyDescent="0.3">
      <c r="A82">
        <v>20150331</v>
      </c>
      <c r="B82">
        <v>84990</v>
      </c>
      <c r="C82" s="8">
        <v>74000</v>
      </c>
      <c r="D82" s="8">
        <v>72500</v>
      </c>
      <c r="E82">
        <v>69429</v>
      </c>
      <c r="F82" s="8">
        <v>14197877</v>
      </c>
      <c r="G82" s="1">
        <v>1029346082500</v>
      </c>
      <c r="H82" s="1">
        <v>926411452500</v>
      </c>
      <c r="I82">
        <f t="shared" si="1"/>
        <v>0</v>
      </c>
    </row>
    <row r="83" spans="1:9" x14ac:dyDescent="0.3">
      <c r="A83">
        <v>20150401</v>
      </c>
      <c r="B83">
        <v>84990</v>
      </c>
      <c r="C83" s="8">
        <v>72500</v>
      </c>
      <c r="D83" s="8">
        <v>74200</v>
      </c>
      <c r="E83">
        <v>71057</v>
      </c>
      <c r="F83" s="8">
        <v>14197877</v>
      </c>
      <c r="G83" s="1">
        <v>1053482473400</v>
      </c>
      <c r="H83" s="1">
        <v>948134203800</v>
      </c>
      <c r="I83">
        <f t="shared" si="1"/>
        <v>0</v>
      </c>
    </row>
    <row r="84" spans="1:9" x14ac:dyDescent="0.3">
      <c r="A84">
        <v>20150402</v>
      </c>
      <c r="B84">
        <v>84990</v>
      </c>
      <c r="C84" s="8">
        <v>74200</v>
      </c>
      <c r="D84" s="8">
        <v>72000</v>
      </c>
      <c r="E84">
        <v>68950</v>
      </c>
      <c r="F84" s="8">
        <v>14197877</v>
      </c>
      <c r="G84" s="1">
        <v>1022247144000</v>
      </c>
      <c r="H84" s="1">
        <v>920022408000</v>
      </c>
      <c r="I84">
        <f t="shared" si="1"/>
        <v>0</v>
      </c>
    </row>
    <row r="85" spans="1:9" x14ac:dyDescent="0.3">
      <c r="A85">
        <v>20150403</v>
      </c>
      <c r="B85">
        <v>84990</v>
      </c>
      <c r="C85" s="8">
        <v>72000</v>
      </c>
      <c r="D85" s="8">
        <v>72200</v>
      </c>
      <c r="E85">
        <v>69143</v>
      </c>
      <c r="F85" s="8">
        <v>14197877</v>
      </c>
      <c r="G85" s="1">
        <v>1025086719400</v>
      </c>
      <c r="H85" s="1">
        <v>922578025800</v>
      </c>
      <c r="I85">
        <f t="shared" si="1"/>
        <v>0</v>
      </c>
    </row>
    <row r="86" spans="1:9" x14ac:dyDescent="0.3">
      <c r="A86">
        <v>20150406</v>
      </c>
      <c r="B86">
        <v>84990</v>
      </c>
      <c r="C86" s="8">
        <v>72200</v>
      </c>
      <c r="D86" s="8">
        <v>71900</v>
      </c>
      <c r="E86">
        <v>68855</v>
      </c>
      <c r="F86" s="8">
        <v>14197877</v>
      </c>
      <c r="G86" s="1">
        <v>1020827356300</v>
      </c>
      <c r="H86" s="1">
        <v>918744599100</v>
      </c>
      <c r="I86">
        <f t="shared" si="1"/>
        <v>0</v>
      </c>
    </row>
    <row r="87" spans="1:9" x14ac:dyDescent="0.3">
      <c r="A87">
        <v>20150407</v>
      </c>
      <c r="B87">
        <v>84990</v>
      </c>
      <c r="C87" s="8">
        <v>71900</v>
      </c>
      <c r="D87" s="8">
        <v>75400</v>
      </c>
      <c r="E87">
        <v>72206</v>
      </c>
      <c r="F87" s="8">
        <v>14197877</v>
      </c>
      <c r="G87" s="1">
        <v>1070519925800</v>
      </c>
      <c r="H87" s="1">
        <v>963467910600</v>
      </c>
      <c r="I87">
        <f t="shared" si="1"/>
        <v>0</v>
      </c>
    </row>
    <row r="88" spans="1:9" x14ac:dyDescent="0.3">
      <c r="A88">
        <v>20150408</v>
      </c>
      <c r="B88">
        <v>84990</v>
      </c>
      <c r="C88" s="8">
        <v>75400</v>
      </c>
      <c r="D88" s="8">
        <v>75500</v>
      </c>
      <c r="E88">
        <v>72303</v>
      </c>
      <c r="F88" s="8">
        <v>14197877</v>
      </c>
      <c r="G88" s="1">
        <v>1071939713500</v>
      </c>
      <c r="H88" s="1">
        <v>964745719500</v>
      </c>
      <c r="I88">
        <f t="shared" si="1"/>
        <v>0</v>
      </c>
    </row>
    <row r="89" spans="1:9" x14ac:dyDescent="0.3">
      <c r="A89">
        <v>20150409</v>
      </c>
      <c r="B89">
        <v>84990</v>
      </c>
      <c r="C89" s="8">
        <v>75500</v>
      </c>
      <c r="D89" s="8">
        <v>76800</v>
      </c>
      <c r="E89">
        <v>73547</v>
      </c>
      <c r="F89" s="8">
        <v>14197877</v>
      </c>
      <c r="G89" s="1">
        <v>1090396953600</v>
      </c>
      <c r="H89" s="1">
        <v>981357235200</v>
      </c>
      <c r="I89">
        <f t="shared" si="1"/>
        <v>0</v>
      </c>
    </row>
    <row r="90" spans="1:9" x14ac:dyDescent="0.3">
      <c r="A90">
        <v>20150410</v>
      </c>
      <c r="B90">
        <v>84990</v>
      </c>
      <c r="C90" s="8">
        <v>76800</v>
      </c>
      <c r="D90" s="8">
        <v>80200</v>
      </c>
      <c r="E90">
        <v>76803</v>
      </c>
      <c r="F90" s="8">
        <v>14197877</v>
      </c>
      <c r="G90" s="1">
        <v>1138669735400</v>
      </c>
      <c r="H90" s="1">
        <v>1024802737800</v>
      </c>
      <c r="I90">
        <f t="shared" si="1"/>
        <v>0</v>
      </c>
    </row>
    <row r="91" spans="1:9" x14ac:dyDescent="0.3">
      <c r="A91">
        <v>20150413</v>
      </c>
      <c r="B91">
        <v>84990</v>
      </c>
      <c r="C91" s="8">
        <v>80200</v>
      </c>
      <c r="D91" s="8">
        <v>80300</v>
      </c>
      <c r="E91">
        <v>76899</v>
      </c>
      <c r="F91" s="8">
        <v>14197877</v>
      </c>
      <c r="G91" s="1">
        <v>1140089523100</v>
      </c>
      <c r="H91" s="1">
        <v>1026080546700</v>
      </c>
      <c r="I91">
        <f t="shared" si="1"/>
        <v>0</v>
      </c>
    </row>
    <row r="92" spans="1:9" x14ac:dyDescent="0.3">
      <c r="A92">
        <v>20150414</v>
      </c>
      <c r="B92">
        <v>84990</v>
      </c>
      <c r="C92" s="8">
        <v>80300</v>
      </c>
      <c r="D92" s="8">
        <v>79500</v>
      </c>
      <c r="E92">
        <v>76133</v>
      </c>
      <c r="F92" s="8">
        <v>14197877</v>
      </c>
      <c r="G92" s="1">
        <v>1128731221500</v>
      </c>
      <c r="H92" s="1">
        <v>1015858075500</v>
      </c>
      <c r="I92">
        <f t="shared" si="1"/>
        <v>0</v>
      </c>
    </row>
    <row r="93" spans="1:9" x14ac:dyDescent="0.3">
      <c r="A93">
        <v>20150415</v>
      </c>
      <c r="B93">
        <v>84990</v>
      </c>
      <c r="C93" s="8">
        <v>79500</v>
      </c>
      <c r="D93" s="8">
        <v>84500</v>
      </c>
      <c r="E93">
        <v>80921</v>
      </c>
      <c r="F93" s="8">
        <v>14197877</v>
      </c>
      <c r="G93" s="1">
        <v>1199720606500</v>
      </c>
      <c r="H93" s="1">
        <v>1079748520500</v>
      </c>
      <c r="I93">
        <f t="shared" si="1"/>
        <v>0</v>
      </c>
    </row>
    <row r="94" spans="1:9" x14ac:dyDescent="0.3">
      <c r="A94">
        <v>20150416</v>
      </c>
      <c r="B94">
        <v>84990</v>
      </c>
      <c r="C94" s="8">
        <v>84500</v>
      </c>
      <c r="D94" s="8">
        <v>84000</v>
      </c>
      <c r="E94">
        <v>80443</v>
      </c>
      <c r="F94" s="8">
        <v>14197877</v>
      </c>
      <c r="G94" s="1">
        <v>1192621668000</v>
      </c>
      <c r="H94" s="1">
        <v>1073359476000</v>
      </c>
      <c r="I94">
        <f t="shared" si="1"/>
        <v>0</v>
      </c>
    </row>
    <row r="95" spans="1:9" x14ac:dyDescent="0.3">
      <c r="A95">
        <v>20150417</v>
      </c>
      <c r="B95">
        <v>84990</v>
      </c>
      <c r="C95" s="8">
        <v>84000</v>
      </c>
      <c r="D95" s="8">
        <v>84900</v>
      </c>
      <c r="E95">
        <v>81305</v>
      </c>
      <c r="F95" s="8">
        <v>14197877</v>
      </c>
      <c r="G95" s="1">
        <v>1205399757300</v>
      </c>
      <c r="H95" s="1">
        <v>1084859756100</v>
      </c>
      <c r="I95">
        <f t="shared" si="1"/>
        <v>0</v>
      </c>
    </row>
    <row r="96" spans="1:9" x14ac:dyDescent="0.3">
      <c r="A96">
        <v>20150420</v>
      </c>
      <c r="B96">
        <v>84990</v>
      </c>
      <c r="C96" s="8">
        <v>84900</v>
      </c>
      <c r="D96" s="8">
        <v>90900</v>
      </c>
      <c r="E96">
        <v>87051</v>
      </c>
      <c r="F96" s="8">
        <v>14197877</v>
      </c>
      <c r="G96" s="1">
        <v>1290587019300</v>
      </c>
      <c r="H96" s="1">
        <v>1161528290100</v>
      </c>
      <c r="I96">
        <f t="shared" si="1"/>
        <v>0</v>
      </c>
    </row>
    <row r="97" spans="1:9" x14ac:dyDescent="0.3">
      <c r="A97">
        <v>20150421</v>
      </c>
      <c r="B97">
        <v>84990</v>
      </c>
      <c r="C97" s="8">
        <v>90900</v>
      </c>
      <c r="D97" s="8">
        <v>99000</v>
      </c>
      <c r="E97">
        <v>94807</v>
      </c>
      <c r="F97" s="8">
        <v>14197877</v>
      </c>
      <c r="G97" s="1">
        <v>1405589823000</v>
      </c>
      <c r="H97" s="1">
        <v>1265030811000</v>
      </c>
      <c r="I97">
        <f t="shared" si="1"/>
        <v>0</v>
      </c>
    </row>
    <row r="98" spans="1:9" x14ac:dyDescent="0.3">
      <c r="A98">
        <v>20150422</v>
      </c>
      <c r="B98">
        <v>84990</v>
      </c>
      <c r="C98" s="8">
        <v>99000</v>
      </c>
      <c r="D98" s="8">
        <v>113800</v>
      </c>
      <c r="E98">
        <v>108981</v>
      </c>
      <c r="F98" s="8">
        <v>14197877</v>
      </c>
      <c r="G98" s="1">
        <v>1615718402600</v>
      </c>
      <c r="H98" s="1">
        <v>1454146528200</v>
      </c>
      <c r="I98">
        <f t="shared" si="1"/>
        <v>0</v>
      </c>
    </row>
    <row r="99" spans="1:9" x14ac:dyDescent="0.3">
      <c r="A99">
        <v>20150423</v>
      </c>
      <c r="B99">
        <v>84990</v>
      </c>
      <c r="C99" s="8">
        <v>113800</v>
      </c>
      <c r="D99" s="8">
        <v>114100</v>
      </c>
      <c r="E99">
        <v>109268</v>
      </c>
      <c r="F99" s="8">
        <v>14197877</v>
      </c>
      <c r="G99" s="1">
        <v>1619977765700</v>
      </c>
      <c r="H99" s="1">
        <v>1457979954900</v>
      </c>
      <c r="I99">
        <f t="shared" si="1"/>
        <v>0</v>
      </c>
    </row>
    <row r="100" spans="1:9" x14ac:dyDescent="0.3">
      <c r="A100">
        <v>20150424</v>
      </c>
      <c r="B100">
        <v>84990</v>
      </c>
      <c r="C100" s="8">
        <v>114100</v>
      </c>
      <c r="D100" s="8">
        <v>108400</v>
      </c>
      <c r="E100">
        <v>103809</v>
      </c>
      <c r="F100" s="8">
        <v>14197877</v>
      </c>
      <c r="G100" s="1">
        <v>1539049866800</v>
      </c>
      <c r="H100" s="1">
        <v>1385144847600</v>
      </c>
      <c r="I100">
        <f t="shared" si="1"/>
        <v>0</v>
      </c>
    </row>
    <row r="101" spans="1:9" x14ac:dyDescent="0.3">
      <c r="A101">
        <v>20150427</v>
      </c>
      <c r="B101">
        <v>84990</v>
      </c>
      <c r="C101" s="8">
        <v>108400</v>
      </c>
      <c r="D101" s="8">
        <v>106500</v>
      </c>
      <c r="E101">
        <v>101990</v>
      </c>
      <c r="F101" s="8">
        <v>14197877</v>
      </c>
      <c r="G101" s="1">
        <v>1512073900500</v>
      </c>
      <c r="H101" s="1">
        <v>1360866478500</v>
      </c>
      <c r="I101">
        <f t="shared" si="1"/>
        <v>0</v>
      </c>
    </row>
    <row r="102" spans="1:9" x14ac:dyDescent="0.3">
      <c r="A102">
        <v>20150428</v>
      </c>
      <c r="B102">
        <v>84990</v>
      </c>
      <c r="C102" s="8">
        <v>106500</v>
      </c>
      <c r="D102" s="8">
        <v>100200</v>
      </c>
      <c r="E102">
        <v>95957</v>
      </c>
      <c r="F102" s="8">
        <v>14197877</v>
      </c>
      <c r="G102" s="1">
        <v>1422627275400</v>
      </c>
      <c r="H102" s="1">
        <v>1280364517800</v>
      </c>
      <c r="I102">
        <f t="shared" si="1"/>
        <v>0</v>
      </c>
    </row>
    <row r="103" spans="1:9" x14ac:dyDescent="0.3">
      <c r="A103">
        <v>20150429</v>
      </c>
      <c r="B103">
        <v>84990</v>
      </c>
      <c r="C103" s="8">
        <v>100200</v>
      </c>
      <c r="D103" s="8">
        <v>108100</v>
      </c>
      <c r="E103">
        <v>103522</v>
      </c>
      <c r="F103" s="8">
        <v>14197877</v>
      </c>
      <c r="G103" s="1">
        <v>1534790503700</v>
      </c>
      <c r="H103" s="1">
        <v>1381311420900</v>
      </c>
      <c r="I103">
        <f t="shared" si="1"/>
        <v>0</v>
      </c>
    </row>
    <row r="104" spans="1:9" x14ac:dyDescent="0.3">
      <c r="A104">
        <v>20150430</v>
      </c>
      <c r="B104">
        <v>84990</v>
      </c>
      <c r="C104" s="8">
        <v>108100</v>
      </c>
      <c r="D104" s="8">
        <v>116000</v>
      </c>
      <c r="E104">
        <v>111088</v>
      </c>
      <c r="F104" s="8">
        <v>14197877</v>
      </c>
      <c r="G104" s="1">
        <v>1646953732000</v>
      </c>
      <c r="H104" s="1">
        <v>1482258324000</v>
      </c>
      <c r="I104">
        <f t="shared" si="1"/>
        <v>0</v>
      </c>
    </row>
    <row r="105" spans="1:9" x14ac:dyDescent="0.3">
      <c r="A105">
        <v>20150504</v>
      </c>
      <c r="B105">
        <v>84990</v>
      </c>
      <c r="C105" s="8">
        <v>116000</v>
      </c>
      <c r="D105" s="8">
        <v>113100</v>
      </c>
      <c r="E105">
        <v>108311</v>
      </c>
      <c r="F105" s="8">
        <v>14197877</v>
      </c>
      <c r="G105" s="1">
        <v>1605779888700</v>
      </c>
      <c r="H105" s="1">
        <v>1445201865900</v>
      </c>
      <c r="I105">
        <f t="shared" si="1"/>
        <v>0</v>
      </c>
    </row>
    <row r="106" spans="1:9" x14ac:dyDescent="0.3">
      <c r="A106">
        <v>20150506</v>
      </c>
      <c r="B106">
        <v>84990</v>
      </c>
      <c r="C106" s="8">
        <v>113100</v>
      </c>
      <c r="D106" s="8">
        <v>104900</v>
      </c>
      <c r="E106">
        <v>100458</v>
      </c>
      <c r="F106" s="8">
        <v>14197877</v>
      </c>
      <c r="G106" s="1">
        <v>1489357297300</v>
      </c>
      <c r="H106" s="1">
        <v>1340421536100</v>
      </c>
      <c r="I106">
        <f t="shared" si="1"/>
        <v>0</v>
      </c>
    </row>
    <row r="107" spans="1:9" x14ac:dyDescent="0.3">
      <c r="A107">
        <v>20150507</v>
      </c>
      <c r="B107">
        <v>84990</v>
      </c>
      <c r="C107" s="8">
        <v>104900</v>
      </c>
      <c r="D107" s="8">
        <v>108800</v>
      </c>
      <c r="E107">
        <v>104192</v>
      </c>
      <c r="F107" s="8">
        <v>14197877</v>
      </c>
      <c r="G107" s="1">
        <v>1544729017600</v>
      </c>
      <c r="H107" s="1">
        <v>1390256083200</v>
      </c>
      <c r="I107">
        <f t="shared" si="1"/>
        <v>0</v>
      </c>
    </row>
    <row r="108" spans="1:9" x14ac:dyDescent="0.3">
      <c r="A108">
        <v>20150508</v>
      </c>
      <c r="B108">
        <v>84990</v>
      </c>
      <c r="C108" s="8">
        <v>108800</v>
      </c>
      <c r="D108" s="8">
        <v>114700</v>
      </c>
      <c r="E108">
        <v>109843</v>
      </c>
      <c r="F108" s="8">
        <v>14197877</v>
      </c>
      <c r="G108" s="1">
        <v>1628496491900</v>
      </c>
      <c r="H108" s="1">
        <v>1465646808300</v>
      </c>
      <c r="I108">
        <f t="shared" si="1"/>
        <v>0</v>
      </c>
    </row>
    <row r="109" spans="1:9" x14ac:dyDescent="0.3">
      <c r="A109">
        <v>20150511</v>
      </c>
      <c r="B109">
        <v>84990</v>
      </c>
      <c r="C109" s="8">
        <v>114700</v>
      </c>
      <c r="D109" s="8">
        <v>118800</v>
      </c>
      <c r="E109">
        <v>113769</v>
      </c>
      <c r="F109" s="8">
        <v>14197877</v>
      </c>
      <c r="G109" s="1">
        <v>1686707787600</v>
      </c>
      <c r="H109" s="1">
        <v>1518036973200</v>
      </c>
      <c r="I109">
        <f t="shared" si="1"/>
        <v>0</v>
      </c>
    </row>
    <row r="110" spans="1:9" x14ac:dyDescent="0.3">
      <c r="A110">
        <v>20150512</v>
      </c>
      <c r="B110">
        <v>84990</v>
      </c>
      <c r="C110" s="8">
        <v>118800</v>
      </c>
      <c r="D110" s="8">
        <v>117800</v>
      </c>
      <c r="E110">
        <v>112812</v>
      </c>
      <c r="F110" s="8">
        <v>14197877</v>
      </c>
      <c r="G110" s="1">
        <v>1672509910600</v>
      </c>
      <c r="H110" s="1">
        <v>1505258884200</v>
      </c>
      <c r="I110">
        <f t="shared" si="1"/>
        <v>0</v>
      </c>
    </row>
    <row r="111" spans="1:9" x14ac:dyDescent="0.3">
      <c r="A111">
        <v>20150513</v>
      </c>
      <c r="B111">
        <v>84990</v>
      </c>
      <c r="C111" s="8">
        <v>117800</v>
      </c>
      <c r="D111" s="8">
        <v>124500</v>
      </c>
      <c r="E111">
        <v>119228</v>
      </c>
      <c r="F111" s="8">
        <v>14197877</v>
      </c>
      <c r="G111" s="1">
        <v>1767635686500</v>
      </c>
      <c r="H111" s="1">
        <v>1590872080500</v>
      </c>
      <c r="I111">
        <f t="shared" si="1"/>
        <v>0</v>
      </c>
    </row>
    <row r="112" spans="1:9" x14ac:dyDescent="0.3">
      <c r="A112">
        <v>20150514</v>
      </c>
      <c r="B112">
        <v>84990</v>
      </c>
      <c r="C112" s="8">
        <v>124500</v>
      </c>
      <c r="D112" s="8">
        <v>136200</v>
      </c>
      <c r="E112">
        <v>130433</v>
      </c>
      <c r="F112" s="8">
        <v>14197877</v>
      </c>
      <c r="G112" s="1">
        <v>1933750847400</v>
      </c>
      <c r="H112" s="1">
        <v>1740375721800</v>
      </c>
      <c r="I112">
        <f t="shared" si="1"/>
        <v>0</v>
      </c>
    </row>
    <row r="113" spans="1:9" x14ac:dyDescent="0.3">
      <c r="A113">
        <v>20150515</v>
      </c>
      <c r="B113">
        <v>84990</v>
      </c>
      <c r="C113" s="8">
        <v>136200</v>
      </c>
      <c r="D113" s="8">
        <v>137500</v>
      </c>
      <c r="E113">
        <v>131677</v>
      </c>
      <c r="F113" s="8">
        <v>14197877</v>
      </c>
      <c r="G113" s="1">
        <v>1952208087500</v>
      </c>
      <c r="H113" s="1">
        <v>1756987237500</v>
      </c>
      <c r="I113">
        <f t="shared" si="1"/>
        <v>0</v>
      </c>
    </row>
    <row r="114" spans="1:9" x14ac:dyDescent="0.3">
      <c r="A114">
        <v>20150518</v>
      </c>
      <c r="B114">
        <v>84990</v>
      </c>
      <c r="C114" s="8">
        <v>137500</v>
      </c>
      <c r="D114" s="8">
        <v>137000</v>
      </c>
      <c r="E114">
        <v>131198</v>
      </c>
      <c r="F114" s="8">
        <v>14197877</v>
      </c>
      <c r="G114" s="1">
        <v>1945109149000</v>
      </c>
      <c r="H114" s="1">
        <v>1750598193000</v>
      </c>
      <c r="I114">
        <f t="shared" si="1"/>
        <v>0</v>
      </c>
    </row>
    <row r="115" spans="1:9" x14ac:dyDescent="0.3">
      <c r="A115">
        <v>20150519</v>
      </c>
      <c r="B115">
        <v>84990</v>
      </c>
      <c r="C115" s="8">
        <v>137000</v>
      </c>
      <c r="D115" s="8">
        <v>136500</v>
      </c>
      <c r="E115">
        <v>130719</v>
      </c>
      <c r="F115" s="8">
        <v>14197877</v>
      </c>
      <c r="G115" s="1">
        <v>1938010210500</v>
      </c>
      <c r="H115" s="1">
        <v>1744209148500</v>
      </c>
      <c r="I115">
        <f t="shared" si="1"/>
        <v>0</v>
      </c>
    </row>
    <row r="116" spans="1:9" x14ac:dyDescent="0.3">
      <c r="A116">
        <v>20150520</v>
      </c>
      <c r="B116">
        <v>84990</v>
      </c>
      <c r="C116" s="8">
        <v>136500</v>
      </c>
      <c r="D116" s="8">
        <v>140500</v>
      </c>
      <c r="E116">
        <v>134551</v>
      </c>
      <c r="F116" s="8">
        <v>14197877</v>
      </c>
      <c r="G116" s="1">
        <v>1994801718500</v>
      </c>
      <c r="H116" s="1">
        <v>1795321504500</v>
      </c>
      <c r="I116">
        <f t="shared" si="1"/>
        <v>0</v>
      </c>
    </row>
    <row r="117" spans="1:9" x14ac:dyDescent="0.3">
      <c r="A117">
        <v>20150521</v>
      </c>
      <c r="B117">
        <v>84990</v>
      </c>
      <c r="C117" s="8">
        <v>140500</v>
      </c>
      <c r="D117" s="8">
        <v>150900</v>
      </c>
      <c r="E117">
        <v>144511</v>
      </c>
      <c r="F117" s="8">
        <v>14197877</v>
      </c>
      <c r="G117" s="1">
        <v>2142459639300</v>
      </c>
      <c r="H117" s="1">
        <v>1928213630100</v>
      </c>
      <c r="I117">
        <f t="shared" si="1"/>
        <v>0</v>
      </c>
    </row>
    <row r="118" spans="1:9" x14ac:dyDescent="0.3">
      <c r="A118">
        <v>20150522</v>
      </c>
      <c r="B118">
        <v>84990</v>
      </c>
      <c r="C118" s="8">
        <v>150900</v>
      </c>
      <c r="D118" s="8">
        <v>146000</v>
      </c>
      <c r="E118">
        <v>139818</v>
      </c>
      <c r="F118" s="8">
        <v>14197877</v>
      </c>
      <c r="G118" s="1">
        <v>2072890042000</v>
      </c>
      <c r="H118" s="1">
        <v>1865600994000</v>
      </c>
      <c r="I118">
        <f t="shared" si="1"/>
        <v>0</v>
      </c>
    </row>
    <row r="119" spans="1:9" x14ac:dyDescent="0.3">
      <c r="A119">
        <v>20150526</v>
      </c>
      <c r="B119">
        <v>84990</v>
      </c>
      <c r="C119" s="8">
        <v>146000</v>
      </c>
      <c r="D119" s="8">
        <v>144000</v>
      </c>
      <c r="E119">
        <v>137902</v>
      </c>
      <c r="F119" s="8">
        <v>14197877</v>
      </c>
      <c r="G119" s="1">
        <v>2044494288000</v>
      </c>
      <c r="H119" s="1">
        <v>1840044816000</v>
      </c>
      <c r="I119">
        <f t="shared" si="1"/>
        <v>0</v>
      </c>
    </row>
    <row r="120" spans="1:9" x14ac:dyDescent="0.3">
      <c r="A120">
        <v>20150527</v>
      </c>
      <c r="B120">
        <v>84990</v>
      </c>
      <c r="C120" s="8">
        <v>144000</v>
      </c>
      <c r="D120" s="8">
        <v>134900</v>
      </c>
      <c r="E120">
        <v>129188</v>
      </c>
      <c r="F120" s="8">
        <v>14197877</v>
      </c>
      <c r="G120" s="1">
        <v>1915293607300</v>
      </c>
      <c r="H120" s="1">
        <v>1723764206100</v>
      </c>
      <c r="I120">
        <f t="shared" si="1"/>
        <v>0</v>
      </c>
    </row>
    <row r="121" spans="1:9" x14ac:dyDescent="0.3">
      <c r="A121">
        <v>20150528</v>
      </c>
      <c r="B121">
        <v>84990</v>
      </c>
      <c r="C121" s="8">
        <v>134900</v>
      </c>
      <c r="D121" s="8">
        <v>141300</v>
      </c>
      <c r="E121">
        <v>135316</v>
      </c>
      <c r="F121" s="8">
        <v>14197877</v>
      </c>
      <c r="G121" s="1">
        <v>2006160020100</v>
      </c>
      <c r="H121" s="1">
        <v>1805543975700</v>
      </c>
      <c r="I121">
        <f t="shared" si="1"/>
        <v>0</v>
      </c>
    </row>
    <row r="122" spans="1:9" x14ac:dyDescent="0.3">
      <c r="A122">
        <v>20150529</v>
      </c>
      <c r="B122">
        <v>84990</v>
      </c>
      <c r="C122" s="8">
        <v>141300</v>
      </c>
      <c r="D122" s="8">
        <v>135000</v>
      </c>
      <c r="E122">
        <v>129284</v>
      </c>
      <c r="F122" s="8">
        <v>14197877</v>
      </c>
      <c r="G122" s="1">
        <v>1916713395000</v>
      </c>
      <c r="H122" s="1">
        <v>1725042015000</v>
      </c>
      <c r="I122">
        <f t="shared" si="1"/>
        <v>0</v>
      </c>
    </row>
    <row r="123" spans="1:9" x14ac:dyDescent="0.3">
      <c r="A123">
        <v>20150601</v>
      </c>
      <c r="B123">
        <v>84990</v>
      </c>
      <c r="C123" s="8">
        <v>135000</v>
      </c>
      <c r="D123" s="8">
        <v>137800</v>
      </c>
      <c r="E123">
        <v>131965</v>
      </c>
      <c r="F123" s="8">
        <v>14197877</v>
      </c>
      <c r="G123" s="1">
        <v>1956467450600</v>
      </c>
      <c r="H123" s="1">
        <v>1760820664200</v>
      </c>
      <c r="I123">
        <f t="shared" si="1"/>
        <v>0</v>
      </c>
    </row>
    <row r="124" spans="1:9" x14ac:dyDescent="0.3">
      <c r="A124">
        <v>20150602</v>
      </c>
      <c r="B124">
        <v>84990</v>
      </c>
      <c r="C124" s="8">
        <v>137800</v>
      </c>
      <c r="D124" s="8">
        <v>141300</v>
      </c>
      <c r="E124">
        <v>135316</v>
      </c>
      <c r="F124" s="8">
        <v>14197877</v>
      </c>
      <c r="G124" s="1">
        <v>2006160020100</v>
      </c>
      <c r="H124" s="1">
        <v>1805543975700</v>
      </c>
      <c r="I124">
        <f t="shared" si="1"/>
        <v>0</v>
      </c>
    </row>
    <row r="125" spans="1:9" x14ac:dyDescent="0.3">
      <c r="A125">
        <v>20150603</v>
      </c>
      <c r="B125">
        <v>84990</v>
      </c>
      <c r="C125" s="8">
        <v>141300</v>
      </c>
      <c r="D125" s="8">
        <v>138200</v>
      </c>
      <c r="E125">
        <v>132348</v>
      </c>
      <c r="F125" s="8">
        <v>14197877</v>
      </c>
      <c r="G125" s="1">
        <v>1962146601400</v>
      </c>
      <c r="H125" s="1">
        <v>1765931899800</v>
      </c>
      <c r="I125">
        <f t="shared" si="1"/>
        <v>0</v>
      </c>
    </row>
    <row r="126" spans="1:9" x14ac:dyDescent="0.3">
      <c r="A126">
        <v>20150604</v>
      </c>
      <c r="B126">
        <v>84990</v>
      </c>
      <c r="C126" s="8">
        <v>138200</v>
      </c>
      <c r="D126" s="8">
        <v>158900</v>
      </c>
      <c r="E126">
        <v>152171</v>
      </c>
      <c r="F126" s="8">
        <v>14197877</v>
      </c>
      <c r="G126" s="1">
        <v>2256042655300</v>
      </c>
      <c r="H126" s="1">
        <v>2030438342100</v>
      </c>
      <c r="I126">
        <f t="shared" si="1"/>
        <v>0</v>
      </c>
    </row>
    <row r="127" spans="1:9" x14ac:dyDescent="0.3">
      <c r="A127">
        <v>20150605</v>
      </c>
      <c r="B127">
        <v>84990</v>
      </c>
      <c r="C127" s="8">
        <v>158900</v>
      </c>
      <c r="D127" s="8">
        <v>175700</v>
      </c>
      <c r="E127">
        <v>168261</v>
      </c>
      <c r="F127" s="8">
        <v>14197877</v>
      </c>
      <c r="G127" s="1">
        <v>2494566988900</v>
      </c>
      <c r="H127" s="1">
        <v>2245110237300</v>
      </c>
      <c r="I127">
        <f t="shared" si="1"/>
        <v>0</v>
      </c>
    </row>
    <row r="128" spans="1:9" x14ac:dyDescent="0.3">
      <c r="A128">
        <v>20150608</v>
      </c>
      <c r="B128">
        <v>84990</v>
      </c>
      <c r="C128" s="8">
        <v>175700</v>
      </c>
      <c r="D128" s="8">
        <v>177100</v>
      </c>
      <c r="E128">
        <v>169601</v>
      </c>
      <c r="F128" s="8">
        <v>14197877</v>
      </c>
      <c r="G128" s="1">
        <v>2514444016700</v>
      </c>
      <c r="H128" s="1">
        <v>2262999561900</v>
      </c>
      <c r="I128">
        <f t="shared" si="1"/>
        <v>0</v>
      </c>
    </row>
    <row r="129" spans="1:9" x14ac:dyDescent="0.3">
      <c r="A129">
        <v>20150609</v>
      </c>
      <c r="B129">
        <v>84990</v>
      </c>
      <c r="C129" s="8">
        <v>177100</v>
      </c>
      <c r="D129" s="8">
        <v>180000</v>
      </c>
      <c r="E129">
        <v>172378</v>
      </c>
      <c r="F129" s="8">
        <v>14197877</v>
      </c>
      <c r="G129" s="1">
        <v>2555617860000</v>
      </c>
      <c r="H129" s="1">
        <v>2300056020000</v>
      </c>
      <c r="I129">
        <f t="shared" si="1"/>
        <v>0</v>
      </c>
    </row>
    <row r="130" spans="1:9" x14ac:dyDescent="0.3">
      <c r="A130">
        <v>20150610</v>
      </c>
      <c r="B130">
        <v>84990</v>
      </c>
      <c r="C130" s="8">
        <v>180000</v>
      </c>
      <c r="D130" s="8">
        <v>182400</v>
      </c>
      <c r="E130">
        <v>174677</v>
      </c>
      <c r="F130" s="8">
        <v>14197877</v>
      </c>
      <c r="G130" s="1">
        <v>2589692764800</v>
      </c>
      <c r="H130" s="1">
        <v>2330723433600</v>
      </c>
      <c r="I130">
        <f t="shared" si="1"/>
        <v>0</v>
      </c>
    </row>
    <row r="131" spans="1:9" x14ac:dyDescent="0.3">
      <c r="A131">
        <v>20150611</v>
      </c>
      <c r="B131">
        <v>84990</v>
      </c>
      <c r="C131" s="8">
        <v>182400</v>
      </c>
      <c r="D131" s="8">
        <v>176000</v>
      </c>
      <c r="E131">
        <v>168547</v>
      </c>
      <c r="F131" s="8">
        <v>14197877</v>
      </c>
      <c r="G131" s="1">
        <v>2498826352000</v>
      </c>
      <c r="H131" s="1">
        <v>2248943664000</v>
      </c>
      <c r="I131">
        <f t="shared" ref="I131:I194" si="2">IF(C131*F131=D130*F130,0,1)</f>
        <v>0</v>
      </c>
    </row>
    <row r="132" spans="1:9" x14ac:dyDescent="0.3">
      <c r="A132">
        <v>20150612</v>
      </c>
      <c r="B132">
        <v>84990</v>
      </c>
      <c r="C132" s="8">
        <v>176000</v>
      </c>
      <c r="D132" s="8">
        <v>180000</v>
      </c>
      <c r="E132">
        <v>172378</v>
      </c>
      <c r="F132" s="8">
        <v>14197877</v>
      </c>
      <c r="G132" s="1">
        <v>2555617860000</v>
      </c>
      <c r="H132" s="1">
        <v>2300056020000</v>
      </c>
      <c r="I132">
        <f t="shared" si="2"/>
        <v>0</v>
      </c>
    </row>
    <row r="133" spans="1:9" x14ac:dyDescent="0.3">
      <c r="A133">
        <v>20150615</v>
      </c>
      <c r="B133">
        <v>84990</v>
      </c>
      <c r="C133" s="8">
        <v>180000</v>
      </c>
      <c r="D133" s="8">
        <v>177800</v>
      </c>
      <c r="E133">
        <v>170271</v>
      </c>
      <c r="F133" s="8">
        <v>14197877</v>
      </c>
      <c r="G133" s="1">
        <v>2524382530600</v>
      </c>
      <c r="H133" s="1">
        <v>2271944224200</v>
      </c>
      <c r="I133">
        <f t="shared" si="2"/>
        <v>0</v>
      </c>
    </row>
    <row r="134" spans="1:9" x14ac:dyDescent="0.3">
      <c r="A134">
        <v>20150616</v>
      </c>
      <c r="B134">
        <v>84990</v>
      </c>
      <c r="C134" s="8">
        <v>177800</v>
      </c>
      <c r="D134" s="8">
        <v>174200</v>
      </c>
      <c r="E134">
        <v>166824</v>
      </c>
      <c r="F134" s="8">
        <v>14197877</v>
      </c>
      <c r="G134" s="1">
        <v>2473270173400</v>
      </c>
      <c r="H134" s="1">
        <v>2225943103800</v>
      </c>
      <c r="I134">
        <f t="shared" si="2"/>
        <v>0</v>
      </c>
    </row>
    <row r="135" spans="1:9" x14ac:dyDescent="0.3">
      <c r="A135">
        <v>20150617</v>
      </c>
      <c r="B135">
        <v>84990</v>
      </c>
      <c r="C135" s="8">
        <v>174200</v>
      </c>
      <c r="D135" s="8">
        <v>171000</v>
      </c>
      <c r="E135">
        <v>163759</v>
      </c>
      <c r="F135" s="8">
        <v>14197877</v>
      </c>
      <c r="G135" s="1">
        <v>2427836967000</v>
      </c>
      <c r="H135" s="1">
        <v>2185053219000</v>
      </c>
      <c r="I135">
        <f t="shared" si="2"/>
        <v>0</v>
      </c>
    </row>
    <row r="136" spans="1:9" x14ac:dyDescent="0.3">
      <c r="A136">
        <v>20150618</v>
      </c>
      <c r="B136">
        <v>84990</v>
      </c>
      <c r="C136" s="8">
        <v>171000</v>
      </c>
      <c r="D136" s="8">
        <v>191200</v>
      </c>
      <c r="E136">
        <v>183104</v>
      </c>
      <c r="F136" s="8">
        <v>14197877</v>
      </c>
      <c r="G136" s="1">
        <v>2714634082400</v>
      </c>
      <c r="H136" s="1">
        <v>2443170616800</v>
      </c>
      <c r="I136">
        <f t="shared" si="2"/>
        <v>0</v>
      </c>
    </row>
    <row r="137" spans="1:9" x14ac:dyDescent="0.3">
      <c r="A137">
        <v>20150619</v>
      </c>
      <c r="B137">
        <v>84990</v>
      </c>
      <c r="C137" s="8">
        <v>191200</v>
      </c>
      <c r="D137" s="8">
        <v>194000</v>
      </c>
      <c r="E137">
        <v>185786</v>
      </c>
      <c r="F137" s="8">
        <v>14197877</v>
      </c>
      <c r="G137" s="1">
        <v>2754388138000</v>
      </c>
      <c r="H137" s="1">
        <v>2478949266000</v>
      </c>
      <c r="I137">
        <f t="shared" si="2"/>
        <v>0</v>
      </c>
    </row>
    <row r="138" spans="1:9" x14ac:dyDescent="0.3">
      <c r="A138">
        <v>20150622</v>
      </c>
      <c r="B138">
        <v>84990</v>
      </c>
      <c r="C138" s="8">
        <v>194000</v>
      </c>
      <c r="D138" s="8">
        <v>187100</v>
      </c>
      <c r="E138">
        <v>179177</v>
      </c>
      <c r="F138" s="8">
        <v>14197877</v>
      </c>
      <c r="G138" s="1">
        <v>2656422786700</v>
      </c>
      <c r="H138" s="1">
        <v>2390780451900</v>
      </c>
      <c r="I138">
        <f t="shared" si="2"/>
        <v>0</v>
      </c>
    </row>
    <row r="139" spans="1:9" x14ac:dyDescent="0.3">
      <c r="A139">
        <v>20150623</v>
      </c>
      <c r="B139">
        <v>84990</v>
      </c>
      <c r="C139" s="8">
        <v>187100</v>
      </c>
      <c r="D139" s="8">
        <v>189800</v>
      </c>
      <c r="E139">
        <v>181763</v>
      </c>
      <c r="F139" s="8">
        <v>14197877</v>
      </c>
      <c r="G139" s="1">
        <v>2694757054600</v>
      </c>
      <c r="H139" s="1">
        <v>2425281292200</v>
      </c>
      <c r="I139">
        <f t="shared" si="2"/>
        <v>0</v>
      </c>
    </row>
    <row r="140" spans="1:9" x14ac:dyDescent="0.3">
      <c r="A140">
        <v>20150624</v>
      </c>
      <c r="B140">
        <v>84990</v>
      </c>
      <c r="C140" s="8">
        <v>189800</v>
      </c>
      <c r="D140" s="8">
        <v>187100</v>
      </c>
      <c r="E140">
        <v>179177</v>
      </c>
      <c r="F140" s="8">
        <v>14197877</v>
      </c>
      <c r="G140" s="1">
        <v>2656422786700</v>
      </c>
      <c r="H140" s="1">
        <v>2390780451900</v>
      </c>
      <c r="I140">
        <f t="shared" si="2"/>
        <v>0</v>
      </c>
    </row>
    <row r="141" spans="1:9" x14ac:dyDescent="0.3">
      <c r="A141">
        <v>20150625</v>
      </c>
      <c r="B141">
        <v>84990</v>
      </c>
      <c r="C141" s="8">
        <v>187100</v>
      </c>
      <c r="D141" s="8">
        <v>184600</v>
      </c>
      <c r="E141">
        <v>176784</v>
      </c>
      <c r="F141" s="8">
        <v>14197877</v>
      </c>
      <c r="G141" s="1">
        <v>2620928094200</v>
      </c>
      <c r="H141" s="1">
        <v>2358835229400</v>
      </c>
      <c r="I141">
        <f t="shared" si="2"/>
        <v>0</v>
      </c>
    </row>
    <row r="142" spans="1:9" x14ac:dyDescent="0.3">
      <c r="A142">
        <v>20150626</v>
      </c>
      <c r="B142">
        <v>84990</v>
      </c>
      <c r="C142" s="8">
        <v>184600</v>
      </c>
      <c r="D142" s="8">
        <v>185200</v>
      </c>
      <c r="E142">
        <v>177358</v>
      </c>
      <c r="F142" s="8">
        <v>14197877</v>
      </c>
      <c r="G142" s="1">
        <v>2629446820400</v>
      </c>
      <c r="H142" s="1">
        <v>2366502082800</v>
      </c>
      <c r="I142">
        <f t="shared" si="2"/>
        <v>0</v>
      </c>
    </row>
    <row r="143" spans="1:9" x14ac:dyDescent="0.3">
      <c r="A143">
        <v>20150629</v>
      </c>
      <c r="B143">
        <v>84990</v>
      </c>
      <c r="C143" s="8">
        <v>185200</v>
      </c>
      <c r="D143" s="8">
        <v>168700</v>
      </c>
      <c r="E143">
        <v>161557</v>
      </c>
      <c r="F143" s="8">
        <v>14197877</v>
      </c>
      <c r="G143" s="1">
        <v>2395181849900</v>
      </c>
      <c r="H143" s="1">
        <v>2155663614300</v>
      </c>
      <c r="I143">
        <f t="shared" si="2"/>
        <v>0</v>
      </c>
    </row>
    <row r="144" spans="1:9" x14ac:dyDescent="0.3">
      <c r="A144">
        <v>20150630</v>
      </c>
      <c r="B144">
        <v>84990</v>
      </c>
      <c r="C144" s="8">
        <v>168700</v>
      </c>
      <c r="D144" s="8">
        <v>178300</v>
      </c>
      <c r="E144">
        <v>170750</v>
      </c>
      <c r="F144" s="8">
        <v>14197877</v>
      </c>
      <c r="G144" s="1">
        <v>2531481469100</v>
      </c>
      <c r="H144" s="1">
        <v>2278333268700</v>
      </c>
      <c r="I144">
        <f t="shared" si="2"/>
        <v>0</v>
      </c>
    </row>
    <row r="145" spans="1:9" x14ac:dyDescent="0.3">
      <c r="A145">
        <v>20150701</v>
      </c>
      <c r="B145">
        <v>84990</v>
      </c>
      <c r="C145" s="8">
        <v>178300</v>
      </c>
      <c r="D145" s="8">
        <v>188800</v>
      </c>
      <c r="E145">
        <v>180805</v>
      </c>
      <c r="F145" s="8">
        <v>14197877</v>
      </c>
      <c r="G145" s="1">
        <v>2680559177600</v>
      </c>
      <c r="H145" s="1">
        <v>2412503203200</v>
      </c>
      <c r="I145">
        <f t="shared" si="2"/>
        <v>0</v>
      </c>
    </row>
    <row r="146" spans="1:9" x14ac:dyDescent="0.3">
      <c r="A146">
        <v>20150702</v>
      </c>
      <c r="B146">
        <v>84990</v>
      </c>
      <c r="C146" s="8">
        <v>188800</v>
      </c>
      <c r="D146" s="8">
        <v>194900</v>
      </c>
      <c r="E146">
        <v>186648</v>
      </c>
      <c r="F146" s="8">
        <v>14197877</v>
      </c>
      <c r="G146" s="1">
        <v>2767166227300</v>
      </c>
      <c r="H146" s="1">
        <v>2490449546100</v>
      </c>
      <c r="I146">
        <f t="shared" si="2"/>
        <v>0</v>
      </c>
    </row>
    <row r="147" spans="1:9" x14ac:dyDescent="0.3">
      <c r="A147">
        <v>20150703</v>
      </c>
      <c r="B147">
        <v>84990</v>
      </c>
      <c r="C147" s="8">
        <v>194900</v>
      </c>
      <c r="D147" s="8">
        <v>195000</v>
      </c>
      <c r="E147">
        <v>186743</v>
      </c>
      <c r="F147" s="8">
        <v>14197877</v>
      </c>
      <c r="G147" s="1">
        <v>2768586015000</v>
      </c>
      <c r="H147" s="1">
        <v>2491727355000</v>
      </c>
      <c r="I147">
        <f t="shared" si="2"/>
        <v>0</v>
      </c>
    </row>
    <row r="148" spans="1:9" x14ac:dyDescent="0.3">
      <c r="A148">
        <v>20150706</v>
      </c>
      <c r="B148">
        <v>84990</v>
      </c>
      <c r="C148" s="8">
        <v>195000</v>
      </c>
      <c r="D148" s="8">
        <v>186000</v>
      </c>
      <c r="E148">
        <v>178124</v>
      </c>
      <c r="F148" s="8">
        <v>14197877</v>
      </c>
      <c r="G148" s="1">
        <v>2640805122000</v>
      </c>
      <c r="H148" s="1">
        <v>2376724554000</v>
      </c>
      <c r="I148">
        <f t="shared" si="2"/>
        <v>0</v>
      </c>
    </row>
    <row r="149" spans="1:9" x14ac:dyDescent="0.3">
      <c r="A149">
        <v>20150707</v>
      </c>
      <c r="B149">
        <v>84990</v>
      </c>
      <c r="C149" s="8">
        <v>186000</v>
      </c>
      <c r="D149" s="8">
        <v>165000</v>
      </c>
      <c r="E149">
        <v>158013</v>
      </c>
      <c r="F149" s="8">
        <v>14197877</v>
      </c>
      <c r="G149" s="1">
        <v>2342649705000</v>
      </c>
      <c r="H149" s="1">
        <v>2108384685000</v>
      </c>
      <c r="I149">
        <f t="shared" si="2"/>
        <v>0</v>
      </c>
    </row>
    <row r="150" spans="1:9" x14ac:dyDescent="0.3">
      <c r="A150">
        <v>20150708</v>
      </c>
      <c r="B150">
        <v>84990</v>
      </c>
      <c r="C150" s="8">
        <v>165000</v>
      </c>
      <c r="D150" s="8">
        <v>167800</v>
      </c>
      <c r="E150">
        <v>160694</v>
      </c>
      <c r="F150" s="8">
        <v>14197877</v>
      </c>
      <c r="G150" s="1">
        <v>2382403760600</v>
      </c>
      <c r="H150" s="1">
        <v>2144163334200</v>
      </c>
      <c r="I150">
        <f t="shared" si="2"/>
        <v>0</v>
      </c>
    </row>
    <row r="151" spans="1:9" x14ac:dyDescent="0.3">
      <c r="A151">
        <v>20150709</v>
      </c>
      <c r="B151">
        <v>84990</v>
      </c>
      <c r="C151" s="8">
        <v>167800</v>
      </c>
      <c r="D151" s="8">
        <v>167000</v>
      </c>
      <c r="E151">
        <v>159929</v>
      </c>
      <c r="F151" s="8">
        <v>14197877</v>
      </c>
      <c r="G151" s="1">
        <v>2371045459000</v>
      </c>
      <c r="H151" s="1">
        <v>2133940863000</v>
      </c>
      <c r="I151">
        <f t="shared" si="2"/>
        <v>0</v>
      </c>
    </row>
    <row r="152" spans="1:9" x14ac:dyDescent="0.3">
      <c r="A152">
        <v>20150710</v>
      </c>
      <c r="B152">
        <v>84990</v>
      </c>
      <c r="C152" s="8">
        <v>167000</v>
      </c>
      <c r="D152" s="8">
        <v>163000</v>
      </c>
      <c r="E152">
        <v>156098</v>
      </c>
      <c r="F152" s="8">
        <v>14197877</v>
      </c>
      <c r="G152" s="1">
        <v>2314253951000</v>
      </c>
      <c r="H152" s="1">
        <v>2082828507000</v>
      </c>
      <c r="I152">
        <f t="shared" si="2"/>
        <v>0</v>
      </c>
    </row>
    <row r="153" spans="1:9" x14ac:dyDescent="0.3">
      <c r="A153">
        <v>20150713</v>
      </c>
      <c r="B153">
        <v>84990</v>
      </c>
      <c r="C153" s="8">
        <v>163000</v>
      </c>
      <c r="D153" s="8">
        <v>169000</v>
      </c>
      <c r="E153">
        <v>161844</v>
      </c>
      <c r="F153" s="8">
        <v>14197877</v>
      </c>
      <c r="G153" s="1">
        <v>2399441213000</v>
      </c>
      <c r="H153" s="1">
        <v>2159497041000</v>
      </c>
      <c r="I153">
        <f t="shared" si="2"/>
        <v>0</v>
      </c>
    </row>
    <row r="154" spans="1:9" x14ac:dyDescent="0.3">
      <c r="A154">
        <v>20150714</v>
      </c>
      <c r="B154">
        <v>84990</v>
      </c>
      <c r="C154" s="8">
        <v>169000</v>
      </c>
      <c r="D154" s="8">
        <v>169100</v>
      </c>
      <c r="E154">
        <v>161940</v>
      </c>
      <c r="F154" s="8">
        <v>14197877</v>
      </c>
      <c r="G154" s="1">
        <v>2400861000700</v>
      </c>
      <c r="H154" s="1">
        <v>2160774849900</v>
      </c>
      <c r="I154">
        <f t="shared" si="2"/>
        <v>0</v>
      </c>
    </row>
    <row r="155" spans="1:9" x14ac:dyDescent="0.3">
      <c r="A155">
        <v>20150715</v>
      </c>
      <c r="B155">
        <v>84990</v>
      </c>
      <c r="C155" s="8">
        <v>169100</v>
      </c>
      <c r="D155" s="8">
        <v>169500</v>
      </c>
      <c r="E155">
        <v>162322</v>
      </c>
      <c r="F155" s="8">
        <v>14197877</v>
      </c>
      <c r="G155" s="1">
        <v>2406540151500</v>
      </c>
      <c r="H155" s="1">
        <v>2165886085500</v>
      </c>
      <c r="I155">
        <f t="shared" si="2"/>
        <v>0</v>
      </c>
    </row>
    <row r="156" spans="1:9" x14ac:dyDescent="0.3">
      <c r="A156">
        <v>20150716</v>
      </c>
      <c r="B156">
        <v>84990</v>
      </c>
      <c r="C156" s="8">
        <v>169500</v>
      </c>
      <c r="D156" s="8">
        <v>167000</v>
      </c>
      <c r="E156">
        <v>159929</v>
      </c>
      <c r="F156" s="8">
        <v>14197877</v>
      </c>
      <c r="G156" s="1">
        <v>2371045459000</v>
      </c>
      <c r="H156" s="1">
        <v>2133940863000</v>
      </c>
      <c r="I156">
        <f t="shared" si="2"/>
        <v>0</v>
      </c>
    </row>
    <row r="157" spans="1:9" x14ac:dyDescent="0.3">
      <c r="A157">
        <v>20150717</v>
      </c>
      <c r="B157">
        <v>84990</v>
      </c>
      <c r="C157" s="8">
        <v>167000</v>
      </c>
      <c r="D157" s="8">
        <v>169100</v>
      </c>
      <c r="E157">
        <v>161940</v>
      </c>
      <c r="F157" s="8">
        <v>14197877</v>
      </c>
      <c r="G157" s="1">
        <v>2400861000700</v>
      </c>
      <c r="H157" s="1">
        <v>2160774849900</v>
      </c>
      <c r="I157">
        <f t="shared" si="2"/>
        <v>0</v>
      </c>
    </row>
    <row r="158" spans="1:9" x14ac:dyDescent="0.3">
      <c r="A158">
        <v>20150720</v>
      </c>
      <c r="B158">
        <v>84990</v>
      </c>
      <c r="C158" s="8">
        <v>169100</v>
      </c>
      <c r="D158" s="8">
        <v>192900</v>
      </c>
      <c r="E158">
        <v>184732</v>
      </c>
      <c r="F158" s="8">
        <v>14197877</v>
      </c>
      <c r="G158" s="1">
        <v>2738770473300</v>
      </c>
      <c r="H158" s="1">
        <v>2464893368100</v>
      </c>
      <c r="I158">
        <f t="shared" si="2"/>
        <v>0</v>
      </c>
    </row>
    <row r="159" spans="1:9" x14ac:dyDescent="0.3">
      <c r="A159">
        <v>20150721</v>
      </c>
      <c r="B159">
        <v>84990</v>
      </c>
      <c r="C159" s="8">
        <v>192900</v>
      </c>
      <c r="D159" s="8">
        <v>193000</v>
      </c>
      <c r="E159">
        <v>184828</v>
      </c>
      <c r="F159" s="8">
        <v>14197877</v>
      </c>
      <c r="G159" s="1">
        <v>2740190261000</v>
      </c>
      <c r="H159" s="1">
        <v>2466171177000</v>
      </c>
      <c r="I159">
        <f t="shared" si="2"/>
        <v>0</v>
      </c>
    </row>
    <row r="160" spans="1:9" x14ac:dyDescent="0.3">
      <c r="A160">
        <v>20150722</v>
      </c>
      <c r="B160">
        <v>84990</v>
      </c>
      <c r="C160" s="8">
        <v>193000</v>
      </c>
      <c r="D160" s="8">
        <v>193000</v>
      </c>
      <c r="E160">
        <v>184828</v>
      </c>
      <c r="F160" s="8">
        <v>14197877</v>
      </c>
      <c r="G160" s="1">
        <v>2740190261000</v>
      </c>
      <c r="H160" s="1">
        <v>2466171177000</v>
      </c>
      <c r="I160">
        <f t="shared" si="2"/>
        <v>0</v>
      </c>
    </row>
    <row r="161" spans="1:9" x14ac:dyDescent="0.3">
      <c r="A161">
        <v>20150723</v>
      </c>
      <c r="B161">
        <v>84990</v>
      </c>
      <c r="C161" s="8">
        <v>193000</v>
      </c>
      <c r="D161" s="8">
        <v>198900</v>
      </c>
      <c r="E161">
        <v>190478</v>
      </c>
      <c r="F161" s="8">
        <v>14197877</v>
      </c>
      <c r="G161" s="1">
        <v>2823957735300</v>
      </c>
      <c r="H161" s="1">
        <v>2541561902100</v>
      </c>
      <c r="I161">
        <f t="shared" si="2"/>
        <v>0</v>
      </c>
    </row>
    <row r="162" spans="1:9" x14ac:dyDescent="0.3">
      <c r="A162">
        <v>20150724</v>
      </c>
      <c r="B162">
        <v>84990</v>
      </c>
      <c r="C162" s="8">
        <v>198900</v>
      </c>
      <c r="D162" s="8">
        <v>201700</v>
      </c>
      <c r="E162">
        <v>193160</v>
      </c>
      <c r="F162" s="8">
        <v>14197877</v>
      </c>
      <c r="G162" s="1">
        <v>2863711790900</v>
      </c>
      <c r="H162" s="1">
        <v>2577340551300</v>
      </c>
      <c r="I162">
        <f t="shared" si="2"/>
        <v>0</v>
      </c>
    </row>
    <row r="163" spans="1:9" x14ac:dyDescent="0.3">
      <c r="A163">
        <v>20150727</v>
      </c>
      <c r="B163">
        <v>84990</v>
      </c>
      <c r="C163" s="8">
        <v>201700</v>
      </c>
      <c r="D163" s="8">
        <v>186400</v>
      </c>
      <c r="E163">
        <v>178507</v>
      </c>
      <c r="F163" s="8">
        <v>14197877</v>
      </c>
      <c r="G163" s="1">
        <v>2646484272800</v>
      </c>
      <c r="H163" s="1">
        <v>2381835789600</v>
      </c>
      <c r="I163">
        <f t="shared" si="2"/>
        <v>0</v>
      </c>
    </row>
    <row r="164" spans="1:9" x14ac:dyDescent="0.3">
      <c r="A164">
        <v>20150728</v>
      </c>
      <c r="B164">
        <v>84990</v>
      </c>
      <c r="C164" s="8">
        <v>186400</v>
      </c>
      <c r="D164" s="8">
        <v>189900</v>
      </c>
      <c r="E164">
        <v>181859</v>
      </c>
      <c r="F164" s="8">
        <v>14197877</v>
      </c>
      <c r="G164" s="1">
        <v>2696176842300</v>
      </c>
      <c r="H164" s="1">
        <v>2426559101100</v>
      </c>
      <c r="I164">
        <f t="shared" si="2"/>
        <v>0</v>
      </c>
    </row>
    <row r="165" spans="1:9" x14ac:dyDescent="0.3">
      <c r="A165">
        <v>20150729</v>
      </c>
      <c r="B165">
        <v>84990</v>
      </c>
      <c r="C165" s="8">
        <v>189900</v>
      </c>
      <c r="D165" s="8">
        <v>183200</v>
      </c>
      <c r="E165">
        <v>175442</v>
      </c>
      <c r="F165" s="8">
        <v>14197877</v>
      </c>
      <c r="G165" s="1">
        <v>2601051066400</v>
      </c>
      <c r="H165" s="1">
        <v>2340945904800</v>
      </c>
      <c r="I165">
        <f t="shared" si="2"/>
        <v>0</v>
      </c>
    </row>
    <row r="166" spans="1:9" x14ac:dyDescent="0.3">
      <c r="A166">
        <v>20150730</v>
      </c>
      <c r="B166">
        <v>84990</v>
      </c>
      <c r="C166" s="8">
        <v>183200</v>
      </c>
      <c r="D166" s="8">
        <v>166000</v>
      </c>
      <c r="E166">
        <v>158971</v>
      </c>
      <c r="F166" s="8">
        <v>14197877</v>
      </c>
      <c r="G166" s="1">
        <v>2356847582000</v>
      </c>
      <c r="H166" s="1">
        <v>2121162774000</v>
      </c>
      <c r="I166">
        <f t="shared" si="2"/>
        <v>0</v>
      </c>
    </row>
    <row r="167" spans="1:9" x14ac:dyDescent="0.3">
      <c r="A167">
        <v>20150731</v>
      </c>
      <c r="B167">
        <v>84990</v>
      </c>
      <c r="C167" s="8">
        <v>166000</v>
      </c>
      <c r="D167" s="8">
        <v>175800</v>
      </c>
      <c r="E167">
        <v>168356</v>
      </c>
      <c r="F167" s="8">
        <v>14197877</v>
      </c>
      <c r="G167" s="1">
        <v>2495986776600</v>
      </c>
      <c r="H167" s="1">
        <v>2246388046200</v>
      </c>
      <c r="I167">
        <f t="shared" si="2"/>
        <v>0</v>
      </c>
    </row>
    <row r="168" spans="1:9" x14ac:dyDescent="0.3">
      <c r="A168">
        <v>20150803</v>
      </c>
      <c r="B168">
        <v>84990</v>
      </c>
      <c r="C168" s="8">
        <v>175800</v>
      </c>
      <c r="D168" s="8">
        <v>174000</v>
      </c>
      <c r="E168">
        <v>166633</v>
      </c>
      <c r="F168" s="8">
        <v>14197877</v>
      </c>
      <c r="G168" s="1">
        <v>2470430598000</v>
      </c>
      <c r="H168" s="1">
        <v>2223387486000</v>
      </c>
      <c r="I168">
        <f t="shared" si="2"/>
        <v>0</v>
      </c>
    </row>
    <row r="169" spans="1:9" x14ac:dyDescent="0.3">
      <c r="A169">
        <v>20150804</v>
      </c>
      <c r="B169">
        <v>84990</v>
      </c>
      <c r="C169" s="8">
        <v>174000</v>
      </c>
      <c r="D169" s="8">
        <v>188800</v>
      </c>
      <c r="E169">
        <v>180805</v>
      </c>
      <c r="F169" s="8">
        <v>14197877</v>
      </c>
      <c r="G169" s="1">
        <v>2680559177600</v>
      </c>
      <c r="H169" s="1">
        <v>2412503203200</v>
      </c>
      <c r="I169">
        <f t="shared" si="2"/>
        <v>0</v>
      </c>
    </row>
    <row r="170" spans="1:9" x14ac:dyDescent="0.3">
      <c r="A170">
        <v>20150805</v>
      </c>
      <c r="B170">
        <v>84990</v>
      </c>
      <c r="C170" s="8">
        <v>188800</v>
      </c>
      <c r="D170" s="8">
        <v>188800</v>
      </c>
      <c r="E170">
        <v>180805</v>
      </c>
      <c r="F170" s="8">
        <v>14197877</v>
      </c>
      <c r="G170" s="1">
        <v>2680559177600</v>
      </c>
      <c r="H170" s="1">
        <v>2412503203200</v>
      </c>
      <c r="I170">
        <f t="shared" si="2"/>
        <v>0</v>
      </c>
    </row>
    <row r="171" spans="1:9" x14ac:dyDescent="0.3">
      <c r="A171">
        <v>20150806</v>
      </c>
      <c r="B171">
        <v>84990</v>
      </c>
      <c r="C171" s="8">
        <v>188800</v>
      </c>
      <c r="D171" s="8">
        <v>189500</v>
      </c>
      <c r="E171">
        <v>181476</v>
      </c>
      <c r="F171" s="8">
        <v>14197877</v>
      </c>
      <c r="G171" s="1">
        <v>2690497691500</v>
      </c>
      <c r="H171" s="1">
        <v>2421447865500</v>
      </c>
      <c r="I171">
        <f t="shared" si="2"/>
        <v>0</v>
      </c>
    </row>
    <row r="172" spans="1:9" x14ac:dyDescent="0.3">
      <c r="A172">
        <v>20150807</v>
      </c>
      <c r="B172">
        <v>84990</v>
      </c>
      <c r="C172" s="8">
        <v>189500</v>
      </c>
      <c r="D172" s="8">
        <v>188500</v>
      </c>
      <c r="E172">
        <v>180518</v>
      </c>
      <c r="F172" s="8">
        <v>14197877</v>
      </c>
      <c r="G172" s="1">
        <v>2676299814500</v>
      </c>
      <c r="H172" s="1">
        <v>2408669776500</v>
      </c>
      <c r="I172">
        <f t="shared" si="2"/>
        <v>0</v>
      </c>
    </row>
    <row r="173" spans="1:9" x14ac:dyDescent="0.3">
      <c r="A173">
        <v>20150810</v>
      </c>
      <c r="B173">
        <v>84990</v>
      </c>
      <c r="C173" s="8">
        <v>188500</v>
      </c>
      <c r="D173" s="8">
        <v>183000</v>
      </c>
      <c r="E173">
        <v>175251</v>
      </c>
      <c r="F173" s="8">
        <v>14197877</v>
      </c>
      <c r="G173" s="1">
        <v>2598211491000</v>
      </c>
      <c r="H173" s="1">
        <v>2338390287000</v>
      </c>
      <c r="I173">
        <f t="shared" si="2"/>
        <v>0</v>
      </c>
    </row>
    <row r="174" spans="1:9" x14ac:dyDescent="0.3">
      <c r="A174">
        <v>20150811</v>
      </c>
      <c r="B174">
        <v>84990</v>
      </c>
      <c r="C174" s="8">
        <v>183000</v>
      </c>
      <c r="D174" s="8">
        <v>174300</v>
      </c>
      <c r="E174">
        <v>166919</v>
      </c>
      <c r="F174" s="8">
        <v>14197877</v>
      </c>
      <c r="G174" s="1">
        <v>2474689961100</v>
      </c>
      <c r="H174" s="1">
        <v>2227220912700</v>
      </c>
      <c r="I174">
        <f t="shared" si="2"/>
        <v>0</v>
      </c>
    </row>
    <row r="175" spans="1:9" x14ac:dyDescent="0.3">
      <c r="A175">
        <v>20150812</v>
      </c>
      <c r="B175">
        <v>84990</v>
      </c>
      <c r="C175" s="8">
        <v>174300</v>
      </c>
      <c r="D175" s="8">
        <v>170100</v>
      </c>
      <c r="E175">
        <v>162898</v>
      </c>
      <c r="F175" s="8">
        <v>14197877</v>
      </c>
      <c r="G175" s="1">
        <v>2415058877700</v>
      </c>
      <c r="H175" s="1">
        <v>2173552938900</v>
      </c>
      <c r="I175">
        <f t="shared" si="2"/>
        <v>0</v>
      </c>
    </row>
    <row r="176" spans="1:9" x14ac:dyDescent="0.3">
      <c r="A176">
        <v>20150813</v>
      </c>
      <c r="B176">
        <v>84990</v>
      </c>
      <c r="C176" s="8">
        <v>170100</v>
      </c>
      <c r="D176" s="8">
        <v>178700</v>
      </c>
      <c r="E176">
        <v>171133</v>
      </c>
      <c r="F176" s="8">
        <v>14197877</v>
      </c>
      <c r="G176" s="1">
        <v>2537160619900</v>
      </c>
      <c r="H176" s="1">
        <v>2283444504300</v>
      </c>
      <c r="I176">
        <f t="shared" si="2"/>
        <v>0</v>
      </c>
    </row>
    <row r="177" spans="1:9" x14ac:dyDescent="0.3">
      <c r="A177">
        <v>20150817</v>
      </c>
      <c r="B177">
        <v>84990</v>
      </c>
      <c r="C177" s="8">
        <v>178700</v>
      </c>
      <c r="D177" s="8">
        <v>170700</v>
      </c>
      <c r="E177">
        <v>163472</v>
      </c>
      <c r="F177" s="8">
        <v>14197877</v>
      </c>
      <c r="G177" s="1">
        <v>2423577603900</v>
      </c>
      <c r="H177" s="1">
        <v>2181219792300</v>
      </c>
      <c r="I177">
        <f t="shared" si="2"/>
        <v>0</v>
      </c>
    </row>
    <row r="178" spans="1:9" x14ac:dyDescent="0.3">
      <c r="A178">
        <v>20150818</v>
      </c>
      <c r="B178">
        <v>84990</v>
      </c>
      <c r="C178" s="8">
        <v>170700</v>
      </c>
      <c r="D178" s="8">
        <v>163000</v>
      </c>
      <c r="E178">
        <v>156098</v>
      </c>
      <c r="F178" s="8">
        <v>14197877</v>
      </c>
      <c r="G178" s="1">
        <v>2314253951000</v>
      </c>
      <c r="H178" s="1">
        <v>2082828507000</v>
      </c>
      <c r="I178">
        <f t="shared" si="2"/>
        <v>0</v>
      </c>
    </row>
    <row r="179" spans="1:9" x14ac:dyDescent="0.3">
      <c r="A179">
        <v>20150819</v>
      </c>
      <c r="B179">
        <v>84990</v>
      </c>
      <c r="C179" s="8">
        <v>163000</v>
      </c>
      <c r="D179" s="8">
        <v>147000</v>
      </c>
      <c r="E179">
        <v>140776</v>
      </c>
      <c r="F179" s="8">
        <v>14197877</v>
      </c>
      <c r="G179" s="1">
        <v>2087087919000</v>
      </c>
      <c r="H179" s="1">
        <v>1878379083000</v>
      </c>
      <c r="I179">
        <f t="shared" si="2"/>
        <v>0</v>
      </c>
    </row>
    <row r="180" spans="1:9" x14ac:dyDescent="0.3">
      <c r="A180">
        <v>20150820</v>
      </c>
      <c r="B180">
        <v>84990</v>
      </c>
      <c r="C180" s="8">
        <v>147000</v>
      </c>
      <c r="D180" s="8">
        <v>141300</v>
      </c>
      <c r="E180">
        <v>135316</v>
      </c>
      <c r="F180" s="8">
        <v>14197877</v>
      </c>
      <c r="G180" s="1">
        <v>2006160020100</v>
      </c>
      <c r="H180" s="1">
        <v>1805543975700</v>
      </c>
      <c r="I180">
        <f t="shared" si="2"/>
        <v>0</v>
      </c>
    </row>
    <row r="181" spans="1:9" x14ac:dyDescent="0.3">
      <c r="A181">
        <v>20150821</v>
      </c>
      <c r="B181">
        <v>84990</v>
      </c>
      <c r="C181" s="8">
        <v>141300</v>
      </c>
      <c r="D181" s="8">
        <v>128600</v>
      </c>
      <c r="E181">
        <v>123154</v>
      </c>
      <c r="F181" s="8">
        <v>14197877</v>
      </c>
      <c r="G181" s="1">
        <v>1825846982200</v>
      </c>
      <c r="H181" s="1">
        <v>1643262245400</v>
      </c>
      <c r="I181">
        <f t="shared" si="2"/>
        <v>0</v>
      </c>
    </row>
    <row r="182" spans="1:9" x14ac:dyDescent="0.3">
      <c r="A182">
        <v>20150824</v>
      </c>
      <c r="B182">
        <v>84990</v>
      </c>
      <c r="C182" s="8">
        <v>128600</v>
      </c>
      <c r="D182" s="8">
        <v>131000</v>
      </c>
      <c r="E182">
        <v>125452</v>
      </c>
      <c r="F182" s="8">
        <v>14197877</v>
      </c>
      <c r="G182" s="1">
        <v>1859921887000</v>
      </c>
      <c r="H182" s="1">
        <v>1673929659000</v>
      </c>
      <c r="I182">
        <f t="shared" si="2"/>
        <v>0</v>
      </c>
    </row>
    <row r="183" spans="1:9" x14ac:dyDescent="0.3">
      <c r="A183">
        <v>20150825</v>
      </c>
      <c r="B183">
        <v>84990</v>
      </c>
      <c r="C183" s="8">
        <v>131000</v>
      </c>
      <c r="D183" s="8">
        <v>148000</v>
      </c>
      <c r="E183">
        <v>141733</v>
      </c>
      <c r="F183" s="8">
        <v>14197877</v>
      </c>
      <c r="G183" s="1">
        <v>2101285796000</v>
      </c>
      <c r="H183" s="1">
        <v>1891157172000</v>
      </c>
      <c r="I183">
        <f t="shared" si="2"/>
        <v>0</v>
      </c>
    </row>
    <row r="184" spans="1:9" x14ac:dyDescent="0.3">
      <c r="A184">
        <v>20150826</v>
      </c>
      <c r="B184">
        <v>84990</v>
      </c>
      <c r="C184" s="8">
        <v>148000</v>
      </c>
      <c r="D184" s="8">
        <v>150600</v>
      </c>
      <c r="E184">
        <v>144223</v>
      </c>
      <c r="F184" s="8">
        <v>14197877</v>
      </c>
      <c r="G184" s="1">
        <v>2138200276200</v>
      </c>
      <c r="H184" s="1">
        <v>1924380203400</v>
      </c>
      <c r="I184">
        <f t="shared" si="2"/>
        <v>0</v>
      </c>
    </row>
    <row r="185" spans="1:9" x14ac:dyDescent="0.3">
      <c r="A185">
        <v>20150827</v>
      </c>
      <c r="B185">
        <v>84990</v>
      </c>
      <c r="C185" s="8">
        <v>150600</v>
      </c>
      <c r="D185" s="8">
        <v>149500</v>
      </c>
      <c r="E185">
        <v>143169</v>
      </c>
      <c r="F185" s="8">
        <v>14197877</v>
      </c>
      <c r="G185" s="1">
        <v>2122582611500</v>
      </c>
      <c r="H185" s="1">
        <v>1910324305500</v>
      </c>
      <c r="I185">
        <f t="shared" si="2"/>
        <v>0</v>
      </c>
    </row>
    <row r="186" spans="1:9" x14ac:dyDescent="0.3">
      <c r="A186">
        <v>20150828</v>
      </c>
      <c r="B186">
        <v>84990</v>
      </c>
      <c r="C186" s="8">
        <v>149500</v>
      </c>
      <c r="D186" s="8">
        <v>150600</v>
      </c>
      <c r="E186">
        <v>144223</v>
      </c>
      <c r="F186" s="8">
        <v>14197877</v>
      </c>
      <c r="G186" s="1">
        <v>2138200276200</v>
      </c>
      <c r="H186" s="1">
        <v>1924380203400</v>
      </c>
      <c r="I186">
        <f t="shared" si="2"/>
        <v>0</v>
      </c>
    </row>
    <row r="187" spans="1:9" x14ac:dyDescent="0.3">
      <c r="A187">
        <v>20150831</v>
      </c>
      <c r="B187">
        <v>84990</v>
      </c>
      <c r="C187" s="8">
        <v>150600</v>
      </c>
      <c r="D187" s="8">
        <v>158000</v>
      </c>
      <c r="E187">
        <v>151310</v>
      </c>
      <c r="F187" s="8">
        <v>14197877</v>
      </c>
      <c r="G187" s="1">
        <v>2243264566000</v>
      </c>
      <c r="H187" s="1">
        <v>2018938062000</v>
      </c>
      <c r="I187">
        <f t="shared" si="2"/>
        <v>0</v>
      </c>
    </row>
    <row r="188" spans="1:9" x14ac:dyDescent="0.3">
      <c r="A188">
        <v>20150901</v>
      </c>
      <c r="B188">
        <v>84990</v>
      </c>
      <c r="C188" s="8">
        <v>158000</v>
      </c>
      <c r="D188" s="8">
        <v>144800</v>
      </c>
      <c r="E188">
        <v>138669</v>
      </c>
      <c r="F188" s="8">
        <v>14197877</v>
      </c>
      <c r="G188" s="1">
        <v>2055852589600</v>
      </c>
      <c r="H188" s="1">
        <v>1850267287200</v>
      </c>
      <c r="I188">
        <f t="shared" si="2"/>
        <v>0</v>
      </c>
    </row>
    <row r="189" spans="1:9" x14ac:dyDescent="0.3">
      <c r="A189">
        <v>20150902</v>
      </c>
      <c r="B189">
        <v>84990</v>
      </c>
      <c r="C189" s="8">
        <v>144800</v>
      </c>
      <c r="D189" s="8">
        <v>139900</v>
      </c>
      <c r="E189">
        <v>133976</v>
      </c>
      <c r="F189" s="8">
        <v>14197877</v>
      </c>
      <c r="G189" s="1">
        <v>1986282992300</v>
      </c>
      <c r="H189" s="1">
        <v>1787654651100</v>
      </c>
      <c r="I189">
        <f t="shared" si="2"/>
        <v>0</v>
      </c>
    </row>
    <row r="190" spans="1:9" x14ac:dyDescent="0.3">
      <c r="A190">
        <v>20150903</v>
      </c>
      <c r="B190">
        <v>84990</v>
      </c>
      <c r="C190" s="8">
        <v>139900</v>
      </c>
      <c r="D190" s="8">
        <v>139100</v>
      </c>
      <c r="E190">
        <v>133210</v>
      </c>
      <c r="F190" s="8">
        <v>14197877</v>
      </c>
      <c r="G190" s="1">
        <v>1974924690700</v>
      </c>
      <c r="H190" s="1">
        <v>1777432179900</v>
      </c>
      <c r="I190">
        <f t="shared" si="2"/>
        <v>0</v>
      </c>
    </row>
    <row r="191" spans="1:9" x14ac:dyDescent="0.3">
      <c r="A191">
        <v>20150904</v>
      </c>
      <c r="B191">
        <v>84990</v>
      </c>
      <c r="C191" s="8">
        <v>139100</v>
      </c>
      <c r="D191" s="8">
        <v>110500</v>
      </c>
      <c r="E191">
        <v>105820</v>
      </c>
      <c r="F191" s="8">
        <v>14197877</v>
      </c>
      <c r="G191" s="1">
        <v>1568865408500</v>
      </c>
      <c r="H191" s="1">
        <v>1411978834500</v>
      </c>
      <c r="I191">
        <f t="shared" si="2"/>
        <v>0</v>
      </c>
    </row>
    <row r="192" spans="1:9" x14ac:dyDescent="0.3">
      <c r="A192">
        <v>20150907</v>
      </c>
      <c r="B192">
        <v>84990</v>
      </c>
      <c r="C192" s="8">
        <v>110500</v>
      </c>
      <c r="D192" s="8">
        <v>112900</v>
      </c>
      <c r="E192">
        <v>108119</v>
      </c>
      <c r="F192" s="8">
        <v>14197877</v>
      </c>
      <c r="G192" s="1">
        <v>1602940313300</v>
      </c>
      <c r="H192" s="1">
        <v>1442646248100</v>
      </c>
      <c r="I192">
        <f t="shared" si="2"/>
        <v>0</v>
      </c>
    </row>
    <row r="193" spans="1:9" x14ac:dyDescent="0.3">
      <c r="A193">
        <v>20150908</v>
      </c>
      <c r="B193">
        <v>84990</v>
      </c>
      <c r="C193" s="8">
        <v>112900</v>
      </c>
      <c r="D193" s="8">
        <v>106200</v>
      </c>
      <c r="E193">
        <v>101702</v>
      </c>
      <c r="F193" s="8">
        <v>14197877</v>
      </c>
      <c r="G193" s="1">
        <v>1507814537400</v>
      </c>
      <c r="H193" s="1">
        <v>1357033051800</v>
      </c>
      <c r="I193">
        <f t="shared" si="2"/>
        <v>0</v>
      </c>
    </row>
    <row r="194" spans="1:9" x14ac:dyDescent="0.3">
      <c r="A194">
        <v>20150909</v>
      </c>
      <c r="B194">
        <v>84990</v>
      </c>
      <c r="C194" s="8">
        <v>106200</v>
      </c>
      <c r="D194" s="8">
        <v>121400</v>
      </c>
      <c r="E194">
        <v>116259</v>
      </c>
      <c r="F194" s="8">
        <v>14197877</v>
      </c>
      <c r="G194" s="1">
        <v>1723622267800</v>
      </c>
      <c r="H194" s="1">
        <v>1551260004600</v>
      </c>
      <c r="I194">
        <f t="shared" si="2"/>
        <v>0</v>
      </c>
    </row>
    <row r="195" spans="1:9" x14ac:dyDescent="0.3">
      <c r="A195">
        <v>20150910</v>
      </c>
      <c r="B195">
        <v>84990</v>
      </c>
      <c r="C195" s="8">
        <v>121400</v>
      </c>
      <c r="D195" s="8">
        <v>122300</v>
      </c>
      <c r="E195">
        <v>117121</v>
      </c>
      <c r="F195" s="8">
        <v>14197877</v>
      </c>
      <c r="G195" s="1">
        <v>1736400357100</v>
      </c>
      <c r="H195" s="1">
        <v>1562760284700</v>
      </c>
      <c r="I195">
        <f t="shared" ref="I195:I258" si="3">IF(C195*F195=D194*F194,0,1)</f>
        <v>0</v>
      </c>
    </row>
    <row r="196" spans="1:9" x14ac:dyDescent="0.3">
      <c r="A196">
        <v>20150911</v>
      </c>
      <c r="B196">
        <v>84990</v>
      </c>
      <c r="C196" s="8">
        <v>122300</v>
      </c>
      <c r="D196" s="8">
        <v>121000</v>
      </c>
      <c r="E196">
        <v>115876</v>
      </c>
      <c r="F196" s="8">
        <v>14197877</v>
      </c>
      <c r="G196" s="1">
        <v>1717943117000</v>
      </c>
      <c r="H196" s="1">
        <v>1546148769000</v>
      </c>
      <c r="I196">
        <f t="shared" si="3"/>
        <v>0</v>
      </c>
    </row>
    <row r="197" spans="1:9" x14ac:dyDescent="0.3">
      <c r="A197">
        <v>20150914</v>
      </c>
      <c r="B197">
        <v>84990</v>
      </c>
      <c r="C197" s="8">
        <v>121000</v>
      </c>
      <c r="D197" s="8">
        <v>119600</v>
      </c>
      <c r="E197">
        <v>114536</v>
      </c>
      <c r="F197" s="8">
        <v>14197877</v>
      </c>
      <c r="G197" s="1">
        <v>1698066089200</v>
      </c>
      <c r="H197" s="1">
        <v>1528259444400</v>
      </c>
      <c r="I197">
        <f t="shared" si="3"/>
        <v>0</v>
      </c>
    </row>
    <row r="198" spans="1:9" x14ac:dyDescent="0.3">
      <c r="A198">
        <v>20150915</v>
      </c>
      <c r="B198">
        <v>84990</v>
      </c>
      <c r="C198" s="8">
        <v>119600</v>
      </c>
      <c r="D198" s="8">
        <v>119600</v>
      </c>
      <c r="E198">
        <v>114536</v>
      </c>
      <c r="F198" s="8">
        <v>14197877</v>
      </c>
      <c r="G198" s="1">
        <v>1698066089200</v>
      </c>
      <c r="H198" s="1">
        <v>1528259444400</v>
      </c>
      <c r="I198">
        <f t="shared" si="3"/>
        <v>0</v>
      </c>
    </row>
    <row r="199" spans="1:9" x14ac:dyDescent="0.3">
      <c r="A199">
        <v>20150916</v>
      </c>
      <c r="B199">
        <v>84990</v>
      </c>
      <c r="C199" s="8">
        <v>119600</v>
      </c>
      <c r="D199" s="8">
        <v>126100</v>
      </c>
      <c r="E199">
        <v>120761</v>
      </c>
      <c r="F199" s="8">
        <v>14197877</v>
      </c>
      <c r="G199" s="1">
        <v>1790352289700</v>
      </c>
      <c r="H199" s="1">
        <v>1611317022900</v>
      </c>
      <c r="I199">
        <f t="shared" si="3"/>
        <v>0</v>
      </c>
    </row>
    <row r="200" spans="1:9" x14ac:dyDescent="0.3">
      <c r="A200">
        <v>20150917</v>
      </c>
      <c r="B200">
        <v>84990</v>
      </c>
      <c r="C200" s="8">
        <v>126100</v>
      </c>
      <c r="D200" s="8">
        <v>124000</v>
      </c>
      <c r="E200">
        <v>118749</v>
      </c>
      <c r="F200" s="8">
        <v>14197877</v>
      </c>
      <c r="G200" s="1">
        <v>1760536748000</v>
      </c>
      <c r="H200" s="1">
        <v>1584483036000</v>
      </c>
      <c r="I200">
        <f t="shared" si="3"/>
        <v>0</v>
      </c>
    </row>
    <row r="201" spans="1:9" x14ac:dyDescent="0.3">
      <c r="A201">
        <v>20150918</v>
      </c>
      <c r="B201">
        <v>84990</v>
      </c>
      <c r="C201" s="8">
        <v>124000</v>
      </c>
      <c r="D201" s="8">
        <v>135300</v>
      </c>
      <c r="E201">
        <v>129570</v>
      </c>
      <c r="F201" s="8">
        <v>14197877</v>
      </c>
      <c r="G201" s="1">
        <v>1920972758100</v>
      </c>
      <c r="H201" s="1">
        <v>1728875441700</v>
      </c>
      <c r="I201">
        <f t="shared" si="3"/>
        <v>0</v>
      </c>
    </row>
    <row r="202" spans="1:9" x14ac:dyDescent="0.3">
      <c r="A202">
        <v>20150921</v>
      </c>
      <c r="B202">
        <v>84990</v>
      </c>
      <c r="C202" s="8">
        <v>135300</v>
      </c>
      <c r="D202" s="8">
        <v>135100</v>
      </c>
      <c r="E202">
        <v>129379</v>
      </c>
      <c r="F202" s="8">
        <v>14197877</v>
      </c>
      <c r="G202" s="1">
        <v>1918133182700</v>
      </c>
      <c r="H202" s="1">
        <v>1726319823900</v>
      </c>
      <c r="I202">
        <f t="shared" si="3"/>
        <v>0</v>
      </c>
    </row>
    <row r="203" spans="1:9" x14ac:dyDescent="0.3">
      <c r="A203">
        <v>20150922</v>
      </c>
      <c r="B203">
        <v>84990</v>
      </c>
      <c r="C203" s="8">
        <v>135100</v>
      </c>
      <c r="D203" s="8">
        <v>134500</v>
      </c>
      <c r="E203">
        <v>128805</v>
      </c>
      <c r="F203" s="8">
        <v>14197877</v>
      </c>
      <c r="G203" s="1">
        <v>1909614456500</v>
      </c>
      <c r="H203" s="1">
        <v>1718652970500</v>
      </c>
      <c r="I203">
        <f t="shared" si="3"/>
        <v>0</v>
      </c>
    </row>
    <row r="204" spans="1:9" x14ac:dyDescent="0.3">
      <c r="A204">
        <v>20150923</v>
      </c>
      <c r="B204">
        <v>84990</v>
      </c>
      <c r="C204" s="8">
        <v>134500</v>
      </c>
      <c r="D204" s="8">
        <v>128000</v>
      </c>
      <c r="E204">
        <v>122580</v>
      </c>
      <c r="F204" s="8">
        <v>14197877</v>
      </c>
      <c r="G204" s="1">
        <v>1817328256000</v>
      </c>
      <c r="H204" s="1">
        <v>1635595392000</v>
      </c>
      <c r="I204">
        <f t="shared" si="3"/>
        <v>0</v>
      </c>
    </row>
    <row r="205" spans="1:9" x14ac:dyDescent="0.3">
      <c r="A205">
        <v>20150924</v>
      </c>
      <c r="B205">
        <v>84990</v>
      </c>
      <c r="C205" s="8">
        <v>128000</v>
      </c>
      <c r="D205" s="8">
        <v>127900</v>
      </c>
      <c r="E205">
        <v>122484</v>
      </c>
      <c r="F205" s="8">
        <v>14197877</v>
      </c>
      <c r="G205" s="1">
        <v>1815908468300</v>
      </c>
      <c r="H205" s="1">
        <v>1634317583100</v>
      </c>
      <c r="I205">
        <f t="shared" si="3"/>
        <v>0</v>
      </c>
    </row>
    <row r="206" spans="1:9" x14ac:dyDescent="0.3">
      <c r="A206">
        <v>20150925</v>
      </c>
      <c r="B206">
        <v>84990</v>
      </c>
      <c r="C206" s="8">
        <v>127900</v>
      </c>
      <c r="D206" s="8">
        <v>126800</v>
      </c>
      <c r="E206">
        <v>121431</v>
      </c>
      <c r="F206" s="8">
        <v>14197877</v>
      </c>
      <c r="G206" s="1">
        <v>1800290803600</v>
      </c>
      <c r="H206" s="1">
        <v>1620261685200</v>
      </c>
      <c r="I206">
        <f t="shared" si="3"/>
        <v>0</v>
      </c>
    </row>
    <row r="207" spans="1:9" x14ac:dyDescent="0.3">
      <c r="A207">
        <v>20150930</v>
      </c>
      <c r="B207">
        <v>84990</v>
      </c>
      <c r="C207" s="8">
        <v>126800</v>
      </c>
      <c r="D207" s="8">
        <v>123000</v>
      </c>
      <c r="E207">
        <v>117791</v>
      </c>
      <c r="F207" s="8">
        <v>14197877</v>
      </c>
      <c r="G207" s="1">
        <v>1746338871000</v>
      </c>
      <c r="H207" s="1">
        <v>924006012000</v>
      </c>
      <c r="I207">
        <f t="shared" si="3"/>
        <v>0</v>
      </c>
    </row>
    <row r="208" spans="1:9" x14ac:dyDescent="0.3">
      <c r="A208">
        <v>20151001</v>
      </c>
      <c r="B208">
        <v>84990</v>
      </c>
      <c r="C208" s="8">
        <v>123000</v>
      </c>
      <c r="D208" s="8">
        <v>131200</v>
      </c>
      <c r="E208">
        <v>125644</v>
      </c>
      <c r="F208" s="8">
        <v>14197877</v>
      </c>
      <c r="G208" s="1">
        <v>1862761462400</v>
      </c>
      <c r="H208" s="1">
        <v>1676485276800</v>
      </c>
      <c r="I208">
        <f t="shared" si="3"/>
        <v>0</v>
      </c>
    </row>
    <row r="209" spans="1:9" x14ac:dyDescent="0.3">
      <c r="A209">
        <v>20151002</v>
      </c>
      <c r="B209">
        <v>84990</v>
      </c>
      <c r="C209" s="8">
        <v>131200</v>
      </c>
      <c r="D209" s="8">
        <v>128500</v>
      </c>
      <c r="E209">
        <v>123059</v>
      </c>
      <c r="F209" s="8">
        <v>14197877</v>
      </c>
      <c r="G209" s="1">
        <v>1824427194500</v>
      </c>
      <c r="H209" s="1">
        <v>1641984436500</v>
      </c>
      <c r="I209">
        <f t="shared" si="3"/>
        <v>0</v>
      </c>
    </row>
    <row r="210" spans="1:9" x14ac:dyDescent="0.3">
      <c r="A210">
        <v>20151005</v>
      </c>
      <c r="B210">
        <v>84990</v>
      </c>
      <c r="C210" s="8">
        <v>128500</v>
      </c>
      <c r="D210" s="8">
        <v>130600</v>
      </c>
      <c r="E210">
        <v>125070</v>
      </c>
      <c r="F210" s="8">
        <v>14197877</v>
      </c>
      <c r="G210" s="1">
        <v>1854242736200</v>
      </c>
      <c r="H210" s="1">
        <v>1668818423400</v>
      </c>
      <c r="I210">
        <f t="shared" si="3"/>
        <v>0</v>
      </c>
    </row>
    <row r="211" spans="1:9" x14ac:dyDescent="0.3">
      <c r="A211">
        <v>20151006</v>
      </c>
      <c r="B211">
        <v>84990</v>
      </c>
      <c r="C211" s="8">
        <v>130600</v>
      </c>
      <c r="D211" s="8">
        <v>131500</v>
      </c>
      <c r="E211">
        <v>125931</v>
      </c>
      <c r="F211" s="8">
        <v>14197877</v>
      </c>
      <c r="G211" s="1">
        <v>1867020825500</v>
      </c>
      <c r="H211" s="1">
        <v>1680318703500</v>
      </c>
      <c r="I211">
        <f t="shared" si="3"/>
        <v>0</v>
      </c>
    </row>
    <row r="212" spans="1:9" x14ac:dyDescent="0.3">
      <c r="A212">
        <v>20151007</v>
      </c>
      <c r="B212">
        <v>84990</v>
      </c>
      <c r="C212" s="8">
        <v>131500</v>
      </c>
      <c r="D212" s="8">
        <v>122000</v>
      </c>
      <c r="E212">
        <v>116834</v>
      </c>
      <c r="F212" s="8">
        <v>14197877</v>
      </c>
      <c r="G212" s="1">
        <v>1732140994000</v>
      </c>
      <c r="H212" s="1">
        <v>1558926858000</v>
      </c>
      <c r="I212">
        <f t="shared" si="3"/>
        <v>0</v>
      </c>
    </row>
    <row r="213" spans="1:9" x14ac:dyDescent="0.3">
      <c r="A213">
        <v>20151008</v>
      </c>
      <c r="B213">
        <v>84990</v>
      </c>
      <c r="C213" s="8">
        <v>122000</v>
      </c>
      <c r="D213" s="8">
        <v>120400</v>
      </c>
      <c r="E213">
        <v>115301</v>
      </c>
      <c r="F213" s="8">
        <v>14197877</v>
      </c>
      <c r="G213" s="1">
        <v>1709424390800</v>
      </c>
      <c r="H213" s="1">
        <v>1538481915600</v>
      </c>
      <c r="I213">
        <f t="shared" si="3"/>
        <v>0</v>
      </c>
    </row>
    <row r="214" spans="1:9" x14ac:dyDescent="0.3">
      <c r="A214">
        <v>20151012</v>
      </c>
      <c r="B214">
        <v>84990</v>
      </c>
      <c r="C214" s="8">
        <v>120400</v>
      </c>
      <c r="D214" s="8">
        <v>121400</v>
      </c>
      <c r="E214">
        <v>116259</v>
      </c>
      <c r="F214" s="8">
        <v>14197877</v>
      </c>
      <c r="G214" s="1">
        <v>1723622267800</v>
      </c>
      <c r="H214" s="1">
        <v>1551260004600</v>
      </c>
      <c r="I214">
        <f t="shared" si="3"/>
        <v>0</v>
      </c>
    </row>
    <row r="215" spans="1:9" x14ac:dyDescent="0.3">
      <c r="A215">
        <v>20151013</v>
      </c>
      <c r="B215">
        <v>84990</v>
      </c>
      <c r="C215" s="8">
        <v>121400</v>
      </c>
      <c r="D215" s="8">
        <v>120400</v>
      </c>
      <c r="E215">
        <v>115301</v>
      </c>
      <c r="F215" s="8">
        <v>14197877</v>
      </c>
      <c r="G215" s="1">
        <v>1709424390800</v>
      </c>
      <c r="H215" s="1">
        <v>1538481915600</v>
      </c>
      <c r="I215">
        <f t="shared" si="3"/>
        <v>0</v>
      </c>
    </row>
    <row r="216" spans="1:9" x14ac:dyDescent="0.3">
      <c r="A216">
        <v>20151014</v>
      </c>
      <c r="B216">
        <v>84990</v>
      </c>
      <c r="C216" s="8">
        <v>120400</v>
      </c>
      <c r="D216" s="8">
        <v>119000</v>
      </c>
      <c r="E216">
        <v>113961</v>
      </c>
      <c r="F216" s="8">
        <v>14197877</v>
      </c>
      <c r="G216" s="1">
        <v>1689547363000</v>
      </c>
      <c r="H216" s="1">
        <v>1520592591000</v>
      </c>
      <c r="I216">
        <f t="shared" si="3"/>
        <v>0</v>
      </c>
    </row>
    <row r="217" spans="1:9" x14ac:dyDescent="0.3">
      <c r="A217">
        <v>20151015</v>
      </c>
      <c r="B217">
        <v>84990</v>
      </c>
      <c r="C217" s="8">
        <v>119000</v>
      </c>
      <c r="D217" s="8">
        <v>122900</v>
      </c>
      <c r="E217">
        <v>117696</v>
      </c>
      <c r="F217" s="8">
        <v>14197877</v>
      </c>
      <c r="G217" s="1">
        <v>1744919083300</v>
      </c>
      <c r="H217" s="1">
        <v>1570427138100</v>
      </c>
      <c r="I217">
        <f t="shared" si="3"/>
        <v>0</v>
      </c>
    </row>
    <row r="218" spans="1:9" x14ac:dyDescent="0.3">
      <c r="A218">
        <v>20151016</v>
      </c>
      <c r="B218">
        <v>84990</v>
      </c>
      <c r="C218" s="8">
        <v>122900</v>
      </c>
      <c r="D218" s="8">
        <v>123600</v>
      </c>
      <c r="E218">
        <v>118366</v>
      </c>
      <c r="F218" s="8">
        <v>14197877</v>
      </c>
      <c r="G218" s="1">
        <v>1754857597200</v>
      </c>
      <c r="H218" s="1">
        <v>1579371800400</v>
      </c>
      <c r="I218">
        <f t="shared" si="3"/>
        <v>0</v>
      </c>
    </row>
    <row r="219" spans="1:9" x14ac:dyDescent="0.3">
      <c r="A219">
        <v>20151019</v>
      </c>
      <c r="B219">
        <v>84990</v>
      </c>
      <c r="C219" s="8">
        <v>123600</v>
      </c>
      <c r="D219" s="8">
        <v>123900</v>
      </c>
      <c r="E219">
        <v>118654</v>
      </c>
      <c r="F219" s="8">
        <v>14197877</v>
      </c>
      <c r="G219" s="1">
        <v>1759116960300</v>
      </c>
      <c r="H219" s="1">
        <v>1583205227100</v>
      </c>
      <c r="I219">
        <f t="shared" si="3"/>
        <v>0</v>
      </c>
    </row>
    <row r="220" spans="1:9" x14ac:dyDescent="0.3">
      <c r="A220">
        <v>20151020</v>
      </c>
      <c r="B220">
        <v>84990</v>
      </c>
      <c r="C220" s="8">
        <v>123900</v>
      </c>
      <c r="D220" s="8">
        <v>130000</v>
      </c>
      <c r="E220">
        <v>124495</v>
      </c>
      <c r="F220" s="8">
        <v>14197877</v>
      </c>
      <c r="G220" s="1">
        <v>1845724010000</v>
      </c>
      <c r="H220" s="1">
        <v>1661151570000</v>
      </c>
      <c r="I220">
        <f t="shared" si="3"/>
        <v>0</v>
      </c>
    </row>
    <row r="221" spans="1:9" x14ac:dyDescent="0.3">
      <c r="A221">
        <v>20151021</v>
      </c>
      <c r="B221">
        <v>84990</v>
      </c>
      <c r="C221" s="8">
        <v>130000</v>
      </c>
      <c r="D221" s="8">
        <v>128800</v>
      </c>
      <c r="E221">
        <v>123345</v>
      </c>
      <c r="F221" s="8">
        <v>14197877</v>
      </c>
      <c r="G221" s="1">
        <v>1828686557600</v>
      </c>
      <c r="H221" s="1">
        <v>1645817863200</v>
      </c>
      <c r="I221">
        <f t="shared" si="3"/>
        <v>0</v>
      </c>
    </row>
    <row r="222" spans="1:9" x14ac:dyDescent="0.3">
      <c r="A222">
        <v>20151022</v>
      </c>
      <c r="B222">
        <v>84990</v>
      </c>
      <c r="C222" s="8">
        <v>128800</v>
      </c>
      <c r="D222" s="8">
        <v>127100</v>
      </c>
      <c r="E222">
        <v>121717</v>
      </c>
      <c r="F222" s="8">
        <v>14197877</v>
      </c>
      <c r="G222" s="1">
        <v>1804550166700</v>
      </c>
      <c r="H222" s="1">
        <v>1624095111900</v>
      </c>
      <c r="I222">
        <f t="shared" si="3"/>
        <v>0</v>
      </c>
    </row>
    <row r="223" spans="1:9" x14ac:dyDescent="0.3">
      <c r="A223">
        <v>20151023</v>
      </c>
      <c r="B223">
        <v>84990</v>
      </c>
      <c r="C223" s="8">
        <v>127100</v>
      </c>
      <c r="D223" s="8">
        <v>139100</v>
      </c>
      <c r="E223">
        <v>133210</v>
      </c>
      <c r="F223" s="8">
        <v>14197877</v>
      </c>
      <c r="G223" s="1">
        <v>1974924690700</v>
      </c>
      <c r="H223" s="1">
        <v>1777432179900</v>
      </c>
      <c r="I223">
        <f t="shared" si="3"/>
        <v>0</v>
      </c>
    </row>
    <row r="224" spans="1:9" x14ac:dyDescent="0.3">
      <c r="A224">
        <v>20151026</v>
      </c>
      <c r="B224">
        <v>84990</v>
      </c>
      <c r="C224" s="8">
        <v>139100</v>
      </c>
      <c r="D224" s="8">
        <v>159000</v>
      </c>
      <c r="E224">
        <v>152267</v>
      </c>
      <c r="F224" s="8">
        <v>14197877</v>
      </c>
      <c r="G224" s="1">
        <v>2257462443000</v>
      </c>
      <c r="H224" s="1">
        <v>2031716151000</v>
      </c>
      <c r="I224">
        <f t="shared" si="3"/>
        <v>0</v>
      </c>
    </row>
    <row r="225" spans="1:9" x14ac:dyDescent="0.3">
      <c r="A225">
        <v>20151027</v>
      </c>
      <c r="B225">
        <v>84990</v>
      </c>
      <c r="C225" s="8">
        <v>159000</v>
      </c>
      <c r="D225" s="8">
        <v>162000</v>
      </c>
      <c r="E225">
        <v>155140</v>
      </c>
      <c r="F225" s="8">
        <v>14197877</v>
      </c>
      <c r="G225" s="1">
        <v>2300056074000</v>
      </c>
      <c r="H225" s="1">
        <v>2070050418000</v>
      </c>
      <c r="I225">
        <f t="shared" si="3"/>
        <v>0</v>
      </c>
    </row>
    <row r="226" spans="1:9" x14ac:dyDescent="0.3">
      <c r="A226">
        <v>20151028</v>
      </c>
      <c r="B226">
        <v>84990</v>
      </c>
      <c r="C226" s="8">
        <v>162000</v>
      </c>
      <c r="D226" s="8">
        <v>159900</v>
      </c>
      <c r="E226">
        <v>153129</v>
      </c>
      <c r="F226" s="8">
        <v>14197877</v>
      </c>
      <c r="G226" s="1">
        <v>2270240532300</v>
      </c>
      <c r="H226" s="1">
        <v>2043216431100</v>
      </c>
      <c r="I226">
        <f t="shared" si="3"/>
        <v>0</v>
      </c>
    </row>
    <row r="227" spans="1:9" x14ac:dyDescent="0.3">
      <c r="A227">
        <v>20151029</v>
      </c>
      <c r="B227">
        <v>84990</v>
      </c>
      <c r="C227" s="8">
        <v>159900</v>
      </c>
      <c r="D227" s="8">
        <v>158300</v>
      </c>
      <c r="E227">
        <v>151597</v>
      </c>
      <c r="F227" s="8">
        <v>14197877</v>
      </c>
      <c r="G227" s="1">
        <v>2247523929100</v>
      </c>
      <c r="H227" s="1">
        <v>2022771488700</v>
      </c>
      <c r="I227">
        <f t="shared" si="3"/>
        <v>0</v>
      </c>
    </row>
    <row r="228" spans="1:9" x14ac:dyDescent="0.3">
      <c r="A228">
        <v>20151030</v>
      </c>
      <c r="B228">
        <v>84990</v>
      </c>
      <c r="C228" s="8">
        <v>158300</v>
      </c>
      <c r="D228" s="8">
        <v>158900</v>
      </c>
      <c r="E228">
        <v>152171</v>
      </c>
      <c r="F228" s="8">
        <v>14197877</v>
      </c>
      <c r="G228" s="1">
        <v>2256042655300</v>
      </c>
      <c r="H228" s="1">
        <v>2030438342100</v>
      </c>
      <c r="I228">
        <f t="shared" si="3"/>
        <v>0</v>
      </c>
    </row>
    <row r="229" spans="1:9" x14ac:dyDescent="0.3">
      <c r="A229">
        <v>20151102</v>
      </c>
      <c r="B229">
        <v>84990</v>
      </c>
      <c r="C229" s="8">
        <v>158900</v>
      </c>
      <c r="D229" s="8">
        <v>158800</v>
      </c>
      <c r="E229">
        <v>152076</v>
      </c>
      <c r="F229" s="8">
        <v>14197877</v>
      </c>
      <c r="G229" s="1">
        <v>2254622867600</v>
      </c>
      <c r="H229" s="1">
        <v>2029160533200</v>
      </c>
      <c r="I229">
        <f t="shared" si="3"/>
        <v>0</v>
      </c>
    </row>
    <row r="230" spans="1:9" x14ac:dyDescent="0.3">
      <c r="A230">
        <v>20151103</v>
      </c>
      <c r="B230">
        <v>84990</v>
      </c>
      <c r="C230" s="8">
        <v>158800</v>
      </c>
      <c r="D230" s="8">
        <v>160200</v>
      </c>
      <c r="E230">
        <v>153417</v>
      </c>
      <c r="F230" s="8">
        <v>14197877</v>
      </c>
      <c r="G230" s="1">
        <v>2274499895400</v>
      </c>
      <c r="H230" s="1">
        <v>2047049857800</v>
      </c>
      <c r="I230">
        <f t="shared" si="3"/>
        <v>0</v>
      </c>
    </row>
    <row r="231" spans="1:9" x14ac:dyDescent="0.3">
      <c r="A231">
        <v>20151104</v>
      </c>
      <c r="B231">
        <v>84990</v>
      </c>
      <c r="C231" s="8">
        <v>160200</v>
      </c>
      <c r="D231" s="8">
        <v>163700</v>
      </c>
      <c r="E231">
        <v>156768</v>
      </c>
      <c r="F231" s="8">
        <v>14197877</v>
      </c>
      <c r="G231" s="1">
        <v>2324192464900</v>
      </c>
      <c r="H231" s="1">
        <v>2091773169300</v>
      </c>
      <c r="I231">
        <f t="shared" si="3"/>
        <v>0</v>
      </c>
    </row>
    <row r="232" spans="1:9" x14ac:dyDescent="0.3">
      <c r="A232">
        <v>20151105</v>
      </c>
      <c r="B232">
        <v>84990</v>
      </c>
      <c r="C232" s="8">
        <v>163700</v>
      </c>
      <c r="D232" s="8">
        <v>168600</v>
      </c>
      <c r="E232">
        <v>161461</v>
      </c>
      <c r="F232" s="8">
        <v>14197877</v>
      </c>
      <c r="G232" s="1">
        <v>2393762062200</v>
      </c>
      <c r="H232" s="1">
        <v>2154385805400</v>
      </c>
      <c r="I232">
        <f t="shared" si="3"/>
        <v>0</v>
      </c>
    </row>
    <row r="233" spans="1:9" x14ac:dyDescent="0.3">
      <c r="A233">
        <v>20151106</v>
      </c>
      <c r="B233">
        <v>84990</v>
      </c>
      <c r="C233" s="8">
        <v>168600</v>
      </c>
      <c r="D233" s="8">
        <v>182800</v>
      </c>
      <c r="E233">
        <v>175060</v>
      </c>
      <c r="F233" s="8">
        <v>14197877</v>
      </c>
      <c r="G233" s="1">
        <v>2595371915600</v>
      </c>
      <c r="H233" s="1">
        <v>2335834669200</v>
      </c>
      <c r="I233">
        <f t="shared" si="3"/>
        <v>0</v>
      </c>
    </row>
    <row r="234" spans="1:9" x14ac:dyDescent="0.3">
      <c r="A234">
        <v>20151109</v>
      </c>
      <c r="B234">
        <v>84990</v>
      </c>
      <c r="C234" s="8">
        <v>182800</v>
      </c>
      <c r="D234" s="8">
        <v>171600</v>
      </c>
      <c r="E234">
        <v>164334</v>
      </c>
      <c r="F234" s="8">
        <v>14197877</v>
      </c>
      <c r="G234" s="1">
        <v>2436355693200</v>
      </c>
      <c r="H234" s="1">
        <v>2192720072400</v>
      </c>
      <c r="I234">
        <f t="shared" si="3"/>
        <v>0</v>
      </c>
    </row>
    <row r="235" spans="1:9" x14ac:dyDescent="0.3">
      <c r="A235">
        <v>20151110</v>
      </c>
      <c r="B235">
        <v>84990</v>
      </c>
      <c r="C235" s="8">
        <v>171600</v>
      </c>
      <c r="D235" s="8">
        <v>162100</v>
      </c>
      <c r="E235">
        <v>155236</v>
      </c>
      <c r="F235" s="8">
        <v>14197877</v>
      </c>
      <c r="G235" s="1">
        <v>2301475861700</v>
      </c>
      <c r="H235" s="1">
        <v>2071328226900</v>
      </c>
      <c r="I235">
        <f t="shared" si="3"/>
        <v>0</v>
      </c>
    </row>
    <row r="236" spans="1:9" x14ac:dyDescent="0.3">
      <c r="A236">
        <v>20151111</v>
      </c>
      <c r="B236">
        <v>84990</v>
      </c>
      <c r="C236" s="8">
        <v>162100</v>
      </c>
      <c r="D236" s="8">
        <v>177300</v>
      </c>
      <c r="E236">
        <v>169793</v>
      </c>
      <c r="F236" s="8">
        <v>14197877</v>
      </c>
      <c r="G236" s="1">
        <v>2517283592100</v>
      </c>
      <c r="H236" s="1">
        <v>2265555179700</v>
      </c>
      <c r="I236">
        <f t="shared" si="3"/>
        <v>0</v>
      </c>
    </row>
    <row r="237" spans="1:9" x14ac:dyDescent="0.3">
      <c r="A237">
        <v>20151112</v>
      </c>
      <c r="B237">
        <v>84990</v>
      </c>
      <c r="C237" s="8">
        <v>177300</v>
      </c>
      <c r="D237" s="8">
        <v>180900</v>
      </c>
      <c r="E237">
        <v>173240</v>
      </c>
      <c r="F237" s="8">
        <v>14197877</v>
      </c>
      <c r="G237" s="1">
        <v>2568395949300</v>
      </c>
      <c r="H237" s="1">
        <v>2311556300100</v>
      </c>
      <c r="I237">
        <f t="shared" si="3"/>
        <v>0</v>
      </c>
    </row>
    <row r="238" spans="1:9" x14ac:dyDescent="0.3">
      <c r="A238">
        <v>20151113</v>
      </c>
      <c r="B238">
        <v>84990</v>
      </c>
      <c r="C238" s="8">
        <v>180900</v>
      </c>
      <c r="D238" s="8">
        <v>182800</v>
      </c>
      <c r="E238">
        <v>175060</v>
      </c>
      <c r="F238" s="8">
        <v>14197877</v>
      </c>
      <c r="G238" s="1">
        <v>2595371915600</v>
      </c>
      <c r="H238" s="1">
        <v>2335834669200</v>
      </c>
      <c r="I238">
        <f t="shared" si="3"/>
        <v>0</v>
      </c>
    </row>
    <row r="239" spans="1:9" x14ac:dyDescent="0.3">
      <c r="A239">
        <v>20151116</v>
      </c>
      <c r="B239">
        <v>84990</v>
      </c>
      <c r="C239" s="8">
        <v>182800</v>
      </c>
      <c r="D239" s="8">
        <v>181200</v>
      </c>
      <c r="E239">
        <v>173528</v>
      </c>
      <c r="F239" s="8">
        <v>14197877</v>
      </c>
      <c r="G239" s="1">
        <v>2572655312400</v>
      </c>
      <c r="H239" s="1">
        <v>2315389726800</v>
      </c>
      <c r="I239">
        <f t="shared" si="3"/>
        <v>0</v>
      </c>
    </row>
    <row r="240" spans="1:9" x14ac:dyDescent="0.3">
      <c r="A240">
        <v>20151117</v>
      </c>
      <c r="B240">
        <v>84990</v>
      </c>
      <c r="C240" s="8">
        <v>181200</v>
      </c>
      <c r="D240" s="8">
        <v>185700</v>
      </c>
      <c r="E240">
        <v>177837</v>
      </c>
      <c r="F240" s="8">
        <v>14197877</v>
      </c>
      <c r="G240" s="1">
        <v>2636545758900</v>
      </c>
      <c r="H240" s="1">
        <v>2372891127300</v>
      </c>
      <c r="I240">
        <f t="shared" si="3"/>
        <v>0</v>
      </c>
    </row>
    <row r="241" spans="1:9" x14ac:dyDescent="0.3">
      <c r="A241">
        <v>20151118</v>
      </c>
      <c r="B241">
        <v>84990</v>
      </c>
      <c r="C241" s="8">
        <v>185700</v>
      </c>
      <c r="D241" s="8">
        <v>177900</v>
      </c>
      <c r="E241">
        <v>170367</v>
      </c>
      <c r="F241" s="8">
        <v>14197877</v>
      </c>
      <c r="G241" s="1">
        <v>2525802318300</v>
      </c>
      <c r="H241" s="1">
        <v>2273222033100</v>
      </c>
      <c r="I241">
        <f t="shared" si="3"/>
        <v>0</v>
      </c>
    </row>
    <row r="242" spans="1:9" x14ac:dyDescent="0.3">
      <c r="A242">
        <v>20151119</v>
      </c>
      <c r="B242">
        <v>84990</v>
      </c>
      <c r="C242" s="8">
        <v>177900</v>
      </c>
      <c r="D242" s="8">
        <v>179300</v>
      </c>
      <c r="E242">
        <v>171708</v>
      </c>
      <c r="F242" s="8">
        <v>14197877</v>
      </c>
      <c r="G242" s="1">
        <v>2545679346100</v>
      </c>
      <c r="H242" s="1">
        <v>2291111357700</v>
      </c>
      <c r="I242">
        <f t="shared" si="3"/>
        <v>0</v>
      </c>
    </row>
    <row r="243" spans="1:9" x14ac:dyDescent="0.3">
      <c r="A243">
        <v>20151120</v>
      </c>
      <c r="B243">
        <v>84990</v>
      </c>
      <c r="C243" s="8">
        <v>179300</v>
      </c>
      <c r="D243" s="8">
        <v>180200</v>
      </c>
      <c r="E243">
        <v>172570</v>
      </c>
      <c r="F243" s="8">
        <v>14197877</v>
      </c>
      <c r="G243" s="1">
        <v>2558457435400</v>
      </c>
      <c r="H243" s="1">
        <v>2302611637800</v>
      </c>
      <c r="I243">
        <f t="shared" si="3"/>
        <v>0</v>
      </c>
    </row>
    <row r="244" spans="1:9" x14ac:dyDescent="0.3">
      <c r="A244">
        <v>20151123</v>
      </c>
      <c r="B244">
        <v>84990</v>
      </c>
      <c r="C244" s="8">
        <v>180200</v>
      </c>
      <c r="D244" s="8">
        <v>182700</v>
      </c>
      <c r="E244">
        <v>174963</v>
      </c>
      <c r="F244" s="8">
        <v>14197877</v>
      </c>
      <c r="G244" s="1">
        <v>2593952127900</v>
      </c>
      <c r="H244" s="1">
        <v>2334556860300</v>
      </c>
      <c r="I244">
        <f t="shared" si="3"/>
        <v>0</v>
      </c>
    </row>
    <row r="245" spans="1:9" x14ac:dyDescent="0.3">
      <c r="A245">
        <v>20151124</v>
      </c>
      <c r="B245">
        <v>84990</v>
      </c>
      <c r="C245" s="8">
        <v>182700</v>
      </c>
      <c r="D245" s="8">
        <v>181800</v>
      </c>
      <c r="E245">
        <v>174102</v>
      </c>
      <c r="F245" s="8">
        <v>14197877</v>
      </c>
      <c r="G245" s="1">
        <v>2581174038600</v>
      </c>
      <c r="H245" s="1">
        <v>2323056580200</v>
      </c>
      <c r="I245">
        <f t="shared" si="3"/>
        <v>0</v>
      </c>
    </row>
    <row r="246" spans="1:9" x14ac:dyDescent="0.3">
      <c r="A246">
        <v>20151125</v>
      </c>
      <c r="B246">
        <v>84990</v>
      </c>
      <c r="C246" s="8">
        <v>181800</v>
      </c>
      <c r="D246" s="8">
        <v>181300</v>
      </c>
      <c r="E246">
        <v>173623</v>
      </c>
      <c r="F246" s="8">
        <v>14197877</v>
      </c>
      <c r="G246" s="1">
        <v>2574075100100</v>
      </c>
      <c r="H246" s="1">
        <v>2316667535700</v>
      </c>
      <c r="I246">
        <f t="shared" si="3"/>
        <v>0</v>
      </c>
    </row>
    <row r="247" spans="1:9" x14ac:dyDescent="0.3">
      <c r="A247">
        <v>20151126</v>
      </c>
      <c r="B247">
        <v>84990</v>
      </c>
      <c r="C247" s="8">
        <v>181300</v>
      </c>
      <c r="D247" s="8">
        <v>178600</v>
      </c>
      <c r="E247">
        <v>171037</v>
      </c>
      <c r="F247" s="8">
        <v>14197877</v>
      </c>
      <c r="G247" s="1">
        <v>2535740832200</v>
      </c>
      <c r="H247" s="1">
        <v>2282166695400</v>
      </c>
      <c r="I247">
        <f t="shared" si="3"/>
        <v>0</v>
      </c>
    </row>
    <row r="248" spans="1:9" x14ac:dyDescent="0.3">
      <c r="A248">
        <v>20151127</v>
      </c>
      <c r="B248">
        <v>84990</v>
      </c>
      <c r="C248" s="8">
        <v>178600</v>
      </c>
      <c r="D248" s="8">
        <v>181700</v>
      </c>
      <c r="E248">
        <v>174007</v>
      </c>
      <c r="F248" s="8">
        <v>14197877</v>
      </c>
      <c r="G248" s="1">
        <v>2579754250900</v>
      </c>
      <c r="H248" s="1">
        <v>2321778771300</v>
      </c>
      <c r="I248">
        <f t="shared" si="3"/>
        <v>0</v>
      </c>
    </row>
    <row r="249" spans="1:9" x14ac:dyDescent="0.3">
      <c r="A249">
        <v>20151130</v>
      </c>
      <c r="B249">
        <v>84990</v>
      </c>
      <c r="C249" s="8">
        <v>181700</v>
      </c>
      <c r="D249" s="8">
        <v>181000</v>
      </c>
      <c r="E249">
        <v>173336</v>
      </c>
      <c r="F249" s="8">
        <v>14197877</v>
      </c>
      <c r="G249" s="1">
        <v>2569815737000</v>
      </c>
      <c r="H249" s="1">
        <v>2312834109000</v>
      </c>
      <c r="I249">
        <f t="shared" si="3"/>
        <v>0</v>
      </c>
    </row>
    <row r="250" spans="1:9" x14ac:dyDescent="0.3">
      <c r="A250">
        <v>20151201</v>
      </c>
      <c r="B250">
        <v>84990</v>
      </c>
      <c r="C250" s="8">
        <v>181000</v>
      </c>
      <c r="D250" s="8">
        <v>215300</v>
      </c>
      <c r="E250">
        <v>206184</v>
      </c>
      <c r="F250" s="8">
        <v>14197877</v>
      </c>
      <c r="G250" s="1">
        <v>3056802918100</v>
      </c>
      <c r="H250" s="1">
        <v>2751122561700</v>
      </c>
      <c r="I250">
        <f t="shared" si="3"/>
        <v>0</v>
      </c>
    </row>
    <row r="251" spans="1:9" x14ac:dyDescent="0.3">
      <c r="A251">
        <v>20151202</v>
      </c>
      <c r="B251">
        <v>84990</v>
      </c>
      <c r="C251" s="8">
        <v>215300</v>
      </c>
      <c r="D251" s="8">
        <v>215500</v>
      </c>
      <c r="E251">
        <v>206375</v>
      </c>
      <c r="F251" s="8">
        <v>14197877</v>
      </c>
      <c r="G251" s="1">
        <v>3059642493500</v>
      </c>
      <c r="H251" s="1">
        <v>2753678179500</v>
      </c>
      <c r="I251">
        <f t="shared" si="3"/>
        <v>0</v>
      </c>
    </row>
    <row r="252" spans="1:9" x14ac:dyDescent="0.3">
      <c r="A252">
        <v>20151203</v>
      </c>
      <c r="B252">
        <v>84990</v>
      </c>
      <c r="C252" s="8">
        <v>215500</v>
      </c>
      <c r="D252" s="8">
        <v>217600</v>
      </c>
      <c r="E252">
        <v>208386</v>
      </c>
      <c r="F252" s="8">
        <v>14197877</v>
      </c>
      <c r="G252" s="1">
        <v>3089458035200</v>
      </c>
      <c r="H252" s="1">
        <v>2780512166400</v>
      </c>
      <c r="I252">
        <f t="shared" si="3"/>
        <v>0</v>
      </c>
    </row>
    <row r="253" spans="1:9" x14ac:dyDescent="0.3">
      <c r="A253">
        <v>20151204</v>
      </c>
      <c r="B253">
        <v>84990</v>
      </c>
      <c r="C253" s="8">
        <v>217600</v>
      </c>
      <c r="D253" s="8">
        <v>206300</v>
      </c>
      <c r="E253">
        <v>197564</v>
      </c>
      <c r="F253" s="8">
        <v>14197877</v>
      </c>
      <c r="G253" s="1">
        <v>2929022025100</v>
      </c>
      <c r="H253" s="1">
        <v>2636119760700</v>
      </c>
      <c r="I253">
        <f t="shared" si="3"/>
        <v>0</v>
      </c>
    </row>
    <row r="254" spans="1:9" x14ac:dyDescent="0.3">
      <c r="A254">
        <v>20151207</v>
      </c>
      <c r="B254">
        <v>84990</v>
      </c>
      <c r="C254" s="8">
        <v>206300</v>
      </c>
      <c r="D254" s="8">
        <v>199000</v>
      </c>
      <c r="E254">
        <v>190574</v>
      </c>
      <c r="F254" s="8">
        <v>14197877</v>
      </c>
      <c r="G254" s="1">
        <v>2825377523000</v>
      </c>
      <c r="H254" s="1">
        <v>2542839711000</v>
      </c>
      <c r="I254">
        <f t="shared" si="3"/>
        <v>0</v>
      </c>
    </row>
    <row r="255" spans="1:9" x14ac:dyDescent="0.3">
      <c r="A255">
        <v>20151208</v>
      </c>
      <c r="B255">
        <v>84990</v>
      </c>
      <c r="C255" s="8">
        <v>199000</v>
      </c>
      <c r="D255" s="8">
        <v>189600</v>
      </c>
      <c r="E255">
        <v>181572</v>
      </c>
      <c r="F255" s="8">
        <v>14197877</v>
      </c>
      <c r="G255" s="1">
        <v>2691917479200</v>
      </c>
      <c r="H255" s="1">
        <v>2422725674400</v>
      </c>
      <c r="I255">
        <f t="shared" si="3"/>
        <v>0</v>
      </c>
    </row>
    <row r="256" spans="1:9" x14ac:dyDescent="0.3">
      <c r="A256">
        <v>20151209</v>
      </c>
      <c r="B256">
        <v>84990</v>
      </c>
      <c r="C256" s="8">
        <v>189600</v>
      </c>
      <c r="D256" s="8">
        <v>189100</v>
      </c>
      <c r="E256">
        <v>181093</v>
      </c>
      <c r="F256" s="8">
        <v>14197877</v>
      </c>
      <c r="G256" s="1">
        <v>2684818540700</v>
      </c>
      <c r="H256" s="1">
        <v>2416336629900</v>
      </c>
      <c r="I256">
        <f t="shared" si="3"/>
        <v>0</v>
      </c>
    </row>
    <row r="257" spans="1:9" x14ac:dyDescent="0.3">
      <c r="A257">
        <v>20151210</v>
      </c>
      <c r="B257">
        <v>84990</v>
      </c>
      <c r="C257" s="8">
        <v>189100</v>
      </c>
      <c r="D257" s="8">
        <v>176500</v>
      </c>
      <c r="E257">
        <v>169026</v>
      </c>
      <c r="F257" s="8">
        <v>14197877</v>
      </c>
      <c r="G257" s="1">
        <v>2505925290500</v>
      </c>
      <c r="H257" s="1">
        <v>2255332708500</v>
      </c>
      <c r="I257">
        <f t="shared" si="3"/>
        <v>0</v>
      </c>
    </row>
    <row r="258" spans="1:9" x14ac:dyDescent="0.3">
      <c r="A258">
        <v>20151211</v>
      </c>
      <c r="B258">
        <v>84990</v>
      </c>
      <c r="C258" s="8">
        <v>176500</v>
      </c>
      <c r="D258" s="8">
        <v>174000</v>
      </c>
      <c r="E258">
        <v>166633</v>
      </c>
      <c r="F258" s="8">
        <v>14197877</v>
      </c>
      <c r="G258" s="1">
        <v>2470430598000</v>
      </c>
      <c r="H258" s="1">
        <v>2223387486000</v>
      </c>
      <c r="I258">
        <f t="shared" si="3"/>
        <v>0</v>
      </c>
    </row>
    <row r="259" spans="1:9" x14ac:dyDescent="0.3">
      <c r="A259">
        <v>20151214</v>
      </c>
      <c r="B259">
        <v>84990</v>
      </c>
      <c r="C259" s="8">
        <v>174000</v>
      </c>
      <c r="D259" s="8">
        <v>164000</v>
      </c>
      <c r="E259">
        <v>157055</v>
      </c>
      <c r="F259" s="8">
        <v>14197877</v>
      </c>
      <c r="G259" s="1">
        <v>2328451828000</v>
      </c>
      <c r="H259" s="1">
        <v>2095606596000</v>
      </c>
      <c r="I259">
        <f t="shared" ref="I259:I322" si="4">IF(C259*F259=D258*F258,0,1)</f>
        <v>0</v>
      </c>
    </row>
    <row r="260" spans="1:9" x14ac:dyDescent="0.3">
      <c r="A260">
        <v>20151215</v>
      </c>
      <c r="B260">
        <v>84990</v>
      </c>
      <c r="C260" s="8">
        <v>164000</v>
      </c>
      <c r="D260" s="8">
        <v>170500</v>
      </c>
      <c r="E260">
        <v>163280</v>
      </c>
      <c r="F260" s="8">
        <v>14197877</v>
      </c>
      <c r="G260" s="1">
        <v>2420738028500</v>
      </c>
      <c r="H260" s="1">
        <v>2178664174500</v>
      </c>
      <c r="I260">
        <f t="shared" si="4"/>
        <v>0</v>
      </c>
    </row>
    <row r="261" spans="1:9" x14ac:dyDescent="0.3">
      <c r="A261">
        <v>20151216</v>
      </c>
      <c r="B261">
        <v>84990</v>
      </c>
      <c r="C261" s="8">
        <v>170500</v>
      </c>
      <c r="D261" s="8">
        <v>169500</v>
      </c>
      <c r="E261">
        <v>162322</v>
      </c>
      <c r="F261" s="8">
        <v>14197877</v>
      </c>
      <c r="G261" s="1">
        <v>2406540151500</v>
      </c>
      <c r="H261" s="1">
        <v>2165886085500</v>
      </c>
      <c r="I261">
        <f t="shared" si="4"/>
        <v>0</v>
      </c>
    </row>
    <row r="262" spans="1:9" x14ac:dyDescent="0.3">
      <c r="A262">
        <v>20151217</v>
      </c>
      <c r="B262">
        <v>84990</v>
      </c>
      <c r="C262" s="8">
        <v>169500</v>
      </c>
      <c r="D262" s="8">
        <v>165200</v>
      </c>
      <c r="E262">
        <v>158205</v>
      </c>
      <c r="F262" s="8">
        <v>14197877</v>
      </c>
      <c r="G262" s="1">
        <v>2345489280400</v>
      </c>
      <c r="H262" s="1">
        <v>2110940302800</v>
      </c>
      <c r="I262">
        <f t="shared" si="4"/>
        <v>0</v>
      </c>
    </row>
    <row r="263" spans="1:9" x14ac:dyDescent="0.3">
      <c r="A263">
        <v>20151218</v>
      </c>
      <c r="B263">
        <v>84990</v>
      </c>
      <c r="C263" s="8">
        <v>165200</v>
      </c>
      <c r="D263" s="8">
        <v>166200</v>
      </c>
      <c r="E263">
        <v>159162</v>
      </c>
      <c r="F263" s="8">
        <v>14197877</v>
      </c>
      <c r="G263" s="1">
        <v>2359687157400</v>
      </c>
      <c r="H263" s="1">
        <v>2123718391800</v>
      </c>
      <c r="I263">
        <f t="shared" si="4"/>
        <v>0</v>
      </c>
    </row>
    <row r="264" spans="1:9" x14ac:dyDescent="0.3">
      <c r="A264">
        <v>20151221</v>
      </c>
      <c r="B264">
        <v>84990</v>
      </c>
      <c r="C264" s="8">
        <v>166200</v>
      </c>
      <c r="D264" s="8">
        <v>158000</v>
      </c>
      <c r="E264">
        <v>151310</v>
      </c>
      <c r="F264" s="8">
        <v>14197877</v>
      </c>
      <c r="G264" s="1">
        <v>2243264566000</v>
      </c>
      <c r="H264" s="1">
        <v>2018938062000</v>
      </c>
      <c r="I264">
        <f t="shared" si="4"/>
        <v>0</v>
      </c>
    </row>
    <row r="265" spans="1:9" x14ac:dyDescent="0.3">
      <c r="A265">
        <v>20151222</v>
      </c>
      <c r="B265">
        <v>84990</v>
      </c>
      <c r="C265" s="8">
        <v>158000</v>
      </c>
      <c r="D265" s="8">
        <v>167500</v>
      </c>
      <c r="E265">
        <v>160408</v>
      </c>
      <c r="F265" s="8">
        <v>14197877</v>
      </c>
      <c r="G265" s="1">
        <v>2378144397500</v>
      </c>
      <c r="H265" s="1">
        <v>2140329907500</v>
      </c>
      <c r="I265">
        <f t="shared" si="4"/>
        <v>0</v>
      </c>
    </row>
    <row r="266" spans="1:9" x14ac:dyDescent="0.3">
      <c r="A266">
        <v>20151223</v>
      </c>
      <c r="B266">
        <v>84990</v>
      </c>
      <c r="C266" s="8">
        <v>167500</v>
      </c>
      <c r="D266" s="8">
        <v>166000</v>
      </c>
      <c r="E266">
        <v>158971</v>
      </c>
      <c r="F266" s="8">
        <v>14197877</v>
      </c>
      <c r="G266" s="1">
        <v>2356847582000</v>
      </c>
      <c r="H266" s="1">
        <v>2121162774000</v>
      </c>
      <c r="I266">
        <f t="shared" si="4"/>
        <v>0</v>
      </c>
    </row>
    <row r="267" spans="1:9" x14ac:dyDescent="0.3">
      <c r="A267">
        <v>20151224</v>
      </c>
      <c r="B267">
        <v>84990</v>
      </c>
      <c r="C267" s="8">
        <v>166000</v>
      </c>
      <c r="D267" s="8">
        <v>159400</v>
      </c>
      <c r="E267">
        <v>152650</v>
      </c>
      <c r="F267" s="8">
        <v>14197877</v>
      </c>
      <c r="G267" s="1">
        <v>2263141593800</v>
      </c>
      <c r="H267" s="1">
        <v>2036827386600</v>
      </c>
      <c r="I267">
        <f t="shared" si="4"/>
        <v>0</v>
      </c>
    </row>
    <row r="268" spans="1:9" x14ac:dyDescent="0.3">
      <c r="A268">
        <v>20151228</v>
      </c>
      <c r="B268">
        <v>84990</v>
      </c>
      <c r="C268" s="8">
        <v>159400</v>
      </c>
      <c r="D268" s="8">
        <v>161300</v>
      </c>
      <c r="E268">
        <v>154470</v>
      </c>
      <c r="F268" s="8">
        <v>14197877</v>
      </c>
      <c r="G268" s="1">
        <v>2290117560100</v>
      </c>
      <c r="H268" s="1">
        <v>2061105755700</v>
      </c>
      <c r="I268">
        <f t="shared" si="4"/>
        <v>0</v>
      </c>
    </row>
    <row r="269" spans="1:9" x14ac:dyDescent="0.3">
      <c r="A269">
        <v>20151229</v>
      </c>
      <c r="B269">
        <v>84990</v>
      </c>
      <c r="C269" s="8">
        <v>161300</v>
      </c>
      <c r="D269" s="8">
        <v>185700</v>
      </c>
      <c r="E269">
        <v>177837</v>
      </c>
      <c r="F269" s="8">
        <v>14197877</v>
      </c>
      <c r="G269" s="1">
        <v>2636545758900</v>
      </c>
      <c r="H269" s="1">
        <v>2372891127300</v>
      </c>
      <c r="I269">
        <f t="shared" si="4"/>
        <v>0</v>
      </c>
    </row>
    <row r="270" spans="1:9" x14ac:dyDescent="0.3">
      <c r="A270">
        <v>20151230</v>
      </c>
      <c r="B270">
        <v>84990</v>
      </c>
      <c r="C270" s="8">
        <v>185700</v>
      </c>
      <c r="D270" s="8">
        <v>184100</v>
      </c>
      <c r="E270">
        <v>176305</v>
      </c>
      <c r="F270" s="8">
        <v>14197877</v>
      </c>
      <c r="G270" s="1">
        <v>2613829155700</v>
      </c>
      <c r="H270" s="1">
        <v>2352446184900</v>
      </c>
      <c r="I270">
        <f t="shared" si="4"/>
        <v>0</v>
      </c>
    </row>
    <row r="271" spans="1:9" x14ac:dyDescent="0.3">
      <c r="A271">
        <v>20160104</v>
      </c>
      <c r="B271">
        <v>84990</v>
      </c>
      <c r="C271" s="8">
        <v>184100</v>
      </c>
      <c r="D271" s="8">
        <v>176100</v>
      </c>
      <c r="E271">
        <v>168643</v>
      </c>
      <c r="F271" s="8">
        <v>14197877</v>
      </c>
      <c r="G271" s="1">
        <v>2500246139700</v>
      </c>
      <c r="H271" s="1">
        <v>2250221472900</v>
      </c>
      <c r="I271">
        <f t="shared" si="4"/>
        <v>0</v>
      </c>
    </row>
    <row r="272" spans="1:9" x14ac:dyDescent="0.3">
      <c r="A272">
        <v>20160105</v>
      </c>
      <c r="B272">
        <v>84990</v>
      </c>
      <c r="C272" s="8">
        <v>176100</v>
      </c>
      <c r="D272" s="8">
        <v>184100</v>
      </c>
      <c r="E272">
        <v>176305</v>
      </c>
      <c r="F272" s="8">
        <v>14197877</v>
      </c>
      <c r="G272" s="1">
        <v>2613829155700</v>
      </c>
      <c r="H272" s="1">
        <v>2352446184900</v>
      </c>
      <c r="I272">
        <f t="shared" si="4"/>
        <v>0</v>
      </c>
    </row>
    <row r="273" spans="1:9" x14ac:dyDescent="0.3">
      <c r="A273">
        <v>20160106</v>
      </c>
      <c r="B273">
        <v>84990</v>
      </c>
      <c r="C273" s="8">
        <v>184100</v>
      </c>
      <c r="D273" s="8">
        <v>187000</v>
      </c>
      <c r="E273">
        <v>179082</v>
      </c>
      <c r="F273" s="8">
        <v>14197877</v>
      </c>
      <c r="G273" s="1">
        <v>2655002999000</v>
      </c>
      <c r="H273" s="1">
        <v>2389502643000</v>
      </c>
      <c r="I273">
        <f t="shared" si="4"/>
        <v>0</v>
      </c>
    </row>
    <row r="274" spans="1:9" x14ac:dyDescent="0.3">
      <c r="A274">
        <v>20160107</v>
      </c>
      <c r="B274">
        <v>84990</v>
      </c>
      <c r="C274" s="8">
        <v>187000</v>
      </c>
      <c r="D274" s="8">
        <v>182500</v>
      </c>
      <c r="E274">
        <v>174772</v>
      </c>
      <c r="F274" s="8">
        <v>14197877</v>
      </c>
      <c r="G274" s="1">
        <v>2591112552500</v>
      </c>
      <c r="H274" s="1">
        <v>2332001242500</v>
      </c>
      <c r="I274">
        <f t="shared" si="4"/>
        <v>0</v>
      </c>
    </row>
    <row r="275" spans="1:9" x14ac:dyDescent="0.3">
      <c r="A275">
        <v>20160108</v>
      </c>
      <c r="B275">
        <v>84990</v>
      </c>
      <c r="C275" s="8">
        <v>182500</v>
      </c>
      <c r="D275" s="8">
        <v>184100</v>
      </c>
      <c r="E275">
        <v>176305</v>
      </c>
      <c r="F275" s="8">
        <v>14197877</v>
      </c>
      <c r="G275" s="1">
        <v>2613829155700</v>
      </c>
      <c r="H275" s="1">
        <v>2352446184900</v>
      </c>
      <c r="I275">
        <f t="shared" si="4"/>
        <v>0</v>
      </c>
    </row>
    <row r="276" spans="1:9" x14ac:dyDescent="0.3">
      <c r="A276">
        <v>20160111</v>
      </c>
      <c r="B276">
        <v>84990</v>
      </c>
      <c r="C276" s="8">
        <v>184100</v>
      </c>
      <c r="D276" s="8">
        <v>181600</v>
      </c>
      <c r="E276">
        <v>173910</v>
      </c>
      <c r="F276" s="8">
        <v>14197877</v>
      </c>
      <c r="G276" s="1">
        <v>2578334463200</v>
      </c>
      <c r="H276" s="1">
        <v>2320500962400</v>
      </c>
      <c r="I276">
        <f t="shared" si="4"/>
        <v>0</v>
      </c>
    </row>
    <row r="277" spans="1:9" x14ac:dyDescent="0.3">
      <c r="A277">
        <v>20160112</v>
      </c>
      <c r="B277">
        <v>84990</v>
      </c>
      <c r="C277" s="8">
        <v>181600</v>
      </c>
      <c r="D277" s="8">
        <v>177100</v>
      </c>
      <c r="E277">
        <v>169601</v>
      </c>
      <c r="F277" s="8">
        <v>14197877</v>
      </c>
      <c r="G277" s="1">
        <v>2514444016700</v>
      </c>
      <c r="H277" s="1">
        <v>2262999561900</v>
      </c>
      <c r="I277">
        <f t="shared" si="4"/>
        <v>0</v>
      </c>
    </row>
    <row r="278" spans="1:9" x14ac:dyDescent="0.3">
      <c r="A278">
        <v>20160113</v>
      </c>
      <c r="B278">
        <v>84990</v>
      </c>
      <c r="C278" s="8">
        <v>177100</v>
      </c>
      <c r="D278" s="8">
        <v>191000</v>
      </c>
      <c r="E278">
        <v>182912</v>
      </c>
      <c r="F278" s="8">
        <v>14197877</v>
      </c>
      <c r="G278" s="1">
        <v>2711794507000</v>
      </c>
      <c r="H278" s="1">
        <v>2440614999000</v>
      </c>
      <c r="I278">
        <f t="shared" si="4"/>
        <v>0</v>
      </c>
    </row>
    <row r="279" spans="1:9" x14ac:dyDescent="0.3">
      <c r="A279">
        <v>20160114</v>
      </c>
      <c r="B279">
        <v>84990</v>
      </c>
      <c r="C279" s="8">
        <v>191000</v>
      </c>
      <c r="D279" s="8">
        <v>199200</v>
      </c>
      <c r="E279">
        <v>190765</v>
      </c>
      <c r="F279" s="8">
        <v>14197877</v>
      </c>
      <c r="G279" s="1">
        <v>2828217098400</v>
      </c>
      <c r="H279" s="1">
        <v>2545395328800</v>
      </c>
      <c r="I279">
        <f t="shared" si="4"/>
        <v>0</v>
      </c>
    </row>
    <row r="280" spans="1:9" x14ac:dyDescent="0.3">
      <c r="A280">
        <v>20160115</v>
      </c>
      <c r="B280">
        <v>84990</v>
      </c>
      <c r="C280" s="8">
        <v>199200</v>
      </c>
      <c r="D280" s="8">
        <v>195300</v>
      </c>
      <c r="E280">
        <v>187030</v>
      </c>
      <c r="F280" s="8">
        <v>14197877</v>
      </c>
      <c r="G280" s="1">
        <v>2772845378100</v>
      </c>
      <c r="H280" s="1">
        <v>2495560781700</v>
      </c>
      <c r="I280">
        <f t="shared" si="4"/>
        <v>0</v>
      </c>
    </row>
    <row r="281" spans="1:9" x14ac:dyDescent="0.3">
      <c r="A281">
        <v>20160118</v>
      </c>
      <c r="B281">
        <v>84990</v>
      </c>
      <c r="C281" s="8">
        <v>195300</v>
      </c>
      <c r="D281" s="8">
        <v>211800</v>
      </c>
      <c r="E281">
        <v>202832</v>
      </c>
      <c r="F281" s="8">
        <v>14197877</v>
      </c>
      <c r="G281" s="1">
        <v>3007110348600</v>
      </c>
      <c r="H281" s="1">
        <v>2706399250200</v>
      </c>
      <c r="I281">
        <f t="shared" si="4"/>
        <v>0</v>
      </c>
    </row>
    <row r="282" spans="1:9" x14ac:dyDescent="0.3">
      <c r="A282">
        <v>20160119</v>
      </c>
      <c r="B282">
        <v>84990</v>
      </c>
      <c r="C282" s="8">
        <v>211800</v>
      </c>
      <c r="D282" s="8">
        <v>200500</v>
      </c>
      <c r="E282">
        <v>192011</v>
      </c>
      <c r="F282" s="8">
        <v>14197877</v>
      </c>
      <c r="G282" s="1">
        <v>2846674338500</v>
      </c>
      <c r="H282" s="1">
        <v>2562006844500</v>
      </c>
      <c r="I282">
        <f t="shared" si="4"/>
        <v>0</v>
      </c>
    </row>
    <row r="283" spans="1:9" x14ac:dyDescent="0.3">
      <c r="A283">
        <v>20160120</v>
      </c>
      <c r="B283">
        <v>84990</v>
      </c>
      <c r="C283" s="8">
        <v>200500</v>
      </c>
      <c r="D283" s="8">
        <v>189700</v>
      </c>
      <c r="E283">
        <v>181667</v>
      </c>
      <c r="F283" s="8">
        <v>14197877</v>
      </c>
      <c r="G283" s="1">
        <v>2693337266900</v>
      </c>
      <c r="H283" s="1">
        <v>2424003483300</v>
      </c>
      <c r="I283">
        <f t="shared" si="4"/>
        <v>0</v>
      </c>
    </row>
    <row r="284" spans="1:9" x14ac:dyDescent="0.3">
      <c r="A284">
        <v>20160121</v>
      </c>
      <c r="B284">
        <v>84990</v>
      </c>
      <c r="C284" s="8">
        <v>189700</v>
      </c>
      <c r="D284" s="8">
        <v>196700</v>
      </c>
      <c r="E284">
        <v>188371</v>
      </c>
      <c r="F284" s="8">
        <v>14197877</v>
      </c>
      <c r="G284" s="1">
        <v>2792722405900</v>
      </c>
      <c r="H284" s="1">
        <v>2513450106300</v>
      </c>
      <c r="I284">
        <f t="shared" si="4"/>
        <v>0</v>
      </c>
    </row>
    <row r="285" spans="1:9" x14ac:dyDescent="0.3">
      <c r="A285">
        <v>20160122</v>
      </c>
      <c r="B285">
        <v>84990</v>
      </c>
      <c r="C285" s="8">
        <v>196700</v>
      </c>
      <c r="D285" s="8">
        <v>200300</v>
      </c>
      <c r="E285">
        <v>191818</v>
      </c>
      <c r="F285" s="8">
        <v>14197877</v>
      </c>
      <c r="G285" s="1">
        <v>2843834763100</v>
      </c>
      <c r="H285" s="1">
        <v>2559451226700</v>
      </c>
      <c r="I285">
        <f t="shared" si="4"/>
        <v>0</v>
      </c>
    </row>
    <row r="286" spans="1:9" x14ac:dyDescent="0.3">
      <c r="A286">
        <v>20160125</v>
      </c>
      <c r="B286">
        <v>84990</v>
      </c>
      <c r="C286" s="8">
        <v>200300</v>
      </c>
      <c r="D286" s="8">
        <v>201400</v>
      </c>
      <c r="E286">
        <v>192872</v>
      </c>
      <c r="F286" s="8">
        <v>14197877</v>
      </c>
      <c r="G286" s="1">
        <v>2859452427800</v>
      </c>
      <c r="H286" s="1">
        <v>2573507124600</v>
      </c>
      <c r="I286">
        <f t="shared" si="4"/>
        <v>0</v>
      </c>
    </row>
    <row r="287" spans="1:9" x14ac:dyDescent="0.3">
      <c r="A287">
        <v>20160126</v>
      </c>
      <c r="B287">
        <v>84990</v>
      </c>
      <c r="C287" s="8">
        <v>201400</v>
      </c>
      <c r="D287" s="8">
        <v>200000</v>
      </c>
      <c r="E287">
        <v>191532</v>
      </c>
      <c r="F287" s="8">
        <v>14197877</v>
      </c>
      <c r="G287" s="1">
        <v>2839575400000</v>
      </c>
      <c r="H287" s="1">
        <v>2555617800000</v>
      </c>
      <c r="I287">
        <f t="shared" si="4"/>
        <v>0</v>
      </c>
    </row>
    <row r="288" spans="1:9" x14ac:dyDescent="0.3">
      <c r="A288">
        <v>20160127</v>
      </c>
      <c r="B288">
        <v>84990</v>
      </c>
      <c r="C288" s="8">
        <v>200000</v>
      </c>
      <c r="D288" s="8">
        <v>195600</v>
      </c>
      <c r="E288">
        <v>187318</v>
      </c>
      <c r="F288" s="8">
        <v>14197877</v>
      </c>
      <c r="G288" s="1">
        <v>2777104741200</v>
      </c>
      <c r="H288" s="1">
        <v>2499394208400</v>
      </c>
      <c r="I288">
        <f t="shared" si="4"/>
        <v>0</v>
      </c>
    </row>
    <row r="289" spans="1:9" x14ac:dyDescent="0.3">
      <c r="A289">
        <v>20160128</v>
      </c>
      <c r="B289">
        <v>84990</v>
      </c>
      <c r="C289" s="8">
        <v>195600</v>
      </c>
      <c r="D289" s="8">
        <v>195300</v>
      </c>
      <c r="E289">
        <v>187030</v>
      </c>
      <c r="F289" s="8">
        <v>14197877</v>
      </c>
      <c r="G289" s="1">
        <v>2772845378100</v>
      </c>
      <c r="H289" s="1">
        <v>2495560781700</v>
      </c>
      <c r="I289">
        <f t="shared" si="4"/>
        <v>0</v>
      </c>
    </row>
    <row r="290" spans="1:9" x14ac:dyDescent="0.3">
      <c r="A290">
        <v>20160129</v>
      </c>
      <c r="B290">
        <v>84990</v>
      </c>
      <c r="C290" s="8">
        <v>195300</v>
      </c>
      <c r="D290" s="8">
        <v>192700</v>
      </c>
      <c r="E290">
        <v>184541</v>
      </c>
      <c r="F290" s="8">
        <v>14197877</v>
      </c>
      <c r="G290" s="1">
        <v>2735930897900</v>
      </c>
      <c r="H290" s="1">
        <v>2462337750300</v>
      </c>
      <c r="I290">
        <f t="shared" si="4"/>
        <v>0</v>
      </c>
    </row>
    <row r="291" spans="1:9" x14ac:dyDescent="0.3">
      <c r="A291">
        <v>20160201</v>
      </c>
      <c r="B291">
        <v>84990</v>
      </c>
      <c r="C291" s="8">
        <v>192700</v>
      </c>
      <c r="D291" s="8">
        <v>192000</v>
      </c>
      <c r="E291">
        <v>183870</v>
      </c>
      <c r="F291" s="8">
        <v>14197877</v>
      </c>
      <c r="G291" s="1">
        <v>2725992384000</v>
      </c>
      <c r="H291" s="1">
        <v>2453393088000</v>
      </c>
      <c r="I291">
        <f t="shared" si="4"/>
        <v>0</v>
      </c>
    </row>
    <row r="292" spans="1:9" x14ac:dyDescent="0.3">
      <c r="A292">
        <v>20160202</v>
      </c>
      <c r="B292">
        <v>84990</v>
      </c>
      <c r="C292" s="8">
        <v>192000</v>
      </c>
      <c r="D292" s="8">
        <v>197500</v>
      </c>
      <c r="E292">
        <v>189137</v>
      </c>
      <c r="F292" s="8">
        <v>14197877</v>
      </c>
      <c r="G292" s="1">
        <v>2804080707500</v>
      </c>
      <c r="H292" s="1">
        <v>2523672577500</v>
      </c>
      <c r="I292">
        <f t="shared" si="4"/>
        <v>0</v>
      </c>
    </row>
    <row r="293" spans="1:9" x14ac:dyDescent="0.3">
      <c r="A293">
        <v>20160203</v>
      </c>
      <c r="B293">
        <v>84990</v>
      </c>
      <c r="C293" s="8">
        <v>197500</v>
      </c>
      <c r="D293" s="8">
        <v>192700</v>
      </c>
      <c r="E293">
        <v>184541</v>
      </c>
      <c r="F293" s="8">
        <v>14197877</v>
      </c>
      <c r="G293" s="1">
        <v>2735930897900</v>
      </c>
      <c r="H293" s="1">
        <v>2462337750300</v>
      </c>
      <c r="I293">
        <f t="shared" si="4"/>
        <v>0</v>
      </c>
    </row>
    <row r="294" spans="1:9" x14ac:dyDescent="0.3">
      <c r="A294">
        <v>20160204</v>
      </c>
      <c r="B294">
        <v>84990</v>
      </c>
      <c r="C294" s="8">
        <v>192700</v>
      </c>
      <c r="D294" s="8">
        <v>185600</v>
      </c>
      <c r="E294">
        <v>177741</v>
      </c>
      <c r="F294" s="8">
        <v>14197877</v>
      </c>
      <c r="G294" s="1">
        <v>2635125971200</v>
      </c>
      <c r="H294" s="1">
        <v>2371613318400</v>
      </c>
      <c r="I294">
        <f t="shared" si="4"/>
        <v>0</v>
      </c>
    </row>
    <row r="295" spans="1:9" x14ac:dyDescent="0.3">
      <c r="A295">
        <v>20160205</v>
      </c>
      <c r="B295">
        <v>84990</v>
      </c>
      <c r="C295" s="8">
        <v>185600</v>
      </c>
      <c r="D295" s="8">
        <v>181600</v>
      </c>
      <c r="E295">
        <v>173910</v>
      </c>
      <c r="F295" s="8">
        <v>14197877</v>
      </c>
      <c r="G295" s="1">
        <v>2578334463200</v>
      </c>
      <c r="H295" s="1">
        <v>2320500962400</v>
      </c>
      <c r="I295">
        <f t="shared" si="4"/>
        <v>0</v>
      </c>
    </row>
    <row r="296" spans="1:9" x14ac:dyDescent="0.3">
      <c r="A296">
        <v>20160211</v>
      </c>
      <c r="B296">
        <v>84990</v>
      </c>
      <c r="C296" s="8">
        <v>181600</v>
      </c>
      <c r="D296" s="8">
        <v>165700</v>
      </c>
      <c r="E296">
        <v>158684</v>
      </c>
      <c r="F296" s="8">
        <v>14197877</v>
      </c>
      <c r="G296" s="1">
        <v>2352588218900</v>
      </c>
      <c r="H296" s="1">
        <v>2117329347300</v>
      </c>
      <c r="I296">
        <f t="shared" si="4"/>
        <v>0</v>
      </c>
    </row>
    <row r="297" spans="1:9" x14ac:dyDescent="0.3">
      <c r="A297">
        <v>20160212</v>
      </c>
      <c r="B297">
        <v>84990</v>
      </c>
      <c r="C297" s="8">
        <v>165700</v>
      </c>
      <c r="D297" s="8">
        <v>147000</v>
      </c>
      <c r="E297">
        <v>140776</v>
      </c>
      <c r="F297" s="8">
        <v>14197877</v>
      </c>
      <c r="G297" s="1">
        <v>2087087919000</v>
      </c>
      <c r="H297" s="1">
        <v>1878379083000</v>
      </c>
      <c r="I297">
        <f t="shared" si="4"/>
        <v>0</v>
      </c>
    </row>
    <row r="298" spans="1:9" x14ac:dyDescent="0.3">
      <c r="A298">
        <v>20160215</v>
      </c>
      <c r="B298">
        <v>84990</v>
      </c>
      <c r="C298" s="8">
        <v>147000</v>
      </c>
      <c r="D298" s="8">
        <v>153100</v>
      </c>
      <c r="E298">
        <v>146617</v>
      </c>
      <c r="F298" s="8">
        <v>14197877</v>
      </c>
      <c r="G298" s="1">
        <v>2173694968700</v>
      </c>
      <c r="H298" s="1">
        <v>1956325425900</v>
      </c>
      <c r="I298">
        <f t="shared" si="4"/>
        <v>0</v>
      </c>
    </row>
    <row r="299" spans="1:9" x14ac:dyDescent="0.3">
      <c r="A299">
        <v>20160216</v>
      </c>
      <c r="B299">
        <v>84990</v>
      </c>
      <c r="C299" s="8">
        <v>153100</v>
      </c>
      <c r="D299" s="8">
        <v>154100</v>
      </c>
      <c r="E299">
        <v>147574</v>
      </c>
      <c r="F299" s="8">
        <v>14197877</v>
      </c>
      <c r="G299" s="1">
        <v>2187892845700</v>
      </c>
      <c r="H299" s="1">
        <v>1969103514900</v>
      </c>
      <c r="I299">
        <f t="shared" si="4"/>
        <v>0</v>
      </c>
    </row>
    <row r="300" spans="1:9" x14ac:dyDescent="0.3">
      <c r="A300">
        <v>20160217</v>
      </c>
      <c r="B300">
        <v>84990</v>
      </c>
      <c r="C300" s="8">
        <v>154100</v>
      </c>
      <c r="D300" s="8">
        <v>143500</v>
      </c>
      <c r="E300">
        <v>137423</v>
      </c>
      <c r="F300" s="8">
        <v>14197877</v>
      </c>
      <c r="G300" s="1">
        <v>2037395349500</v>
      </c>
      <c r="H300" s="1">
        <v>1833655771500</v>
      </c>
      <c r="I300">
        <f t="shared" si="4"/>
        <v>0</v>
      </c>
    </row>
    <row r="301" spans="1:9" x14ac:dyDescent="0.3">
      <c r="A301">
        <v>20160218</v>
      </c>
      <c r="B301">
        <v>84990</v>
      </c>
      <c r="C301" s="8">
        <v>143500</v>
      </c>
      <c r="D301" s="8">
        <v>152400</v>
      </c>
      <c r="E301">
        <v>145946</v>
      </c>
      <c r="F301" s="8">
        <v>14197877</v>
      </c>
      <c r="G301" s="1">
        <v>2163756454800</v>
      </c>
      <c r="H301" s="1">
        <v>1947380763600</v>
      </c>
      <c r="I301">
        <f t="shared" si="4"/>
        <v>0</v>
      </c>
    </row>
    <row r="302" spans="1:9" x14ac:dyDescent="0.3">
      <c r="A302">
        <v>20160219</v>
      </c>
      <c r="B302">
        <v>84990</v>
      </c>
      <c r="C302" s="8">
        <v>152400</v>
      </c>
      <c r="D302" s="8">
        <v>155100</v>
      </c>
      <c r="E302">
        <v>148532</v>
      </c>
      <c r="F302" s="8">
        <v>14197877</v>
      </c>
      <c r="G302" s="1">
        <v>2202090722700</v>
      </c>
      <c r="H302" s="1">
        <v>1981881603900</v>
      </c>
      <c r="I302">
        <f t="shared" si="4"/>
        <v>0</v>
      </c>
    </row>
    <row r="303" spans="1:9" x14ac:dyDescent="0.3">
      <c r="A303">
        <v>20160222</v>
      </c>
      <c r="B303">
        <v>84990</v>
      </c>
      <c r="C303" s="8">
        <v>155100</v>
      </c>
      <c r="D303" s="8">
        <v>154500</v>
      </c>
      <c r="E303">
        <v>147958</v>
      </c>
      <c r="F303" s="8">
        <v>14197877</v>
      </c>
      <c r="G303" s="1">
        <v>2193571996500</v>
      </c>
      <c r="H303" s="1">
        <v>1974214750500</v>
      </c>
      <c r="I303">
        <f t="shared" si="4"/>
        <v>0</v>
      </c>
    </row>
    <row r="304" spans="1:9" x14ac:dyDescent="0.3">
      <c r="A304">
        <v>20160223</v>
      </c>
      <c r="B304">
        <v>84990</v>
      </c>
      <c r="C304" s="8">
        <v>154500</v>
      </c>
      <c r="D304" s="8">
        <v>150000</v>
      </c>
      <c r="E304">
        <v>143648</v>
      </c>
      <c r="F304" s="8">
        <v>14197877</v>
      </c>
      <c r="G304" s="1">
        <v>2129681550000</v>
      </c>
      <c r="H304" s="1">
        <v>1916713350000</v>
      </c>
      <c r="I304">
        <f t="shared" si="4"/>
        <v>0</v>
      </c>
    </row>
    <row r="305" spans="1:9" x14ac:dyDescent="0.3">
      <c r="A305">
        <v>20160224</v>
      </c>
      <c r="B305">
        <v>84990</v>
      </c>
      <c r="C305" s="8">
        <v>150000</v>
      </c>
      <c r="D305" s="8">
        <v>149400</v>
      </c>
      <c r="E305">
        <v>143074</v>
      </c>
      <c r="F305" s="8">
        <v>14197877</v>
      </c>
      <c r="G305" s="1">
        <v>2121162823800</v>
      </c>
      <c r="H305" s="1">
        <v>1909046496600</v>
      </c>
      <c r="I305">
        <f t="shared" si="4"/>
        <v>0</v>
      </c>
    </row>
    <row r="306" spans="1:9" x14ac:dyDescent="0.3">
      <c r="A306">
        <v>20160225</v>
      </c>
      <c r="B306">
        <v>84990</v>
      </c>
      <c r="C306" s="8">
        <v>149400</v>
      </c>
      <c r="D306" s="8">
        <v>151000</v>
      </c>
      <c r="E306">
        <v>144606</v>
      </c>
      <c r="F306" s="8">
        <v>14197877</v>
      </c>
      <c r="G306" s="1">
        <v>2143879427000</v>
      </c>
      <c r="H306" s="1">
        <v>1929491439000</v>
      </c>
      <c r="I306">
        <f t="shared" si="4"/>
        <v>0</v>
      </c>
    </row>
    <row r="307" spans="1:9" x14ac:dyDescent="0.3">
      <c r="A307">
        <v>20160226</v>
      </c>
      <c r="B307">
        <v>84990</v>
      </c>
      <c r="C307" s="8">
        <v>151000</v>
      </c>
      <c r="D307" s="8">
        <v>149300</v>
      </c>
      <c r="E307">
        <v>142978</v>
      </c>
      <c r="F307" s="8">
        <v>14197877</v>
      </c>
      <c r="G307" s="1">
        <v>2119743036100</v>
      </c>
      <c r="H307" s="1">
        <v>1907768687700</v>
      </c>
      <c r="I307">
        <f t="shared" si="4"/>
        <v>0</v>
      </c>
    </row>
    <row r="308" spans="1:9" x14ac:dyDescent="0.3">
      <c r="A308">
        <v>20160229</v>
      </c>
      <c r="B308">
        <v>84990</v>
      </c>
      <c r="C308" s="8">
        <v>149300</v>
      </c>
      <c r="D308" s="8">
        <v>142800</v>
      </c>
      <c r="E308">
        <v>136753</v>
      </c>
      <c r="F308" s="8">
        <v>14197877</v>
      </c>
      <c r="G308" s="1">
        <v>2027456835600</v>
      </c>
      <c r="H308" s="1">
        <v>1824711109200</v>
      </c>
      <c r="I308">
        <f t="shared" si="4"/>
        <v>0</v>
      </c>
    </row>
    <row r="309" spans="1:9" x14ac:dyDescent="0.3">
      <c r="A309">
        <v>20160302</v>
      </c>
      <c r="B309">
        <v>84990</v>
      </c>
      <c r="C309" s="8">
        <v>142800</v>
      </c>
      <c r="D309" s="8">
        <v>151800</v>
      </c>
      <c r="E309">
        <v>145372</v>
      </c>
      <c r="F309" s="8">
        <v>14197877</v>
      </c>
      <c r="G309" s="1">
        <v>2155237728600</v>
      </c>
      <c r="H309" s="1">
        <v>1939713910200</v>
      </c>
      <c r="I309">
        <f t="shared" si="4"/>
        <v>0</v>
      </c>
    </row>
    <row r="310" spans="1:9" x14ac:dyDescent="0.3">
      <c r="A310">
        <v>20160303</v>
      </c>
      <c r="B310">
        <v>84990</v>
      </c>
      <c r="C310" s="8">
        <v>151800</v>
      </c>
      <c r="D310" s="8">
        <v>169000</v>
      </c>
      <c r="E310">
        <v>161844</v>
      </c>
      <c r="F310" s="8">
        <v>14197877</v>
      </c>
      <c r="G310" s="1">
        <v>2399441213000</v>
      </c>
      <c r="H310" s="1">
        <v>2159497041000</v>
      </c>
      <c r="I310">
        <f t="shared" si="4"/>
        <v>0</v>
      </c>
    </row>
    <row r="311" spans="1:9" x14ac:dyDescent="0.3">
      <c r="A311">
        <v>20160304</v>
      </c>
      <c r="B311">
        <v>84990</v>
      </c>
      <c r="C311" s="8">
        <v>169000</v>
      </c>
      <c r="D311" s="8">
        <v>166800</v>
      </c>
      <c r="E311">
        <v>159738</v>
      </c>
      <c r="F311" s="8">
        <v>14197877</v>
      </c>
      <c r="G311" s="1">
        <v>2368205883600</v>
      </c>
      <c r="H311" s="1">
        <v>2131385245200</v>
      </c>
      <c r="I311">
        <f t="shared" si="4"/>
        <v>0</v>
      </c>
    </row>
    <row r="312" spans="1:9" x14ac:dyDescent="0.3">
      <c r="A312">
        <v>20160307</v>
      </c>
      <c r="B312">
        <v>84990</v>
      </c>
      <c r="C312" s="8">
        <v>166800</v>
      </c>
      <c r="D312" s="8">
        <v>161600</v>
      </c>
      <c r="E312">
        <v>154757</v>
      </c>
      <c r="F312" s="8">
        <v>14197877</v>
      </c>
      <c r="G312" s="1">
        <v>2294376923200</v>
      </c>
      <c r="H312" s="1">
        <v>2064939182400</v>
      </c>
      <c r="I312">
        <f t="shared" si="4"/>
        <v>0</v>
      </c>
    </row>
    <row r="313" spans="1:9" x14ac:dyDescent="0.3">
      <c r="A313">
        <v>20160308</v>
      </c>
      <c r="B313">
        <v>84990</v>
      </c>
      <c r="C313" s="8">
        <v>161600</v>
      </c>
      <c r="D313" s="8">
        <v>158000</v>
      </c>
      <c r="E313">
        <v>151310</v>
      </c>
      <c r="F313" s="8">
        <v>14197877</v>
      </c>
      <c r="G313" s="1">
        <v>2243264566000</v>
      </c>
      <c r="H313" s="1">
        <v>2018938062000</v>
      </c>
      <c r="I313">
        <f t="shared" si="4"/>
        <v>0</v>
      </c>
    </row>
    <row r="314" spans="1:9" x14ac:dyDescent="0.3">
      <c r="A314">
        <v>20160309</v>
      </c>
      <c r="B314">
        <v>84990</v>
      </c>
      <c r="C314" s="8">
        <v>158000</v>
      </c>
      <c r="D314" s="8">
        <v>160400</v>
      </c>
      <c r="E314">
        <v>153608</v>
      </c>
      <c r="F314" s="8">
        <v>14197877</v>
      </c>
      <c r="G314" s="1">
        <v>2277339470800</v>
      </c>
      <c r="H314" s="1">
        <v>2049605475600</v>
      </c>
      <c r="I314">
        <f t="shared" si="4"/>
        <v>0</v>
      </c>
    </row>
    <row r="315" spans="1:9" x14ac:dyDescent="0.3">
      <c r="A315">
        <v>20160310</v>
      </c>
      <c r="B315">
        <v>84990</v>
      </c>
      <c r="C315" s="8">
        <v>160400</v>
      </c>
      <c r="D315" s="8">
        <v>159200</v>
      </c>
      <c r="E315">
        <v>152459</v>
      </c>
      <c r="F315" s="8">
        <v>14197877</v>
      </c>
      <c r="G315" s="1">
        <v>2260302018400</v>
      </c>
      <c r="H315" s="1">
        <v>2034271768800</v>
      </c>
      <c r="I315">
        <f t="shared" si="4"/>
        <v>0</v>
      </c>
    </row>
    <row r="316" spans="1:9" x14ac:dyDescent="0.3">
      <c r="A316">
        <v>20160311</v>
      </c>
      <c r="B316">
        <v>84990</v>
      </c>
      <c r="C316" s="8">
        <v>159200</v>
      </c>
      <c r="D316" s="8">
        <v>159200</v>
      </c>
      <c r="E316">
        <v>152459</v>
      </c>
      <c r="F316" s="8">
        <v>14197877</v>
      </c>
      <c r="G316" s="1">
        <v>2260302018400</v>
      </c>
      <c r="H316" s="1">
        <v>2034271768800</v>
      </c>
      <c r="I316">
        <f t="shared" si="4"/>
        <v>0</v>
      </c>
    </row>
    <row r="317" spans="1:9" x14ac:dyDescent="0.3">
      <c r="A317">
        <v>20160314</v>
      </c>
      <c r="B317">
        <v>84990</v>
      </c>
      <c r="C317" s="8">
        <v>159200</v>
      </c>
      <c r="D317" s="8">
        <v>151900</v>
      </c>
      <c r="E317">
        <v>145467</v>
      </c>
      <c r="F317" s="8">
        <v>14197877</v>
      </c>
      <c r="G317" s="1">
        <v>2156657516300</v>
      </c>
      <c r="H317" s="1">
        <v>1940991719100</v>
      </c>
      <c r="I317">
        <f t="shared" si="4"/>
        <v>0</v>
      </c>
    </row>
    <row r="318" spans="1:9" x14ac:dyDescent="0.3">
      <c r="A318">
        <v>20160315</v>
      </c>
      <c r="B318">
        <v>84990</v>
      </c>
      <c r="C318" s="8">
        <v>151900</v>
      </c>
      <c r="D318" s="8">
        <v>151000</v>
      </c>
      <c r="E318">
        <v>144606</v>
      </c>
      <c r="F318" s="8">
        <v>14197877</v>
      </c>
      <c r="G318" s="1">
        <v>2143879427000</v>
      </c>
      <c r="H318" s="1">
        <v>1929491439000</v>
      </c>
      <c r="I318">
        <f t="shared" si="4"/>
        <v>0</v>
      </c>
    </row>
    <row r="319" spans="1:9" x14ac:dyDescent="0.3">
      <c r="A319">
        <v>20160316</v>
      </c>
      <c r="B319">
        <v>84990</v>
      </c>
      <c r="C319" s="8">
        <v>151000</v>
      </c>
      <c r="D319" s="8">
        <v>151500</v>
      </c>
      <c r="E319">
        <v>145085</v>
      </c>
      <c r="F319" s="8">
        <v>14197877</v>
      </c>
      <c r="G319" s="1">
        <v>2150978365500</v>
      </c>
      <c r="H319" s="1">
        <v>1935880483500</v>
      </c>
      <c r="I319">
        <f t="shared" si="4"/>
        <v>0</v>
      </c>
    </row>
    <row r="320" spans="1:9" x14ac:dyDescent="0.3">
      <c r="A320">
        <v>20160317</v>
      </c>
      <c r="B320">
        <v>84990</v>
      </c>
      <c r="C320" s="8">
        <v>151500</v>
      </c>
      <c r="D320" s="8">
        <v>152100</v>
      </c>
      <c r="E320">
        <v>145660</v>
      </c>
      <c r="F320" s="8">
        <v>14197877</v>
      </c>
      <c r="G320" s="1">
        <v>2159497091700</v>
      </c>
      <c r="H320" s="1">
        <v>1943547336900</v>
      </c>
      <c r="I320">
        <f t="shared" si="4"/>
        <v>0</v>
      </c>
    </row>
    <row r="321" spans="1:10" x14ac:dyDescent="0.3">
      <c r="A321">
        <v>20160318</v>
      </c>
      <c r="B321">
        <v>84990</v>
      </c>
      <c r="C321" s="8">
        <v>152100</v>
      </c>
      <c r="D321" s="8">
        <v>161000</v>
      </c>
      <c r="E321">
        <v>154183</v>
      </c>
      <c r="F321" s="8">
        <v>14197877</v>
      </c>
      <c r="G321" s="1">
        <v>2285858197000</v>
      </c>
      <c r="H321" s="1">
        <v>2057272329000</v>
      </c>
      <c r="I321">
        <f t="shared" si="4"/>
        <v>0</v>
      </c>
    </row>
    <row r="322" spans="1:10" x14ac:dyDescent="0.3">
      <c r="A322">
        <v>20160321</v>
      </c>
      <c r="B322">
        <v>84990</v>
      </c>
      <c r="C322" s="8">
        <v>161000</v>
      </c>
      <c r="D322" s="8">
        <v>161900</v>
      </c>
      <c r="E322">
        <v>155045</v>
      </c>
      <c r="F322" s="8">
        <v>14197877</v>
      </c>
      <c r="G322" s="1">
        <v>2298636286300</v>
      </c>
      <c r="H322" s="1">
        <v>2068772609100</v>
      </c>
      <c r="I322">
        <f t="shared" si="4"/>
        <v>0</v>
      </c>
    </row>
    <row r="323" spans="1:10" x14ac:dyDescent="0.3">
      <c r="A323">
        <v>20160322</v>
      </c>
      <c r="B323">
        <v>84990</v>
      </c>
      <c r="C323" s="8">
        <v>161900</v>
      </c>
      <c r="D323" s="8">
        <v>157500</v>
      </c>
      <c r="E323">
        <v>150831</v>
      </c>
      <c r="F323" s="8">
        <v>14197877</v>
      </c>
      <c r="G323" s="1">
        <v>2236165627500</v>
      </c>
      <c r="H323" s="1">
        <v>2012549017500</v>
      </c>
      <c r="I323">
        <f t="shared" ref="I323:I386" si="5">IF(C323*F323=D322*F322,0,1)</f>
        <v>0</v>
      </c>
    </row>
    <row r="324" spans="1:10" x14ac:dyDescent="0.3">
      <c r="A324">
        <v>20160323</v>
      </c>
      <c r="B324">
        <v>84990</v>
      </c>
      <c r="C324" s="8">
        <v>157500</v>
      </c>
      <c r="D324" s="8">
        <v>163700</v>
      </c>
      <c r="E324">
        <v>156768</v>
      </c>
      <c r="F324" s="8">
        <v>14197877</v>
      </c>
      <c r="G324" s="1">
        <v>2324192464900</v>
      </c>
      <c r="H324" s="1">
        <v>2091773169300</v>
      </c>
      <c r="I324">
        <f t="shared" si="5"/>
        <v>0</v>
      </c>
    </row>
    <row r="325" spans="1:10" x14ac:dyDescent="0.3">
      <c r="A325">
        <v>20160324</v>
      </c>
      <c r="B325">
        <v>84990</v>
      </c>
      <c r="C325" s="8">
        <v>163700</v>
      </c>
      <c r="D325" s="8">
        <v>162400</v>
      </c>
      <c r="E325">
        <v>155524</v>
      </c>
      <c r="F325" s="8">
        <v>14197877</v>
      </c>
      <c r="G325" s="1">
        <v>2305735224800</v>
      </c>
      <c r="H325" s="1">
        <v>2075161653600</v>
      </c>
      <c r="I325">
        <f t="shared" si="5"/>
        <v>0</v>
      </c>
    </row>
    <row r="326" spans="1:10" x14ac:dyDescent="0.3">
      <c r="A326">
        <v>20160325</v>
      </c>
      <c r="B326">
        <v>84990</v>
      </c>
      <c r="C326" s="8">
        <v>162400</v>
      </c>
      <c r="D326" s="8">
        <v>158100</v>
      </c>
      <c r="E326">
        <v>151406</v>
      </c>
      <c r="F326" s="8">
        <v>14197877</v>
      </c>
      <c r="G326" s="1">
        <v>2244684353700</v>
      </c>
      <c r="H326" s="1">
        <v>2020215870900</v>
      </c>
      <c r="I326">
        <f t="shared" si="5"/>
        <v>0</v>
      </c>
    </row>
    <row r="327" spans="1:10" x14ac:dyDescent="0.3">
      <c r="A327">
        <v>20160328</v>
      </c>
      <c r="B327">
        <v>84990</v>
      </c>
      <c r="C327" s="8">
        <v>158100</v>
      </c>
      <c r="D327" s="8">
        <v>152700</v>
      </c>
      <c r="E327">
        <v>146234</v>
      </c>
      <c r="F327" s="8">
        <v>14197877</v>
      </c>
      <c r="G327" s="1">
        <v>2168015817900</v>
      </c>
      <c r="H327" s="1">
        <v>1951214190300</v>
      </c>
      <c r="I327">
        <f t="shared" si="5"/>
        <v>0</v>
      </c>
    </row>
    <row r="328" spans="1:10" x14ac:dyDescent="0.3">
      <c r="A328">
        <v>20160329</v>
      </c>
      <c r="B328">
        <v>84990</v>
      </c>
      <c r="C328" s="8">
        <v>152700</v>
      </c>
      <c r="D328" s="8">
        <v>160500</v>
      </c>
      <c r="E328">
        <v>153704</v>
      </c>
      <c r="F328" s="8">
        <v>14197877</v>
      </c>
      <c r="G328" s="1">
        <v>2278759258500</v>
      </c>
      <c r="H328" s="1">
        <v>2050883284500</v>
      </c>
      <c r="I328">
        <f t="shared" si="5"/>
        <v>0</v>
      </c>
    </row>
    <row r="329" spans="1:10" x14ac:dyDescent="0.3">
      <c r="A329">
        <v>20160330</v>
      </c>
      <c r="B329">
        <v>84990</v>
      </c>
      <c r="C329" s="8">
        <v>160500</v>
      </c>
      <c r="D329" s="8">
        <v>156300</v>
      </c>
      <c r="E329">
        <v>149681</v>
      </c>
      <c r="F329" s="8">
        <v>14197877</v>
      </c>
      <c r="G329" s="1">
        <v>2219128175100</v>
      </c>
      <c r="H329" s="1">
        <v>1997215310700</v>
      </c>
      <c r="I329">
        <f t="shared" si="5"/>
        <v>0</v>
      </c>
    </row>
    <row r="330" spans="1:10" x14ac:dyDescent="0.3">
      <c r="A330">
        <v>20160331</v>
      </c>
      <c r="B330">
        <v>84990</v>
      </c>
      <c r="C330" s="8">
        <v>156300</v>
      </c>
      <c r="D330" s="8">
        <v>153900</v>
      </c>
      <c r="E330">
        <v>147383</v>
      </c>
      <c r="F330" s="8">
        <v>14197877</v>
      </c>
      <c r="G330" s="1">
        <v>2185053270300</v>
      </c>
      <c r="H330" s="1">
        <v>1966547897100</v>
      </c>
      <c r="I330">
        <f t="shared" si="5"/>
        <v>0</v>
      </c>
    </row>
    <row r="331" spans="1:10" x14ac:dyDescent="0.3">
      <c r="A331">
        <v>20160401</v>
      </c>
      <c r="B331">
        <v>84990</v>
      </c>
      <c r="C331" s="8">
        <v>153900</v>
      </c>
      <c r="D331" s="8">
        <v>155400</v>
      </c>
      <c r="E331">
        <v>148820</v>
      </c>
      <c r="F331" s="8">
        <v>14197877</v>
      </c>
      <c r="G331" s="1">
        <v>2206350085800</v>
      </c>
      <c r="H331" s="1">
        <v>1985715030600</v>
      </c>
      <c r="I331">
        <f t="shared" si="5"/>
        <v>0</v>
      </c>
    </row>
    <row r="332" spans="1:10" x14ac:dyDescent="0.3">
      <c r="A332">
        <v>20160404</v>
      </c>
      <c r="B332">
        <v>84990</v>
      </c>
      <c r="C332" s="8">
        <v>155400</v>
      </c>
      <c r="D332" s="8">
        <v>157900</v>
      </c>
      <c r="E332">
        <v>151213</v>
      </c>
      <c r="F332" s="8">
        <v>14197877</v>
      </c>
      <c r="G332" s="1">
        <v>2241844778300</v>
      </c>
      <c r="H332" s="1">
        <v>2017660253100</v>
      </c>
      <c r="I332">
        <f t="shared" si="5"/>
        <v>0</v>
      </c>
    </row>
    <row r="333" spans="1:10" x14ac:dyDescent="0.3">
      <c r="A333" s="8">
        <v>20160405</v>
      </c>
      <c r="B333" s="8">
        <v>84990</v>
      </c>
      <c r="C333" s="8">
        <v>157900</v>
      </c>
      <c r="D333" s="8">
        <v>153800</v>
      </c>
      <c r="E333" s="8">
        <v>147288</v>
      </c>
      <c r="F333" s="8">
        <v>14306260</v>
      </c>
      <c r="G333" s="9">
        <v>2200302788000</v>
      </c>
      <c r="H333" s="9">
        <v>1980272509200</v>
      </c>
      <c r="I333" s="8">
        <f t="shared" si="5"/>
        <v>1</v>
      </c>
      <c r="J333" t="s">
        <v>32</v>
      </c>
    </row>
    <row r="334" spans="1:10" x14ac:dyDescent="0.3">
      <c r="A334">
        <v>20160406</v>
      </c>
      <c r="B334">
        <v>84990</v>
      </c>
      <c r="C334" s="8">
        <v>153800</v>
      </c>
      <c r="D334" s="8">
        <v>151700</v>
      </c>
      <c r="E334">
        <v>145276</v>
      </c>
      <c r="F334" s="8">
        <v>14306260</v>
      </c>
      <c r="G334" s="1">
        <v>2170259642000</v>
      </c>
      <c r="H334" s="1">
        <v>1953233677800</v>
      </c>
      <c r="I334">
        <f t="shared" si="5"/>
        <v>0</v>
      </c>
    </row>
    <row r="335" spans="1:10" x14ac:dyDescent="0.3">
      <c r="A335">
        <v>20160407</v>
      </c>
      <c r="B335">
        <v>84990</v>
      </c>
      <c r="C335" s="8">
        <v>151700</v>
      </c>
      <c r="D335" s="8">
        <v>153500</v>
      </c>
      <c r="E335">
        <v>147000</v>
      </c>
      <c r="F335" s="8">
        <v>14306260</v>
      </c>
      <c r="G335" s="1">
        <v>2196010910000</v>
      </c>
      <c r="H335" s="1">
        <v>1976409819000</v>
      </c>
      <c r="I335">
        <f t="shared" si="5"/>
        <v>0</v>
      </c>
    </row>
    <row r="336" spans="1:10" x14ac:dyDescent="0.3">
      <c r="A336">
        <v>20160408</v>
      </c>
      <c r="B336">
        <v>84990</v>
      </c>
      <c r="C336" s="8">
        <v>153500</v>
      </c>
      <c r="D336" s="8">
        <v>153400</v>
      </c>
      <c r="E336">
        <v>146904</v>
      </c>
      <c r="F336" s="8">
        <v>14306260</v>
      </c>
      <c r="G336" s="1">
        <v>2194580284000</v>
      </c>
      <c r="H336" s="1">
        <v>1975122255600</v>
      </c>
      <c r="I336">
        <f t="shared" si="5"/>
        <v>0</v>
      </c>
    </row>
    <row r="337" spans="1:9" x14ac:dyDescent="0.3">
      <c r="A337">
        <v>20160411</v>
      </c>
      <c r="B337">
        <v>84990</v>
      </c>
      <c r="C337" s="8">
        <v>153400</v>
      </c>
      <c r="D337" s="8">
        <v>151000</v>
      </c>
      <c r="E337">
        <v>144606</v>
      </c>
      <c r="F337" s="8">
        <v>14306260</v>
      </c>
      <c r="G337" s="1">
        <v>2160245260000</v>
      </c>
      <c r="H337" s="1">
        <v>1944220734000</v>
      </c>
      <c r="I337">
        <f t="shared" si="5"/>
        <v>0</v>
      </c>
    </row>
    <row r="338" spans="1:9" x14ac:dyDescent="0.3">
      <c r="A338">
        <v>20160412</v>
      </c>
      <c r="B338">
        <v>84990</v>
      </c>
      <c r="C338" s="8">
        <v>151000</v>
      </c>
      <c r="D338" s="8">
        <v>149500</v>
      </c>
      <c r="E338">
        <v>143169</v>
      </c>
      <c r="F338" s="8">
        <v>14306260</v>
      </c>
      <c r="G338" s="1">
        <v>2138785870000</v>
      </c>
      <c r="H338" s="1">
        <v>1924907283000</v>
      </c>
      <c r="I338">
        <f t="shared" si="5"/>
        <v>0</v>
      </c>
    </row>
    <row r="339" spans="1:9" x14ac:dyDescent="0.3">
      <c r="A339">
        <v>20160414</v>
      </c>
      <c r="B339">
        <v>84990</v>
      </c>
      <c r="C339" s="8">
        <v>149500</v>
      </c>
      <c r="D339" s="8">
        <v>145800</v>
      </c>
      <c r="E339">
        <v>139626</v>
      </c>
      <c r="F339" s="8">
        <v>14306260</v>
      </c>
      <c r="G339" s="1">
        <v>2085852708000</v>
      </c>
      <c r="H339" s="1">
        <v>1877267437200</v>
      </c>
      <c r="I339">
        <f t="shared" si="5"/>
        <v>0</v>
      </c>
    </row>
    <row r="340" spans="1:9" x14ac:dyDescent="0.3">
      <c r="A340">
        <v>20160415</v>
      </c>
      <c r="B340">
        <v>84990</v>
      </c>
      <c r="C340" s="8">
        <v>145800</v>
      </c>
      <c r="D340" s="8">
        <v>146000</v>
      </c>
      <c r="E340">
        <v>139818</v>
      </c>
      <c r="F340" s="8">
        <v>14306260</v>
      </c>
      <c r="G340" s="1">
        <v>2088713960000</v>
      </c>
      <c r="H340" s="1">
        <v>1879842564000</v>
      </c>
      <c r="I340">
        <f t="shared" si="5"/>
        <v>0</v>
      </c>
    </row>
    <row r="341" spans="1:9" x14ac:dyDescent="0.3">
      <c r="A341">
        <v>20160418</v>
      </c>
      <c r="B341">
        <v>84990</v>
      </c>
      <c r="C341" s="8">
        <v>146000</v>
      </c>
      <c r="D341" s="8">
        <v>148000</v>
      </c>
      <c r="E341">
        <v>141733</v>
      </c>
      <c r="F341" s="8">
        <v>14306260</v>
      </c>
      <c r="G341" s="1">
        <v>2117326480000</v>
      </c>
      <c r="H341" s="1">
        <v>1905593832000</v>
      </c>
      <c r="I341">
        <f t="shared" si="5"/>
        <v>0</v>
      </c>
    </row>
    <row r="342" spans="1:9" x14ac:dyDescent="0.3">
      <c r="A342">
        <v>20160419</v>
      </c>
      <c r="B342">
        <v>84990</v>
      </c>
      <c r="C342" s="8">
        <v>148000</v>
      </c>
      <c r="D342" s="8">
        <v>149000</v>
      </c>
      <c r="E342">
        <v>142690</v>
      </c>
      <c r="F342" s="8">
        <v>14306260</v>
      </c>
      <c r="G342" s="1">
        <v>2131632740000</v>
      </c>
      <c r="H342" s="1">
        <v>1918469466000</v>
      </c>
      <c r="I342">
        <f t="shared" si="5"/>
        <v>0</v>
      </c>
    </row>
    <row r="343" spans="1:9" x14ac:dyDescent="0.3">
      <c r="A343">
        <v>20160420</v>
      </c>
      <c r="B343">
        <v>84990</v>
      </c>
      <c r="C343" s="8">
        <v>149000</v>
      </c>
      <c r="D343" s="8">
        <v>151600</v>
      </c>
      <c r="E343">
        <v>145181</v>
      </c>
      <c r="F343" s="8">
        <v>14306260</v>
      </c>
      <c r="G343" s="1">
        <v>2168829016000</v>
      </c>
      <c r="H343" s="1">
        <v>1951946114400</v>
      </c>
      <c r="I343">
        <f t="shared" si="5"/>
        <v>0</v>
      </c>
    </row>
    <row r="344" spans="1:9" x14ac:dyDescent="0.3">
      <c r="A344">
        <v>20160421</v>
      </c>
      <c r="B344">
        <v>84990</v>
      </c>
      <c r="C344" s="8">
        <v>151600</v>
      </c>
      <c r="D344" s="8">
        <v>149800</v>
      </c>
      <c r="E344">
        <v>143457</v>
      </c>
      <c r="F344" s="8">
        <v>14306260</v>
      </c>
      <c r="G344" s="1">
        <v>2143077748000</v>
      </c>
      <c r="H344" s="1">
        <v>1928769973200</v>
      </c>
      <c r="I344">
        <f t="shared" si="5"/>
        <v>0</v>
      </c>
    </row>
    <row r="345" spans="1:9" x14ac:dyDescent="0.3">
      <c r="A345">
        <v>20160422</v>
      </c>
      <c r="B345">
        <v>84990</v>
      </c>
      <c r="C345" s="8">
        <v>149800</v>
      </c>
      <c r="D345" s="8">
        <v>147000</v>
      </c>
      <c r="E345">
        <v>140776</v>
      </c>
      <c r="F345" s="8">
        <v>14306260</v>
      </c>
      <c r="G345" s="1">
        <v>2103020220000</v>
      </c>
      <c r="H345" s="1">
        <v>1892718198000</v>
      </c>
      <c r="I345">
        <f t="shared" si="5"/>
        <v>0</v>
      </c>
    </row>
    <row r="346" spans="1:9" x14ac:dyDescent="0.3">
      <c r="A346">
        <v>20160425</v>
      </c>
      <c r="B346">
        <v>84990</v>
      </c>
      <c r="C346" s="8">
        <v>147000</v>
      </c>
      <c r="D346" s="8">
        <v>147000</v>
      </c>
      <c r="E346">
        <v>140776</v>
      </c>
      <c r="F346" s="8">
        <v>14306260</v>
      </c>
      <c r="G346" s="1">
        <v>2103020220000</v>
      </c>
      <c r="H346" s="1">
        <v>1892718198000</v>
      </c>
      <c r="I346">
        <f t="shared" si="5"/>
        <v>0</v>
      </c>
    </row>
    <row r="347" spans="1:9" x14ac:dyDescent="0.3">
      <c r="A347">
        <v>20160426</v>
      </c>
      <c r="B347">
        <v>84990</v>
      </c>
      <c r="C347" s="8">
        <v>147000</v>
      </c>
      <c r="D347" s="8">
        <v>147700</v>
      </c>
      <c r="E347">
        <v>141446</v>
      </c>
      <c r="F347" s="8">
        <v>14306260</v>
      </c>
      <c r="G347" s="1">
        <v>2113034602000</v>
      </c>
      <c r="H347" s="1">
        <v>1796079411700</v>
      </c>
      <c r="I347">
        <f t="shared" si="5"/>
        <v>0</v>
      </c>
    </row>
    <row r="348" spans="1:9" x14ac:dyDescent="0.3">
      <c r="A348">
        <v>20160427</v>
      </c>
      <c r="B348">
        <v>84990</v>
      </c>
      <c r="C348" s="8">
        <v>147700</v>
      </c>
      <c r="D348" s="8">
        <v>146500</v>
      </c>
      <c r="E348">
        <v>140297</v>
      </c>
      <c r="F348" s="8">
        <v>14306260</v>
      </c>
      <c r="G348" s="1">
        <v>2095867090000</v>
      </c>
      <c r="H348" s="1">
        <v>1781487026500</v>
      </c>
      <c r="I348">
        <f t="shared" si="5"/>
        <v>0</v>
      </c>
    </row>
    <row r="349" spans="1:9" x14ac:dyDescent="0.3">
      <c r="A349">
        <v>20160428</v>
      </c>
      <c r="B349">
        <v>84990</v>
      </c>
      <c r="C349" s="8">
        <v>146500</v>
      </c>
      <c r="D349" s="8">
        <v>143100</v>
      </c>
      <c r="E349">
        <v>137040</v>
      </c>
      <c r="F349" s="8">
        <v>14306260</v>
      </c>
      <c r="G349" s="1">
        <v>2047225806000</v>
      </c>
      <c r="H349" s="1">
        <v>1740141935100</v>
      </c>
      <c r="I349">
        <f t="shared" si="5"/>
        <v>0</v>
      </c>
    </row>
    <row r="350" spans="1:9" x14ac:dyDescent="0.3">
      <c r="A350">
        <v>20160429</v>
      </c>
      <c r="B350">
        <v>84990</v>
      </c>
      <c r="C350" s="8">
        <v>143100</v>
      </c>
      <c r="D350" s="8">
        <v>141000</v>
      </c>
      <c r="E350">
        <v>135030</v>
      </c>
      <c r="F350" s="8">
        <v>14306260</v>
      </c>
      <c r="G350" s="1">
        <v>2017182660000</v>
      </c>
      <c r="H350" s="1">
        <v>1714605261000</v>
      </c>
      <c r="I350">
        <f t="shared" si="5"/>
        <v>0</v>
      </c>
    </row>
    <row r="351" spans="1:9" x14ac:dyDescent="0.3">
      <c r="A351">
        <v>20160502</v>
      </c>
      <c r="B351">
        <v>84990</v>
      </c>
      <c r="C351" s="8">
        <v>141000</v>
      </c>
      <c r="D351" s="8">
        <v>133400</v>
      </c>
      <c r="E351">
        <v>127751</v>
      </c>
      <c r="F351" s="8">
        <v>14306260</v>
      </c>
      <c r="G351" s="1">
        <v>1908455084000</v>
      </c>
      <c r="H351" s="1">
        <v>1622186821400</v>
      </c>
      <c r="I351">
        <f t="shared" si="5"/>
        <v>0</v>
      </c>
    </row>
    <row r="352" spans="1:9" x14ac:dyDescent="0.3">
      <c r="A352">
        <v>20160503</v>
      </c>
      <c r="B352">
        <v>84990</v>
      </c>
      <c r="C352" s="8">
        <v>133400</v>
      </c>
      <c r="D352" s="8">
        <v>136500</v>
      </c>
      <c r="E352">
        <v>130719</v>
      </c>
      <c r="F352" s="8">
        <v>14306260</v>
      </c>
      <c r="G352" s="1">
        <v>1952804490000</v>
      </c>
      <c r="H352" s="1">
        <v>1659883816500</v>
      </c>
      <c r="I352">
        <f t="shared" si="5"/>
        <v>0</v>
      </c>
    </row>
    <row r="353" spans="1:9" x14ac:dyDescent="0.3">
      <c r="A353">
        <v>20160504</v>
      </c>
      <c r="B353">
        <v>84990</v>
      </c>
      <c r="C353" s="8">
        <v>136500</v>
      </c>
      <c r="D353" s="8">
        <v>130700</v>
      </c>
      <c r="E353">
        <v>125165</v>
      </c>
      <c r="F353" s="8">
        <v>14306260</v>
      </c>
      <c r="G353" s="1">
        <v>1869828182000</v>
      </c>
      <c r="H353" s="1">
        <v>1589353954700</v>
      </c>
      <c r="I353">
        <f t="shared" si="5"/>
        <v>0</v>
      </c>
    </row>
    <row r="354" spans="1:9" x14ac:dyDescent="0.3">
      <c r="A354">
        <v>20160509</v>
      </c>
      <c r="B354">
        <v>84990</v>
      </c>
      <c r="C354" s="8">
        <v>130700</v>
      </c>
      <c r="D354" s="8">
        <v>129400</v>
      </c>
      <c r="E354">
        <v>123921</v>
      </c>
      <c r="F354" s="8">
        <v>14306260</v>
      </c>
      <c r="G354" s="1">
        <v>1851230044000</v>
      </c>
      <c r="H354" s="1">
        <v>1573545537400</v>
      </c>
      <c r="I354">
        <f t="shared" si="5"/>
        <v>0</v>
      </c>
    </row>
    <row r="355" spans="1:9" x14ac:dyDescent="0.3">
      <c r="A355">
        <v>20160510</v>
      </c>
      <c r="B355">
        <v>84990</v>
      </c>
      <c r="C355" s="8">
        <v>129400</v>
      </c>
      <c r="D355" s="8">
        <v>131700</v>
      </c>
      <c r="E355">
        <v>126123</v>
      </c>
      <c r="F355" s="8">
        <v>14306260</v>
      </c>
      <c r="G355" s="1">
        <v>1884134442000</v>
      </c>
      <c r="H355" s="1">
        <v>1601514275700</v>
      </c>
      <c r="I355">
        <f t="shared" si="5"/>
        <v>0</v>
      </c>
    </row>
    <row r="356" spans="1:9" x14ac:dyDescent="0.3">
      <c r="A356">
        <v>20160511</v>
      </c>
      <c r="B356">
        <v>84990</v>
      </c>
      <c r="C356" s="8">
        <v>131700</v>
      </c>
      <c r="D356" s="8">
        <v>130100</v>
      </c>
      <c r="E356">
        <v>124591</v>
      </c>
      <c r="F356" s="8">
        <v>14306260</v>
      </c>
      <c r="G356" s="1">
        <v>1861244426000</v>
      </c>
      <c r="H356" s="1">
        <v>1582057762100</v>
      </c>
      <c r="I356">
        <f t="shared" si="5"/>
        <v>0</v>
      </c>
    </row>
    <row r="357" spans="1:9" x14ac:dyDescent="0.3">
      <c r="A357">
        <v>20160512</v>
      </c>
      <c r="B357">
        <v>84990</v>
      </c>
      <c r="C357" s="8">
        <v>130100</v>
      </c>
      <c r="D357" s="8">
        <v>133000</v>
      </c>
      <c r="E357">
        <v>127368</v>
      </c>
      <c r="F357" s="8">
        <v>14306260</v>
      </c>
      <c r="G357" s="1">
        <v>1902732580000</v>
      </c>
      <c r="H357" s="1">
        <v>1617322693000</v>
      </c>
      <c r="I357">
        <f t="shared" si="5"/>
        <v>0</v>
      </c>
    </row>
    <row r="358" spans="1:9" x14ac:dyDescent="0.3">
      <c r="A358">
        <v>20160513</v>
      </c>
      <c r="B358">
        <v>84990</v>
      </c>
      <c r="C358" s="8">
        <v>133000</v>
      </c>
      <c r="D358" s="8">
        <v>134000</v>
      </c>
      <c r="E358">
        <v>128326</v>
      </c>
      <c r="F358" s="8">
        <v>14306260</v>
      </c>
      <c r="G358" s="1">
        <v>1917038840000</v>
      </c>
      <c r="H358" s="1">
        <v>1629483014000</v>
      </c>
      <c r="I358">
        <f t="shared" si="5"/>
        <v>0</v>
      </c>
    </row>
    <row r="359" spans="1:9" x14ac:dyDescent="0.3">
      <c r="A359">
        <v>20160516</v>
      </c>
      <c r="B359">
        <v>84990</v>
      </c>
      <c r="C359" s="8">
        <v>134000</v>
      </c>
      <c r="D359" s="8">
        <v>133300</v>
      </c>
      <c r="E359">
        <v>127656</v>
      </c>
      <c r="F359" s="8">
        <v>14306260</v>
      </c>
      <c r="G359" s="1">
        <v>1907024458000</v>
      </c>
      <c r="H359" s="1">
        <v>1620970789300</v>
      </c>
      <c r="I359">
        <f t="shared" si="5"/>
        <v>0</v>
      </c>
    </row>
    <row r="360" spans="1:9" x14ac:dyDescent="0.3">
      <c r="A360">
        <v>20160517</v>
      </c>
      <c r="B360">
        <v>84990</v>
      </c>
      <c r="C360" s="8">
        <v>133300</v>
      </c>
      <c r="D360" s="8">
        <v>131000</v>
      </c>
      <c r="E360">
        <v>125452</v>
      </c>
      <c r="F360" s="8">
        <v>14306260</v>
      </c>
      <c r="G360" s="1">
        <v>1874120060000</v>
      </c>
      <c r="H360" s="1">
        <v>1593002051000</v>
      </c>
      <c r="I360">
        <f t="shared" si="5"/>
        <v>0</v>
      </c>
    </row>
    <row r="361" spans="1:9" x14ac:dyDescent="0.3">
      <c r="A361">
        <v>20160518</v>
      </c>
      <c r="B361">
        <v>84990</v>
      </c>
      <c r="C361" s="8">
        <v>131000</v>
      </c>
      <c r="D361" s="8">
        <v>131500</v>
      </c>
      <c r="E361">
        <v>125931</v>
      </c>
      <c r="F361" s="8">
        <v>14306260</v>
      </c>
      <c r="G361" s="1">
        <v>1881273190000</v>
      </c>
      <c r="H361" s="1">
        <v>1599082211500</v>
      </c>
      <c r="I361">
        <f t="shared" si="5"/>
        <v>0</v>
      </c>
    </row>
    <row r="362" spans="1:9" x14ac:dyDescent="0.3">
      <c r="A362">
        <v>20160519</v>
      </c>
      <c r="B362">
        <v>84990</v>
      </c>
      <c r="C362" s="8">
        <v>131500</v>
      </c>
      <c r="D362" s="8">
        <v>128300</v>
      </c>
      <c r="E362">
        <v>122867</v>
      </c>
      <c r="F362" s="8">
        <v>14306260</v>
      </c>
      <c r="G362" s="1">
        <v>1835493158000</v>
      </c>
      <c r="H362" s="1">
        <v>1560169184300</v>
      </c>
      <c r="I362">
        <f t="shared" si="5"/>
        <v>0</v>
      </c>
    </row>
    <row r="363" spans="1:9" x14ac:dyDescent="0.3">
      <c r="A363">
        <v>20160520</v>
      </c>
      <c r="B363">
        <v>84990</v>
      </c>
      <c r="C363" s="8">
        <v>128300</v>
      </c>
      <c r="D363" s="8">
        <v>133800</v>
      </c>
      <c r="E363">
        <v>128135</v>
      </c>
      <c r="F363" s="8">
        <v>14306260</v>
      </c>
      <c r="G363" s="1">
        <v>1914177588000</v>
      </c>
      <c r="H363" s="1">
        <v>1627050949800</v>
      </c>
      <c r="I363">
        <f t="shared" si="5"/>
        <v>0</v>
      </c>
    </row>
    <row r="364" spans="1:9" x14ac:dyDescent="0.3">
      <c r="A364">
        <v>20160523</v>
      </c>
      <c r="B364">
        <v>84990</v>
      </c>
      <c r="C364" s="8">
        <v>133800</v>
      </c>
      <c r="D364" s="8">
        <v>135400</v>
      </c>
      <c r="E364">
        <v>129666</v>
      </c>
      <c r="F364" s="8">
        <v>14306260</v>
      </c>
      <c r="G364" s="1">
        <v>1937067604000</v>
      </c>
      <c r="H364" s="1">
        <v>1646507463400</v>
      </c>
      <c r="I364">
        <f t="shared" si="5"/>
        <v>0</v>
      </c>
    </row>
    <row r="365" spans="1:9" x14ac:dyDescent="0.3">
      <c r="A365">
        <v>20160524</v>
      </c>
      <c r="B365">
        <v>84990</v>
      </c>
      <c r="C365" s="8">
        <v>135400</v>
      </c>
      <c r="D365" s="8">
        <v>137100</v>
      </c>
      <c r="E365">
        <v>131295</v>
      </c>
      <c r="F365" s="8">
        <v>14306260</v>
      </c>
      <c r="G365" s="1">
        <v>1961388246000</v>
      </c>
      <c r="H365" s="1">
        <v>1667180009100</v>
      </c>
      <c r="I365">
        <f t="shared" si="5"/>
        <v>0</v>
      </c>
    </row>
    <row r="366" spans="1:9" x14ac:dyDescent="0.3">
      <c r="A366">
        <v>20160525</v>
      </c>
      <c r="B366">
        <v>84990</v>
      </c>
      <c r="C366" s="8">
        <v>137100</v>
      </c>
      <c r="D366" s="8">
        <v>134200</v>
      </c>
      <c r="E366">
        <v>128517</v>
      </c>
      <c r="F366" s="8">
        <v>14306260</v>
      </c>
      <c r="G366" s="1">
        <v>1919900092000</v>
      </c>
      <c r="H366" s="1">
        <v>1631915078200</v>
      </c>
      <c r="I366">
        <f t="shared" si="5"/>
        <v>0</v>
      </c>
    </row>
    <row r="367" spans="1:9" x14ac:dyDescent="0.3">
      <c r="A367">
        <v>20160526</v>
      </c>
      <c r="B367">
        <v>84990</v>
      </c>
      <c r="C367" s="8">
        <v>134200</v>
      </c>
      <c r="D367" s="8">
        <v>131200</v>
      </c>
      <c r="E367">
        <v>125644</v>
      </c>
      <c r="F367" s="8">
        <v>14306260</v>
      </c>
      <c r="G367" s="1">
        <v>1876981312000</v>
      </c>
      <c r="H367" s="1">
        <v>1595434115200</v>
      </c>
      <c r="I367">
        <f t="shared" si="5"/>
        <v>0</v>
      </c>
    </row>
    <row r="368" spans="1:9" x14ac:dyDescent="0.3">
      <c r="A368">
        <v>20160527</v>
      </c>
      <c r="B368">
        <v>84990</v>
      </c>
      <c r="C368" s="8">
        <v>131200</v>
      </c>
      <c r="D368" s="8">
        <v>132800</v>
      </c>
      <c r="E368">
        <v>127177</v>
      </c>
      <c r="F368" s="8">
        <v>14306260</v>
      </c>
      <c r="G368" s="1">
        <v>1899871328000</v>
      </c>
      <c r="H368" s="1">
        <v>1614890628800</v>
      </c>
      <c r="I368">
        <f t="shared" si="5"/>
        <v>0</v>
      </c>
    </row>
    <row r="369" spans="1:9" x14ac:dyDescent="0.3">
      <c r="A369">
        <v>20160530</v>
      </c>
      <c r="B369">
        <v>84990</v>
      </c>
      <c r="C369" s="8">
        <v>132800</v>
      </c>
      <c r="D369" s="8">
        <v>154500</v>
      </c>
      <c r="E369">
        <v>147958</v>
      </c>
      <c r="F369" s="8">
        <v>14306260</v>
      </c>
      <c r="G369" s="1">
        <v>2210317170000</v>
      </c>
      <c r="H369" s="1">
        <v>1878769594500</v>
      </c>
      <c r="I369">
        <f t="shared" si="5"/>
        <v>0</v>
      </c>
    </row>
    <row r="370" spans="1:9" x14ac:dyDescent="0.3">
      <c r="A370">
        <v>20160531</v>
      </c>
      <c r="B370">
        <v>84990</v>
      </c>
      <c r="C370" s="8">
        <v>154500</v>
      </c>
      <c r="D370" s="8">
        <v>154300</v>
      </c>
      <c r="E370">
        <v>147766</v>
      </c>
      <c r="F370" s="8">
        <v>14306260</v>
      </c>
      <c r="G370" s="1">
        <v>2207455918000</v>
      </c>
      <c r="H370" s="1">
        <v>1876337530300</v>
      </c>
      <c r="I370">
        <f t="shared" si="5"/>
        <v>0</v>
      </c>
    </row>
    <row r="371" spans="1:9" x14ac:dyDescent="0.3">
      <c r="A371">
        <v>20160601</v>
      </c>
      <c r="B371">
        <v>84990</v>
      </c>
      <c r="C371" s="8">
        <v>154300</v>
      </c>
      <c r="D371" s="8">
        <v>155100</v>
      </c>
      <c r="E371">
        <v>148532</v>
      </c>
      <c r="F371" s="8">
        <v>14306260</v>
      </c>
      <c r="G371" s="1">
        <v>2218900926000</v>
      </c>
      <c r="H371" s="1">
        <v>1886065787100</v>
      </c>
      <c r="I371">
        <f t="shared" si="5"/>
        <v>0</v>
      </c>
    </row>
    <row r="372" spans="1:9" x14ac:dyDescent="0.3">
      <c r="A372">
        <v>20160602</v>
      </c>
      <c r="B372">
        <v>84990</v>
      </c>
      <c r="C372" s="8">
        <v>155100</v>
      </c>
      <c r="D372" s="8">
        <v>152700</v>
      </c>
      <c r="E372">
        <v>146234</v>
      </c>
      <c r="F372" s="8">
        <v>14306260</v>
      </c>
      <c r="G372" s="1">
        <v>2184565902000</v>
      </c>
      <c r="H372" s="1">
        <v>1856881016700</v>
      </c>
      <c r="I372">
        <f t="shared" si="5"/>
        <v>0</v>
      </c>
    </row>
    <row r="373" spans="1:9" x14ac:dyDescent="0.3">
      <c r="A373">
        <v>20160603</v>
      </c>
      <c r="B373">
        <v>84990</v>
      </c>
      <c r="C373" s="8">
        <v>152700</v>
      </c>
      <c r="D373" s="8">
        <v>154800</v>
      </c>
      <c r="E373">
        <v>148245</v>
      </c>
      <c r="F373" s="8">
        <v>14306260</v>
      </c>
      <c r="G373" s="1">
        <v>2214609048000</v>
      </c>
      <c r="H373" s="1">
        <v>1882417690800</v>
      </c>
      <c r="I373">
        <f t="shared" si="5"/>
        <v>0</v>
      </c>
    </row>
    <row r="374" spans="1:9" x14ac:dyDescent="0.3">
      <c r="A374">
        <v>20160607</v>
      </c>
      <c r="B374">
        <v>84990</v>
      </c>
      <c r="C374" s="8">
        <v>154800</v>
      </c>
      <c r="D374" s="8">
        <v>157000</v>
      </c>
      <c r="E374">
        <v>150352</v>
      </c>
      <c r="F374" s="8">
        <v>14306260</v>
      </c>
      <c r="G374" s="1">
        <v>2246082820000</v>
      </c>
      <c r="H374" s="1">
        <v>1909170397000</v>
      </c>
      <c r="I374">
        <f t="shared" si="5"/>
        <v>0</v>
      </c>
    </row>
    <row r="375" spans="1:9" x14ac:dyDescent="0.3">
      <c r="A375">
        <v>20160608</v>
      </c>
      <c r="B375">
        <v>84990</v>
      </c>
      <c r="C375" s="8">
        <v>157000</v>
      </c>
      <c r="D375" s="8">
        <v>158300</v>
      </c>
      <c r="E375">
        <v>151597</v>
      </c>
      <c r="F375" s="8">
        <v>14306260</v>
      </c>
      <c r="G375" s="1">
        <v>2264680958000</v>
      </c>
      <c r="H375" s="1">
        <v>1924978814300</v>
      </c>
      <c r="I375">
        <f t="shared" si="5"/>
        <v>0</v>
      </c>
    </row>
    <row r="376" spans="1:9" x14ac:dyDescent="0.3">
      <c r="A376">
        <v>20160609</v>
      </c>
      <c r="B376">
        <v>84990</v>
      </c>
      <c r="C376" s="8">
        <v>158300</v>
      </c>
      <c r="D376" s="8">
        <v>157400</v>
      </c>
      <c r="E376">
        <v>150735</v>
      </c>
      <c r="F376" s="8">
        <v>14306260</v>
      </c>
      <c r="G376" s="1">
        <v>2251805324000</v>
      </c>
      <c r="H376" s="1">
        <v>1914034525400</v>
      </c>
      <c r="I376">
        <f t="shared" si="5"/>
        <v>0</v>
      </c>
    </row>
    <row r="377" spans="1:9" x14ac:dyDescent="0.3">
      <c r="A377">
        <v>20160610</v>
      </c>
      <c r="B377">
        <v>84990</v>
      </c>
      <c r="C377" s="8">
        <v>157400</v>
      </c>
      <c r="D377" s="8">
        <v>154500</v>
      </c>
      <c r="E377">
        <v>147958</v>
      </c>
      <c r="F377" s="8">
        <v>14306260</v>
      </c>
      <c r="G377" s="1">
        <v>2210317170000</v>
      </c>
      <c r="H377" s="1">
        <v>1878769594500</v>
      </c>
      <c r="I377">
        <f t="shared" si="5"/>
        <v>0</v>
      </c>
    </row>
    <row r="378" spans="1:9" x14ac:dyDescent="0.3">
      <c r="A378">
        <v>20160613</v>
      </c>
      <c r="B378">
        <v>84990</v>
      </c>
      <c r="C378" s="8">
        <v>154500</v>
      </c>
      <c r="D378" s="8">
        <v>146800</v>
      </c>
      <c r="E378">
        <v>140584</v>
      </c>
      <c r="F378" s="8">
        <v>14306260</v>
      </c>
      <c r="G378" s="1">
        <v>2100158968000</v>
      </c>
      <c r="H378" s="1">
        <v>1785135122800</v>
      </c>
      <c r="I378">
        <f t="shared" si="5"/>
        <v>0</v>
      </c>
    </row>
    <row r="379" spans="1:9" x14ac:dyDescent="0.3">
      <c r="A379">
        <v>20160614</v>
      </c>
      <c r="B379">
        <v>84990</v>
      </c>
      <c r="C379" s="8">
        <v>146800</v>
      </c>
      <c r="D379" s="8">
        <v>145000</v>
      </c>
      <c r="E379">
        <v>138860</v>
      </c>
      <c r="F379" s="8">
        <v>14306260</v>
      </c>
      <c r="G379" s="1">
        <v>2074407700000</v>
      </c>
      <c r="H379" s="1">
        <v>1763246545000</v>
      </c>
      <c r="I379">
        <f t="shared" si="5"/>
        <v>0</v>
      </c>
    </row>
    <row r="380" spans="1:9" x14ac:dyDescent="0.3">
      <c r="A380">
        <v>20160615</v>
      </c>
      <c r="B380">
        <v>84990</v>
      </c>
      <c r="C380" s="8">
        <v>145000</v>
      </c>
      <c r="D380" s="8">
        <v>149000</v>
      </c>
      <c r="E380">
        <v>142690</v>
      </c>
      <c r="F380" s="8">
        <v>14306260</v>
      </c>
      <c r="G380" s="1">
        <v>2131632740000</v>
      </c>
      <c r="H380" s="1">
        <v>1811887829000</v>
      </c>
      <c r="I380">
        <f t="shared" si="5"/>
        <v>0</v>
      </c>
    </row>
    <row r="381" spans="1:9" x14ac:dyDescent="0.3">
      <c r="A381">
        <v>20160616</v>
      </c>
      <c r="B381">
        <v>84990</v>
      </c>
      <c r="C381" s="8">
        <v>149000</v>
      </c>
      <c r="D381" s="8">
        <v>142400</v>
      </c>
      <c r="E381">
        <v>136370</v>
      </c>
      <c r="F381" s="8">
        <v>14306260</v>
      </c>
      <c r="G381" s="1">
        <v>2037211424000</v>
      </c>
      <c r="H381" s="1">
        <v>1731629710400</v>
      </c>
      <c r="I381">
        <f t="shared" si="5"/>
        <v>0</v>
      </c>
    </row>
    <row r="382" spans="1:9" x14ac:dyDescent="0.3">
      <c r="A382">
        <v>20160617</v>
      </c>
      <c r="B382">
        <v>84990</v>
      </c>
      <c r="C382" s="8">
        <v>142400</v>
      </c>
      <c r="D382" s="8">
        <v>142500</v>
      </c>
      <c r="E382">
        <v>136465</v>
      </c>
      <c r="F382" s="8">
        <v>14306260</v>
      </c>
      <c r="G382" s="1">
        <v>2038642050000</v>
      </c>
      <c r="H382" s="1">
        <v>1732845742500</v>
      </c>
      <c r="I382">
        <f t="shared" si="5"/>
        <v>0</v>
      </c>
    </row>
    <row r="383" spans="1:9" x14ac:dyDescent="0.3">
      <c r="A383">
        <v>20160620</v>
      </c>
      <c r="B383">
        <v>84990</v>
      </c>
      <c r="C383" s="8">
        <v>142500</v>
      </c>
      <c r="D383" s="8">
        <v>143100</v>
      </c>
      <c r="E383">
        <v>137040</v>
      </c>
      <c r="F383" s="8">
        <v>14306260</v>
      </c>
      <c r="G383" s="1">
        <v>2047225806000</v>
      </c>
      <c r="H383" s="1">
        <v>1740141935100</v>
      </c>
      <c r="I383">
        <f t="shared" si="5"/>
        <v>0</v>
      </c>
    </row>
    <row r="384" spans="1:9" x14ac:dyDescent="0.3">
      <c r="A384">
        <v>20160621</v>
      </c>
      <c r="B384">
        <v>84990</v>
      </c>
      <c r="C384" s="8">
        <v>143100</v>
      </c>
      <c r="D384" s="8">
        <v>147100</v>
      </c>
      <c r="E384">
        <v>140871</v>
      </c>
      <c r="F384" s="8">
        <v>14306260</v>
      </c>
      <c r="G384" s="1">
        <v>2104450846000</v>
      </c>
      <c r="H384" s="1">
        <v>1788783219100</v>
      </c>
      <c r="I384">
        <f t="shared" si="5"/>
        <v>0</v>
      </c>
    </row>
    <row r="385" spans="1:9" x14ac:dyDescent="0.3">
      <c r="A385">
        <v>20160622</v>
      </c>
      <c r="B385">
        <v>84990</v>
      </c>
      <c r="C385" s="8">
        <v>147100</v>
      </c>
      <c r="D385" s="8">
        <v>143500</v>
      </c>
      <c r="E385">
        <v>137423</v>
      </c>
      <c r="F385" s="8">
        <v>14306260</v>
      </c>
      <c r="G385" s="1">
        <v>2052948310000</v>
      </c>
      <c r="H385" s="1">
        <v>1745006063500</v>
      </c>
      <c r="I385">
        <f t="shared" si="5"/>
        <v>0</v>
      </c>
    </row>
    <row r="386" spans="1:9" x14ac:dyDescent="0.3">
      <c r="A386">
        <v>20160623</v>
      </c>
      <c r="B386">
        <v>84990</v>
      </c>
      <c r="C386" s="8">
        <v>143500</v>
      </c>
      <c r="D386" s="8">
        <v>139600</v>
      </c>
      <c r="E386">
        <v>133689</v>
      </c>
      <c r="F386" s="8">
        <v>14306260</v>
      </c>
      <c r="G386" s="1">
        <v>1997153896000</v>
      </c>
      <c r="H386" s="1">
        <v>1697580811600</v>
      </c>
      <c r="I386">
        <f t="shared" si="5"/>
        <v>0</v>
      </c>
    </row>
    <row r="387" spans="1:9" x14ac:dyDescent="0.3">
      <c r="A387">
        <v>20160624</v>
      </c>
      <c r="B387">
        <v>84990</v>
      </c>
      <c r="C387" s="8">
        <v>139600</v>
      </c>
      <c r="D387" s="8">
        <v>132000</v>
      </c>
      <c r="E387">
        <v>126410</v>
      </c>
      <c r="F387" s="8">
        <v>14306260</v>
      </c>
      <c r="G387" s="1">
        <v>1888426320000</v>
      </c>
      <c r="H387" s="1">
        <v>1605162372000</v>
      </c>
      <c r="I387">
        <f t="shared" ref="I387:I450" si="6">IF(C387*F387=D386*F386,0,1)</f>
        <v>0</v>
      </c>
    </row>
    <row r="388" spans="1:9" x14ac:dyDescent="0.3">
      <c r="A388">
        <v>20160627</v>
      </c>
      <c r="B388">
        <v>84990</v>
      </c>
      <c r="C388" s="8">
        <v>132000</v>
      </c>
      <c r="D388" s="8">
        <v>133000</v>
      </c>
      <c r="E388">
        <v>127368</v>
      </c>
      <c r="F388" s="8">
        <v>14306260</v>
      </c>
      <c r="G388" s="1">
        <v>1902732580000</v>
      </c>
      <c r="H388" s="1">
        <v>1617322693000</v>
      </c>
      <c r="I388">
        <f t="shared" si="6"/>
        <v>0</v>
      </c>
    </row>
    <row r="389" spans="1:9" x14ac:dyDescent="0.3">
      <c r="A389">
        <v>20160628</v>
      </c>
      <c r="B389">
        <v>84990</v>
      </c>
      <c r="C389" s="8">
        <v>133000</v>
      </c>
      <c r="D389" s="8">
        <v>137800</v>
      </c>
      <c r="E389">
        <v>131965</v>
      </c>
      <c r="F389" s="8">
        <v>14306260</v>
      </c>
      <c r="G389" s="1">
        <v>1971402628000</v>
      </c>
      <c r="H389" s="1">
        <v>1675692233800</v>
      </c>
      <c r="I389">
        <f t="shared" si="6"/>
        <v>0</v>
      </c>
    </row>
    <row r="390" spans="1:9" x14ac:dyDescent="0.3">
      <c r="A390">
        <v>20160629</v>
      </c>
      <c r="B390">
        <v>84990</v>
      </c>
      <c r="C390" s="8">
        <v>137800</v>
      </c>
      <c r="D390" s="8">
        <v>138100</v>
      </c>
      <c r="E390">
        <v>132252</v>
      </c>
      <c r="F390" s="8">
        <v>14306260</v>
      </c>
      <c r="G390" s="1">
        <v>1975694506000</v>
      </c>
      <c r="H390" s="1">
        <v>1679340330100</v>
      </c>
      <c r="I390">
        <f t="shared" si="6"/>
        <v>0</v>
      </c>
    </row>
    <row r="391" spans="1:9" x14ac:dyDescent="0.3">
      <c r="A391">
        <v>20160630</v>
      </c>
      <c r="B391">
        <v>84990</v>
      </c>
      <c r="C391" s="8">
        <v>138100</v>
      </c>
      <c r="D391" s="8">
        <v>141500</v>
      </c>
      <c r="E391">
        <v>135509</v>
      </c>
      <c r="F391" s="8">
        <v>14306260</v>
      </c>
      <c r="G391" s="1">
        <v>2024335790000</v>
      </c>
      <c r="H391" s="1">
        <v>1720685421500</v>
      </c>
      <c r="I391">
        <f t="shared" si="6"/>
        <v>0</v>
      </c>
    </row>
    <row r="392" spans="1:9" x14ac:dyDescent="0.3">
      <c r="A392">
        <v>20160701</v>
      </c>
      <c r="B392">
        <v>84990</v>
      </c>
      <c r="C392" s="8">
        <v>141500</v>
      </c>
      <c r="D392" s="8">
        <v>144400</v>
      </c>
      <c r="E392">
        <v>138286</v>
      </c>
      <c r="F392" s="8">
        <v>14306260</v>
      </c>
      <c r="G392" s="1">
        <v>2065823944000</v>
      </c>
      <c r="H392" s="1">
        <v>1755950352400</v>
      </c>
      <c r="I392">
        <f t="shared" si="6"/>
        <v>0</v>
      </c>
    </row>
    <row r="393" spans="1:9" x14ac:dyDescent="0.3">
      <c r="A393">
        <v>20160704</v>
      </c>
      <c r="B393">
        <v>84990</v>
      </c>
      <c r="C393" s="8">
        <v>144400</v>
      </c>
      <c r="D393" s="8">
        <v>143600</v>
      </c>
      <c r="E393">
        <v>137519</v>
      </c>
      <c r="F393" s="8">
        <v>14306260</v>
      </c>
      <c r="G393" s="1">
        <v>2054378936000</v>
      </c>
      <c r="H393" s="1">
        <v>1746222095600</v>
      </c>
      <c r="I393">
        <f t="shared" si="6"/>
        <v>0</v>
      </c>
    </row>
    <row r="394" spans="1:9" x14ac:dyDescent="0.3">
      <c r="A394">
        <v>20160705</v>
      </c>
      <c r="B394">
        <v>84990</v>
      </c>
      <c r="C394" s="8">
        <v>143600</v>
      </c>
      <c r="D394" s="8">
        <v>146100</v>
      </c>
      <c r="E394">
        <v>139914</v>
      </c>
      <c r="F394" s="8">
        <v>14306260</v>
      </c>
      <c r="G394" s="1">
        <v>2090144586000</v>
      </c>
      <c r="H394" s="1">
        <v>1776622898100</v>
      </c>
      <c r="I394">
        <f t="shared" si="6"/>
        <v>0</v>
      </c>
    </row>
    <row r="395" spans="1:9" x14ac:dyDescent="0.3">
      <c r="A395">
        <v>20160706</v>
      </c>
      <c r="B395">
        <v>84990</v>
      </c>
      <c r="C395" s="8">
        <v>146100</v>
      </c>
      <c r="D395" s="8">
        <v>143700</v>
      </c>
      <c r="E395">
        <v>137615</v>
      </c>
      <c r="F395" s="8">
        <v>14306260</v>
      </c>
      <c r="G395" s="1">
        <v>2055809562000</v>
      </c>
      <c r="H395" s="1">
        <v>1747438127700</v>
      </c>
      <c r="I395">
        <f t="shared" si="6"/>
        <v>0</v>
      </c>
    </row>
    <row r="396" spans="1:9" x14ac:dyDescent="0.3">
      <c r="A396">
        <v>20160707</v>
      </c>
      <c r="B396">
        <v>84990</v>
      </c>
      <c r="C396" s="8">
        <v>143700</v>
      </c>
      <c r="D396" s="8">
        <v>147500</v>
      </c>
      <c r="E396">
        <v>141254</v>
      </c>
      <c r="F396" s="8">
        <v>14306260</v>
      </c>
      <c r="G396" s="1">
        <v>2110173350000</v>
      </c>
      <c r="H396" s="1">
        <v>1793647347500</v>
      </c>
      <c r="I396">
        <f t="shared" si="6"/>
        <v>0</v>
      </c>
    </row>
    <row r="397" spans="1:9" x14ac:dyDescent="0.3">
      <c r="A397">
        <v>20160708</v>
      </c>
      <c r="B397">
        <v>84990</v>
      </c>
      <c r="C397" s="8">
        <v>147500</v>
      </c>
      <c r="D397" s="8">
        <v>143900</v>
      </c>
      <c r="E397">
        <v>137807</v>
      </c>
      <c r="F397" s="8">
        <v>14306260</v>
      </c>
      <c r="G397" s="1">
        <v>2058670814000</v>
      </c>
      <c r="H397" s="1">
        <v>1749870191900</v>
      </c>
      <c r="I397">
        <f t="shared" si="6"/>
        <v>0</v>
      </c>
    </row>
    <row r="398" spans="1:9" x14ac:dyDescent="0.3">
      <c r="A398">
        <v>20160711</v>
      </c>
      <c r="B398">
        <v>84990</v>
      </c>
      <c r="C398" s="8">
        <v>143900</v>
      </c>
      <c r="D398" s="8">
        <v>143700</v>
      </c>
      <c r="E398">
        <v>137615</v>
      </c>
      <c r="F398" s="8">
        <v>14306260</v>
      </c>
      <c r="G398" s="1">
        <v>2055809562000</v>
      </c>
      <c r="H398" s="1">
        <v>1747438127700</v>
      </c>
      <c r="I398">
        <f t="shared" si="6"/>
        <v>0</v>
      </c>
    </row>
    <row r="399" spans="1:9" x14ac:dyDescent="0.3">
      <c r="A399">
        <v>20160712</v>
      </c>
      <c r="B399">
        <v>84990</v>
      </c>
      <c r="C399" s="8">
        <v>143700</v>
      </c>
      <c r="D399" s="8">
        <v>143900</v>
      </c>
      <c r="E399">
        <v>137807</v>
      </c>
      <c r="F399" s="8">
        <v>14306260</v>
      </c>
      <c r="G399" s="1">
        <v>2058670814000</v>
      </c>
      <c r="H399" s="1">
        <v>1749870191900</v>
      </c>
      <c r="I399">
        <f t="shared" si="6"/>
        <v>0</v>
      </c>
    </row>
    <row r="400" spans="1:9" x14ac:dyDescent="0.3">
      <c r="A400">
        <v>20160713</v>
      </c>
      <c r="B400">
        <v>84990</v>
      </c>
      <c r="C400" s="8">
        <v>143900</v>
      </c>
      <c r="D400" s="8">
        <v>143700</v>
      </c>
      <c r="E400">
        <v>137615</v>
      </c>
      <c r="F400" s="8">
        <v>14306260</v>
      </c>
      <c r="G400" s="1">
        <v>2055809562000</v>
      </c>
      <c r="H400" s="1">
        <v>1742298553500</v>
      </c>
      <c r="I400">
        <f t="shared" si="6"/>
        <v>0</v>
      </c>
    </row>
    <row r="401" spans="1:9" x14ac:dyDescent="0.3">
      <c r="A401">
        <v>20160714</v>
      </c>
      <c r="B401">
        <v>84990</v>
      </c>
      <c r="C401" s="8">
        <v>143700</v>
      </c>
      <c r="D401" s="8">
        <v>142300</v>
      </c>
      <c r="E401">
        <v>136274</v>
      </c>
      <c r="F401" s="8">
        <v>14306260</v>
      </c>
      <c r="G401" s="1">
        <v>2035780798000</v>
      </c>
      <c r="H401" s="1">
        <v>1725324176500</v>
      </c>
      <c r="I401">
        <f t="shared" si="6"/>
        <v>0</v>
      </c>
    </row>
    <row r="402" spans="1:9" x14ac:dyDescent="0.3">
      <c r="A402">
        <v>20160715</v>
      </c>
      <c r="B402">
        <v>84990</v>
      </c>
      <c r="C402" s="8">
        <v>142300</v>
      </c>
      <c r="D402" s="8">
        <v>139800</v>
      </c>
      <c r="E402">
        <v>133880</v>
      </c>
      <c r="F402" s="8">
        <v>14306260</v>
      </c>
      <c r="G402" s="1">
        <v>2000015148000</v>
      </c>
      <c r="H402" s="1">
        <v>1695012789000</v>
      </c>
      <c r="I402">
        <f t="shared" si="6"/>
        <v>0</v>
      </c>
    </row>
    <row r="403" spans="1:9" x14ac:dyDescent="0.3">
      <c r="A403">
        <v>20160718</v>
      </c>
      <c r="B403">
        <v>84990</v>
      </c>
      <c r="C403" s="8">
        <v>139800</v>
      </c>
      <c r="D403" s="8">
        <v>138100</v>
      </c>
      <c r="E403">
        <v>132252</v>
      </c>
      <c r="F403" s="8">
        <v>14306260</v>
      </c>
      <c r="G403" s="1">
        <v>1975694506000</v>
      </c>
      <c r="H403" s="1">
        <v>1674401045500</v>
      </c>
      <c r="I403">
        <f t="shared" si="6"/>
        <v>0</v>
      </c>
    </row>
    <row r="404" spans="1:9" x14ac:dyDescent="0.3">
      <c r="A404">
        <v>20160719</v>
      </c>
      <c r="B404">
        <v>84990</v>
      </c>
      <c r="C404" s="8">
        <v>138100</v>
      </c>
      <c r="D404" s="8">
        <v>138500</v>
      </c>
      <c r="E404">
        <v>132635</v>
      </c>
      <c r="F404" s="8">
        <v>14306260</v>
      </c>
      <c r="G404" s="1">
        <v>1981417010000</v>
      </c>
      <c r="H404" s="1">
        <v>1679250867500</v>
      </c>
      <c r="I404">
        <f t="shared" si="6"/>
        <v>0</v>
      </c>
    </row>
    <row r="405" spans="1:9" x14ac:dyDescent="0.3">
      <c r="A405">
        <v>20160720</v>
      </c>
      <c r="B405">
        <v>84990</v>
      </c>
      <c r="C405" s="8">
        <v>138500</v>
      </c>
      <c r="D405" s="8">
        <v>143000</v>
      </c>
      <c r="E405">
        <v>136944</v>
      </c>
      <c r="F405" s="8">
        <v>14306260</v>
      </c>
      <c r="G405" s="1">
        <v>2045795180000</v>
      </c>
      <c r="H405" s="1">
        <v>1733811365000</v>
      </c>
      <c r="I405">
        <f t="shared" si="6"/>
        <v>0</v>
      </c>
    </row>
    <row r="406" spans="1:9" x14ac:dyDescent="0.3">
      <c r="A406">
        <v>20160721</v>
      </c>
      <c r="B406">
        <v>84990</v>
      </c>
      <c r="C406" s="8">
        <v>143000</v>
      </c>
      <c r="D406" s="8">
        <v>140200</v>
      </c>
      <c r="E406">
        <v>134263</v>
      </c>
      <c r="F406" s="8">
        <v>14306260</v>
      </c>
      <c r="G406" s="1">
        <v>2005737652000</v>
      </c>
      <c r="H406" s="1">
        <v>1699862611000</v>
      </c>
      <c r="I406">
        <f t="shared" si="6"/>
        <v>0</v>
      </c>
    </row>
    <row r="407" spans="1:9" x14ac:dyDescent="0.3">
      <c r="A407">
        <v>20160722</v>
      </c>
      <c r="B407">
        <v>84990</v>
      </c>
      <c r="C407" s="8">
        <v>140200</v>
      </c>
      <c r="D407" s="8">
        <v>124800</v>
      </c>
      <c r="E407">
        <v>119515</v>
      </c>
      <c r="F407" s="8">
        <v>14306260</v>
      </c>
      <c r="G407" s="1">
        <v>1785421248000</v>
      </c>
      <c r="H407" s="1">
        <v>1513144464000</v>
      </c>
      <c r="I407">
        <f t="shared" si="6"/>
        <v>0</v>
      </c>
    </row>
    <row r="408" spans="1:9" x14ac:dyDescent="0.3">
      <c r="A408">
        <v>20160725</v>
      </c>
      <c r="B408">
        <v>84990</v>
      </c>
      <c r="C408" s="8">
        <v>124800</v>
      </c>
      <c r="D408" s="8">
        <v>125600</v>
      </c>
      <c r="E408">
        <v>120282</v>
      </c>
      <c r="F408" s="8">
        <v>14306260</v>
      </c>
      <c r="G408" s="1">
        <v>1796866256000</v>
      </c>
      <c r="H408" s="1">
        <v>1522844108000</v>
      </c>
      <c r="I408">
        <f t="shared" si="6"/>
        <v>0</v>
      </c>
    </row>
    <row r="409" spans="1:9" x14ac:dyDescent="0.3">
      <c r="A409">
        <v>20160726</v>
      </c>
      <c r="B409">
        <v>84990</v>
      </c>
      <c r="C409" s="8">
        <v>125600</v>
      </c>
      <c r="D409" s="8">
        <v>127600</v>
      </c>
      <c r="E409">
        <v>122196</v>
      </c>
      <c r="F409" s="8">
        <v>14306260</v>
      </c>
      <c r="G409" s="1">
        <v>1825478776000</v>
      </c>
      <c r="H409" s="1">
        <v>1547093218000</v>
      </c>
      <c r="I409">
        <f t="shared" si="6"/>
        <v>0</v>
      </c>
    </row>
    <row r="410" spans="1:9" x14ac:dyDescent="0.3">
      <c r="A410">
        <v>20160727</v>
      </c>
      <c r="B410">
        <v>84990</v>
      </c>
      <c r="C410" s="8">
        <v>127600</v>
      </c>
      <c r="D410" s="8">
        <v>125000</v>
      </c>
      <c r="E410">
        <v>119707</v>
      </c>
      <c r="F410" s="8">
        <v>14306260</v>
      </c>
      <c r="G410" s="1">
        <v>1788282500000</v>
      </c>
      <c r="H410" s="1">
        <v>1515569375000</v>
      </c>
      <c r="I410">
        <f t="shared" si="6"/>
        <v>0</v>
      </c>
    </row>
    <row r="411" spans="1:9" x14ac:dyDescent="0.3">
      <c r="A411">
        <v>20160728</v>
      </c>
      <c r="B411">
        <v>84990</v>
      </c>
      <c r="C411" s="8">
        <v>125000</v>
      </c>
      <c r="D411" s="8">
        <v>126400</v>
      </c>
      <c r="E411">
        <v>121047</v>
      </c>
      <c r="F411" s="8">
        <v>14306260</v>
      </c>
      <c r="G411" s="1">
        <v>1808311264000</v>
      </c>
      <c r="H411" s="1">
        <v>1532543752000</v>
      </c>
      <c r="I411">
        <f t="shared" si="6"/>
        <v>0</v>
      </c>
    </row>
    <row r="412" spans="1:9" x14ac:dyDescent="0.3">
      <c r="A412">
        <v>20160729</v>
      </c>
      <c r="B412">
        <v>84990</v>
      </c>
      <c r="C412" s="8">
        <v>126400</v>
      </c>
      <c r="D412" s="8">
        <v>127300</v>
      </c>
      <c r="E412">
        <v>121910</v>
      </c>
      <c r="F412" s="8">
        <v>14306260</v>
      </c>
      <c r="G412" s="1">
        <v>1821186898000</v>
      </c>
      <c r="H412" s="1">
        <v>1543455851500</v>
      </c>
      <c r="I412">
        <f t="shared" si="6"/>
        <v>0</v>
      </c>
    </row>
    <row r="413" spans="1:9" x14ac:dyDescent="0.3">
      <c r="A413">
        <v>20160801</v>
      </c>
      <c r="B413">
        <v>84990</v>
      </c>
      <c r="C413" s="8">
        <v>127300</v>
      </c>
      <c r="D413" s="8">
        <v>127000</v>
      </c>
      <c r="E413">
        <v>121622</v>
      </c>
      <c r="F413" s="8">
        <v>14306260</v>
      </c>
      <c r="G413" s="1">
        <v>1816895020000</v>
      </c>
      <c r="H413" s="1">
        <v>1539818485000</v>
      </c>
      <c r="I413">
        <f t="shared" si="6"/>
        <v>0</v>
      </c>
    </row>
    <row r="414" spans="1:9" x14ac:dyDescent="0.3">
      <c r="A414">
        <v>20160802</v>
      </c>
      <c r="B414">
        <v>84990</v>
      </c>
      <c r="C414" s="8">
        <v>127000</v>
      </c>
      <c r="D414" s="8">
        <v>125100</v>
      </c>
      <c r="E414">
        <v>119803</v>
      </c>
      <c r="F414" s="8">
        <v>14306260</v>
      </c>
      <c r="G414" s="1">
        <v>1789713126000</v>
      </c>
      <c r="H414" s="1">
        <v>1516781830500</v>
      </c>
      <c r="I414">
        <f t="shared" si="6"/>
        <v>0</v>
      </c>
    </row>
    <row r="415" spans="1:9" x14ac:dyDescent="0.3">
      <c r="A415">
        <v>20160803</v>
      </c>
      <c r="B415">
        <v>84990</v>
      </c>
      <c r="C415" s="8">
        <v>125100</v>
      </c>
      <c r="D415" s="8">
        <v>121700</v>
      </c>
      <c r="E415">
        <v>116547</v>
      </c>
      <c r="F415" s="8">
        <v>14306260</v>
      </c>
      <c r="G415" s="1">
        <v>1741071842000</v>
      </c>
      <c r="H415" s="1">
        <v>1475558343500</v>
      </c>
      <c r="I415">
        <f t="shared" si="6"/>
        <v>0</v>
      </c>
    </row>
    <row r="416" spans="1:9" x14ac:dyDescent="0.3">
      <c r="A416">
        <v>20160804</v>
      </c>
      <c r="B416">
        <v>84990</v>
      </c>
      <c r="C416" s="8">
        <v>121700</v>
      </c>
      <c r="D416" s="8">
        <v>122000</v>
      </c>
      <c r="E416">
        <v>116834</v>
      </c>
      <c r="F416" s="8">
        <v>14306260</v>
      </c>
      <c r="G416" s="1">
        <v>1745363720000</v>
      </c>
      <c r="H416" s="1">
        <v>1479195710000</v>
      </c>
      <c r="I416">
        <f t="shared" si="6"/>
        <v>0</v>
      </c>
    </row>
    <row r="417" spans="1:9" x14ac:dyDescent="0.3">
      <c r="A417">
        <v>20160805</v>
      </c>
      <c r="B417">
        <v>84990</v>
      </c>
      <c r="C417" s="8">
        <v>122000</v>
      </c>
      <c r="D417" s="8">
        <v>119500</v>
      </c>
      <c r="E417">
        <v>114440</v>
      </c>
      <c r="F417" s="8">
        <v>14306260</v>
      </c>
      <c r="G417" s="1">
        <v>1709598070000</v>
      </c>
      <c r="H417" s="1">
        <v>1448884322500</v>
      </c>
      <c r="I417">
        <f t="shared" si="6"/>
        <v>0</v>
      </c>
    </row>
    <row r="418" spans="1:9" x14ac:dyDescent="0.3">
      <c r="A418">
        <v>20160808</v>
      </c>
      <c r="B418">
        <v>84990</v>
      </c>
      <c r="C418" s="8">
        <v>119500</v>
      </c>
      <c r="D418" s="8">
        <v>121500</v>
      </c>
      <c r="E418">
        <v>116355</v>
      </c>
      <c r="F418" s="8">
        <v>14306260</v>
      </c>
      <c r="G418" s="1">
        <v>1738210590000</v>
      </c>
      <c r="H418" s="1">
        <v>1473133432500</v>
      </c>
      <c r="I418">
        <f t="shared" si="6"/>
        <v>0</v>
      </c>
    </row>
    <row r="419" spans="1:9" x14ac:dyDescent="0.3">
      <c r="A419">
        <v>20160809</v>
      </c>
      <c r="B419">
        <v>84990</v>
      </c>
      <c r="C419" s="8">
        <v>121500</v>
      </c>
      <c r="D419" s="8">
        <v>123800</v>
      </c>
      <c r="E419">
        <v>118557</v>
      </c>
      <c r="F419" s="8">
        <v>14306260</v>
      </c>
      <c r="G419" s="1">
        <v>1771114988000</v>
      </c>
      <c r="H419" s="1">
        <v>1501019909000</v>
      </c>
      <c r="I419">
        <f t="shared" si="6"/>
        <v>0</v>
      </c>
    </row>
    <row r="420" spans="1:9" x14ac:dyDescent="0.3">
      <c r="A420">
        <v>20160810</v>
      </c>
      <c r="B420">
        <v>84990</v>
      </c>
      <c r="C420" s="8">
        <v>123800</v>
      </c>
      <c r="D420" s="8">
        <v>126500</v>
      </c>
      <c r="E420">
        <v>121143</v>
      </c>
      <c r="F420" s="8">
        <v>14306260</v>
      </c>
      <c r="G420" s="1">
        <v>1809741890000</v>
      </c>
      <c r="H420" s="1">
        <v>1533756207500</v>
      </c>
      <c r="I420">
        <f t="shared" si="6"/>
        <v>0</v>
      </c>
    </row>
    <row r="421" spans="1:9" x14ac:dyDescent="0.3">
      <c r="A421">
        <v>20160811</v>
      </c>
      <c r="B421">
        <v>84990</v>
      </c>
      <c r="C421" s="8">
        <v>126500</v>
      </c>
      <c r="D421" s="8">
        <v>125600</v>
      </c>
      <c r="E421">
        <v>120282</v>
      </c>
      <c r="F421" s="8">
        <v>14306260</v>
      </c>
      <c r="G421" s="1">
        <v>1796866256000</v>
      </c>
      <c r="H421" s="1">
        <v>1522844108000</v>
      </c>
      <c r="I421">
        <f t="shared" si="6"/>
        <v>0</v>
      </c>
    </row>
    <row r="422" spans="1:9" x14ac:dyDescent="0.3">
      <c r="A422">
        <v>20160812</v>
      </c>
      <c r="B422">
        <v>84990</v>
      </c>
      <c r="C422" s="8">
        <v>125600</v>
      </c>
      <c r="D422" s="8">
        <v>125400</v>
      </c>
      <c r="E422">
        <v>120090</v>
      </c>
      <c r="F422" s="8">
        <v>14306260</v>
      </c>
      <c r="G422" s="1">
        <v>1794005004000</v>
      </c>
      <c r="H422" s="1">
        <v>1520419197000</v>
      </c>
      <c r="I422">
        <f t="shared" si="6"/>
        <v>0</v>
      </c>
    </row>
    <row r="423" spans="1:9" x14ac:dyDescent="0.3">
      <c r="A423">
        <v>20160816</v>
      </c>
      <c r="B423">
        <v>84990</v>
      </c>
      <c r="C423" s="8">
        <v>125400</v>
      </c>
      <c r="D423" s="8">
        <v>124900</v>
      </c>
      <c r="E423">
        <v>119611</v>
      </c>
      <c r="F423" s="8">
        <v>14306260</v>
      </c>
      <c r="G423" s="1">
        <v>1786851874000</v>
      </c>
      <c r="H423" s="1">
        <v>1514356919500</v>
      </c>
      <c r="I423">
        <f t="shared" si="6"/>
        <v>0</v>
      </c>
    </row>
    <row r="424" spans="1:9" x14ac:dyDescent="0.3">
      <c r="A424">
        <v>20160817</v>
      </c>
      <c r="B424">
        <v>84990</v>
      </c>
      <c r="C424" s="8">
        <v>124900</v>
      </c>
      <c r="D424" s="8">
        <v>122500</v>
      </c>
      <c r="E424">
        <v>117313</v>
      </c>
      <c r="F424" s="8">
        <v>14306260</v>
      </c>
      <c r="G424" s="1">
        <v>1752516850000</v>
      </c>
      <c r="H424" s="1">
        <v>1485257987500</v>
      </c>
      <c r="I424">
        <f t="shared" si="6"/>
        <v>0</v>
      </c>
    </row>
    <row r="425" spans="1:9" x14ac:dyDescent="0.3">
      <c r="A425">
        <v>20160818</v>
      </c>
      <c r="B425">
        <v>84990</v>
      </c>
      <c r="C425" s="8">
        <v>122500</v>
      </c>
      <c r="D425" s="8">
        <v>122500</v>
      </c>
      <c r="E425">
        <v>117313</v>
      </c>
      <c r="F425" s="8">
        <v>14306260</v>
      </c>
      <c r="G425" s="1">
        <v>1752516850000</v>
      </c>
      <c r="H425" s="1">
        <v>1485257987500</v>
      </c>
      <c r="I425">
        <f t="shared" si="6"/>
        <v>0</v>
      </c>
    </row>
    <row r="426" spans="1:9" x14ac:dyDescent="0.3">
      <c r="A426">
        <v>20160819</v>
      </c>
      <c r="B426">
        <v>84990</v>
      </c>
      <c r="C426" s="8">
        <v>122500</v>
      </c>
      <c r="D426" s="8">
        <v>122000</v>
      </c>
      <c r="E426">
        <v>116834</v>
      </c>
      <c r="F426" s="8">
        <v>14306260</v>
      </c>
      <c r="G426" s="1">
        <v>1745363720000</v>
      </c>
      <c r="H426" s="1">
        <v>1479195710000</v>
      </c>
      <c r="I426">
        <f t="shared" si="6"/>
        <v>0</v>
      </c>
    </row>
    <row r="427" spans="1:9" x14ac:dyDescent="0.3">
      <c r="A427">
        <v>20160822</v>
      </c>
      <c r="B427">
        <v>84990</v>
      </c>
      <c r="C427" s="8">
        <v>122000</v>
      </c>
      <c r="D427" s="8">
        <v>120600</v>
      </c>
      <c r="E427">
        <v>115493</v>
      </c>
      <c r="F427" s="8">
        <v>14306260</v>
      </c>
      <c r="G427" s="1">
        <v>1725334956000</v>
      </c>
      <c r="H427" s="1">
        <v>1462221333000</v>
      </c>
      <c r="I427">
        <f t="shared" si="6"/>
        <v>0</v>
      </c>
    </row>
    <row r="428" spans="1:9" x14ac:dyDescent="0.3">
      <c r="A428">
        <v>20160823</v>
      </c>
      <c r="B428">
        <v>84990</v>
      </c>
      <c r="C428" s="8">
        <v>120600</v>
      </c>
      <c r="D428" s="8">
        <v>122400</v>
      </c>
      <c r="E428">
        <v>117217</v>
      </c>
      <c r="F428" s="8">
        <v>14306260</v>
      </c>
      <c r="G428" s="1">
        <v>1751086224000</v>
      </c>
      <c r="H428" s="1">
        <v>1484045532000</v>
      </c>
      <c r="I428">
        <f t="shared" si="6"/>
        <v>0</v>
      </c>
    </row>
    <row r="429" spans="1:9" x14ac:dyDescent="0.3">
      <c r="A429">
        <v>20160824</v>
      </c>
      <c r="B429">
        <v>84990</v>
      </c>
      <c r="C429" s="8">
        <v>122400</v>
      </c>
      <c r="D429" s="8">
        <v>125900</v>
      </c>
      <c r="E429">
        <v>120568</v>
      </c>
      <c r="F429" s="8">
        <v>14306260</v>
      </c>
      <c r="G429" s="1">
        <v>1801158134000</v>
      </c>
      <c r="H429" s="1">
        <v>1526481474500</v>
      </c>
      <c r="I429">
        <f t="shared" si="6"/>
        <v>0</v>
      </c>
    </row>
    <row r="430" spans="1:9" x14ac:dyDescent="0.3">
      <c r="A430">
        <v>20160825</v>
      </c>
      <c r="B430">
        <v>84990</v>
      </c>
      <c r="C430" s="8">
        <v>125900</v>
      </c>
      <c r="D430" s="8">
        <v>127000</v>
      </c>
      <c r="E430">
        <v>121622</v>
      </c>
      <c r="F430" s="8">
        <v>14306260</v>
      </c>
      <c r="G430" s="1">
        <v>1816895020000</v>
      </c>
      <c r="H430" s="1">
        <v>1539818485000</v>
      </c>
      <c r="I430">
        <f t="shared" si="6"/>
        <v>0</v>
      </c>
    </row>
    <row r="431" spans="1:9" x14ac:dyDescent="0.3">
      <c r="A431">
        <v>20160826</v>
      </c>
      <c r="B431">
        <v>84990</v>
      </c>
      <c r="C431" s="8">
        <v>127000</v>
      </c>
      <c r="D431" s="8">
        <v>125000</v>
      </c>
      <c r="E431">
        <v>119707</v>
      </c>
      <c r="F431" s="8">
        <v>14306260</v>
      </c>
      <c r="G431" s="1">
        <v>1788282500000</v>
      </c>
      <c r="H431" s="1">
        <v>1515569375000</v>
      </c>
      <c r="I431">
        <f t="shared" si="6"/>
        <v>0</v>
      </c>
    </row>
    <row r="432" spans="1:9" x14ac:dyDescent="0.3">
      <c r="A432">
        <v>20160829</v>
      </c>
      <c r="B432">
        <v>84990</v>
      </c>
      <c r="C432" s="8">
        <v>125000</v>
      </c>
      <c r="D432" s="8">
        <v>120700</v>
      </c>
      <c r="E432">
        <v>115589</v>
      </c>
      <c r="F432" s="8">
        <v>14306260</v>
      </c>
      <c r="G432" s="1">
        <v>1726765582000</v>
      </c>
      <c r="H432" s="1">
        <v>1463433788500</v>
      </c>
      <c r="I432">
        <f t="shared" si="6"/>
        <v>0</v>
      </c>
    </row>
    <row r="433" spans="1:10" x14ac:dyDescent="0.3">
      <c r="A433">
        <v>20160830</v>
      </c>
      <c r="B433">
        <v>84990</v>
      </c>
      <c r="C433" s="8">
        <v>120700</v>
      </c>
      <c r="D433" s="8">
        <v>120000</v>
      </c>
      <c r="E433">
        <v>114918</v>
      </c>
      <c r="F433" s="8">
        <v>14306260</v>
      </c>
      <c r="G433" s="1">
        <v>1716751200000</v>
      </c>
      <c r="H433" s="1">
        <v>1454946600000</v>
      </c>
      <c r="I433">
        <f t="shared" si="6"/>
        <v>0</v>
      </c>
    </row>
    <row r="434" spans="1:10" x14ac:dyDescent="0.3">
      <c r="A434">
        <v>20160831</v>
      </c>
      <c r="B434">
        <v>84990</v>
      </c>
      <c r="C434" s="8">
        <v>120000</v>
      </c>
      <c r="D434" s="8">
        <v>118200</v>
      </c>
      <c r="E434">
        <v>113194</v>
      </c>
      <c r="F434" s="8">
        <v>14306260</v>
      </c>
      <c r="G434" s="1">
        <v>1690999932000</v>
      </c>
      <c r="H434" s="1">
        <v>1433122401000</v>
      </c>
      <c r="I434">
        <f t="shared" si="6"/>
        <v>0</v>
      </c>
    </row>
    <row r="435" spans="1:10" x14ac:dyDescent="0.3">
      <c r="A435">
        <v>20160901</v>
      </c>
      <c r="B435">
        <v>84990</v>
      </c>
      <c r="C435" s="8">
        <v>118200</v>
      </c>
      <c r="D435" s="8">
        <v>121500</v>
      </c>
      <c r="E435">
        <v>116355</v>
      </c>
      <c r="F435" s="8">
        <v>14306260</v>
      </c>
      <c r="G435" s="1">
        <v>1738210590000</v>
      </c>
      <c r="H435" s="1">
        <v>1473133432500</v>
      </c>
      <c r="I435">
        <f t="shared" si="6"/>
        <v>0</v>
      </c>
    </row>
    <row r="436" spans="1:10" x14ac:dyDescent="0.3">
      <c r="A436">
        <v>20160902</v>
      </c>
      <c r="B436">
        <v>84990</v>
      </c>
      <c r="C436" s="8">
        <v>121500</v>
      </c>
      <c r="D436" s="8">
        <v>124200</v>
      </c>
      <c r="E436">
        <v>118941</v>
      </c>
      <c r="F436" s="8">
        <v>14306260</v>
      </c>
      <c r="G436" s="1">
        <v>1776837492000</v>
      </c>
      <c r="H436" s="1">
        <v>1505869731000</v>
      </c>
      <c r="I436">
        <f t="shared" si="6"/>
        <v>0</v>
      </c>
    </row>
    <row r="437" spans="1:10" x14ac:dyDescent="0.3">
      <c r="A437" s="8">
        <v>20160905</v>
      </c>
      <c r="B437" s="8">
        <v>84990</v>
      </c>
      <c r="C437" s="8">
        <v>121200</v>
      </c>
      <c r="D437" s="8">
        <v>120000</v>
      </c>
      <c r="E437" s="8">
        <v>117763</v>
      </c>
      <c r="F437" s="8">
        <v>14306260</v>
      </c>
      <c r="G437" s="9">
        <v>1716751200000</v>
      </c>
      <c r="H437" s="9">
        <v>1454946600000</v>
      </c>
      <c r="I437" s="8">
        <f t="shared" si="6"/>
        <v>1</v>
      </c>
      <c r="J437" t="s">
        <v>33</v>
      </c>
    </row>
    <row r="438" spans="1:10" x14ac:dyDescent="0.3">
      <c r="A438">
        <v>20160906</v>
      </c>
      <c r="B438">
        <v>84990</v>
      </c>
      <c r="C438" s="8">
        <v>120000</v>
      </c>
      <c r="D438" s="8">
        <v>118400</v>
      </c>
      <c r="E438">
        <v>116193</v>
      </c>
      <c r="F438" s="8">
        <v>14306260</v>
      </c>
      <c r="G438" s="1">
        <v>1693861184000</v>
      </c>
      <c r="H438" s="1">
        <v>1435547312000</v>
      </c>
      <c r="I438">
        <f t="shared" si="6"/>
        <v>0</v>
      </c>
    </row>
    <row r="439" spans="1:10" x14ac:dyDescent="0.3">
      <c r="A439">
        <v>20160907</v>
      </c>
      <c r="B439">
        <v>84990</v>
      </c>
      <c r="C439" s="8">
        <v>118400</v>
      </c>
      <c r="D439" s="8">
        <v>117900</v>
      </c>
      <c r="E439">
        <v>115703</v>
      </c>
      <c r="F439" s="8">
        <v>14306260</v>
      </c>
      <c r="G439" s="1">
        <v>1686708054000</v>
      </c>
      <c r="H439" s="1">
        <v>1429485034500</v>
      </c>
      <c r="I439">
        <f t="shared" si="6"/>
        <v>0</v>
      </c>
    </row>
    <row r="440" spans="1:10" x14ac:dyDescent="0.3">
      <c r="A440">
        <v>20160908</v>
      </c>
      <c r="B440">
        <v>84990</v>
      </c>
      <c r="C440" s="8">
        <v>117900</v>
      </c>
      <c r="D440" s="8">
        <v>122600</v>
      </c>
      <c r="E440">
        <v>120315</v>
      </c>
      <c r="F440" s="8">
        <v>14306260</v>
      </c>
      <c r="G440" s="1">
        <v>1753947476000</v>
      </c>
      <c r="H440" s="1">
        <v>1486470443000</v>
      </c>
      <c r="I440">
        <f t="shared" si="6"/>
        <v>0</v>
      </c>
    </row>
    <row r="441" spans="1:10" x14ac:dyDescent="0.3">
      <c r="A441">
        <v>20160909</v>
      </c>
      <c r="B441">
        <v>84990</v>
      </c>
      <c r="C441" s="8">
        <v>122600</v>
      </c>
      <c r="D441" s="8">
        <v>121500</v>
      </c>
      <c r="E441">
        <v>119236</v>
      </c>
      <c r="F441" s="8">
        <v>14306260</v>
      </c>
      <c r="G441" s="1">
        <v>1738210590000</v>
      </c>
      <c r="H441" s="1">
        <v>1473133432500</v>
      </c>
      <c r="I441">
        <f t="shared" si="6"/>
        <v>0</v>
      </c>
    </row>
    <row r="442" spans="1:10" x14ac:dyDescent="0.3">
      <c r="A442">
        <v>20160912</v>
      </c>
      <c r="B442">
        <v>84990</v>
      </c>
      <c r="C442" s="8">
        <v>121500</v>
      </c>
      <c r="D442" s="8">
        <v>119600</v>
      </c>
      <c r="E442">
        <v>117371</v>
      </c>
      <c r="F442" s="8">
        <v>14306260</v>
      </c>
      <c r="G442" s="1">
        <v>1711028696000</v>
      </c>
      <c r="H442" s="1">
        <v>1450096778000</v>
      </c>
      <c r="I442">
        <f t="shared" si="6"/>
        <v>0</v>
      </c>
    </row>
    <row r="443" spans="1:10" x14ac:dyDescent="0.3">
      <c r="A443">
        <v>20160913</v>
      </c>
      <c r="B443">
        <v>84990</v>
      </c>
      <c r="C443" s="8">
        <v>119600</v>
      </c>
      <c r="D443" s="8">
        <v>122200</v>
      </c>
      <c r="E443">
        <v>119922</v>
      </c>
      <c r="F443" s="8">
        <v>14306260</v>
      </c>
      <c r="G443" s="1">
        <v>1748224972000</v>
      </c>
      <c r="H443" s="1">
        <v>1481620621000</v>
      </c>
      <c r="I443">
        <f t="shared" si="6"/>
        <v>0</v>
      </c>
    </row>
    <row r="444" spans="1:10" x14ac:dyDescent="0.3">
      <c r="A444">
        <v>20160919</v>
      </c>
      <c r="B444">
        <v>84990</v>
      </c>
      <c r="C444" s="8">
        <v>122200</v>
      </c>
      <c r="D444" s="8">
        <v>123800</v>
      </c>
      <c r="E444">
        <v>121493</v>
      </c>
      <c r="F444" s="8">
        <v>14306260</v>
      </c>
      <c r="G444" s="1">
        <v>1771114988000</v>
      </c>
      <c r="H444" s="1">
        <v>1501019909000</v>
      </c>
      <c r="I444">
        <f t="shared" si="6"/>
        <v>0</v>
      </c>
    </row>
    <row r="445" spans="1:10" x14ac:dyDescent="0.3">
      <c r="A445">
        <v>20160920</v>
      </c>
      <c r="B445">
        <v>84990</v>
      </c>
      <c r="C445" s="8">
        <v>123800</v>
      </c>
      <c r="D445" s="8">
        <v>125600</v>
      </c>
      <c r="E445">
        <v>123259</v>
      </c>
      <c r="F445" s="8">
        <v>14306260</v>
      </c>
      <c r="G445" s="1">
        <v>1796866256000</v>
      </c>
      <c r="H445" s="1">
        <v>1522844108000</v>
      </c>
      <c r="I445">
        <f t="shared" si="6"/>
        <v>0</v>
      </c>
    </row>
    <row r="446" spans="1:10" x14ac:dyDescent="0.3">
      <c r="A446">
        <v>20160921</v>
      </c>
      <c r="B446">
        <v>84990</v>
      </c>
      <c r="C446" s="8">
        <v>125600</v>
      </c>
      <c r="D446" s="8">
        <v>125100</v>
      </c>
      <c r="E446">
        <v>122768</v>
      </c>
      <c r="F446" s="8">
        <v>14306260</v>
      </c>
      <c r="G446" s="1">
        <v>1789713126000</v>
      </c>
      <c r="H446" s="1">
        <v>1516781830500</v>
      </c>
      <c r="I446">
        <f t="shared" si="6"/>
        <v>0</v>
      </c>
    </row>
    <row r="447" spans="1:10" x14ac:dyDescent="0.3">
      <c r="A447">
        <v>20160922</v>
      </c>
      <c r="B447">
        <v>84990</v>
      </c>
      <c r="C447" s="8">
        <v>125100</v>
      </c>
      <c r="D447" s="8">
        <v>124600</v>
      </c>
      <c r="E447">
        <v>122278</v>
      </c>
      <c r="F447" s="8">
        <v>14306260</v>
      </c>
      <c r="G447" s="1">
        <v>1782559996000</v>
      </c>
      <c r="H447" s="1">
        <v>1510719553000</v>
      </c>
      <c r="I447">
        <f t="shared" si="6"/>
        <v>0</v>
      </c>
    </row>
    <row r="448" spans="1:10" x14ac:dyDescent="0.3">
      <c r="A448">
        <v>20160923</v>
      </c>
      <c r="B448">
        <v>84990</v>
      </c>
      <c r="C448" s="8">
        <v>124600</v>
      </c>
      <c r="D448" s="8">
        <v>124200</v>
      </c>
      <c r="E448">
        <v>121885</v>
      </c>
      <c r="F448" s="8">
        <v>14306260</v>
      </c>
      <c r="G448" s="1">
        <v>1776837492000</v>
      </c>
      <c r="H448" s="1">
        <v>1505869731000</v>
      </c>
      <c r="I448">
        <f t="shared" si="6"/>
        <v>0</v>
      </c>
    </row>
    <row r="449" spans="1:9" x14ac:dyDescent="0.3">
      <c r="A449">
        <v>20160926</v>
      </c>
      <c r="B449">
        <v>84990</v>
      </c>
      <c r="C449" s="8">
        <v>124200</v>
      </c>
      <c r="D449" s="8">
        <v>123300</v>
      </c>
      <c r="E449">
        <v>121002</v>
      </c>
      <c r="F449" s="8">
        <v>14306260</v>
      </c>
      <c r="G449" s="1">
        <v>1763961858000</v>
      </c>
      <c r="H449" s="1">
        <v>1495663154100</v>
      </c>
      <c r="I449">
        <f t="shared" si="6"/>
        <v>0</v>
      </c>
    </row>
    <row r="450" spans="1:9" x14ac:dyDescent="0.3">
      <c r="A450">
        <v>20160927</v>
      </c>
      <c r="B450">
        <v>84990</v>
      </c>
      <c r="C450" s="8">
        <v>123300</v>
      </c>
      <c r="D450" s="8">
        <v>123500</v>
      </c>
      <c r="E450">
        <v>121198</v>
      </c>
      <c r="F450" s="8">
        <v>14306260</v>
      </c>
      <c r="G450" s="1">
        <v>1766823110000</v>
      </c>
      <c r="H450" s="1">
        <v>1498089209500</v>
      </c>
      <c r="I450">
        <f t="shared" si="6"/>
        <v>0</v>
      </c>
    </row>
    <row r="451" spans="1:9" x14ac:dyDescent="0.3">
      <c r="A451">
        <v>20160928</v>
      </c>
      <c r="B451">
        <v>84990</v>
      </c>
      <c r="C451" s="8">
        <v>123500</v>
      </c>
      <c r="D451" s="8">
        <v>122000</v>
      </c>
      <c r="E451">
        <v>119726</v>
      </c>
      <c r="F451" s="8">
        <v>14306260</v>
      </c>
      <c r="G451" s="1">
        <v>1745363720000</v>
      </c>
      <c r="H451" s="1">
        <v>1479893794000</v>
      </c>
      <c r="I451">
        <f t="shared" ref="I451:I514" si="7">IF(C451*F451=D450*F450,0,1)</f>
        <v>0</v>
      </c>
    </row>
    <row r="452" spans="1:9" x14ac:dyDescent="0.3">
      <c r="A452">
        <v>20160929</v>
      </c>
      <c r="B452">
        <v>84990</v>
      </c>
      <c r="C452" s="8">
        <v>122000</v>
      </c>
      <c r="D452" s="8">
        <v>121700</v>
      </c>
      <c r="E452">
        <v>119432</v>
      </c>
      <c r="F452" s="8">
        <v>14306260</v>
      </c>
      <c r="G452" s="1">
        <v>1741071842000</v>
      </c>
      <c r="H452" s="1">
        <v>1476254710900</v>
      </c>
      <c r="I452">
        <f t="shared" si="7"/>
        <v>0</v>
      </c>
    </row>
    <row r="453" spans="1:9" x14ac:dyDescent="0.3">
      <c r="A453">
        <v>20160930</v>
      </c>
      <c r="B453">
        <v>84990</v>
      </c>
      <c r="C453" s="8">
        <v>121700</v>
      </c>
      <c r="D453" s="8">
        <v>117900</v>
      </c>
      <c r="E453">
        <v>115703</v>
      </c>
      <c r="F453" s="8">
        <v>14306260</v>
      </c>
      <c r="G453" s="1">
        <v>1686708054000</v>
      </c>
      <c r="H453" s="1">
        <v>1430159658300</v>
      </c>
      <c r="I453">
        <f t="shared" si="7"/>
        <v>0</v>
      </c>
    </row>
    <row r="454" spans="1:9" x14ac:dyDescent="0.3">
      <c r="A454">
        <v>20161004</v>
      </c>
      <c r="B454">
        <v>84990</v>
      </c>
      <c r="C454" s="8">
        <v>117900</v>
      </c>
      <c r="D454" s="8">
        <v>119200</v>
      </c>
      <c r="E454">
        <v>116978</v>
      </c>
      <c r="F454" s="8">
        <v>14306260</v>
      </c>
      <c r="G454" s="1">
        <v>1705306192000</v>
      </c>
      <c r="H454" s="1">
        <v>1445929018400</v>
      </c>
      <c r="I454">
        <f t="shared" si="7"/>
        <v>0</v>
      </c>
    </row>
    <row r="455" spans="1:9" x14ac:dyDescent="0.3">
      <c r="A455">
        <v>20161005</v>
      </c>
      <c r="B455">
        <v>84990</v>
      </c>
      <c r="C455" s="8">
        <v>119200</v>
      </c>
      <c r="D455" s="8">
        <v>114300</v>
      </c>
      <c r="E455">
        <v>112170</v>
      </c>
      <c r="F455" s="8">
        <v>14306260</v>
      </c>
      <c r="G455" s="1">
        <v>1635205518000</v>
      </c>
      <c r="H455" s="1">
        <v>1386490661100</v>
      </c>
      <c r="I455">
        <f t="shared" si="7"/>
        <v>0</v>
      </c>
    </row>
    <row r="456" spans="1:9" x14ac:dyDescent="0.3">
      <c r="A456">
        <v>20161006</v>
      </c>
      <c r="B456">
        <v>84990</v>
      </c>
      <c r="C456" s="8">
        <v>114300</v>
      </c>
      <c r="D456" s="8">
        <v>110400</v>
      </c>
      <c r="E456">
        <v>108342</v>
      </c>
      <c r="F456" s="8">
        <v>14306260</v>
      </c>
      <c r="G456" s="1">
        <v>1579411104000</v>
      </c>
      <c r="H456" s="1">
        <v>1339182580800</v>
      </c>
      <c r="I456">
        <f t="shared" si="7"/>
        <v>0</v>
      </c>
    </row>
    <row r="457" spans="1:9" x14ac:dyDescent="0.3">
      <c r="A457">
        <v>20161007</v>
      </c>
      <c r="B457">
        <v>84990</v>
      </c>
      <c r="C457" s="8">
        <v>110400</v>
      </c>
      <c r="D457" s="8">
        <v>106400</v>
      </c>
      <c r="E457">
        <v>104417</v>
      </c>
      <c r="F457" s="8">
        <v>14306260</v>
      </c>
      <c r="G457" s="1">
        <v>1522186064000</v>
      </c>
      <c r="H457" s="1">
        <v>1301925721600</v>
      </c>
      <c r="I457">
        <f t="shared" si="7"/>
        <v>0</v>
      </c>
    </row>
    <row r="458" spans="1:9" x14ac:dyDescent="0.3">
      <c r="A458">
        <v>20161010</v>
      </c>
      <c r="B458">
        <v>84990</v>
      </c>
      <c r="C458" s="8">
        <v>106400</v>
      </c>
      <c r="D458" s="8">
        <v>103900</v>
      </c>
      <c r="E458">
        <v>101963</v>
      </c>
      <c r="F458" s="8">
        <v>14306260</v>
      </c>
      <c r="G458" s="1">
        <v>1486420414000</v>
      </c>
      <c r="H458" s="1">
        <v>1271335361600</v>
      </c>
      <c r="I458">
        <f t="shared" si="7"/>
        <v>0</v>
      </c>
    </row>
    <row r="459" spans="1:9" x14ac:dyDescent="0.3">
      <c r="A459">
        <v>20161011</v>
      </c>
      <c r="B459">
        <v>84990</v>
      </c>
      <c r="C459" s="8">
        <v>103900</v>
      </c>
      <c r="D459" s="8">
        <v>106800</v>
      </c>
      <c r="E459">
        <v>104809</v>
      </c>
      <c r="F459" s="8">
        <v>14306260</v>
      </c>
      <c r="G459" s="1">
        <v>1527908568000</v>
      </c>
      <c r="H459" s="1">
        <v>1306820179200</v>
      </c>
      <c r="I459">
        <f t="shared" si="7"/>
        <v>0</v>
      </c>
    </row>
    <row r="460" spans="1:9" x14ac:dyDescent="0.3">
      <c r="A460">
        <v>20161012</v>
      </c>
      <c r="B460">
        <v>84990</v>
      </c>
      <c r="C460" s="8">
        <v>106800</v>
      </c>
      <c r="D460" s="8">
        <v>105500</v>
      </c>
      <c r="E460">
        <v>103534</v>
      </c>
      <c r="F460" s="8">
        <v>14306260</v>
      </c>
      <c r="G460" s="1">
        <v>1509310430000</v>
      </c>
      <c r="H460" s="1">
        <v>1290913192000</v>
      </c>
      <c r="I460">
        <f t="shared" si="7"/>
        <v>0</v>
      </c>
    </row>
    <row r="461" spans="1:9" x14ac:dyDescent="0.3">
      <c r="A461">
        <v>20161013</v>
      </c>
      <c r="B461">
        <v>84990</v>
      </c>
      <c r="C461" s="8">
        <v>105500</v>
      </c>
      <c r="D461" s="8">
        <v>100900</v>
      </c>
      <c r="E461">
        <v>99019</v>
      </c>
      <c r="F461" s="8">
        <v>14306260</v>
      </c>
      <c r="G461" s="1">
        <v>1443501634000</v>
      </c>
      <c r="H461" s="1">
        <v>1234626929600</v>
      </c>
      <c r="I461">
        <f t="shared" si="7"/>
        <v>0</v>
      </c>
    </row>
    <row r="462" spans="1:9" x14ac:dyDescent="0.3">
      <c r="A462">
        <v>20161014</v>
      </c>
      <c r="B462">
        <v>84990</v>
      </c>
      <c r="C462" s="8">
        <v>100900</v>
      </c>
      <c r="D462" s="8">
        <v>97000</v>
      </c>
      <c r="E462">
        <v>95192</v>
      </c>
      <c r="F462" s="8">
        <v>14306260</v>
      </c>
      <c r="G462" s="1">
        <v>1387707220000</v>
      </c>
      <c r="H462" s="1">
        <v>1186905968000</v>
      </c>
      <c r="I462">
        <f t="shared" si="7"/>
        <v>0</v>
      </c>
    </row>
    <row r="463" spans="1:9" x14ac:dyDescent="0.3">
      <c r="A463">
        <v>20161017</v>
      </c>
      <c r="B463">
        <v>84990</v>
      </c>
      <c r="C463" s="8">
        <v>97000</v>
      </c>
      <c r="D463" s="8">
        <v>97400</v>
      </c>
      <c r="E463">
        <v>95585</v>
      </c>
      <c r="F463" s="8">
        <v>14306260</v>
      </c>
      <c r="G463" s="1">
        <v>1393429724000</v>
      </c>
      <c r="H463" s="1">
        <v>1191800425600</v>
      </c>
      <c r="I463">
        <f t="shared" si="7"/>
        <v>0</v>
      </c>
    </row>
    <row r="464" spans="1:9" x14ac:dyDescent="0.3">
      <c r="A464">
        <v>20161018</v>
      </c>
      <c r="B464">
        <v>84990</v>
      </c>
      <c r="C464" s="8">
        <v>97400</v>
      </c>
      <c r="D464" s="8">
        <v>94000</v>
      </c>
      <c r="E464">
        <v>92248</v>
      </c>
      <c r="F464" s="8">
        <v>14306260</v>
      </c>
      <c r="G464" s="1">
        <v>1344788440000</v>
      </c>
      <c r="H464" s="1">
        <v>1150197536000</v>
      </c>
      <c r="I464">
        <f t="shared" si="7"/>
        <v>0</v>
      </c>
    </row>
    <row r="465" spans="1:10" x14ac:dyDescent="0.3">
      <c r="A465">
        <v>20161019</v>
      </c>
      <c r="B465">
        <v>84990</v>
      </c>
      <c r="C465" s="8">
        <v>94000</v>
      </c>
      <c r="D465" s="8">
        <v>99300</v>
      </c>
      <c r="E465">
        <v>97449</v>
      </c>
      <c r="F465" s="8">
        <v>14306260</v>
      </c>
      <c r="G465" s="1">
        <v>1420611618000</v>
      </c>
      <c r="H465" s="1">
        <v>1215049099200</v>
      </c>
      <c r="I465">
        <f t="shared" si="7"/>
        <v>0</v>
      </c>
    </row>
    <row r="466" spans="1:10" x14ac:dyDescent="0.3">
      <c r="A466">
        <v>20161020</v>
      </c>
      <c r="B466">
        <v>84990</v>
      </c>
      <c r="C466" s="8">
        <v>99300</v>
      </c>
      <c r="D466" s="8">
        <v>98700</v>
      </c>
      <c r="E466">
        <v>96860</v>
      </c>
      <c r="F466" s="8">
        <v>14306260</v>
      </c>
      <c r="G466" s="1">
        <v>1412027862000</v>
      </c>
      <c r="H466" s="1">
        <v>1207707412800</v>
      </c>
      <c r="I466">
        <f t="shared" si="7"/>
        <v>0</v>
      </c>
    </row>
    <row r="467" spans="1:10" x14ac:dyDescent="0.3">
      <c r="A467">
        <v>20161021</v>
      </c>
      <c r="B467">
        <v>84990</v>
      </c>
      <c r="C467" s="8">
        <v>98700</v>
      </c>
      <c r="D467" s="8">
        <v>97300</v>
      </c>
      <c r="E467">
        <v>95486</v>
      </c>
      <c r="F467" s="8">
        <v>14306260</v>
      </c>
      <c r="G467" s="1">
        <v>1391999098000</v>
      </c>
      <c r="H467" s="1">
        <v>1190576811200</v>
      </c>
      <c r="I467">
        <f t="shared" si="7"/>
        <v>0</v>
      </c>
    </row>
    <row r="468" spans="1:10" x14ac:dyDescent="0.3">
      <c r="A468">
        <v>20161024</v>
      </c>
      <c r="B468">
        <v>84990</v>
      </c>
      <c r="C468" s="8">
        <v>97300</v>
      </c>
      <c r="D468" s="8">
        <v>96500</v>
      </c>
      <c r="E468">
        <v>94701</v>
      </c>
      <c r="F468" s="8">
        <v>14306260</v>
      </c>
      <c r="G468" s="1">
        <v>1380554090000</v>
      </c>
      <c r="H468" s="1">
        <v>1180787896000</v>
      </c>
      <c r="I468">
        <f t="shared" si="7"/>
        <v>0</v>
      </c>
    </row>
    <row r="469" spans="1:10" x14ac:dyDescent="0.3">
      <c r="A469">
        <v>20161025</v>
      </c>
      <c r="B469">
        <v>84990</v>
      </c>
      <c r="C469" s="8">
        <v>96500</v>
      </c>
      <c r="D469" s="8">
        <v>95900</v>
      </c>
      <c r="E469">
        <v>94113</v>
      </c>
      <c r="F469" s="8">
        <v>14306260</v>
      </c>
      <c r="G469" s="1">
        <v>1371970334000</v>
      </c>
      <c r="H469" s="1">
        <v>1173446209600</v>
      </c>
      <c r="I469">
        <f t="shared" si="7"/>
        <v>0</v>
      </c>
    </row>
    <row r="470" spans="1:10" x14ac:dyDescent="0.3">
      <c r="A470">
        <v>20161026</v>
      </c>
      <c r="B470">
        <v>84990</v>
      </c>
      <c r="C470" s="8">
        <v>95900</v>
      </c>
      <c r="D470" s="8">
        <v>97100</v>
      </c>
      <c r="E470">
        <v>95290</v>
      </c>
      <c r="F470" s="8">
        <v>14306260</v>
      </c>
      <c r="G470" s="1">
        <v>1389137846000</v>
      </c>
      <c r="H470" s="1">
        <v>1188129582400</v>
      </c>
      <c r="I470">
        <f t="shared" si="7"/>
        <v>0</v>
      </c>
    </row>
    <row r="471" spans="1:10" x14ac:dyDescent="0.3">
      <c r="A471">
        <v>20161027</v>
      </c>
      <c r="B471">
        <v>84990</v>
      </c>
      <c r="C471" s="8">
        <v>97100</v>
      </c>
      <c r="D471" s="8">
        <v>101000</v>
      </c>
      <c r="E471">
        <v>99118</v>
      </c>
      <c r="F471" s="8">
        <v>14306260</v>
      </c>
      <c r="G471" s="1">
        <v>1444932260000</v>
      </c>
      <c r="H471" s="1">
        <v>1235850544000</v>
      </c>
      <c r="I471">
        <f t="shared" si="7"/>
        <v>0</v>
      </c>
    </row>
    <row r="472" spans="1:10" x14ac:dyDescent="0.3">
      <c r="A472">
        <v>20161028</v>
      </c>
      <c r="B472">
        <v>84990</v>
      </c>
      <c r="C472" s="8">
        <v>101000</v>
      </c>
      <c r="D472" s="8">
        <v>96800</v>
      </c>
      <c r="E472">
        <v>94996</v>
      </c>
      <c r="F472" s="8">
        <v>14306260</v>
      </c>
      <c r="G472" s="1">
        <v>1384845968000</v>
      </c>
      <c r="H472" s="1">
        <v>1184458739200</v>
      </c>
      <c r="I472">
        <f t="shared" si="7"/>
        <v>0</v>
      </c>
    </row>
    <row r="473" spans="1:10" x14ac:dyDescent="0.3">
      <c r="A473">
        <v>20161031</v>
      </c>
      <c r="B473">
        <v>84990</v>
      </c>
      <c r="C473" s="8">
        <v>96800</v>
      </c>
      <c r="D473" s="8">
        <v>91600</v>
      </c>
      <c r="E473">
        <v>89893</v>
      </c>
      <c r="F473" s="8">
        <v>14306260</v>
      </c>
      <c r="G473" s="1">
        <v>1310453416000</v>
      </c>
      <c r="H473" s="1">
        <v>1120830790400</v>
      </c>
      <c r="I473">
        <f t="shared" si="7"/>
        <v>0</v>
      </c>
    </row>
    <row r="474" spans="1:10" x14ac:dyDescent="0.3">
      <c r="A474">
        <v>20161101</v>
      </c>
      <c r="B474">
        <v>84990</v>
      </c>
      <c r="C474" s="8">
        <v>91600</v>
      </c>
      <c r="D474" s="8">
        <v>90500</v>
      </c>
      <c r="E474">
        <v>88813</v>
      </c>
      <c r="F474" s="8">
        <v>14306260</v>
      </c>
      <c r="G474" s="1">
        <v>1294716530000</v>
      </c>
      <c r="H474" s="1">
        <v>1107371032000</v>
      </c>
      <c r="I474">
        <f t="shared" si="7"/>
        <v>0</v>
      </c>
    </row>
    <row r="475" spans="1:10" x14ac:dyDescent="0.3">
      <c r="A475">
        <v>20161102</v>
      </c>
      <c r="B475">
        <v>84990</v>
      </c>
      <c r="C475" s="8">
        <v>90500</v>
      </c>
      <c r="D475" s="8">
        <v>87500</v>
      </c>
      <c r="E475">
        <v>85869</v>
      </c>
      <c r="F475" s="8">
        <v>14306260</v>
      </c>
      <c r="G475" s="1">
        <v>1251797750000</v>
      </c>
      <c r="H475" s="1">
        <v>1070662600000</v>
      </c>
      <c r="I475">
        <f t="shared" si="7"/>
        <v>0</v>
      </c>
    </row>
    <row r="476" spans="1:10" x14ac:dyDescent="0.3">
      <c r="A476">
        <v>20161103</v>
      </c>
      <c r="B476">
        <v>84990</v>
      </c>
      <c r="C476" s="8">
        <v>87500</v>
      </c>
      <c r="D476" s="8">
        <v>87900</v>
      </c>
      <c r="E476">
        <v>86262</v>
      </c>
      <c r="F476" s="8">
        <v>14306260</v>
      </c>
      <c r="G476" s="1">
        <v>1257520254000</v>
      </c>
      <c r="H476" s="1">
        <v>1075557057600</v>
      </c>
      <c r="I476">
        <f t="shared" si="7"/>
        <v>0</v>
      </c>
    </row>
    <row r="477" spans="1:10" x14ac:dyDescent="0.3">
      <c r="A477">
        <v>20161104</v>
      </c>
      <c r="B477">
        <v>84990</v>
      </c>
      <c r="C477" s="8">
        <v>87900</v>
      </c>
      <c r="D477" s="8">
        <v>90100</v>
      </c>
      <c r="E477">
        <v>88421</v>
      </c>
      <c r="F477" s="8">
        <v>14306260</v>
      </c>
      <c r="G477" s="1">
        <v>1288994026000</v>
      </c>
      <c r="H477" s="1">
        <v>1101960932100</v>
      </c>
      <c r="I477">
        <f t="shared" si="7"/>
        <v>0</v>
      </c>
    </row>
    <row r="478" spans="1:10" x14ac:dyDescent="0.3">
      <c r="A478" s="8">
        <v>20161107</v>
      </c>
      <c r="B478" s="8">
        <v>84990</v>
      </c>
      <c r="C478" s="8">
        <v>90100</v>
      </c>
      <c r="D478" s="8">
        <v>90100</v>
      </c>
      <c r="E478" s="8">
        <v>88421</v>
      </c>
      <c r="F478" s="8">
        <v>15956260</v>
      </c>
      <c r="G478" s="9">
        <v>1437659026000</v>
      </c>
      <c r="H478" s="9">
        <v>1229054640600</v>
      </c>
      <c r="I478" s="8">
        <f t="shared" si="7"/>
        <v>1</v>
      </c>
      <c r="J478" t="s">
        <v>34</v>
      </c>
    </row>
    <row r="479" spans="1:10" x14ac:dyDescent="0.3">
      <c r="A479">
        <v>20161108</v>
      </c>
      <c r="B479">
        <v>84990</v>
      </c>
      <c r="C479" s="8">
        <v>90100</v>
      </c>
      <c r="D479" s="8">
        <v>91300</v>
      </c>
      <c r="E479">
        <v>89598</v>
      </c>
      <c r="F479" s="8">
        <v>15956260</v>
      </c>
      <c r="G479" s="1">
        <v>1456806538000</v>
      </c>
      <c r="H479" s="1">
        <v>1245423847800</v>
      </c>
      <c r="I479">
        <f t="shared" si="7"/>
        <v>0</v>
      </c>
    </row>
    <row r="480" spans="1:10" x14ac:dyDescent="0.3">
      <c r="A480">
        <v>20161109</v>
      </c>
      <c r="B480">
        <v>84990</v>
      </c>
      <c r="C480" s="8">
        <v>91300</v>
      </c>
      <c r="D480" s="8">
        <v>90000</v>
      </c>
      <c r="E480">
        <v>88322</v>
      </c>
      <c r="F480" s="8">
        <v>15956260</v>
      </c>
      <c r="G480" s="1">
        <v>1436063400000</v>
      </c>
      <c r="H480" s="1">
        <v>1227690540000</v>
      </c>
      <c r="I480">
        <f t="shared" si="7"/>
        <v>0</v>
      </c>
    </row>
    <row r="481" spans="1:9" x14ac:dyDescent="0.3">
      <c r="A481">
        <v>20161110</v>
      </c>
      <c r="B481">
        <v>84990</v>
      </c>
      <c r="C481" s="8">
        <v>90000</v>
      </c>
      <c r="D481" s="8">
        <v>96600</v>
      </c>
      <c r="E481">
        <v>94800</v>
      </c>
      <c r="F481" s="8">
        <v>15956260</v>
      </c>
      <c r="G481" s="1">
        <v>1541374716000</v>
      </c>
      <c r="H481" s="1">
        <v>1317721179600</v>
      </c>
      <c r="I481">
        <f t="shared" si="7"/>
        <v>0</v>
      </c>
    </row>
    <row r="482" spans="1:9" x14ac:dyDescent="0.3">
      <c r="A482">
        <v>20161111</v>
      </c>
      <c r="B482">
        <v>84990</v>
      </c>
      <c r="C482" s="8">
        <v>96600</v>
      </c>
      <c r="D482" s="8">
        <v>94100</v>
      </c>
      <c r="E482">
        <v>92346</v>
      </c>
      <c r="F482" s="8">
        <v>15956260</v>
      </c>
      <c r="G482" s="1">
        <v>1501484066000</v>
      </c>
      <c r="H482" s="1">
        <v>1283618664600</v>
      </c>
      <c r="I482">
        <f t="shared" si="7"/>
        <v>0</v>
      </c>
    </row>
    <row r="483" spans="1:9" x14ac:dyDescent="0.3">
      <c r="A483">
        <v>20161114</v>
      </c>
      <c r="B483">
        <v>84990</v>
      </c>
      <c r="C483" s="8">
        <v>94100</v>
      </c>
      <c r="D483" s="8">
        <v>94100</v>
      </c>
      <c r="E483">
        <v>92346</v>
      </c>
      <c r="F483" s="8">
        <v>15956260</v>
      </c>
      <c r="G483" s="1">
        <v>1501484066000</v>
      </c>
      <c r="H483" s="1">
        <v>1283618664600</v>
      </c>
      <c r="I483">
        <f t="shared" si="7"/>
        <v>0</v>
      </c>
    </row>
    <row r="484" spans="1:9" x14ac:dyDescent="0.3">
      <c r="A484">
        <v>20161115</v>
      </c>
      <c r="B484">
        <v>84990</v>
      </c>
      <c r="C484" s="8">
        <v>94100</v>
      </c>
      <c r="D484" s="8">
        <v>92000</v>
      </c>
      <c r="E484">
        <v>90285</v>
      </c>
      <c r="F484" s="8">
        <v>15956260</v>
      </c>
      <c r="G484" s="1">
        <v>1467975920000</v>
      </c>
      <c r="H484" s="1">
        <v>1254972552000</v>
      </c>
      <c r="I484">
        <f t="shared" si="7"/>
        <v>0</v>
      </c>
    </row>
    <row r="485" spans="1:9" x14ac:dyDescent="0.3">
      <c r="A485">
        <v>20161116</v>
      </c>
      <c r="B485">
        <v>84990</v>
      </c>
      <c r="C485" s="8">
        <v>92000</v>
      </c>
      <c r="D485" s="8">
        <v>95900</v>
      </c>
      <c r="E485">
        <v>94113</v>
      </c>
      <c r="F485" s="8">
        <v>15956260</v>
      </c>
      <c r="G485" s="1">
        <v>1530205334000</v>
      </c>
      <c r="H485" s="1">
        <v>1308172475400</v>
      </c>
      <c r="I485">
        <f t="shared" si="7"/>
        <v>0</v>
      </c>
    </row>
    <row r="486" spans="1:9" x14ac:dyDescent="0.3">
      <c r="A486">
        <v>20161117</v>
      </c>
      <c r="B486">
        <v>84990</v>
      </c>
      <c r="C486" s="8">
        <v>95900</v>
      </c>
      <c r="D486" s="8">
        <v>94800</v>
      </c>
      <c r="E486">
        <v>93033</v>
      </c>
      <c r="F486" s="8">
        <v>15956260</v>
      </c>
      <c r="G486" s="1">
        <v>1512653448000</v>
      </c>
      <c r="H486" s="1">
        <v>1293167368800</v>
      </c>
      <c r="I486">
        <f t="shared" si="7"/>
        <v>0</v>
      </c>
    </row>
    <row r="487" spans="1:9" x14ac:dyDescent="0.3">
      <c r="A487">
        <v>20161118</v>
      </c>
      <c r="B487">
        <v>84990</v>
      </c>
      <c r="C487" s="8">
        <v>94800</v>
      </c>
      <c r="D487" s="8">
        <v>92600</v>
      </c>
      <c r="E487">
        <v>90874</v>
      </c>
      <c r="F487" s="8">
        <v>15956260</v>
      </c>
      <c r="G487" s="1">
        <v>1477549676000</v>
      </c>
      <c r="H487" s="1">
        <v>1263157155600</v>
      </c>
      <c r="I487">
        <f t="shared" si="7"/>
        <v>0</v>
      </c>
    </row>
    <row r="488" spans="1:9" x14ac:dyDescent="0.3">
      <c r="A488">
        <v>20161121</v>
      </c>
      <c r="B488">
        <v>84990</v>
      </c>
      <c r="C488" s="8">
        <v>92600</v>
      </c>
      <c r="D488" s="8">
        <v>90500</v>
      </c>
      <c r="E488">
        <v>88813</v>
      </c>
      <c r="F488" s="8">
        <v>15956260</v>
      </c>
      <c r="G488" s="1">
        <v>1444041530000</v>
      </c>
      <c r="H488" s="1">
        <v>1234511043000</v>
      </c>
      <c r="I488">
        <f t="shared" si="7"/>
        <v>0</v>
      </c>
    </row>
    <row r="489" spans="1:9" x14ac:dyDescent="0.3">
      <c r="A489">
        <v>20161122</v>
      </c>
      <c r="B489">
        <v>84990</v>
      </c>
      <c r="C489" s="8">
        <v>90500</v>
      </c>
      <c r="D489" s="8">
        <v>90700</v>
      </c>
      <c r="E489">
        <v>89009</v>
      </c>
      <c r="F489" s="8">
        <v>15956260</v>
      </c>
      <c r="G489" s="1">
        <v>1447232782000</v>
      </c>
      <c r="H489" s="1">
        <v>1237239244200</v>
      </c>
      <c r="I489">
        <f t="shared" si="7"/>
        <v>0</v>
      </c>
    </row>
    <row r="490" spans="1:9" x14ac:dyDescent="0.3">
      <c r="A490">
        <v>20161123</v>
      </c>
      <c r="B490">
        <v>84990</v>
      </c>
      <c r="C490" s="8">
        <v>90700</v>
      </c>
      <c r="D490" s="8">
        <v>89800</v>
      </c>
      <c r="E490">
        <v>88126</v>
      </c>
      <c r="F490" s="8">
        <v>15956260</v>
      </c>
      <c r="G490" s="1">
        <v>1432872148000</v>
      </c>
      <c r="H490" s="1">
        <v>1224962338800</v>
      </c>
      <c r="I490">
        <f t="shared" si="7"/>
        <v>0</v>
      </c>
    </row>
    <row r="491" spans="1:9" x14ac:dyDescent="0.3">
      <c r="A491">
        <v>20161124</v>
      </c>
      <c r="B491">
        <v>84990</v>
      </c>
      <c r="C491" s="8">
        <v>89800</v>
      </c>
      <c r="D491" s="8">
        <v>89100</v>
      </c>
      <c r="E491">
        <v>87439</v>
      </c>
      <c r="F491" s="8">
        <v>15956260</v>
      </c>
      <c r="G491" s="1">
        <v>1421702766000</v>
      </c>
      <c r="H491" s="1">
        <v>1215413634600</v>
      </c>
      <c r="I491">
        <f t="shared" si="7"/>
        <v>0</v>
      </c>
    </row>
    <row r="492" spans="1:9" x14ac:dyDescent="0.3">
      <c r="A492">
        <v>20161125</v>
      </c>
      <c r="B492">
        <v>84990</v>
      </c>
      <c r="C492" s="8">
        <v>89100</v>
      </c>
      <c r="D492" s="8">
        <v>89500</v>
      </c>
      <c r="E492">
        <v>87832</v>
      </c>
      <c r="F492" s="8">
        <v>15956260</v>
      </c>
      <c r="G492" s="1">
        <v>1428085270000</v>
      </c>
      <c r="H492" s="1">
        <v>1220870037000</v>
      </c>
      <c r="I492">
        <f t="shared" si="7"/>
        <v>0</v>
      </c>
    </row>
    <row r="493" spans="1:9" x14ac:dyDescent="0.3">
      <c r="A493">
        <v>20161128</v>
      </c>
      <c r="B493">
        <v>84990</v>
      </c>
      <c r="C493" s="8">
        <v>89500</v>
      </c>
      <c r="D493" s="8">
        <v>89800</v>
      </c>
      <c r="E493">
        <v>88126</v>
      </c>
      <c r="F493" s="8">
        <v>15956260</v>
      </c>
      <c r="G493" s="1">
        <v>1432872148000</v>
      </c>
      <c r="H493" s="1">
        <v>1224962338800</v>
      </c>
      <c r="I493">
        <f t="shared" si="7"/>
        <v>0</v>
      </c>
    </row>
    <row r="494" spans="1:9" x14ac:dyDescent="0.3">
      <c r="A494">
        <v>20161129</v>
      </c>
      <c r="B494">
        <v>84990</v>
      </c>
      <c r="C494" s="8">
        <v>89800</v>
      </c>
      <c r="D494" s="8">
        <v>89700</v>
      </c>
      <c r="E494">
        <v>88028</v>
      </c>
      <c r="F494" s="8">
        <v>15956260</v>
      </c>
      <c r="G494" s="1">
        <v>1431276522000</v>
      </c>
      <c r="H494" s="1">
        <v>1223598238200</v>
      </c>
      <c r="I494">
        <f t="shared" si="7"/>
        <v>0</v>
      </c>
    </row>
    <row r="495" spans="1:9" x14ac:dyDescent="0.3">
      <c r="A495">
        <v>20161130</v>
      </c>
      <c r="B495">
        <v>84990</v>
      </c>
      <c r="C495" s="8">
        <v>89700</v>
      </c>
      <c r="D495" s="8">
        <v>105000</v>
      </c>
      <c r="E495">
        <v>103043</v>
      </c>
      <c r="F495" s="8">
        <v>15956260</v>
      </c>
      <c r="G495" s="1">
        <v>1675407300000</v>
      </c>
      <c r="H495" s="1">
        <v>1432305630000</v>
      </c>
      <c r="I495">
        <f t="shared" si="7"/>
        <v>0</v>
      </c>
    </row>
    <row r="496" spans="1:9" x14ac:dyDescent="0.3">
      <c r="A496">
        <v>20161201</v>
      </c>
      <c r="B496">
        <v>84990</v>
      </c>
      <c r="C496" s="8">
        <v>105000</v>
      </c>
      <c r="D496" s="8">
        <v>106400</v>
      </c>
      <c r="E496">
        <v>104417</v>
      </c>
      <c r="F496" s="8">
        <v>15956260</v>
      </c>
      <c r="G496" s="1">
        <v>1697746064000</v>
      </c>
      <c r="H496" s="1">
        <v>1451403038400</v>
      </c>
      <c r="I496">
        <f t="shared" si="7"/>
        <v>0</v>
      </c>
    </row>
    <row r="497" spans="1:9" x14ac:dyDescent="0.3">
      <c r="A497">
        <v>20161202</v>
      </c>
      <c r="B497">
        <v>84990</v>
      </c>
      <c r="C497" s="8">
        <v>106400</v>
      </c>
      <c r="D497" s="8">
        <v>104500</v>
      </c>
      <c r="E497">
        <v>102552</v>
      </c>
      <c r="F497" s="8">
        <v>15956260</v>
      </c>
      <c r="G497" s="1">
        <v>1667429170000</v>
      </c>
      <c r="H497" s="1">
        <v>1425485127000</v>
      </c>
      <c r="I497">
        <f t="shared" si="7"/>
        <v>0</v>
      </c>
    </row>
    <row r="498" spans="1:9" x14ac:dyDescent="0.3">
      <c r="A498">
        <v>20161205</v>
      </c>
      <c r="B498">
        <v>84990</v>
      </c>
      <c r="C498" s="8">
        <v>104500</v>
      </c>
      <c r="D498" s="8">
        <v>101300</v>
      </c>
      <c r="E498">
        <v>99412</v>
      </c>
      <c r="F498" s="8">
        <v>15956260</v>
      </c>
      <c r="G498" s="1">
        <v>1616369138000</v>
      </c>
      <c r="H498" s="1">
        <v>1381833907800</v>
      </c>
      <c r="I498">
        <f t="shared" si="7"/>
        <v>0</v>
      </c>
    </row>
    <row r="499" spans="1:9" x14ac:dyDescent="0.3">
      <c r="A499">
        <v>20161206</v>
      </c>
      <c r="B499">
        <v>84990</v>
      </c>
      <c r="C499" s="8">
        <v>101300</v>
      </c>
      <c r="D499" s="8">
        <v>101500</v>
      </c>
      <c r="E499">
        <v>99608</v>
      </c>
      <c r="F499" s="8">
        <v>15956260</v>
      </c>
      <c r="G499" s="1">
        <v>1619560390000</v>
      </c>
      <c r="H499" s="1">
        <v>1384562109000</v>
      </c>
      <c r="I499">
        <f t="shared" si="7"/>
        <v>0</v>
      </c>
    </row>
    <row r="500" spans="1:9" x14ac:dyDescent="0.3">
      <c r="A500">
        <v>20161207</v>
      </c>
      <c r="B500">
        <v>84990</v>
      </c>
      <c r="C500" s="8">
        <v>101500</v>
      </c>
      <c r="D500" s="8">
        <v>96600</v>
      </c>
      <c r="E500">
        <v>94800</v>
      </c>
      <c r="F500" s="8">
        <v>15956260</v>
      </c>
      <c r="G500" s="1">
        <v>1541374716000</v>
      </c>
      <c r="H500" s="1">
        <v>1317721179600</v>
      </c>
      <c r="I500">
        <f t="shared" si="7"/>
        <v>0</v>
      </c>
    </row>
    <row r="501" spans="1:9" x14ac:dyDescent="0.3">
      <c r="A501">
        <v>20161208</v>
      </c>
      <c r="B501">
        <v>84990</v>
      </c>
      <c r="C501" s="8">
        <v>96600</v>
      </c>
      <c r="D501" s="8">
        <v>96600</v>
      </c>
      <c r="E501">
        <v>94800</v>
      </c>
      <c r="F501" s="8">
        <v>15956260</v>
      </c>
      <c r="G501" s="1">
        <v>1541374716000</v>
      </c>
      <c r="H501" s="1">
        <v>1317721179600</v>
      </c>
      <c r="I501">
        <f t="shared" si="7"/>
        <v>0</v>
      </c>
    </row>
    <row r="502" spans="1:9" x14ac:dyDescent="0.3">
      <c r="A502">
        <v>20161209</v>
      </c>
      <c r="B502">
        <v>84990</v>
      </c>
      <c r="C502" s="8">
        <v>96600</v>
      </c>
      <c r="D502" s="8">
        <v>99500</v>
      </c>
      <c r="E502">
        <v>97645</v>
      </c>
      <c r="F502" s="8">
        <v>15956260</v>
      </c>
      <c r="G502" s="1">
        <v>1587647870000</v>
      </c>
      <c r="H502" s="1">
        <v>1357280097000</v>
      </c>
      <c r="I502">
        <f t="shared" si="7"/>
        <v>0</v>
      </c>
    </row>
    <row r="503" spans="1:9" x14ac:dyDescent="0.3">
      <c r="A503">
        <v>20161212</v>
      </c>
      <c r="B503">
        <v>84990</v>
      </c>
      <c r="C503" s="8">
        <v>99500</v>
      </c>
      <c r="D503" s="8">
        <v>104500</v>
      </c>
      <c r="E503">
        <v>102552</v>
      </c>
      <c r="F503" s="8">
        <v>15956260</v>
      </c>
      <c r="G503" s="1">
        <v>1667429170000</v>
      </c>
      <c r="H503" s="1">
        <v>1425485127000</v>
      </c>
      <c r="I503">
        <f t="shared" si="7"/>
        <v>0</v>
      </c>
    </row>
    <row r="504" spans="1:9" x14ac:dyDescent="0.3">
      <c r="A504">
        <v>20161213</v>
      </c>
      <c r="B504">
        <v>84990</v>
      </c>
      <c r="C504" s="8">
        <v>104500</v>
      </c>
      <c r="D504" s="8">
        <v>105400</v>
      </c>
      <c r="E504">
        <v>103436</v>
      </c>
      <c r="F504" s="8">
        <v>15956260</v>
      </c>
      <c r="G504" s="1">
        <v>1681789804000</v>
      </c>
      <c r="H504" s="1">
        <v>1437762032400</v>
      </c>
      <c r="I504">
        <f t="shared" si="7"/>
        <v>0</v>
      </c>
    </row>
    <row r="505" spans="1:9" x14ac:dyDescent="0.3">
      <c r="A505">
        <v>20161214</v>
      </c>
      <c r="B505">
        <v>84990</v>
      </c>
      <c r="C505" s="8">
        <v>105400</v>
      </c>
      <c r="D505" s="8">
        <v>105000</v>
      </c>
      <c r="E505">
        <v>103043</v>
      </c>
      <c r="F505" s="8">
        <v>15956260</v>
      </c>
      <c r="G505" s="1">
        <v>1675407300000</v>
      </c>
      <c r="H505" s="1">
        <v>1432305630000</v>
      </c>
      <c r="I505">
        <f t="shared" si="7"/>
        <v>0</v>
      </c>
    </row>
    <row r="506" spans="1:9" x14ac:dyDescent="0.3">
      <c r="A506">
        <v>20161215</v>
      </c>
      <c r="B506">
        <v>84990</v>
      </c>
      <c r="C506" s="8">
        <v>105000</v>
      </c>
      <c r="D506" s="8">
        <v>107000</v>
      </c>
      <c r="E506">
        <v>105006</v>
      </c>
      <c r="F506" s="8">
        <v>15956260</v>
      </c>
      <c r="G506" s="1">
        <v>1707319820000</v>
      </c>
      <c r="H506" s="1">
        <v>1459587642000</v>
      </c>
      <c r="I506">
        <f t="shared" si="7"/>
        <v>0</v>
      </c>
    </row>
    <row r="507" spans="1:9" x14ac:dyDescent="0.3">
      <c r="A507">
        <v>20161216</v>
      </c>
      <c r="B507">
        <v>84990</v>
      </c>
      <c r="C507" s="8">
        <v>107000</v>
      </c>
      <c r="D507" s="8">
        <v>105000</v>
      </c>
      <c r="E507">
        <v>103043</v>
      </c>
      <c r="F507" s="8">
        <v>15956260</v>
      </c>
      <c r="G507" s="1">
        <v>1675407300000</v>
      </c>
      <c r="H507" s="1">
        <v>1432305630000</v>
      </c>
      <c r="I507">
        <f t="shared" si="7"/>
        <v>0</v>
      </c>
    </row>
    <row r="508" spans="1:9" x14ac:dyDescent="0.3">
      <c r="A508">
        <v>20161219</v>
      </c>
      <c r="B508">
        <v>84990</v>
      </c>
      <c r="C508" s="8">
        <v>105000</v>
      </c>
      <c r="D508" s="8">
        <v>102200</v>
      </c>
      <c r="E508">
        <v>100295</v>
      </c>
      <c r="F508" s="8">
        <v>15956260</v>
      </c>
      <c r="G508" s="1">
        <v>1630729772000</v>
      </c>
      <c r="H508" s="1">
        <v>1394110813200</v>
      </c>
      <c r="I508">
        <f t="shared" si="7"/>
        <v>0</v>
      </c>
    </row>
    <row r="509" spans="1:9" x14ac:dyDescent="0.3">
      <c r="A509">
        <v>20161220</v>
      </c>
      <c r="B509">
        <v>84990</v>
      </c>
      <c r="C509" s="8">
        <v>102200</v>
      </c>
      <c r="D509" s="8">
        <v>99500</v>
      </c>
      <c r="E509">
        <v>97645</v>
      </c>
      <c r="F509" s="8">
        <v>15956260</v>
      </c>
      <c r="G509" s="1">
        <v>1587647870000</v>
      </c>
      <c r="H509" s="1">
        <v>1357280097000</v>
      </c>
      <c r="I509">
        <f t="shared" si="7"/>
        <v>0</v>
      </c>
    </row>
    <row r="510" spans="1:9" x14ac:dyDescent="0.3">
      <c r="A510">
        <v>20161221</v>
      </c>
      <c r="B510">
        <v>84990</v>
      </c>
      <c r="C510" s="8">
        <v>99500</v>
      </c>
      <c r="D510" s="8">
        <v>98000</v>
      </c>
      <c r="E510">
        <v>96173</v>
      </c>
      <c r="F510" s="8">
        <v>15956260</v>
      </c>
      <c r="G510" s="1">
        <v>1563713480000</v>
      </c>
      <c r="H510" s="1">
        <v>1336818588000</v>
      </c>
      <c r="I510">
        <f t="shared" si="7"/>
        <v>0</v>
      </c>
    </row>
    <row r="511" spans="1:9" x14ac:dyDescent="0.3">
      <c r="A511">
        <v>20161222</v>
      </c>
      <c r="B511">
        <v>84990</v>
      </c>
      <c r="C511" s="8">
        <v>98000</v>
      </c>
      <c r="D511" s="8">
        <v>96500</v>
      </c>
      <c r="E511">
        <v>94701</v>
      </c>
      <c r="F511" s="8">
        <v>15956260</v>
      </c>
      <c r="G511" s="1">
        <v>1539779090000</v>
      </c>
      <c r="H511" s="1">
        <v>1316357079000</v>
      </c>
      <c r="I511">
        <f t="shared" si="7"/>
        <v>0</v>
      </c>
    </row>
    <row r="512" spans="1:9" x14ac:dyDescent="0.3">
      <c r="A512">
        <v>20161223</v>
      </c>
      <c r="B512">
        <v>84990</v>
      </c>
      <c r="C512" s="8">
        <v>96500</v>
      </c>
      <c r="D512" s="8">
        <v>99500</v>
      </c>
      <c r="E512">
        <v>97645</v>
      </c>
      <c r="F512" s="8">
        <v>15956260</v>
      </c>
      <c r="G512" s="1">
        <v>1587647870000</v>
      </c>
      <c r="H512" s="1">
        <v>1357280097000</v>
      </c>
      <c r="I512">
        <f t="shared" si="7"/>
        <v>0</v>
      </c>
    </row>
    <row r="513" spans="1:9" x14ac:dyDescent="0.3">
      <c r="A513">
        <v>20161226</v>
      </c>
      <c r="B513">
        <v>84990</v>
      </c>
      <c r="C513" s="8">
        <v>99500</v>
      </c>
      <c r="D513" s="8">
        <v>98900</v>
      </c>
      <c r="E513">
        <v>97057</v>
      </c>
      <c r="F513" s="8">
        <v>15956260</v>
      </c>
      <c r="G513" s="1">
        <v>1578074114000</v>
      </c>
      <c r="H513" s="1">
        <v>1349095493400</v>
      </c>
      <c r="I513">
        <f t="shared" si="7"/>
        <v>0</v>
      </c>
    </row>
    <row r="514" spans="1:9" x14ac:dyDescent="0.3">
      <c r="A514">
        <v>20161227</v>
      </c>
      <c r="B514">
        <v>84990</v>
      </c>
      <c r="C514" s="8">
        <v>98900</v>
      </c>
      <c r="D514" s="8">
        <v>99600</v>
      </c>
      <c r="E514">
        <v>97744</v>
      </c>
      <c r="F514" s="8">
        <v>15956260</v>
      </c>
      <c r="G514" s="1">
        <v>1589243496000</v>
      </c>
      <c r="H514" s="1">
        <v>1358644197600</v>
      </c>
      <c r="I514">
        <f t="shared" si="7"/>
        <v>0</v>
      </c>
    </row>
    <row r="515" spans="1:9" x14ac:dyDescent="0.3">
      <c r="A515">
        <v>20161228</v>
      </c>
      <c r="B515">
        <v>84990</v>
      </c>
      <c r="C515" s="8">
        <v>99600</v>
      </c>
      <c r="D515" s="8">
        <v>104700</v>
      </c>
      <c r="E515">
        <v>102749</v>
      </c>
      <c r="F515" s="8">
        <v>15956260</v>
      </c>
      <c r="G515" s="1">
        <v>1670620422000</v>
      </c>
      <c r="H515" s="1">
        <v>1428213328200</v>
      </c>
      <c r="I515">
        <f t="shared" ref="I515:I578" si="8">IF(C515*F515=D514*F514,0,1)</f>
        <v>0</v>
      </c>
    </row>
    <row r="516" spans="1:9" x14ac:dyDescent="0.3">
      <c r="A516">
        <v>20161229</v>
      </c>
      <c r="B516">
        <v>84990</v>
      </c>
      <c r="C516" s="8">
        <v>104700</v>
      </c>
      <c r="D516" s="8">
        <v>103500</v>
      </c>
      <c r="E516">
        <v>101571</v>
      </c>
      <c r="F516" s="8">
        <v>15956260</v>
      </c>
      <c r="G516" s="1">
        <v>1651472910000</v>
      </c>
      <c r="H516" s="1">
        <v>1411844121000</v>
      </c>
      <c r="I516">
        <f t="shared" si="8"/>
        <v>0</v>
      </c>
    </row>
    <row r="517" spans="1:9" x14ac:dyDescent="0.3">
      <c r="A517">
        <v>20170102</v>
      </c>
      <c r="B517">
        <v>84990</v>
      </c>
      <c r="C517" s="8">
        <v>103500</v>
      </c>
      <c r="D517" s="8">
        <v>104600</v>
      </c>
      <c r="E517">
        <v>102650</v>
      </c>
      <c r="F517" s="8">
        <v>15956260</v>
      </c>
      <c r="G517" s="1">
        <v>1669024796000</v>
      </c>
      <c r="H517" s="1">
        <v>1426849227600</v>
      </c>
      <c r="I517">
        <f t="shared" si="8"/>
        <v>0</v>
      </c>
    </row>
    <row r="518" spans="1:9" x14ac:dyDescent="0.3">
      <c r="A518">
        <v>20170103</v>
      </c>
      <c r="B518">
        <v>84990</v>
      </c>
      <c r="C518" s="8">
        <v>104600</v>
      </c>
      <c r="D518" s="8">
        <v>105500</v>
      </c>
      <c r="E518">
        <v>103534</v>
      </c>
      <c r="F518" s="8">
        <v>15956260</v>
      </c>
      <c r="G518" s="1">
        <v>1683385430000</v>
      </c>
      <c r="H518" s="1">
        <v>1439126133000</v>
      </c>
      <c r="I518">
        <f t="shared" si="8"/>
        <v>0</v>
      </c>
    </row>
    <row r="519" spans="1:9" x14ac:dyDescent="0.3">
      <c r="A519">
        <v>20170104</v>
      </c>
      <c r="B519">
        <v>84990</v>
      </c>
      <c r="C519" s="8">
        <v>105500</v>
      </c>
      <c r="D519" s="8">
        <v>114000</v>
      </c>
      <c r="E519">
        <v>111875</v>
      </c>
      <c r="F519" s="8">
        <v>15956260</v>
      </c>
      <c r="G519" s="1">
        <v>1819013640000</v>
      </c>
      <c r="H519" s="1">
        <v>1555074684000</v>
      </c>
      <c r="I519">
        <f t="shared" si="8"/>
        <v>0</v>
      </c>
    </row>
    <row r="520" spans="1:9" x14ac:dyDescent="0.3">
      <c r="A520">
        <v>20170105</v>
      </c>
      <c r="B520">
        <v>84990</v>
      </c>
      <c r="C520" s="8">
        <v>114000</v>
      </c>
      <c r="D520" s="8">
        <v>116000</v>
      </c>
      <c r="E520">
        <v>113838</v>
      </c>
      <c r="F520" s="8">
        <v>15956260</v>
      </c>
      <c r="G520" s="1">
        <v>1850926160000</v>
      </c>
      <c r="H520" s="1">
        <v>1582356696000</v>
      </c>
      <c r="I520">
        <f t="shared" si="8"/>
        <v>0</v>
      </c>
    </row>
    <row r="521" spans="1:9" x14ac:dyDescent="0.3">
      <c r="A521">
        <v>20170106</v>
      </c>
      <c r="B521">
        <v>84990</v>
      </c>
      <c r="C521" s="8">
        <v>116000</v>
      </c>
      <c r="D521" s="8">
        <v>114500</v>
      </c>
      <c r="E521">
        <v>112366</v>
      </c>
      <c r="F521" s="8">
        <v>15956260</v>
      </c>
      <c r="G521" s="1">
        <v>1826991770000</v>
      </c>
      <c r="H521" s="1">
        <v>1561895187000</v>
      </c>
      <c r="I521">
        <f t="shared" si="8"/>
        <v>0</v>
      </c>
    </row>
    <row r="522" spans="1:9" x14ac:dyDescent="0.3">
      <c r="A522">
        <v>20170109</v>
      </c>
      <c r="B522">
        <v>84990</v>
      </c>
      <c r="C522" s="8">
        <v>114500</v>
      </c>
      <c r="D522" s="8">
        <v>115500</v>
      </c>
      <c r="E522">
        <v>113347</v>
      </c>
      <c r="F522" s="8">
        <v>15956260</v>
      </c>
      <c r="G522" s="1">
        <v>1842948030000</v>
      </c>
      <c r="H522" s="1">
        <v>1575536193000</v>
      </c>
      <c r="I522">
        <f t="shared" si="8"/>
        <v>0</v>
      </c>
    </row>
    <row r="523" spans="1:9" x14ac:dyDescent="0.3">
      <c r="A523">
        <v>20170110</v>
      </c>
      <c r="B523">
        <v>84990</v>
      </c>
      <c r="C523" s="8">
        <v>115500</v>
      </c>
      <c r="D523" s="8">
        <v>111000</v>
      </c>
      <c r="E523">
        <v>108931</v>
      </c>
      <c r="F523" s="8">
        <v>15956260</v>
      </c>
      <c r="G523" s="1">
        <v>1771144860000</v>
      </c>
      <c r="H523" s="1">
        <v>1514151666000</v>
      </c>
      <c r="I523">
        <f t="shared" si="8"/>
        <v>0</v>
      </c>
    </row>
    <row r="524" spans="1:9" x14ac:dyDescent="0.3">
      <c r="A524">
        <v>20170111</v>
      </c>
      <c r="B524">
        <v>84990</v>
      </c>
      <c r="C524" s="8">
        <v>111000</v>
      </c>
      <c r="D524" s="8">
        <v>111500</v>
      </c>
      <c r="E524">
        <v>109422</v>
      </c>
      <c r="F524" s="8">
        <v>15956260</v>
      </c>
      <c r="G524" s="1">
        <v>1779122990000</v>
      </c>
      <c r="H524" s="1">
        <v>1520972169000</v>
      </c>
      <c r="I524">
        <f t="shared" si="8"/>
        <v>0</v>
      </c>
    </row>
    <row r="525" spans="1:9" x14ac:dyDescent="0.3">
      <c r="A525">
        <v>20170112</v>
      </c>
      <c r="B525">
        <v>84990</v>
      </c>
      <c r="C525" s="8">
        <v>111500</v>
      </c>
      <c r="D525" s="8">
        <v>110300</v>
      </c>
      <c r="E525">
        <v>108244</v>
      </c>
      <c r="F525" s="8">
        <v>15956260</v>
      </c>
      <c r="G525" s="1">
        <v>1759975478000</v>
      </c>
      <c r="H525" s="1">
        <v>1504602961800</v>
      </c>
      <c r="I525">
        <f t="shared" si="8"/>
        <v>0</v>
      </c>
    </row>
    <row r="526" spans="1:9" x14ac:dyDescent="0.3">
      <c r="A526">
        <v>20170113</v>
      </c>
      <c r="B526">
        <v>84990</v>
      </c>
      <c r="C526" s="8">
        <v>110300</v>
      </c>
      <c r="D526" s="8">
        <v>115600</v>
      </c>
      <c r="E526">
        <v>113445</v>
      </c>
      <c r="F526" s="8">
        <v>15956260</v>
      </c>
      <c r="G526" s="1">
        <v>1844543656000</v>
      </c>
      <c r="H526" s="1">
        <v>1576900293600</v>
      </c>
      <c r="I526">
        <f t="shared" si="8"/>
        <v>0</v>
      </c>
    </row>
    <row r="527" spans="1:9" x14ac:dyDescent="0.3">
      <c r="A527">
        <v>20170116</v>
      </c>
      <c r="B527">
        <v>84990</v>
      </c>
      <c r="C527" s="8">
        <v>115600</v>
      </c>
      <c r="D527" s="8">
        <v>115900</v>
      </c>
      <c r="E527">
        <v>113740</v>
      </c>
      <c r="F527" s="8">
        <v>15956260</v>
      </c>
      <c r="G527" s="1">
        <v>1849330534000</v>
      </c>
      <c r="H527" s="1">
        <v>1664397480600</v>
      </c>
      <c r="I527">
        <f t="shared" si="8"/>
        <v>0</v>
      </c>
    </row>
    <row r="528" spans="1:9" x14ac:dyDescent="0.3">
      <c r="A528">
        <v>20170117</v>
      </c>
      <c r="B528">
        <v>84990</v>
      </c>
      <c r="C528" s="8">
        <v>115900</v>
      </c>
      <c r="D528" s="8">
        <v>113000</v>
      </c>
      <c r="E528">
        <v>110894</v>
      </c>
      <c r="F528" s="8">
        <v>15956260</v>
      </c>
      <c r="G528" s="1">
        <v>1803057380000</v>
      </c>
      <c r="H528" s="1">
        <v>1622751642000</v>
      </c>
      <c r="I528">
        <f t="shared" si="8"/>
        <v>0</v>
      </c>
    </row>
    <row r="529" spans="1:9" x14ac:dyDescent="0.3">
      <c r="A529">
        <v>20170118</v>
      </c>
      <c r="B529">
        <v>84990</v>
      </c>
      <c r="C529" s="8">
        <v>113000</v>
      </c>
      <c r="D529" s="8">
        <v>113600</v>
      </c>
      <c r="E529">
        <v>111483</v>
      </c>
      <c r="F529" s="8">
        <v>15956260</v>
      </c>
      <c r="G529" s="1">
        <v>1812631136000</v>
      </c>
      <c r="H529" s="1">
        <v>1631368022400</v>
      </c>
      <c r="I529">
        <f t="shared" si="8"/>
        <v>0</v>
      </c>
    </row>
    <row r="530" spans="1:9" x14ac:dyDescent="0.3">
      <c r="A530">
        <v>20170119</v>
      </c>
      <c r="B530">
        <v>84990</v>
      </c>
      <c r="C530" s="8">
        <v>113600</v>
      </c>
      <c r="D530" s="8">
        <v>112100</v>
      </c>
      <c r="E530">
        <v>110011</v>
      </c>
      <c r="F530" s="8">
        <v>15956260</v>
      </c>
      <c r="G530" s="1">
        <v>1788696746000</v>
      </c>
      <c r="H530" s="1">
        <v>1609827071400</v>
      </c>
      <c r="I530">
        <f t="shared" si="8"/>
        <v>0</v>
      </c>
    </row>
    <row r="531" spans="1:9" x14ac:dyDescent="0.3">
      <c r="A531">
        <v>20170120</v>
      </c>
      <c r="B531">
        <v>84990</v>
      </c>
      <c r="C531" s="8">
        <v>112100</v>
      </c>
      <c r="D531" s="8">
        <v>110100</v>
      </c>
      <c r="E531">
        <v>108048</v>
      </c>
      <c r="F531" s="8">
        <v>15956260</v>
      </c>
      <c r="G531" s="1">
        <v>1756784226000</v>
      </c>
      <c r="H531" s="1">
        <v>1581105803400</v>
      </c>
      <c r="I531">
        <f t="shared" si="8"/>
        <v>0</v>
      </c>
    </row>
    <row r="532" spans="1:9" x14ac:dyDescent="0.3">
      <c r="A532">
        <v>20170123</v>
      </c>
      <c r="B532">
        <v>84990</v>
      </c>
      <c r="C532" s="8">
        <v>110100</v>
      </c>
      <c r="D532" s="8">
        <v>110100</v>
      </c>
      <c r="E532">
        <v>108048</v>
      </c>
      <c r="F532" s="8">
        <v>15956260</v>
      </c>
      <c r="G532" s="1">
        <v>1756784226000</v>
      </c>
      <c r="H532" s="1">
        <v>1581105803400</v>
      </c>
      <c r="I532">
        <f t="shared" si="8"/>
        <v>0</v>
      </c>
    </row>
    <row r="533" spans="1:9" x14ac:dyDescent="0.3">
      <c r="A533">
        <v>20170124</v>
      </c>
      <c r="B533">
        <v>84990</v>
      </c>
      <c r="C533" s="8">
        <v>110100</v>
      </c>
      <c r="D533" s="8">
        <v>108800</v>
      </c>
      <c r="E533">
        <v>106772</v>
      </c>
      <c r="F533" s="8">
        <v>15956260</v>
      </c>
      <c r="G533" s="1">
        <v>1736041088000</v>
      </c>
      <c r="H533" s="1">
        <v>1562436979200</v>
      </c>
      <c r="I533">
        <f t="shared" si="8"/>
        <v>0</v>
      </c>
    </row>
    <row r="534" spans="1:9" x14ac:dyDescent="0.3">
      <c r="A534">
        <v>20170125</v>
      </c>
      <c r="B534">
        <v>84990</v>
      </c>
      <c r="C534" s="8">
        <v>108800</v>
      </c>
      <c r="D534" s="8">
        <v>107700</v>
      </c>
      <c r="E534">
        <v>105693</v>
      </c>
      <c r="F534" s="8">
        <v>15956260</v>
      </c>
      <c r="G534" s="1">
        <v>1718489202000</v>
      </c>
      <c r="H534" s="1">
        <v>1546640281800</v>
      </c>
      <c r="I534">
        <f t="shared" si="8"/>
        <v>0</v>
      </c>
    </row>
    <row r="535" spans="1:9" x14ac:dyDescent="0.3">
      <c r="A535">
        <v>20170126</v>
      </c>
      <c r="B535">
        <v>84990</v>
      </c>
      <c r="C535" s="8">
        <v>107700</v>
      </c>
      <c r="D535" s="8">
        <v>106900</v>
      </c>
      <c r="E535">
        <v>104908</v>
      </c>
      <c r="F535" s="8">
        <v>15956260</v>
      </c>
      <c r="G535" s="1">
        <v>1705724194000</v>
      </c>
      <c r="H535" s="1">
        <v>1535151774600</v>
      </c>
      <c r="I535">
        <f t="shared" si="8"/>
        <v>0</v>
      </c>
    </row>
    <row r="536" spans="1:9" x14ac:dyDescent="0.3">
      <c r="A536">
        <v>20170131</v>
      </c>
      <c r="B536">
        <v>84990</v>
      </c>
      <c r="C536" s="8">
        <v>106900</v>
      </c>
      <c r="D536" s="8">
        <v>103600</v>
      </c>
      <c r="E536">
        <v>101669</v>
      </c>
      <c r="F536" s="8">
        <v>15956260</v>
      </c>
      <c r="G536" s="1">
        <v>1653068536000</v>
      </c>
      <c r="H536" s="1">
        <v>1487761682400</v>
      </c>
      <c r="I536">
        <f t="shared" si="8"/>
        <v>0</v>
      </c>
    </row>
    <row r="537" spans="1:9" x14ac:dyDescent="0.3">
      <c r="A537">
        <v>20170201</v>
      </c>
      <c r="B537">
        <v>84990</v>
      </c>
      <c r="C537" s="8">
        <v>103600</v>
      </c>
      <c r="D537" s="8">
        <v>108300</v>
      </c>
      <c r="E537">
        <v>106281</v>
      </c>
      <c r="F537" s="8">
        <v>15956260</v>
      </c>
      <c r="G537" s="1">
        <v>1728062958000</v>
      </c>
      <c r="H537" s="1">
        <v>1555256662200</v>
      </c>
      <c r="I537">
        <f t="shared" si="8"/>
        <v>0</v>
      </c>
    </row>
    <row r="538" spans="1:9" x14ac:dyDescent="0.3">
      <c r="A538">
        <v>20170202</v>
      </c>
      <c r="B538">
        <v>84990</v>
      </c>
      <c r="C538" s="8">
        <v>108300</v>
      </c>
      <c r="D538" s="8">
        <v>106700</v>
      </c>
      <c r="E538">
        <v>104711</v>
      </c>
      <c r="F538" s="8">
        <v>15956260</v>
      </c>
      <c r="G538" s="1">
        <v>1702532942000</v>
      </c>
      <c r="H538" s="1">
        <v>1532279647800</v>
      </c>
      <c r="I538">
        <f t="shared" si="8"/>
        <v>0</v>
      </c>
    </row>
    <row r="539" spans="1:9" x14ac:dyDescent="0.3">
      <c r="A539">
        <v>20170203</v>
      </c>
      <c r="B539">
        <v>84990</v>
      </c>
      <c r="C539" s="8">
        <v>106700</v>
      </c>
      <c r="D539" s="8">
        <v>104300</v>
      </c>
      <c r="E539">
        <v>102356</v>
      </c>
      <c r="F539" s="8">
        <v>15956260</v>
      </c>
      <c r="G539" s="1">
        <v>1664237918000</v>
      </c>
      <c r="H539" s="1">
        <v>1497814126200</v>
      </c>
      <c r="I539">
        <f t="shared" si="8"/>
        <v>0</v>
      </c>
    </row>
    <row r="540" spans="1:9" x14ac:dyDescent="0.3">
      <c r="A540">
        <v>20170206</v>
      </c>
      <c r="B540">
        <v>84990</v>
      </c>
      <c r="C540" s="8">
        <v>104300</v>
      </c>
      <c r="D540" s="8">
        <v>105800</v>
      </c>
      <c r="E540">
        <v>103828</v>
      </c>
      <c r="F540" s="8">
        <v>15956260</v>
      </c>
      <c r="G540" s="1">
        <v>1688172308000</v>
      </c>
      <c r="H540" s="1">
        <v>1519355077200</v>
      </c>
      <c r="I540">
        <f t="shared" si="8"/>
        <v>0</v>
      </c>
    </row>
    <row r="541" spans="1:9" x14ac:dyDescent="0.3">
      <c r="A541">
        <v>20170207</v>
      </c>
      <c r="B541">
        <v>84990</v>
      </c>
      <c r="C541" s="8">
        <v>105800</v>
      </c>
      <c r="D541" s="8">
        <v>105000</v>
      </c>
      <c r="E541">
        <v>103043</v>
      </c>
      <c r="F541" s="8">
        <v>15956260</v>
      </c>
      <c r="G541" s="1">
        <v>1675407300000</v>
      </c>
      <c r="H541" s="1">
        <v>1507866570000</v>
      </c>
      <c r="I541">
        <f t="shared" si="8"/>
        <v>0</v>
      </c>
    </row>
    <row r="542" spans="1:9" x14ac:dyDescent="0.3">
      <c r="A542">
        <v>20170208</v>
      </c>
      <c r="B542">
        <v>84990</v>
      </c>
      <c r="C542" s="8">
        <v>105000</v>
      </c>
      <c r="D542" s="8">
        <v>104600</v>
      </c>
      <c r="E542">
        <v>102650</v>
      </c>
      <c r="F542" s="8">
        <v>15956260</v>
      </c>
      <c r="G542" s="1">
        <v>1669024796000</v>
      </c>
      <c r="H542" s="1">
        <v>1502122316400</v>
      </c>
      <c r="I542">
        <f t="shared" si="8"/>
        <v>0</v>
      </c>
    </row>
    <row r="543" spans="1:9" x14ac:dyDescent="0.3">
      <c r="A543">
        <v>20170209</v>
      </c>
      <c r="B543">
        <v>84990</v>
      </c>
      <c r="C543" s="8">
        <v>104600</v>
      </c>
      <c r="D543" s="8">
        <v>100700</v>
      </c>
      <c r="E543">
        <v>98823</v>
      </c>
      <c r="F543" s="8">
        <v>15956260</v>
      </c>
      <c r="G543" s="1">
        <v>1606795382000</v>
      </c>
      <c r="H543" s="1">
        <v>1446115843800</v>
      </c>
      <c r="I543">
        <f t="shared" si="8"/>
        <v>0</v>
      </c>
    </row>
    <row r="544" spans="1:9" x14ac:dyDescent="0.3">
      <c r="A544">
        <v>20170210</v>
      </c>
      <c r="B544">
        <v>84990</v>
      </c>
      <c r="C544" s="8">
        <v>100700</v>
      </c>
      <c r="D544" s="8">
        <v>100500</v>
      </c>
      <c r="E544">
        <v>98627</v>
      </c>
      <c r="F544" s="8">
        <v>15956260</v>
      </c>
      <c r="G544" s="1">
        <v>1603604130000</v>
      </c>
      <c r="H544" s="1">
        <v>1443243717000</v>
      </c>
      <c r="I544">
        <f t="shared" si="8"/>
        <v>0</v>
      </c>
    </row>
    <row r="545" spans="1:9" x14ac:dyDescent="0.3">
      <c r="A545">
        <v>20170213</v>
      </c>
      <c r="B545">
        <v>84990</v>
      </c>
      <c r="C545" s="8">
        <v>100500</v>
      </c>
      <c r="D545" s="8">
        <v>100500</v>
      </c>
      <c r="E545">
        <v>98627</v>
      </c>
      <c r="F545" s="8">
        <v>15956260</v>
      </c>
      <c r="G545" s="1">
        <v>1603604130000</v>
      </c>
      <c r="H545" s="1">
        <v>1443243717000</v>
      </c>
      <c r="I545">
        <f t="shared" si="8"/>
        <v>0</v>
      </c>
    </row>
    <row r="546" spans="1:9" x14ac:dyDescent="0.3">
      <c r="A546">
        <v>20170214</v>
      </c>
      <c r="B546">
        <v>84990</v>
      </c>
      <c r="C546" s="8">
        <v>100500</v>
      </c>
      <c r="D546" s="8">
        <v>100500</v>
      </c>
      <c r="E546">
        <v>98627</v>
      </c>
      <c r="F546" s="8">
        <v>15956260</v>
      </c>
      <c r="G546" s="1">
        <v>1603604130000</v>
      </c>
      <c r="H546" s="1">
        <v>1443243717000</v>
      </c>
      <c r="I546">
        <f t="shared" si="8"/>
        <v>0</v>
      </c>
    </row>
    <row r="547" spans="1:9" x14ac:dyDescent="0.3">
      <c r="A547">
        <v>20170215</v>
      </c>
      <c r="B547">
        <v>84990</v>
      </c>
      <c r="C547" s="8">
        <v>100500</v>
      </c>
      <c r="D547" s="8">
        <v>103800</v>
      </c>
      <c r="E547">
        <v>101865</v>
      </c>
      <c r="F547" s="8">
        <v>15956260</v>
      </c>
      <c r="G547" s="1">
        <v>1656259788000</v>
      </c>
      <c r="H547" s="1">
        <v>1490633809200</v>
      </c>
      <c r="I547">
        <f t="shared" si="8"/>
        <v>0</v>
      </c>
    </row>
    <row r="548" spans="1:9" x14ac:dyDescent="0.3">
      <c r="A548">
        <v>20170216</v>
      </c>
      <c r="B548">
        <v>84990</v>
      </c>
      <c r="C548" s="8">
        <v>103800</v>
      </c>
      <c r="D548" s="8">
        <v>103100</v>
      </c>
      <c r="E548">
        <v>101178</v>
      </c>
      <c r="F548" s="8">
        <v>15956260</v>
      </c>
      <c r="G548" s="1">
        <v>1645090406000</v>
      </c>
      <c r="H548" s="1">
        <v>1480581365400</v>
      </c>
      <c r="I548">
        <f t="shared" si="8"/>
        <v>0</v>
      </c>
    </row>
    <row r="549" spans="1:9" x14ac:dyDescent="0.3">
      <c r="A549">
        <v>20170217</v>
      </c>
      <c r="B549">
        <v>84990</v>
      </c>
      <c r="C549" s="8">
        <v>103100</v>
      </c>
      <c r="D549" s="8">
        <v>103000</v>
      </c>
      <c r="E549">
        <v>101080</v>
      </c>
      <c r="F549" s="8">
        <v>15956260</v>
      </c>
      <c r="G549" s="1">
        <v>1643494780000</v>
      </c>
      <c r="H549" s="1">
        <v>1479145302000</v>
      </c>
      <c r="I549">
        <f t="shared" si="8"/>
        <v>0</v>
      </c>
    </row>
    <row r="550" spans="1:9" x14ac:dyDescent="0.3">
      <c r="A550">
        <v>20170220</v>
      </c>
      <c r="B550">
        <v>84990</v>
      </c>
      <c r="C550" s="8">
        <v>103000</v>
      </c>
      <c r="D550" s="8">
        <v>100300</v>
      </c>
      <c r="E550">
        <v>98431</v>
      </c>
      <c r="F550" s="8">
        <v>15956260</v>
      </c>
      <c r="G550" s="1">
        <v>1600412878000</v>
      </c>
      <c r="H550" s="1">
        <v>1440371590200</v>
      </c>
      <c r="I550">
        <f t="shared" si="8"/>
        <v>0</v>
      </c>
    </row>
    <row r="551" spans="1:9" x14ac:dyDescent="0.3">
      <c r="A551">
        <v>20170221</v>
      </c>
      <c r="B551">
        <v>84990</v>
      </c>
      <c r="C551" s="8">
        <v>100300</v>
      </c>
      <c r="D551" s="8">
        <v>101000</v>
      </c>
      <c r="E551">
        <v>99118</v>
      </c>
      <c r="F551" s="8">
        <v>15956260</v>
      </c>
      <c r="G551" s="1">
        <v>1611582260000</v>
      </c>
      <c r="H551" s="1">
        <v>1450424034000</v>
      </c>
      <c r="I551">
        <f t="shared" si="8"/>
        <v>0</v>
      </c>
    </row>
    <row r="552" spans="1:9" x14ac:dyDescent="0.3">
      <c r="A552">
        <v>20170222</v>
      </c>
      <c r="B552">
        <v>84990</v>
      </c>
      <c r="C552" s="8">
        <v>101000</v>
      </c>
      <c r="D552" s="8">
        <v>100000</v>
      </c>
      <c r="E552">
        <v>98136</v>
      </c>
      <c r="F552" s="8">
        <v>15956260</v>
      </c>
      <c r="G552" s="1">
        <v>1595626000000</v>
      </c>
      <c r="H552" s="1">
        <v>1436063400000</v>
      </c>
      <c r="I552">
        <f t="shared" si="8"/>
        <v>0</v>
      </c>
    </row>
    <row r="553" spans="1:9" x14ac:dyDescent="0.3">
      <c r="A553">
        <v>20170223</v>
      </c>
      <c r="B553">
        <v>84990</v>
      </c>
      <c r="C553" s="8">
        <v>100000</v>
      </c>
      <c r="D553" s="8">
        <v>95500</v>
      </c>
      <c r="E553">
        <v>93720</v>
      </c>
      <c r="F553" s="8">
        <v>15956260</v>
      </c>
      <c r="G553" s="1">
        <v>1523822830000</v>
      </c>
      <c r="H553" s="1">
        <v>1371440547000</v>
      </c>
      <c r="I553">
        <f t="shared" si="8"/>
        <v>0</v>
      </c>
    </row>
    <row r="554" spans="1:9" x14ac:dyDescent="0.3">
      <c r="A554">
        <v>20170224</v>
      </c>
      <c r="B554">
        <v>84990</v>
      </c>
      <c r="C554" s="8">
        <v>95500</v>
      </c>
      <c r="D554" s="8">
        <v>94500</v>
      </c>
      <c r="E554">
        <v>92739</v>
      </c>
      <c r="F554" s="8">
        <v>15956260</v>
      </c>
      <c r="G554" s="1">
        <v>1507866570000</v>
      </c>
      <c r="H554" s="1">
        <v>1357079913000</v>
      </c>
      <c r="I554">
        <f t="shared" si="8"/>
        <v>0</v>
      </c>
    </row>
    <row r="555" spans="1:9" x14ac:dyDescent="0.3">
      <c r="A555">
        <v>20170227</v>
      </c>
      <c r="B555">
        <v>84990</v>
      </c>
      <c r="C555" s="8">
        <v>94500</v>
      </c>
      <c r="D555" s="8">
        <v>95100</v>
      </c>
      <c r="E555">
        <v>93327</v>
      </c>
      <c r="F555" s="8">
        <v>15956260</v>
      </c>
      <c r="G555" s="1">
        <v>1517440326000</v>
      </c>
      <c r="H555" s="1">
        <v>1365696293400</v>
      </c>
      <c r="I555">
        <f t="shared" si="8"/>
        <v>0</v>
      </c>
    </row>
    <row r="556" spans="1:9" x14ac:dyDescent="0.3">
      <c r="A556">
        <v>20170228</v>
      </c>
      <c r="B556">
        <v>84990</v>
      </c>
      <c r="C556" s="8">
        <v>95100</v>
      </c>
      <c r="D556" s="8">
        <v>93500</v>
      </c>
      <c r="E556">
        <v>91757</v>
      </c>
      <c r="F556" s="8">
        <v>15956260</v>
      </c>
      <c r="G556" s="1">
        <v>1491910310000</v>
      </c>
      <c r="H556" s="1">
        <v>1342719279000</v>
      </c>
      <c r="I556">
        <f t="shared" si="8"/>
        <v>0</v>
      </c>
    </row>
    <row r="557" spans="1:9" x14ac:dyDescent="0.3">
      <c r="A557">
        <v>20170302</v>
      </c>
      <c r="B557">
        <v>84990</v>
      </c>
      <c r="C557" s="8">
        <v>93500</v>
      </c>
      <c r="D557" s="8">
        <v>95900</v>
      </c>
      <c r="E557">
        <v>94113</v>
      </c>
      <c r="F557" s="8">
        <v>15956260</v>
      </c>
      <c r="G557" s="1">
        <v>1530205334000</v>
      </c>
      <c r="H557" s="1">
        <v>1377184800600</v>
      </c>
      <c r="I557">
        <f t="shared" si="8"/>
        <v>0</v>
      </c>
    </row>
    <row r="558" spans="1:9" x14ac:dyDescent="0.3">
      <c r="A558">
        <v>20170303</v>
      </c>
      <c r="B558">
        <v>84990</v>
      </c>
      <c r="C558" s="8">
        <v>95900</v>
      </c>
      <c r="D558" s="8">
        <v>95600</v>
      </c>
      <c r="E558">
        <v>93818</v>
      </c>
      <c r="F558" s="8">
        <v>15956260</v>
      </c>
      <c r="G558" s="1">
        <v>1525418456000</v>
      </c>
      <c r="H558" s="1">
        <v>1372876610400</v>
      </c>
      <c r="I558">
        <f t="shared" si="8"/>
        <v>0</v>
      </c>
    </row>
    <row r="559" spans="1:9" x14ac:dyDescent="0.3">
      <c r="A559">
        <v>20170306</v>
      </c>
      <c r="B559">
        <v>84990</v>
      </c>
      <c r="C559" s="8">
        <v>95600</v>
      </c>
      <c r="D559" s="8">
        <v>96500</v>
      </c>
      <c r="E559">
        <v>94701</v>
      </c>
      <c r="F559" s="8">
        <v>15956260</v>
      </c>
      <c r="G559" s="1">
        <v>1539779090000</v>
      </c>
      <c r="H559" s="1">
        <v>1385801181000</v>
      </c>
      <c r="I559">
        <f t="shared" si="8"/>
        <v>0</v>
      </c>
    </row>
    <row r="560" spans="1:9" x14ac:dyDescent="0.3">
      <c r="A560">
        <v>20170307</v>
      </c>
      <c r="B560">
        <v>84990</v>
      </c>
      <c r="C560" s="8">
        <v>96500</v>
      </c>
      <c r="D560" s="8">
        <v>95800</v>
      </c>
      <c r="E560">
        <v>94014</v>
      </c>
      <c r="F560" s="8">
        <v>15956260</v>
      </c>
      <c r="G560" s="1">
        <v>1528609708000</v>
      </c>
      <c r="H560" s="1">
        <v>1375748737200</v>
      </c>
      <c r="I560">
        <f t="shared" si="8"/>
        <v>0</v>
      </c>
    </row>
    <row r="561" spans="1:9" x14ac:dyDescent="0.3">
      <c r="A561">
        <v>20170308</v>
      </c>
      <c r="B561">
        <v>84990</v>
      </c>
      <c r="C561" s="8">
        <v>95800</v>
      </c>
      <c r="D561" s="8">
        <v>92600</v>
      </c>
      <c r="E561">
        <v>90874</v>
      </c>
      <c r="F561" s="8">
        <v>15956260</v>
      </c>
      <c r="G561" s="1">
        <v>1477549676000</v>
      </c>
      <c r="H561" s="1">
        <v>1329794708400</v>
      </c>
      <c r="I561">
        <f t="shared" si="8"/>
        <v>0</v>
      </c>
    </row>
    <row r="562" spans="1:9" x14ac:dyDescent="0.3">
      <c r="A562">
        <v>20170309</v>
      </c>
      <c r="B562">
        <v>84990</v>
      </c>
      <c r="C562" s="8">
        <v>92600</v>
      </c>
      <c r="D562" s="8">
        <v>90000</v>
      </c>
      <c r="E562">
        <v>88322</v>
      </c>
      <c r="F562" s="8">
        <v>15956260</v>
      </c>
      <c r="G562" s="1">
        <v>1436063400000</v>
      </c>
      <c r="H562" s="1">
        <v>1292457060000</v>
      </c>
      <c r="I562">
        <f t="shared" si="8"/>
        <v>0</v>
      </c>
    </row>
    <row r="563" spans="1:9" x14ac:dyDescent="0.3">
      <c r="A563">
        <v>20170310</v>
      </c>
      <c r="B563">
        <v>84990</v>
      </c>
      <c r="C563" s="8">
        <v>90000</v>
      </c>
      <c r="D563" s="8">
        <v>93100</v>
      </c>
      <c r="E563">
        <v>91365</v>
      </c>
      <c r="F563" s="8">
        <v>15956260</v>
      </c>
      <c r="G563" s="1">
        <v>1485527806000</v>
      </c>
      <c r="H563" s="1">
        <v>1336975025400</v>
      </c>
      <c r="I563">
        <f t="shared" si="8"/>
        <v>0</v>
      </c>
    </row>
    <row r="564" spans="1:9" x14ac:dyDescent="0.3">
      <c r="A564">
        <v>20170313</v>
      </c>
      <c r="B564">
        <v>84990</v>
      </c>
      <c r="C564" s="8">
        <v>93100</v>
      </c>
      <c r="D564" s="8">
        <v>92400</v>
      </c>
      <c r="E564">
        <v>90678</v>
      </c>
      <c r="F564" s="8">
        <v>15956260</v>
      </c>
      <c r="G564" s="1">
        <v>1474358424000</v>
      </c>
      <c r="H564" s="1">
        <v>1326922581600</v>
      </c>
      <c r="I564">
        <f t="shared" si="8"/>
        <v>0</v>
      </c>
    </row>
    <row r="565" spans="1:9" x14ac:dyDescent="0.3">
      <c r="A565">
        <v>20170314</v>
      </c>
      <c r="B565">
        <v>84990</v>
      </c>
      <c r="C565" s="8">
        <v>92400</v>
      </c>
      <c r="D565" s="8">
        <v>92000</v>
      </c>
      <c r="E565">
        <v>90285</v>
      </c>
      <c r="F565" s="8">
        <v>15956260</v>
      </c>
      <c r="G565" s="1">
        <v>1467975920000</v>
      </c>
      <c r="H565" s="1">
        <v>1321178328000</v>
      </c>
      <c r="I565">
        <f t="shared" si="8"/>
        <v>0</v>
      </c>
    </row>
    <row r="566" spans="1:9" x14ac:dyDescent="0.3">
      <c r="A566">
        <v>20170315</v>
      </c>
      <c r="B566">
        <v>84990</v>
      </c>
      <c r="C566" s="8">
        <v>92000</v>
      </c>
      <c r="D566" s="8">
        <v>90300</v>
      </c>
      <c r="E566">
        <v>88617</v>
      </c>
      <c r="F566" s="8">
        <v>15956260</v>
      </c>
      <c r="G566" s="1">
        <v>1440850278000</v>
      </c>
      <c r="H566" s="1">
        <v>1296765250200</v>
      </c>
      <c r="I566">
        <f t="shared" si="8"/>
        <v>0</v>
      </c>
    </row>
    <row r="567" spans="1:9" x14ac:dyDescent="0.3">
      <c r="A567">
        <v>20170316</v>
      </c>
      <c r="B567">
        <v>84990</v>
      </c>
      <c r="C567" s="8">
        <v>90300</v>
      </c>
      <c r="D567" s="8">
        <v>90400</v>
      </c>
      <c r="E567">
        <v>88715</v>
      </c>
      <c r="F567" s="8">
        <v>15956260</v>
      </c>
      <c r="G567" s="1">
        <v>1442445904000</v>
      </c>
      <c r="H567" s="1">
        <v>1298201313600</v>
      </c>
      <c r="I567">
        <f t="shared" si="8"/>
        <v>0</v>
      </c>
    </row>
    <row r="568" spans="1:9" x14ac:dyDescent="0.3">
      <c r="A568">
        <v>20170317</v>
      </c>
      <c r="B568">
        <v>84990</v>
      </c>
      <c r="C568" s="8">
        <v>90400</v>
      </c>
      <c r="D568" s="8">
        <v>86500</v>
      </c>
      <c r="E568">
        <v>84888</v>
      </c>
      <c r="F568" s="8">
        <v>15956260</v>
      </c>
      <c r="G568" s="1">
        <v>1380216490000</v>
      </c>
      <c r="H568" s="1">
        <v>1242194841000</v>
      </c>
      <c r="I568">
        <f t="shared" si="8"/>
        <v>0</v>
      </c>
    </row>
    <row r="569" spans="1:9" x14ac:dyDescent="0.3">
      <c r="A569">
        <v>20170320</v>
      </c>
      <c r="B569">
        <v>84990</v>
      </c>
      <c r="C569" s="8">
        <v>86500</v>
      </c>
      <c r="D569" s="8">
        <v>86600</v>
      </c>
      <c r="E569">
        <v>84986</v>
      </c>
      <c r="F569" s="8">
        <v>15956260</v>
      </c>
      <c r="G569" s="1">
        <v>1381812116000</v>
      </c>
      <c r="H569" s="1">
        <v>1243630904400</v>
      </c>
      <c r="I569">
        <f t="shared" si="8"/>
        <v>0</v>
      </c>
    </row>
    <row r="570" spans="1:9" x14ac:dyDescent="0.3">
      <c r="A570">
        <v>20170321</v>
      </c>
      <c r="B570">
        <v>84990</v>
      </c>
      <c r="C570" s="8">
        <v>86600</v>
      </c>
      <c r="D570" s="8">
        <v>88300</v>
      </c>
      <c r="E570">
        <v>86654</v>
      </c>
      <c r="F570" s="8">
        <v>15956260</v>
      </c>
      <c r="G570" s="1">
        <v>1408937758000</v>
      </c>
      <c r="H570" s="1">
        <v>1268043982200</v>
      </c>
      <c r="I570">
        <f t="shared" si="8"/>
        <v>0</v>
      </c>
    </row>
    <row r="571" spans="1:9" x14ac:dyDescent="0.3">
      <c r="A571">
        <v>20170322</v>
      </c>
      <c r="B571">
        <v>84990</v>
      </c>
      <c r="C571" s="8">
        <v>88300</v>
      </c>
      <c r="D571" s="8">
        <v>88300</v>
      </c>
      <c r="E571">
        <v>86654</v>
      </c>
      <c r="F571" s="8">
        <v>15956260</v>
      </c>
      <c r="G571" s="1">
        <v>1408937758000</v>
      </c>
      <c r="H571" s="1">
        <v>1268043982200</v>
      </c>
      <c r="I571">
        <f t="shared" si="8"/>
        <v>0</v>
      </c>
    </row>
    <row r="572" spans="1:9" x14ac:dyDescent="0.3">
      <c r="A572">
        <v>20170323</v>
      </c>
      <c r="B572">
        <v>84990</v>
      </c>
      <c r="C572" s="8">
        <v>88300</v>
      </c>
      <c r="D572" s="8">
        <v>85000</v>
      </c>
      <c r="E572">
        <v>83416</v>
      </c>
      <c r="F572" s="8">
        <v>15956260</v>
      </c>
      <c r="G572" s="1">
        <v>1356282100000</v>
      </c>
      <c r="H572" s="1">
        <v>1220653890000</v>
      </c>
      <c r="I572">
        <f t="shared" si="8"/>
        <v>0</v>
      </c>
    </row>
    <row r="573" spans="1:9" x14ac:dyDescent="0.3">
      <c r="A573">
        <v>20170324</v>
      </c>
      <c r="B573">
        <v>84990</v>
      </c>
      <c r="C573" s="8">
        <v>85000</v>
      </c>
      <c r="D573" s="8">
        <v>84700</v>
      </c>
      <c r="E573">
        <v>83121</v>
      </c>
      <c r="F573" s="8">
        <v>15956260</v>
      </c>
      <c r="G573" s="1">
        <v>1351495222000</v>
      </c>
      <c r="H573" s="1">
        <v>1216345699800</v>
      </c>
      <c r="I573">
        <f t="shared" si="8"/>
        <v>0</v>
      </c>
    </row>
    <row r="574" spans="1:9" x14ac:dyDescent="0.3">
      <c r="A574">
        <v>20170327</v>
      </c>
      <c r="B574">
        <v>84990</v>
      </c>
      <c r="C574" s="8">
        <v>84700</v>
      </c>
      <c r="D574" s="8">
        <v>85300</v>
      </c>
      <c r="E574">
        <v>83710</v>
      </c>
      <c r="F574" s="8">
        <v>15956260</v>
      </c>
      <c r="G574" s="1">
        <v>1361068978000</v>
      </c>
      <c r="H574" s="1">
        <v>1224962080200</v>
      </c>
      <c r="I574">
        <f t="shared" si="8"/>
        <v>0</v>
      </c>
    </row>
    <row r="575" spans="1:9" x14ac:dyDescent="0.3">
      <c r="A575">
        <v>20170328</v>
      </c>
      <c r="B575">
        <v>84990</v>
      </c>
      <c r="C575" s="8">
        <v>85300</v>
      </c>
      <c r="D575" s="8">
        <v>89200</v>
      </c>
      <c r="E575">
        <v>87537</v>
      </c>
      <c r="F575" s="8">
        <v>15956260</v>
      </c>
      <c r="G575" s="1">
        <v>1423298392000</v>
      </c>
      <c r="H575" s="1">
        <v>1280968552800</v>
      </c>
      <c r="I575">
        <f t="shared" si="8"/>
        <v>0</v>
      </c>
    </row>
    <row r="576" spans="1:9" x14ac:dyDescent="0.3">
      <c r="A576">
        <v>20170329</v>
      </c>
      <c r="B576">
        <v>84990</v>
      </c>
      <c r="C576" s="8">
        <v>89200</v>
      </c>
      <c r="D576" s="8">
        <v>91800</v>
      </c>
      <c r="E576">
        <v>90089</v>
      </c>
      <c r="F576" s="8">
        <v>15956260</v>
      </c>
      <c r="G576" s="1">
        <v>1464784668000</v>
      </c>
      <c r="H576" s="1">
        <v>1318306201200</v>
      </c>
      <c r="I576">
        <f t="shared" si="8"/>
        <v>0</v>
      </c>
    </row>
    <row r="577" spans="1:9" x14ac:dyDescent="0.3">
      <c r="A577">
        <v>20170330</v>
      </c>
      <c r="B577">
        <v>84990</v>
      </c>
      <c r="C577" s="8">
        <v>91800</v>
      </c>
      <c r="D577" s="8">
        <v>93000</v>
      </c>
      <c r="E577">
        <v>91267</v>
      </c>
      <c r="F577" s="8">
        <v>15956260</v>
      </c>
      <c r="G577" s="1">
        <v>1483932180000</v>
      </c>
      <c r="H577" s="1">
        <v>1335538962000</v>
      </c>
      <c r="I577">
        <f t="shared" si="8"/>
        <v>0</v>
      </c>
    </row>
    <row r="578" spans="1:9" x14ac:dyDescent="0.3">
      <c r="A578">
        <v>20170331</v>
      </c>
      <c r="B578">
        <v>84990</v>
      </c>
      <c r="C578" s="8">
        <v>93000</v>
      </c>
      <c r="D578" s="8">
        <v>94300</v>
      </c>
      <c r="E578">
        <v>92542</v>
      </c>
      <c r="F578" s="8">
        <v>15956260</v>
      </c>
      <c r="G578" s="1">
        <v>1504675318000</v>
      </c>
      <c r="H578" s="1">
        <v>1354207786200</v>
      </c>
      <c r="I578">
        <f t="shared" si="8"/>
        <v>0</v>
      </c>
    </row>
    <row r="579" spans="1:9" x14ac:dyDescent="0.3">
      <c r="A579">
        <v>20170403</v>
      </c>
      <c r="B579">
        <v>84990</v>
      </c>
      <c r="C579" s="8">
        <v>94300</v>
      </c>
      <c r="D579" s="8">
        <v>95500</v>
      </c>
      <c r="E579">
        <v>93720</v>
      </c>
      <c r="F579" s="8">
        <v>15956260</v>
      </c>
      <c r="G579" s="1">
        <v>1523822830000</v>
      </c>
      <c r="H579" s="1">
        <v>1371440547000</v>
      </c>
      <c r="I579">
        <f t="shared" ref="I579:I642" si="9">IF(C579*F579=D578*F578,0,1)</f>
        <v>0</v>
      </c>
    </row>
    <row r="580" spans="1:9" x14ac:dyDescent="0.3">
      <c r="A580">
        <v>20170404</v>
      </c>
      <c r="B580">
        <v>84990</v>
      </c>
      <c r="C580" s="8">
        <v>95500</v>
      </c>
      <c r="D580" s="8">
        <v>95300</v>
      </c>
      <c r="E580">
        <v>93524</v>
      </c>
      <c r="F580" s="8">
        <v>15956260</v>
      </c>
      <c r="G580" s="1">
        <v>1520631578000</v>
      </c>
      <c r="H580" s="1">
        <v>1368568420200</v>
      </c>
      <c r="I580">
        <f t="shared" si="9"/>
        <v>0</v>
      </c>
    </row>
    <row r="581" spans="1:9" x14ac:dyDescent="0.3">
      <c r="A581">
        <v>20170405</v>
      </c>
      <c r="B581">
        <v>84990</v>
      </c>
      <c r="C581" s="8">
        <v>95300</v>
      </c>
      <c r="D581" s="8">
        <v>93100</v>
      </c>
      <c r="E581">
        <v>91365</v>
      </c>
      <c r="F581" s="8">
        <v>15956260</v>
      </c>
      <c r="G581" s="1">
        <v>1485527806000</v>
      </c>
      <c r="H581" s="1">
        <v>1336975025400</v>
      </c>
      <c r="I581">
        <f t="shared" si="9"/>
        <v>0</v>
      </c>
    </row>
    <row r="582" spans="1:9" x14ac:dyDescent="0.3">
      <c r="A582">
        <v>20170406</v>
      </c>
      <c r="B582">
        <v>84990</v>
      </c>
      <c r="C582" s="8">
        <v>93100</v>
      </c>
      <c r="D582" s="8">
        <v>97800</v>
      </c>
      <c r="E582">
        <v>95977</v>
      </c>
      <c r="F582" s="8">
        <v>15956260</v>
      </c>
      <c r="G582" s="1">
        <v>1560522228000</v>
      </c>
      <c r="H582" s="1">
        <v>1404470005200</v>
      </c>
      <c r="I582">
        <f t="shared" si="9"/>
        <v>0</v>
      </c>
    </row>
    <row r="583" spans="1:9" x14ac:dyDescent="0.3">
      <c r="A583">
        <v>20170407</v>
      </c>
      <c r="B583">
        <v>84990</v>
      </c>
      <c r="C583" s="8">
        <v>97800</v>
      </c>
      <c r="D583" s="8">
        <v>98200</v>
      </c>
      <c r="E583">
        <v>96370</v>
      </c>
      <c r="F583" s="8">
        <v>15956260</v>
      </c>
      <c r="G583" s="1">
        <v>1566904732000</v>
      </c>
      <c r="H583" s="1">
        <v>1410214258800</v>
      </c>
      <c r="I583">
        <f t="shared" si="9"/>
        <v>0</v>
      </c>
    </row>
    <row r="584" spans="1:9" x14ac:dyDescent="0.3">
      <c r="A584">
        <v>20170410</v>
      </c>
      <c r="B584">
        <v>84990</v>
      </c>
      <c r="C584" s="8">
        <v>98200</v>
      </c>
      <c r="D584" s="8">
        <v>95100</v>
      </c>
      <c r="E584">
        <v>93327</v>
      </c>
      <c r="F584" s="8">
        <v>15956260</v>
      </c>
      <c r="G584" s="1">
        <v>1517440326000</v>
      </c>
      <c r="H584" s="1">
        <v>1365696293400</v>
      </c>
      <c r="I584">
        <f t="shared" si="9"/>
        <v>0</v>
      </c>
    </row>
    <row r="585" spans="1:9" x14ac:dyDescent="0.3">
      <c r="A585">
        <v>20170411</v>
      </c>
      <c r="B585">
        <v>84990</v>
      </c>
      <c r="C585" s="8">
        <v>95100</v>
      </c>
      <c r="D585" s="8">
        <v>94200</v>
      </c>
      <c r="E585">
        <v>92444</v>
      </c>
      <c r="F585" s="8">
        <v>15956260</v>
      </c>
      <c r="G585" s="1">
        <v>1503079692000</v>
      </c>
      <c r="H585" s="1">
        <v>1352771722800</v>
      </c>
      <c r="I585">
        <f t="shared" si="9"/>
        <v>0</v>
      </c>
    </row>
    <row r="586" spans="1:9" x14ac:dyDescent="0.3">
      <c r="A586">
        <v>20170412</v>
      </c>
      <c r="B586">
        <v>84990</v>
      </c>
      <c r="C586" s="8">
        <v>94200</v>
      </c>
      <c r="D586" s="8">
        <v>92300</v>
      </c>
      <c r="E586">
        <v>90580</v>
      </c>
      <c r="F586" s="8">
        <v>15956260</v>
      </c>
      <c r="G586" s="1">
        <v>1472762798000</v>
      </c>
      <c r="H586" s="1">
        <v>1325486518200</v>
      </c>
      <c r="I586">
        <f t="shared" si="9"/>
        <v>0</v>
      </c>
    </row>
    <row r="587" spans="1:9" x14ac:dyDescent="0.3">
      <c r="A587">
        <v>20170413</v>
      </c>
      <c r="B587">
        <v>84990</v>
      </c>
      <c r="C587" s="8">
        <v>92300</v>
      </c>
      <c r="D587" s="8">
        <v>93800</v>
      </c>
      <c r="E587">
        <v>92052</v>
      </c>
      <c r="F587" s="8">
        <v>15956260</v>
      </c>
      <c r="G587" s="1">
        <v>1496697188000</v>
      </c>
      <c r="H587" s="1">
        <v>1347027469200</v>
      </c>
      <c r="I587">
        <f t="shared" si="9"/>
        <v>0</v>
      </c>
    </row>
    <row r="588" spans="1:9" x14ac:dyDescent="0.3">
      <c r="A588">
        <v>20170414</v>
      </c>
      <c r="B588">
        <v>84990</v>
      </c>
      <c r="C588" s="8">
        <v>93800</v>
      </c>
      <c r="D588" s="8">
        <v>96700</v>
      </c>
      <c r="E588">
        <v>94898</v>
      </c>
      <c r="F588" s="8">
        <v>15956260</v>
      </c>
      <c r="G588" s="1">
        <v>1542970342000</v>
      </c>
      <c r="H588" s="1">
        <v>1388673307800</v>
      </c>
      <c r="I588">
        <f t="shared" si="9"/>
        <v>0</v>
      </c>
    </row>
    <row r="589" spans="1:9" x14ac:dyDescent="0.3">
      <c r="A589">
        <v>20170417</v>
      </c>
      <c r="B589">
        <v>84990</v>
      </c>
      <c r="C589" s="8">
        <v>96700</v>
      </c>
      <c r="D589" s="8">
        <v>96900</v>
      </c>
      <c r="E589">
        <v>95094</v>
      </c>
      <c r="F589" s="8">
        <v>15956260</v>
      </c>
      <c r="G589" s="1">
        <v>1546161594000</v>
      </c>
      <c r="H589" s="1">
        <v>1391545434600</v>
      </c>
      <c r="I589">
        <f t="shared" si="9"/>
        <v>0</v>
      </c>
    </row>
    <row r="590" spans="1:9" x14ac:dyDescent="0.3">
      <c r="A590">
        <v>20170418</v>
      </c>
      <c r="B590">
        <v>84990</v>
      </c>
      <c r="C590" s="8">
        <v>96900</v>
      </c>
      <c r="D590" s="8">
        <v>96300</v>
      </c>
      <c r="E590">
        <v>94505</v>
      </c>
      <c r="F590" s="8">
        <v>15956260</v>
      </c>
      <c r="G590" s="1">
        <v>1536587838000</v>
      </c>
      <c r="H590" s="1">
        <v>1382929054200</v>
      </c>
      <c r="I590">
        <f t="shared" si="9"/>
        <v>0</v>
      </c>
    </row>
    <row r="591" spans="1:9" x14ac:dyDescent="0.3">
      <c r="A591">
        <v>20170419</v>
      </c>
      <c r="B591">
        <v>84990</v>
      </c>
      <c r="C591" s="8">
        <v>96300</v>
      </c>
      <c r="D591" s="8">
        <v>95500</v>
      </c>
      <c r="E591">
        <v>93720</v>
      </c>
      <c r="F591" s="8">
        <v>15956260</v>
      </c>
      <c r="G591" s="1">
        <v>1523822830000</v>
      </c>
      <c r="H591" s="1">
        <v>1371440547000</v>
      </c>
      <c r="I591">
        <f t="shared" si="9"/>
        <v>0</v>
      </c>
    </row>
    <row r="592" spans="1:9" x14ac:dyDescent="0.3">
      <c r="A592">
        <v>20170420</v>
      </c>
      <c r="B592">
        <v>84990</v>
      </c>
      <c r="C592" s="8">
        <v>95500</v>
      </c>
      <c r="D592" s="8">
        <v>95600</v>
      </c>
      <c r="E592">
        <v>93818</v>
      </c>
      <c r="F592" s="8">
        <v>15956260</v>
      </c>
      <c r="G592" s="1">
        <v>1525418456000</v>
      </c>
      <c r="H592" s="1">
        <v>1372876610400</v>
      </c>
      <c r="I592">
        <f t="shared" si="9"/>
        <v>0</v>
      </c>
    </row>
    <row r="593" spans="1:9" x14ac:dyDescent="0.3">
      <c r="A593">
        <v>20170421</v>
      </c>
      <c r="B593">
        <v>84990</v>
      </c>
      <c r="C593" s="8">
        <v>95600</v>
      </c>
      <c r="D593" s="8">
        <v>94600</v>
      </c>
      <c r="E593">
        <v>92837</v>
      </c>
      <c r="F593" s="8">
        <v>15956260</v>
      </c>
      <c r="G593" s="1">
        <v>1509462196000</v>
      </c>
      <c r="H593" s="1">
        <v>1358515976400</v>
      </c>
      <c r="I593">
        <f t="shared" si="9"/>
        <v>0</v>
      </c>
    </row>
    <row r="594" spans="1:9" x14ac:dyDescent="0.3">
      <c r="A594">
        <v>20170424</v>
      </c>
      <c r="B594">
        <v>84990</v>
      </c>
      <c r="C594" s="8">
        <v>94600</v>
      </c>
      <c r="D594" s="8">
        <v>92000</v>
      </c>
      <c r="E594">
        <v>90285</v>
      </c>
      <c r="F594" s="8">
        <v>15956260</v>
      </c>
      <c r="G594" s="1">
        <v>1467975920000</v>
      </c>
      <c r="H594" s="1">
        <v>1321178328000</v>
      </c>
      <c r="I594">
        <f t="shared" si="9"/>
        <v>0</v>
      </c>
    </row>
    <row r="595" spans="1:9" x14ac:dyDescent="0.3">
      <c r="A595">
        <v>20170425</v>
      </c>
      <c r="B595">
        <v>84990</v>
      </c>
      <c r="C595" s="8">
        <v>92000</v>
      </c>
      <c r="D595" s="8">
        <v>92900</v>
      </c>
      <c r="E595">
        <v>91168</v>
      </c>
      <c r="F595" s="8">
        <v>15956260</v>
      </c>
      <c r="G595" s="1">
        <v>1482336554000</v>
      </c>
      <c r="H595" s="1">
        <v>1334102898600</v>
      </c>
      <c r="I595">
        <f t="shared" si="9"/>
        <v>0</v>
      </c>
    </row>
    <row r="596" spans="1:9" x14ac:dyDescent="0.3">
      <c r="A596">
        <v>20170426</v>
      </c>
      <c r="B596">
        <v>84990</v>
      </c>
      <c r="C596" s="8">
        <v>92900</v>
      </c>
      <c r="D596" s="8">
        <v>92600</v>
      </c>
      <c r="E596">
        <v>90874</v>
      </c>
      <c r="F596" s="8">
        <v>15956260</v>
      </c>
      <c r="G596" s="1">
        <v>1477549676000</v>
      </c>
      <c r="H596" s="1">
        <v>1329794708400</v>
      </c>
      <c r="I596">
        <f t="shared" si="9"/>
        <v>0</v>
      </c>
    </row>
    <row r="597" spans="1:9" x14ac:dyDescent="0.3">
      <c r="A597">
        <v>20170427</v>
      </c>
      <c r="B597">
        <v>84990</v>
      </c>
      <c r="C597" s="8">
        <v>92600</v>
      </c>
      <c r="D597" s="8">
        <v>90900</v>
      </c>
      <c r="E597">
        <v>89206</v>
      </c>
      <c r="F597" s="8">
        <v>15956260</v>
      </c>
      <c r="G597" s="1">
        <v>1450424034000</v>
      </c>
      <c r="H597" s="1">
        <v>1305381630600</v>
      </c>
      <c r="I597">
        <f t="shared" si="9"/>
        <v>0</v>
      </c>
    </row>
    <row r="598" spans="1:9" x14ac:dyDescent="0.3">
      <c r="A598">
        <v>20170428</v>
      </c>
      <c r="B598">
        <v>84990</v>
      </c>
      <c r="C598" s="8">
        <v>90900</v>
      </c>
      <c r="D598" s="8">
        <v>92200</v>
      </c>
      <c r="E598">
        <v>90481</v>
      </c>
      <c r="F598" s="8">
        <v>15956260</v>
      </c>
      <c r="G598" s="1">
        <v>1471167172000</v>
      </c>
      <c r="H598" s="1">
        <v>1324050454800</v>
      </c>
      <c r="I598">
        <f t="shared" si="9"/>
        <v>0</v>
      </c>
    </row>
    <row r="599" spans="1:9" x14ac:dyDescent="0.3">
      <c r="A599">
        <v>20170502</v>
      </c>
      <c r="B599">
        <v>84990</v>
      </c>
      <c r="C599" s="8">
        <v>92200</v>
      </c>
      <c r="D599" s="8">
        <v>91200</v>
      </c>
      <c r="E599">
        <v>89500</v>
      </c>
      <c r="F599" s="8">
        <v>15956260</v>
      </c>
      <c r="G599" s="1">
        <v>1455210912000</v>
      </c>
      <c r="H599" s="1">
        <v>1309689820800</v>
      </c>
      <c r="I599">
        <f t="shared" si="9"/>
        <v>0</v>
      </c>
    </row>
    <row r="600" spans="1:9" x14ac:dyDescent="0.3">
      <c r="A600">
        <v>20170504</v>
      </c>
      <c r="B600">
        <v>84990</v>
      </c>
      <c r="C600" s="8">
        <v>91200</v>
      </c>
      <c r="D600" s="8">
        <v>92300</v>
      </c>
      <c r="E600">
        <v>90580</v>
      </c>
      <c r="F600" s="8">
        <v>15956260</v>
      </c>
      <c r="G600" s="1">
        <v>1472762798000</v>
      </c>
      <c r="H600" s="1">
        <v>1325486518200</v>
      </c>
      <c r="I600">
        <f t="shared" si="9"/>
        <v>0</v>
      </c>
    </row>
    <row r="601" spans="1:9" x14ac:dyDescent="0.3">
      <c r="A601">
        <v>20170508</v>
      </c>
      <c r="B601">
        <v>84990</v>
      </c>
      <c r="C601" s="8">
        <v>92300</v>
      </c>
      <c r="D601" s="8">
        <v>95800</v>
      </c>
      <c r="E601">
        <v>94014</v>
      </c>
      <c r="F601" s="8">
        <v>15956260</v>
      </c>
      <c r="G601" s="1">
        <v>1528609708000</v>
      </c>
      <c r="H601" s="1">
        <v>1375748737200</v>
      </c>
      <c r="I601">
        <f t="shared" si="9"/>
        <v>0</v>
      </c>
    </row>
    <row r="602" spans="1:9" x14ac:dyDescent="0.3">
      <c r="A602">
        <v>20170510</v>
      </c>
      <c r="B602">
        <v>84990</v>
      </c>
      <c r="C602" s="8">
        <v>95800</v>
      </c>
      <c r="D602" s="8">
        <v>95300</v>
      </c>
      <c r="E602">
        <v>93524</v>
      </c>
      <c r="F602" s="8">
        <v>15956260</v>
      </c>
      <c r="G602" s="1">
        <v>1520631578000</v>
      </c>
      <c r="H602" s="1">
        <v>1368568420200</v>
      </c>
      <c r="I602">
        <f t="shared" si="9"/>
        <v>0</v>
      </c>
    </row>
    <row r="603" spans="1:9" x14ac:dyDescent="0.3">
      <c r="A603">
        <v>20170511</v>
      </c>
      <c r="B603">
        <v>84990</v>
      </c>
      <c r="C603" s="8">
        <v>95300</v>
      </c>
      <c r="D603" s="8">
        <v>95600</v>
      </c>
      <c r="E603">
        <v>93818</v>
      </c>
      <c r="F603" s="8">
        <v>15956260</v>
      </c>
      <c r="G603" s="1">
        <v>1525418456000</v>
      </c>
      <c r="H603" s="1">
        <v>1372876610400</v>
      </c>
      <c r="I603">
        <f t="shared" si="9"/>
        <v>0</v>
      </c>
    </row>
    <row r="604" spans="1:9" x14ac:dyDescent="0.3">
      <c r="A604">
        <v>20170512</v>
      </c>
      <c r="B604">
        <v>84990</v>
      </c>
      <c r="C604" s="8">
        <v>95600</v>
      </c>
      <c r="D604" s="8">
        <v>93300</v>
      </c>
      <c r="E604">
        <v>91561</v>
      </c>
      <c r="F604" s="8">
        <v>15956260</v>
      </c>
      <c r="G604" s="1">
        <v>1488719058000</v>
      </c>
      <c r="H604" s="1">
        <v>1339847152200</v>
      </c>
      <c r="I604">
        <f t="shared" si="9"/>
        <v>0</v>
      </c>
    </row>
    <row r="605" spans="1:9" x14ac:dyDescent="0.3">
      <c r="A605">
        <v>20170515</v>
      </c>
      <c r="B605">
        <v>84990</v>
      </c>
      <c r="C605" s="8">
        <v>93300</v>
      </c>
      <c r="D605" s="8">
        <v>94500</v>
      </c>
      <c r="E605">
        <v>92739</v>
      </c>
      <c r="F605" s="8">
        <v>15956260</v>
      </c>
      <c r="G605" s="1">
        <v>1507866570000</v>
      </c>
      <c r="H605" s="1">
        <v>1357079913000</v>
      </c>
      <c r="I605">
        <f t="shared" si="9"/>
        <v>0</v>
      </c>
    </row>
    <row r="606" spans="1:9" x14ac:dyDescent="0.3">
      <c r="A606">
        <v>20170516</v>
      </c>
      <c r="B606">
        <v>84990</v>
      </c>
      <c r="C606" s="8">
        <v>94500</v>
      </c>
      <c r="D606" s="8">
        <v>91700</v>
      </c>
      <c r="E606">
        <v>89991</v>
      </c>
      <c r="F606" s="8">
        <v>15956260</v>
      </c>
      <c r="G606" s="1">
        <v>1463189042000</v>
      </c>
      <c r="H606" s="1">
        <v>1316870137800</v>
      </c>
      <c r="I606">
        <f t="shared" si="9"/>
        <v>0</v>
      </c>
    </row>
    <row r="607" spans="1:9" x14ac:dyDescent="0.3">
      <c r="A607">
        <v>20170517</v>
      </c>
      <c r="B607">
        <v>84990</v>
      </c>
      <c r="C607" s="8">
        <v>91700</v>
      </c>
      <c r="D607" s="8">
        <v>91700</v>
      </c>
      <c r="E607">
        <v>89991</v>
      </c>
      <c r="F607" s="8">
        <v>15956260</v>
      </c>
      <c r="G607" s="1">
        <v>1463189042000</v>
      </c>
      <c r="H607" s="1">
        <v>1316870137800</v>
      </c>
      <c r="I607">
        <f t="shared" si="9"/>
        <v>0</v>
      </c>
    </row>
    <row r="608" spans="1:9" x14ac:dyDescent="0.3">
      <c r="A608">
        <v>20170518</v>
      </c>
      <c r="B608">
        <v>84990</v>
      </c>
      <c r="C608" s="8">
        <v>91700</v>
      </c>
      <c r="D608" s="8">
        <v>90200</v>
      </c>
      <c r="E608">
        <v>88519</v>
      </c>
      <c r="F608" s="8">
        <v>15956260</v>
      </c>
      <c r="G608" s="1">
        <v>1439254652000</v>
      </c>
      <c r="H608" s="1">
        <v>1295329186800</v>
      </c>
      <c r="I608">
        <f t="shared" si="9"/>
        <v>0</v>
      </c>
    </row>
    <row r="609" spans="1:9" x14ac:dyDescent="0.3">
      <c r="A609">
        <v>20170519</v>
      </c>
      <c r="B609">
        <v>84990</v>
      </c>
      <c r="C609" s="8">
        <v>90200</v>
      </c>
      <c r="D609" s="8">
        <v>93000</v>
      </c>
      <c r="E609">
        <v>91267</v>
      </c>
      <c r="F609" s="8">
        <v>15956260</v>
      </c>
      <c r="G609" s="1">
        <v>1483932180000</v>
      </c>
      <c r="H609" s="1">
        <v>1335538962000</v>
      </c>
      <c r="I609">
        <f t="shared" si="9"/>
        <v>0</v>
      </c>
    </row>
    <row r="610" spans="1:9" x14ac:dyDescent="0.3">
      <c r="A610">
        <v>20170522</v>
      </c>
      <c r="B610">
        <v>84990</v>
      </c>
      <c r="C610" s="8">
        <v>93000</v>
      </c>
      <c r="D610" s="8">
        <v>95500</v>
      </c>
      <c r="E610">
        <v>93720</v>
      </c>
      <c r="F610" s="8">
        <v>15956260</v>
      </c>
      <c r="G610" s="1">
        <v>1523822830000</v>
      </c>
      <c r="H610" s="1">
        <v>1371440547000</v>
      </c>
      <c r="I610">
        <f t="shared" si="9"/>
        <v>0</v>
      </c>
    </row>
    <row r="611" spans="1:9" x14ac:dyDescent="0.3">
      <c r="A611">
        <v>20170523</v>
      </c>
      <c r="B611">
        <v>84990</v>
      </c>
      <c r="C611" s="8">
        <v>95500</v>
      </c>
      <c r="D611" s="8">
        <v>96600</v>
      </c>
      <c r="E611">
        <v>94800</v>
      </c>
      <c r="F611" s="8">
        <v>15956260</v>
      </c>
      <c r="G611" s="1">
        <v>1541374716000</v>
      </c>
      <c r="H611" s="1">
        <v>1387237244400</v>
      </c>
      <c r="I611">
        <f t="shared" si="9"/>
        <v>0</v>
      </c>
    </row>
    <row r="612" spans="1:9" x14ac:dyDescent="0.3">
      <c r="A612">
        <v>20170524</v>
      </c>
      <c r="B612">
        <v>84990</v>
      </c>
      <c r="C612" s="8">
        <v>96600</v>
      </c>
      <c r="D612" s="8">
        <v>96500</v>
      </c>
      <c r="E612">
        <v>94701</v>
      </c>
      <c r="F612" s="8">
        <v>15956260</v>
      </c>
      <c r="G612" s="1">
        <v>1539779090000</v>
      </c>
      <c r="H612" s="1">
        <v>1385801181000</v>
      </c>
      <c r="I612">
        <f t="shared" si="9"/>
        <v>0</v>
      </c>
    </row>
    <row r="613" spans="1:9" x14ac:dyDescent="0.3">
      <c r="A613">
        <v>20170525</v>
      </c>
      <c r="B613">
        <v>84990</v>
      </c>
      <c r="C613" s="8">
        <v>96500</v>
      </c>
      <c r="D613" s="8">
        <v>95200</v>
      </c>
      <c r="E613">
        <v>93426</v>
      </c>
      <c r="F613" s="8">
        <v>15956260</v>
      </c>
      <c r="G613" s="1">
        <v>1519035952000</v>
      </c>
      <c r="H613" s="1">
        <v>1367132356800</v>
      </c>
      <c r="I613">
        <f t="shared" si="9"/>
        <v>0</v>
      </c>
    </row>
    <row r="614" spans="1:9" x14ac:dyDescent="0.3">
      <c r="A614">
        <v>20170526</v>
      </c>
      <c r="B614">
        <v>84990</v>
      </c>
      <c r="C614" s="8">
        <v>95200</v>
      </c>
      <c r="D614" s="8">
        <v>96500</v>
      </c>
      <c r="E614">
        <v>94701</v>
      </c>
      <c r="F614" s="8">
        <v>15956260</v>
      </c>
      <c r="G614" s="1">
        <v>1539779090000</v>
      </c>
      <c r="H614" s="1">
        <v>1385801181000</v>
      </c>
      <c r="I614">
        <f t="shared" si="9"/>
        <v>0</v>
      </c>
    </row>
    <row r="615" spans="1:9" x14ac:dyDescent="0.3">
      <c r="A615">
        <v>20170529</v>
      </c>
      <c r="B615">
        <v>84990</v>
      </c>
      <c r="C615" s="8">
        <v>96500</v>
      </c>
      <c r="D615" s="8">
        <v>95000</v>
      </c>
      <c r="E615">
        <v>93229</v>
      </c>
      <c r="F615" s="8">
        <v>15956260</v>
      </c>
      <c r="G615" s="1">
        <v>1515844700000</v>
      </c>
      <c r="H615" s="1">
        <v>1364260230000</v>
      </c>
      <c r="I615">
        <f t="shared" si="9"/>
        <v>0</v>
      </c>
    </row>
    <row r="616" spans="1:9" x14ac:dyDescent="0.3">
      <c r="A616">
        <v>20170530</v>
      </c>
      <c r="B616">
        <v>84990</v>
      </c>
      <c r="C616" s="8">
        <v>95000</v>
      </c>
      <c r="D616" s="8">
        <v>96300</v>
      </c>
      <c r="E616">
        <v>94505</v>
      </c>
      <c r="F616" s="8">
        <v>15956260</v>
      </c>
      <c r="G616" s="1">
        <v>1536587838000</v>
      </c>
      <c r="H616" s="1">
        <v>1382929054200</v>
      </c>
      <c r="I616">
        <f t="shared" si="9"/>
        <v>0</v>
      </c>
    </row>
    <row r="617" spans="1:9" x14ac:dyDescent="0.3">
      <c r="A617">
        <v>20170531</v>
      </c>
      <c r="B617">
        <v>84990</v>
      </c>
      <c r="C617" s="8">
        <v>96300</v>
      </c>
      <c r="D617" s="8">
        <v>100800</v>
      </c>
      <c r="E617">
        <v>98921</v>
      </c>
      <c r="F617" s="8">
        <v>15956260</v>
      </c>
      <c r="G617" s="1">
        <v>1608391008000</v>
      </c>
      <c r="H617" s="1">
        <v>1447551907200</v>
      </c>
      <c r="I617">
        <f t="shared" si="9"/>
        <v>0</v>
      </c>
    </row>
    <row r="618" spans="1:9" x14ac:dyDescent="0.3">
      <c r="A618">
        <v>20170601</v>
      </c>
      <c r="B618">
        <v>84990</v>
      </c>
      <c r="C618" s="8">
        <v>100800</v>
      </c>
      <c r="D618" s="8">
        <v>101600</v>
      </c>
      <c r="E618">
        <v>99706</v>
      </c>
      <c r="F618" s="8">
        <v>15956260</v>
      </c>
      <c r="G618" s="1">
        <v>1621156016000</v>
      </c>
      <c r="H618" s="1">
        <v>1459040414400</v>
      </c>
      <c r="I618">
        <f t="shared" si="9"/>
        <v>0</v>
      </c>
    </row>
    <row r="619" spans="1:9" x14ac:dyDescent="0.3">
      <c r="A619">
        <v>20170602</v>
      </c>
      <c r="B619">
        <v>84990</v>
      </c>
      <c r="C619" s="8">
        <v>101600</v>
      </c>
      <c r="D619" s="8">
        <v>103400</v>
      </c>
      <c r="E619">
        <v>101473</v>
      </c>
      <c r="F619" s="8">
        <v>15956260</v>
      </c>
      <c r="G619" s="1">
        <v>1649877284000</v>
      </c>
      <c r="H619" s="1">
        <v>1484889555600</v>
      </c>
      <c r="I619">
        <f t="shared" si="9"/>
        <v>0</v>
      </c>
    </row>
    <row r="620" spans="1:9" x14ac:dyDescent="0.3">
      <c r="A620">
        <v>20170605</v>
      </c>
      <c r="B620">
        <v>84990</v>
      </c>
      <c r="C620" s="8">
        <v>103400</v>
      </c>
      <c r="D620" s="8">
        <v>105400</v>
      </c>
      <c r="E620">
        <v>103436</v>
      </c>
      <c r="F620" s="8">
        <v>15956260</v>
      </c>
      <c r="G620" s="1">
        <v>1681789804000</v>
      </c>
      <c r="H620" s="1">
        <v>1513610823600</v>
      </c>
      <c r="I620">
        <f t="shared" si="9"/>
        <v>0</v>
      </c>
    </row>
    <row r="621" spans="1:9" x14ac:dyDescent="0.3">
      <c r="A621">
        <v>20170607</v>
      </c>
      <c r="B621">
        <v>84990</v>
      </c>
      <c r="C621" s="8">
        <v>105400</v>
      </c>
      <c r="D621" s="8">
        <v>105400</v>
      </c>
      <c r="E621">
        <v>103436</v>
      </c>
      <c r="F621" s="8">
        <v>15956260</v>
      </c>
      <c r="G621" s="1">
        <v>1681789804000</v>
      </c>
      <c r="H621" s="1">
        <v>1513610823600</v>
      </c>
      <c r="I621">
        <f t="shared" si="9"/>
        <v>0</v>
      </c>
    </row>
    <row r="622" spans="1:9" x14ac:dyDescent="0.3">
      <c r="A622">
        <v>20170608</v>
      </c>
      <c r="B622">
        <v>84990</v>
      </c>
      <c r="C622" s="8">
        <v>105400</v>
      </c>
      <c r="D622" s="8">
        <v>103900</v>
      </c>
      <c r="E622">
        <v>101963</v>
      </c>
      <c r="F622" s="8">
        <v>15956260</v>
      </c>
      <c r="G622" s="1">
        <v>1657855414000</v>
      </c>
      <c r="H622" s="1">
        <v>1492069872600</v>
      </c>
      <c r="I622">
        <f t="shared" si="9"/>
        <v>0</v>
      </c>
    </row>
    <row r="623" spans="1:9" x14ac:dyDescent="0.3">
      <c r="A623">
        <v>20170609</v>
      </c>
      <c r="B623">
        <v>84990</v>
      </c>
      <c r="C623" s="8">
        <v>103900</v>
      </c>
      <c r="D623" s="8">
        <v>101600</v>
      </c>
      <c r="E623">
        <v>99706</v>
      </c>
      <c r="F623" s="8">
        <v>15956260</v>
      </c>
      <c r="G623" s="1">
        <v>1621156016000</v>
      </c>
      <c r="H623" s="1">
        <v>1394194214400</v>
      </c>
      <c r="I623">
        <f t="shared" si="9"/>
        <v>0</v>
      </c>
    </row>
    <row r="624" spans="1:9" x14ac:dyDescent="0.3">
      <c r="A624">
        <v>20170612</v>
      </c>
      <c r="B624">
        <v>84990</v>
      </c>
      <c r="C624" s="8">
        <v>101600</v>
      </c>
      <c r="D624" s="8">
        <v>98900</v>
      </c>
      <c r="E624">
        <v>97057</v>
      </c>
      <c r="F624" s="8">
        <v>15956260</v>
      </c>
      <c r="G624" s="1">
        <v>1578074114000</v>
      </c>
      <c r="H624" s="1">
        <v>1357143777600</v>
      </c>
      <c r="I624">
        <f t="shared" si="9"/>
        <v>0</v>
      </c>
    </row>
    <row r="625" spans="1:9" x14ac:dyDescent="0.3">
      <c r="A625">
        <v>20170613</v>
      </c>
      <c r="B625">
        <v>84990</v>
      </c>
      <c r="C625" s="8">
        <v>98900</v>
      </c>
      <c r="D625" s="8">
        <v>105000</v>
      </c>
      <c r="E625">
        <v>103043</v>
      </c>
      <c r="F625" s="8">
        <v>15956260</v>
      </c>
      <c r="G625" s="1">
        <v>1675407300000</v>
      </c>
      <c r="H625" s="1">
        <v>1440850320000</v>
      </c>
      <c r="I625">
        <f t="shared" si="9"/>
        <v>0</v>
      </c>
    </row>
    <row r="626" spans="1:9" x14ac:dyDescent="0.3">
      <c r="A626">
        <v>20170614</v>
      </c>
      <c r="B626">
        <v>84990</v>
      </c>
      <c r="C626" s="8">
        <v>105000</v>
      </c>
      <c r="D626" s="8">
        <v>103600</v>
      </c>
      <c r="E626">
        <v>101669</v>
      </c>
      <c r="F626" s="8">
        <v>15956260</v>
      </c>
      <c r="G626" s="1">
        <v>1653068536000</v>
      </c>
      <c r="H626" s="1">
        <v>1421638982400</v>
      </c>
      <c r="I626">
        <f t="shared" si="9"/>
        <v>0</v>
      </c>
    </row>
    <row r="627" spans="1:9" x14ac:dyDescent="0.3">
      <c r="A627">
        <v>20170615</v>
      </c>
      <c r="B627">
        <v>84990</v>
      </c>
      <c r="C627" s="8">
        <v>103600</v>
      </c>
      <c r="D627" s="8">
        <v>104300</v>
      </c>
      <c r="E627">
        <v>102356</v>
      </c>
      <c r="F627" s="8">
        <v>15956260</v>
      </c>
      <c r="G627" s="1">
        <v>1664237918000</v>
      </c>
      <c r="H627" s="1">
        <v>1431244651200</v>
      </c>
      <c r="I627">
        <f t="shared" si="9"/>
        <v>0</v>
      </c>
    </row>
    <row r="628" spans="1:9" x14ac:dyDescent="0.3">
      <c r="A628">
        <v>20170616</v>
      </c>
      <c r="B628">
        <v>84990</v>
      </c>
      <c r="C628" s="8">
        <v>104300</v>
      </c>
      <c r="D628" s="8">
        <v>102000</v>
      </c>
      <c r="E628">
        <v>100099</v>
      </c>
      <c r="F628" s="8">
        <v>15956260</v>
      </c>
      <c r="G628" s="1">
        <v>1627538520000</v>
      </c>
      <c r="H628" s="1">
        <v>1399683168000</v>
      </c>
      <c r="I628">
        <f t="shared" si="9"/>
        <v>0</v>
      </c>
    </row>
    <row r="629" spans="1:9" x14ac:dyDescent="0.3">
      <c r="A629">
        <v>20170619</v>
      </c>
      <c r="B629">
        <v>84990</v>
      </c>
      <c r="C629" s="8">
        <v>102000</v>
      </c>
      <c r="D629" s="8">
        <v>110000</v>
      </c>
      <c r="E629">
        <v>107950</v>
      </c>
      <c r="F629" s="8">
        <v>15956260</v>
      </c>
      <c r="G629" s="1">
        <v>1755188600000</v>
      </c>
      <c r="H629" s="1">
        <v>1509462240000</v>
      </c>
      <c r="I629">
        <f t="shared" si="9"/>
        <v>0</v>
      </c>
    </row>
    <row r="630" spans="1:9" x14ac:dyDescent="0.3">
      <c r="A630">
        <v>20170620</v>
      </c>
      <c r="B630">
        <v>84990</v>
      </c>
      <c r="C630" s="8">
        <v>110000</v>
      </c>
      <c r="D630" s="8">
        <v>107800</v>
      </c>
      <c r="E630">
        <v>105791</v>
      </c>
      <c r="F630" s="8">
        <v>15956260</v>
      </c>
      <c r="G630" s="1">
        <v>1720084828000</v>
      </c>
      <c r="H630" s="1">
        <v>1479272995200</v>
      </c>
      <c r="I630">
        <f t="shared" si="9"/>
        <v>0</v>
      </c>
    </row>
    <row r="631" spans="1:9" x14ac:dyDescent="0.3">
      <c r="A631">
        <v>20170621</v>
      </c>
      <c r="B631">
        <v>84990</v>
      </c>
      <c r="C631" s="8">
        <v>107800</v>
      </c>
      <c r="D631" s="8">
        <v>107500</v>
      </c>
      <c r="E631">
        <v>105496</v>
      </c>
      <c r="F631" s="8">
        <v>15956260</v>
      </c>
      <c r="G631" s="1">
        <v>1715297950000</v>
      </c>
      <c r="H631" s="1">
        <v>1475156280000</v>
      </c>
      <c r="I631">
        <f t="shared" si="9"/>
        <v>0</v>
      </c>
    </row>
    <row r="632" spans="1:9" x14ac:dyDescent="0.3">
      <c r="A632">
        <v>20170622</v>
      </c>
      <c r="B632">
        <v>84990</v>
      </c>
      <c r="C632" s="8">
        <v>107500</v>
      </c>
      <c r="D632" s="8">
        <v>108700</v>
      </c>
      <c r="E632">
        <v>106674</v>
      </c>
      <c r="F632" s="8">
        <v>15956260</v>
      </c>
      <c r="G632" s="1">
        <v>1734445462000</v>
      </c>
      <c r="H632" s="1">
        <v>1491623140800</v>
      </c>
      <c r="I632">
        <f t="shared" si="9"/>
        <v>0</v>
      </c>
    </row>
    <row r="633" spans="1:9" x14ac:dyDescent="0.3">
      <c r="A633">
        <v>20170623</v>
      </c>
      <c r="B633">
        <v>84990</v>
      </c>
      <c r="C633" s="8">
        <v>108700</v>
      </c>
      <c r="D633" s="8">
        <v>107300</v>
      </c>
      <c r="E633">
        <v>105300</v>
      </c>
      <c r="F633" s="8">
        <v>15956260</v>
      </c>
      <c r="G633" s="1">
        <v>1712106698000</v>
      </c>
      <c r="H633" s="1">
        <v>1472411803200</v>
      </c>
      <c r="I633">
        <f t="shared" si="9"/>
        <v>0</v>
      </c>
    </row>
    <row r="634" spans="1:9" x14ac:dyDescent="0.3">
      <c r="A634">
        <v>20170626</v>
      </c>
      <c r="B634">
        <v>84990</v>
      </c>
      <c r="C634" s="8">
        <v>107300</v>
      </c>
      <c r="D634" s="8">
        <v>104500</v>
      </c>
      <c r="E634">
        <v>102552</v>
      </c>
      <c r="F634" s="8">
        <v>15956260</v>
      </c>
      <c r="G634" s="1">
        <v>1667429170000</v>
      </c>
      <c r="H634" s="1">
        <v>1433989128000</v>
      </c>
      <c r="I634">
        <f t="shared" si="9"/>
        <v>0</v>
      </c>
    </row>
    <row r="635" spans="1:9" x14ac:dyDescent="0.3">
      <c r="A635">
        <v>20170627</v>
      </c>
      <c r="B635">
        <v>84990</v>
      </c>
      <c r="C635" s="8">
        <v>104500</v>
      </c>
      <c r="D635" s="8">
        <v>101900</v>
      </c>
      <c r="E635">
        <v>100001</v>
      </c>
      <c r="F635" s="8">
        <v>15956260</v>
      </c>
      <c r="G635" s="1">
        <v>1625942894000</v>
      </c>
      <c r="H635" s="1">
        <v>1398310929600</v>
      </c>
      <c r="I635">
        <f t="shared" si="9"/>
        <v>0</v>
      </c>
    </row>
    <row r="636" spans="1:9" x14ac:dyDescent="0.3">
      <c r="A636">
        <v>20170628</v>
      </c>
      <c r="B636">
        <v>84990</v>
      </c>
      <c r="C636" s="8">
        <v>101900</v>
      </c>
      <c r="D636" s="8">
        <v>100400</v>
      </c>
      <c r="E636">
        <v>98529</v>
      </c>
      <c r="F636" s="8">
        <v>15956260</v>
      </c>
      <c r="G636" s="1">
        <v>1602008504000</v>
      </c>
      <c r="H636" s="1">
        <v>1377727353600</v>
      </c>
      <c r="I636">
        <f t="shared" si="9"/>
        <v>0</v>
      </c>
    </row>
    <row r="637" spans="1:9" x14ac:dyDescent="0.3">
      <c r="A637">
        <v>20170629</v>
      </c>
      <c r="B637">
        <v>84990</v>
      </c>
      <c r="C637" s="8">
        <v>100400</v>
      </c>
      <c r="D637" s="8">
        <v>104800</v>
      </c>
      <c r="E637">
        <v>102847</v>
      </c>
      <c r="F637" s="8">
        <v>15956260</v>
      </c>
      <c r="G637" s="1">
        <v>1672216048000</v>
      </c>
      <c r="H637" s="1">
        <v>1438105843200</v>
      </c>
      <c r="I637">
        <f t="shared" si="9"/>
        <v>0</v>
      </c>
    </row>
    <row r="638" spans="1:9" x14ac:dyDescent="0.3">
      <c r="A638">
        <v>20170630</v>
      </c>
      <c r="B638">
        <v>84990</v>
      </c>
      <c r="C638" s="8">
        <v>104800</v>
      </c>
      <c r="D638" s="8">
        <v>102900</v>
      </c>
      <c r="E638">
        <v>100982</v>
      </c>
      <c r="F638" s="8">
        <v>15956260</v>
      </c>
      <c r="G638" s="1">
        <v>1641899154000</v>
      </c>
      <c r="H638" s="1">
        <v>1412033313600</v>
      </c>
      <c r="I638">
        <f t="shared" si="9"/>
        <v>0</v>
      </c>
    </row>
    <row r="639" spans="1:9" x14ac:dyDescent="0.3">
      <c r="A639">
        <v>20170703</v>
      </c>
      <c r="B639">
        <v>84990</v>
      </c>
      <c r="C639" s="8">
        <v>102900</v>
      </c>
      <c r="D639" s="8">
        <v>100800</v>
      </c>
      <c r="E639">
        <v>98921</v>
      </c>
      <c r="F639" s="8">
        <v>15956260</v>
      </c>
      <c r="G639" s="1">
        <v>1608391008000</v>
      </c>
      <c r="H639" s="1">
        <v>1383216307200</v>
      </c>
      <c r="I639">
        <f t="shared" si="9"/>
        <v>0</v>
      </c>
    </row>
    <row r="640" spans="1:9" x14ac:dyDescent="0.3">
      <c r="A640">
        <v>20170704</v>
      </c>
      <c r="B640">
        <v>84990</v>
      </c>
      <c r="C640" s="8">
        <v>100800</v>
      </c>
      <c r="D640" s="8">
        <v>100500</v>
      </c>
      <c r="E640">
        <v>98627</v>
      </c>
      <c r="F640" s="8">
        <v>15956260</v>
      </c>
      <c r="G640" s="1">
        <v>1603604130000</v>
      </c>
      <c r="H640" s="1">
        <v>1379099592000</v>
      </c>
      <c r="I640">
        <f t="shared" si="9"/>
        <v>0</v>
      </c>
    </row>
    <row r="641" spans="1:9" x14ac:dyDescent="0.3">
      <c r="A641">
        <v>20170705</v>
      </c>
      <c r="B641">
        <v>84990</v>
      </c>
      <c r="C641" s="8">
        <v>100500</v>
      </c>
      <c r="D641" s="8">
        <v>101300</v>
      </c>
      <c r="E641">
        <v>99412</v>
      </c>
      <c r="F641" s="8">
        <v>15956260</v>
      </c>
      <c r="G641" s="1">
        <v>1616369138000</v>
      </c>
      <c r="H641" s="1">
        <v>1390077499200</v>
      </c>
      <c r="I641">
        <f t="shared" si="9"/>
        <v>0</v>
      </c>
    </row>
    <row r="642" spans="1:9" x14ac:dyDescent="0.3">
      <c r="A642">
        <v>20170706</v>
      </c>
      <c r="B642">
        <v>84990</v>
      </c>
      <c r="C642" s="8">
        <v>101300</v>
      </c>
      <c r="D642" s="8">
        <v>104500</v>
      </c>
      <c r="E642">
        <v>102552</v>
      </c>
      <c r="F642" s="8">
        <v>15956260</v>
      </c>
      <c r="G642" s="1">
        <v>1667429170000</v>
      </c>
      <c r="H642" s="1">
        <v>1433989128000</v>
      </c>
      <c r="I642">
        <f t="shared" si="9"/>
        <v>0</v>
      </c>
    </row>
    <row r="643" spans="1:9" x14ac:dyDescent="0.3">
      <c r="A643">
        <v>20170707</v>
      </c>
      <c r="B643">
        <v>84990</v>
      </c>
      <c r="C643" s="8">
        <v>104500</v>
      </c>
      <c r="D643" s="8">
        <v>107200</v>
      </c>
      <c r="E643">
        <v>105202</v>
      </c>
      <c r="F643" s="8">
        <v>15956260</v>
      </c>
      <c r="G643" s="1">
        <v>1710511072000</v>
      </c>
      <c r="H643" s="1">
        <v>1471039564800</v>
      </c>
      <c r="I643">
        <f t="shared" ref="I643:I706" si="10">IF(C643*F643=D642*F642,0,1)</f>
        <v>0</v>
      </c>
    </row>
    <row r="644" spans="1:9" x14ac:dyDescent="0.3">
      <c r="A644">
        <v>20170710</v>
      </c>
      <c r="B644">
        <v>84990</v>
      </c>
      <c r="C644" s="8">
        <v>107200</v>
      </c>
      <c r="D644" s="8">
        <v>104200</v>
      </c>
      <c r="E644">
        <v>102258</v>
      </c>
      <c r="F644" s="8">
        <v>15956260</v>
      </c>
      <c r="G644" s="1">
        <v>1662642292000</v>
      </c>
      <c r="H644" s="1">
        <v>1429872412800</v>
      </c>
      <c r="I644">
        <f t="shared" si="10"/>
        <v>0</v>
      </c>
    </row>
    <row r="645" spans="1:9" x14ac:dyDescent="0.3">
      <c r="A645">
        <v>20170711</v>
      </c>
      <c r="B645">
        <v>84990</v>
      </c>
      <c r="C645" s="8">
        <v>104200</v>
      </c>
      <c r="D645" s="8">
        <v>104100</v>
      </c>
      <c r="E645">
        <v>102160</v>
      </c>
      <c r="F645" s="8">
        <v>15956260</v>
      </c>
      <c r="G645" s="1">
        <v>1661046666000</v>
      </c>
      <c r="H645" s="1">
        <v>1428500174400</v>
      </c>
      <c r="I645">
        <f t="shared" si="10"/>
        <v>0</v>
      </c>
    </row>
    <row r="646" spans="1:9" x14ac:dyDescent="0.3">
      <c r="A646">
        <v>20170712</v>
      </c>
      <c r="B646">
        <v>84990</v>
      </c>
      <c r="C646" s="8">
        <v>104100</v>
      </c>
      <c r="D646" s="8">
        <v>103300</v>
      </c>
      <c r="E646">
        <v>101375</v>
      </c>
      <c r="F646" s="8">
        <v>15956260</v>
      </c>
      <c r="G646" s="1">
        <v>1648281658000</v>
      </c>
      <c r="H646" s="1">
        <v>1417522267200</v>
      </c>
      <c r="I646">
        <f t="shared" si="10"/>
        <v>0</v>
      </c>
    </row>
    <row r="647" spans="1:9" x14ac:dyDescent="0.3">
      <c r="A647">
        <v>20170713</v>
      </c>
      <c r="B647">
        <v>84990</v>
      </c>
      <c r="C647" s="8">
        <v>103300</v>
      </c>
      <c r="D647" s="8">
        <v>103200</v>
      </c>
      <c r="E647">
        <v>101277</v>
      </c>
      <c r="F647" s="8">
        <v>15956260</v>
      </c>
      <c r="G647" s="1">
        <v>1646686032000</v>
      </c>
      <c r="H647" s="1">
        <v>1416150028800</v>
      </c>
      <c r="I647">
        <f t="shared" si="10"/>
        <v>0</v>
      </c>
    </row>
    <row r="648" spans="1:9" x14ac:dyDescent="0.3">
      <c r="A648">
        <v>20170714</v>
      </c>
      <c r="B648">
        <v>84990</v>
      </c>
      <c r="C648" s="8">
        <v>103200</v>
      </c>
      <c r="D648" s="8">
        <v>105000</v>
      </c>
      <c r="E648">
        <v>103043</v>
      </c>
      <c r="F648" s="8">
        <v>15956260</v>
      </c>
      <c r="G648" s="1">
        <v>1675407300000</v>
      </c>
      <c r="H648" s="1">
        <v>1440850320000</v>
      </c>
      <c r="I648">
        <f t="shared" si="10"/>
        <v>0</v>
      </c>
    </row>
    <row r="649" spans="1:9" x14ac:dyDescent="0.3">
      <c r="A649">
        <v>20170717</v>
      </c>
      <c r="B649">
        <v>84990</v>
      </c>
      <c r="C649" s="8">
        <v>105000</v>
      </c>
      <c r="D649" s="8">
        <v>104700</v>
      </c>
      <c r="E649">
        <v>102749</v>
      </c>
      <c r="F649" s="8">
        <v>15956260</v>
      </c>
      <c r="G649" s="1">
        <v>1670620422000</v>
      </c>
      <c r="H649" s="1">
        <v>1436733604800</v>
      </c>
      <c r="I649">
        <f t="shared" si="10"/>
        <v>0</v>
      </c>
    </row>
    <row r="650" spans="1:9" x14ac:dyDescent="0.3">
      <c r="A650">
        <v>20170718</v>
      </c>
      <c r="B650">
        <v>84990</v>
      </c>
      <c r="C650" s="8">
        <v>104700</v>
      </c>
      <c r="D650" s="8">
        <v>103000</v>
      </c>
      <c r="E650">
        <v>101080</v>
      </c>
      <c r="F650" s="8">
        <v>15956260</v>
      </c>
      <c r="G650" s="1">
        <v>1643494780000</v>
      </c>
      <c r="H650" s="1">
        <v>1413405552000</v>
      </c>
      <c r="I650">
        <f t="shared" si="10"/>
        <v>0</v>
      </c>
    </row>
    <row r="651" spans="1:9" x14ac:dyDescent="0.3">
      <c r="A651">
        <v>20170719</v>
      </c>
      <c r="B651">
        <v>84990</v>
      </c>
      <c r="C651" s="8">
        <v>103000</v>
      </c>
      <c r="D651" s="8">
        <v>102400</v>
      </c>
      <c r="E651">
        <v>100491</v>
      </c>
      <c r="F651" s="8">
        <v>15956260</v>
      </c>
      <c r="G651" s="1">
        <v>1633921024000</v>
      </c>
      <c r="H651" s="1">
        <v>1405172121600</v>
      </c>
      <c r="I651">
        <f t="shared" si="10"/>
        <v>0</v>
      </c>
    </row>
    <row r="652" spans="1:9" x14ac:dyDescent="0.3">
      <c r="A652">
        <v>20170720</v>
      </c>
      <c r="B652">
        <v>84990</v>
      </c>
      <c r="C652" s="8">
        <v>102400</v>
      </c>
      <c r="D652" s="8">
        <v>102400</v>
      </c>
      <c r="E652">
        <v>100491</v>
      </c>
      <c r="F652" s="8">
        <v>15956260</v>
      </c>
      <c r="G652" s="1">
        <v>1633921024000</v>
      </c>
      <c r="H652" s="1">
        <v>1405172121600</v>
      </c>
      <c r="I652">
        <f t="shared" si="10"/>
        <v>0</v>
      </c>
    </row>
    <row r="653" spans="1:9" x14ac:dyDescent="0.3">
      <c r="A653">
        <v>20170721</v>
      </c>
      <c r="B653">
        <v>84990</v>
      </c>
      <c r="C653" s="8">
        <v>102400</v>
      </c>
      <c r="D653" s="8">
        <v>103100</v>
      </c>
      <c r="E653">
        <v>101178</v>
      </c>
      <c r="F653" s="8">
        <v>15956260</v>
      </c>
      <c r="G653" s="1">
        <v>1645090406000</v>
      </c>
      <c r="H653" s="1">
        <v>1414777790400</v>
      </c>
      <c r="I653">
        <f t="shared" si="10"/>
        <v>0</v>
      </c>
    </row>
    <row r="654" spans="1:9" x14ac:dyDescent="0.3">
      <c r="A654">
        <v>20170724</v>
      </c>
      <c r="B654">
        <v>84990</v>
      </c>
      <c r="C654" s="8">
        <v>103100</v>
      </c>
      <c r="D654" s="8">
        <v>101600</v>
      </c>
      <c r="E654">
        <v>99706</v>
      </c>
      <c r="F654" s="8">
        <v>15956260</v>
      </c>
      <c r="G654" s="1">
        <v>1621156016000</v>
      </c>
      <c r="H654" s="1">
        <v>1394194214400</v>
      </c>
      <c r="I654">
        <f t="shared" si="10"/>
        <v>0</v>
      </c>
    </row>
    <row r="655" spans="1:9" x14ac:dyDescent="0.3">
      <c r="A655">
        <v>20170725</v>
      </c>
      <c r="B655">
        <v>84990</v>
      </c>
      <c r="C655" s="8">
        <v>101600</v>
      </c>
      <c r="D655" s="8">
        <v>101100</v>
      </c>
      <c r="E655">
        <v>99216</v>
      </c>
      <c r="F655" s="8">
        <v>15956260</v>
      </c>
      <c r="G655" s="1">
        <v>1613177886000</v>
      </c>
      <c r="H655" s="1">
        <v>1387333022400</v>
      </c>
      <c r="I655">
        <f t="shared" si="10"/>
        <v>0</v>
      </c>
    </row>
    <row r="656" spans="1:9" x14ac:dyDescent="0.3">
      <c r="A656">
        <v>20170726</v>
      </c>
      <c r="B656">
        <v>84990</v>
      </c>
      <c r="C656" s="8">
        <v>101100</v>
      </c>
      <c r="D656" s="8">
        <v>103000</v>
      </c>
      <c r="E656">
        <v>101080</v>
      </c>
      <c r="F656" s="8">
        <v>15956260</v>
      </c>
      <c r="G656" s="1">
        <v>1643494780000</v>
      </c>
      <c r="H656" s="1">
        <v>1413405552000</v>
      </c>
      <c r="I656">
        <f t="shared" si="10"/>
        <v>0</v>
      </c>
    </row>
    <row r="657" spans="1:9" x14ac:dyDescent="0.3">
      <c r="A657">
        <v>20170727</v>
      </c>
      <c r="B657">
        <v>84990</v>
      </c>
      <c r="C657" s="8">
        <v>103000</v>
      </c>
      <c r="D657" s="8">
        <v>101900</v>
      </c>
      <c r="E657">
        <v>100001</v>
      </c>
      <c r="F657" s="8">
        <v>15956260</v>
      </c>
      <c r="G657" s="1">
        <v>1625942894000</v>
      </c>
      <c r="H657" s="1">
        <v>1398310929600</v>
      </c>
      <c r="I657">
        <f t="shared" si="10"/>
        <v>0</v>
      </c>
    </row>
    <row r="658" spans="1:9" x14ac:dyDescent="0.3">
      <c r="A658">
        <v>20170728</v>
      </c>
      <c r="B658">
        <v>84990</v>
      </c>
      <c r="C658" s="8">
        <v>101900</v>
      </c>
      <c r="D658" s="8">
        <v>100600</v>
      </c>
      <c r="E658">
        <v>98725</v>
      </c>
      <c r="F658" s="8">
        <v>15956260</v>
      </c>
      <c r="G658" s="1">
        <v>1605199756000</v>
      </c>
      <c r="H658" s="1">
        <v>1380471830400</v>
      </c>
      <c r="I658">
        <f t="shared" si="10"/>
        <v>0</v>
      </c>
    </row>
    <row r="659" spans="1:9" x14ac:dyDescent="0.3">
      <c r="A659">
        <v>20170731</v>
      </c>
      <c r="B659">
        <v>84990</v>
      </c>
      <c r="C659" s="8">
        <v>100600</v>
      </c>
      <c r="D659" s="8">
        <v>102100</v>
      </c>
      <c r="E659">
        <v>100197</v>
      </c>
      <c r="F659" s="8">
        <v>15956260</v>
      </c>
      <c r="G659" s="1">
        <v>1629134146000</v>
      </c>
      <c r="H659" s="1">
        <v>1401055406400</v>
      </c>
      <c r="I659">
        <f t="shared" si="10"/>
        <v>0</v>
      </c>
    </row>
    <row r="660" spans="1:9" x14ac:dyDescent="0.3">
      <c r="A660">
        <v>20170801</v>
      </c>
      <c r="B660">
        <v>84990</v>
      </c>
      <c r="C660" s="8">
        <v>102100</v>
      </c>
      <c r="D660" s="8">
        <v>102000</v>
      </c>
      <c r="E660">
        <v>100099</v>
      </c>
      <c r="F660" s="8">
        <v>15956260</v>
      </c>
      <c r="G660" s="1">
        <v>1627538520000</v>
      </c>
      <c r="H660" s="1">
        <v>1399683168000</v>
      </c>
      <c r="I660">
        <f t="shared" si="10"/>
        <v>0</v>
      </c>
    </row>
    <row r="661" spans="1:9" x14ac:dyDescent="0.3">
      <c r="A661">
        <v>20170802</v>
      </c>
      <c r="B661">
        <v>84990</v>
      </c>
      <c r="C661" s="8">
        <v>102000</v>
      </c>
      <c r="D661" s="8">
        <v>104700</v>
      </c>
      <c r="E661">
        <v>102749</v>
      </c>
      <c r="F661" s="8">
        <v>15956260</v>
      </c>
      <c r="G661" s="1">
        <v>1670620422000</v>
      </c>
      <c r="H661" s="1">
        <v>1436733604800</v>
      </c>
      <c r="I661">
        <f t="shared" si="10"/>
        <v>0</v>
      </c>
    </row>
    <row r="662" spans="1:9" x14ac:dyDescent="0.3">
      <c r="A662">
        <v>20170803</v>
      </c>
      <c r="B662">
        <v>84990</v>
      </c>
      <c r="C662" s="8">
        <v>104700</v>
      </c>
      <c r="D662" s="8">
        <v>106000</v>
      </c>
      <c r="E662">
        <v>104024</v>
      </c>
      <c r="F662" s="8">
        <v>15956260</v>
      </c>
      <c r="G662" s="1">
        <v>1691363560000</v>
      </c>
      <c r="H662" s="1">
        <v>1454572704000</v>
      </c>
      <c r="I662">
        <f t="shared" si="10"/>
        <v>0</v>
      </c>
    </row>
    <row r="663" spans="1:9" x14ac:dyDescent="0.3">
      <c r="A663">
        <v>20170804</v>
      </c>
      <c r="B663">
        <v>84990</v>
      </c>
      <c r="C663" s="8">
        <v>106000</v>
      </c>
      <c r="D663" s="8">
        <v>106200</v>
      </c>
      <c r="E663">
        <v>104221</v>
      </c>
      <c r="F663" s="8">
        <v>15956260</v>
      </c>
      <c r="G663" s="1">
        <v>1694554812000</v>
      </c>
      <c r="H663" s="1">
        <v>1457317180800</v>
      </c>
      <c r="I663">
        <f t="shared" si="10"/>
        <v>0</v>
      </c>
    </row>
    <row r="664" spans="1:9" x14ac:dyDescent="0.3">
      <c r="A664">
        <v>20170807</v>
      </c>
      <c r="B664">
        <v>84990</v>
      </c>
      <c r="C664" s="8">
        <v>106200</v>
      </c>
      <c r="D664" s="8">
        <v>107100</v>
      </c>
      <c r="E664">
        <v>105104</v>
      </c>
      <c r="F664" s="8">
        <v>15956260</v>
      </c>
      <c r="G664" s="1">
        <v>1708915446000</v>
      </c>
      <c r="H664" s="1">
        <v>1469667326400</v>
      </c>
      <c r="I664">
        <f t="shared" si="10"/>
        <v>0</v>
      </c>
    </row>
    <row r="665" spans="1:9" x14ac:dyDescent="0.3">
      <c r="A665">
        <v>20170808</v>
      </c>
      <c r="B665">
        <v>84990</v>
      </c>
      <c r="C665" s="8">
        <v>107100</v>
      </c>
      <c r="D665" s="8">
        <v>105500</v>
      </c>
      <c r="E665">
        <v>103534</v>
      </c>
      <c r="F665" s="8">
        <v>15956260</v>
      </c>
      <c r="G665" s="1">
        <v>1683385430000</v>
      </c>
      <c r="H665" s="1">
        <v>1447711512000</v>
      </c>
      <c r="I665">
        <f t="shared" si="10"/>
        <v>0</v>
      </c>
    </row>
    <row r="666" spans="1:9" x14ac:dyDescent="0.3">
      <c r="A666">
        <v>20170809</v>
      </c>
      <c r="B666">
        <v>84990</v>
      </c>
      <c r="C666" s="8">
        <v>105500</v>
      </c>
      <c r="D666" s="8">
        <v>103600</v>
      </c>
      <c r="E666">
        <v>101669</v>
      </c>
      <c r="F666" s="8">
        <v>15956260</v>
      </c>
      <c r="G666" s="1">
        <v>1653068536000</v>
      </c>
      <c r="H666" s="1">
        <v>1421638982400</v>
      </c>
      <c r="I666">
        <f t="shared" si="10"/>
        <v>0</v>
      </c>
    </row>
    <row r="667" spans="1:9" x14ac:dyDescent="0.3">
      <c r="A667">
        <v>20170810</v>
      </c>
      <c r="B667">
        <v>84990</v>
      </c>
      <c r="C667" s="8">
        <v>103600</v>
      </c>
      <c r="D667" s="8">
        <v>102900</v>
      </c>
      <c r="E667">
        <v>100982</v>
      </c>
      <c r="F667" s="8">
        <v>15956260</v>
      </c>
      <c r="G667" s="1">
        <v>1641899154000</v>
      </c>
      <c r="H667" s="1">
        <v>1412033313600</v>
      </c>
      <c r="I667">
        <f t="shared" si="10"/>
        <v>0</v>
      </c>
    </row>
    <row r="668" spans="1:9" x14ac:dyDescent="0.3">
      <c r="A668">
        <v>20170811</v>
      </c>
      <c r="B668">
        <v>84990</v>
      </c>
      <c r="C668" s="8">
        <v>102900</v>
      </c>
      <c r="D668" s="8">
        <v>101500</v>
      </c>
      <c r="E668">
        <v>99608</v>
      </c>
      <c r="F668" s="8">
        <v>15956260</v>
      </c>
      <c r="G668" s="1">
        <v>1619560390000</v>
      </c>
      <c r="H668" s="1">
        <v>1392821976000</v>
      </c>
      <c r="I668">
        <f t="shared" si="10"/>
        <v>0</v>
      </c>
    </row>
    <row r="669" spans="1:9" x14ac:dyDescent="0.3">
      <c r="A669">
        <v>20170814</v>
      </c>
      <c r="B669">
        <v>84990</v>
      </c>
      <c r="C669" s="8">
        <v>101500</v>
      </c>
      <c r="D669" s="8">
        <v>102500</v>
      </c>
      <c r="E669">
        <v>100590</v>
      </c>
      <c r="F669" s="8">
        <v>15956260</v>
      </c>
      <c r="G669" s="1">
        <v>1635516650000</v>
      </c>
      <c r="H669" s="1">
        <v>1406544360000</v>
      </c>
      <c r="I669">
        <f t="shared" si="10"/>
        <v>0</v>
      </c>
    </row>
    <row r="670" spans="1:9" x14ac:dyDescent="0.3">
      <c r="A670">
        <v>20170816</v>
      </c>
      <c r="B670">
        <v>84990</v>
      </c>
      <c r="C670" s="8">
        <v>102500</v>
      </c>
      <c r="D670" s="8">
        <v>103200</v>
      </c>
      <c r="E670">
        <v>101277</v>
      </c>
      <c r="F670" s="8">
        <v>15956260</v>
      </c>
      <c r="G670" s="1">
        <v>1646686032000</v>
      </c>
      <c r="H670" s="1">
        <v>1416150028800</v>
      </c>
      <c r="I670">
        <f t="shared" si="10"/>
        <v>0</v>
      </c>
    </row>
    <row r="671" spans="1:9" x14ac:dyDescent="0.3">
      <c r="A671">
        <v>20170817</v>
      </c>
      <c r="B671">
        <v>84990</v>
      </c>
      <c r="C671" s="8">
        <v>103200</v>
      </c>
      <c r="D671" s="8">
        <v>104000</v>
      </c>
      <c r="E671">
        <v>102062</v>
      </c>
      <c r="F671" s="8">
        <v>15956260</v>
      </c>
      <c r="G671" s="1">
        <v>1659451040000</v>
      </c>
      <c r="H671" s="1">
        <v>1427127936000</v>
      </c>
      <c r="I671">
        <f t="shared" si="10"/>
        <v>0</v>
      </c>
    </row>
    <row r="672" spans="1:9" x14ac:dyDescent="0.3">
      <c r="A672">
        <v>20170818</v>
      </c>
      <c r="B672">
        <v>84990</v>
      </c>
      <c r="C672" s="8">
        <v>104000</v>
      </c>
      <c r="D672" s="8">
        <v>103500</v>
      </c>
      <c r="E672">
        <v>101571</v>
      </c>
      <c r="F672" s="8">
        <v>15956260</v>
      </c>
      <c r="G672" s="1">
        <v>1651472910000</v>
      </c>
      <c r="H672" s="1">
        <v>1420266744000</v>
      </c>
      <c r="I672">
        <f t="shared" si="10"/>
        <v>0</v>
      </c>
    </row>
    <row r="673" spans="1:9" x14ac:dyDescent="0.3">
      <c r="A673">
        <v>20170821</v>
      </c>
      <c r="B673">
        <v>84990</v>
      </c>
      <c r="C673" s="8">
        <v>103500</v>
      </c>
      <c r="D673" s="8">
        <v>101700</v>
      </c>
      <c r="E673">
        <v>99804</v>
      </c>
      <c r="F673" s="8">
        <v>15956260</v>
      </c>
      <c r="G673" s="1">
        <v>1622751642000</v>
      </c>
      <c r="H673" s="1">
        <v>1395566452800</v>
      </c>
      <c r="I673">
        <f t="shared" si="10"/>
        <v>0</v>
      </c>
    </row>
    <row r="674" spans="1:9" x14ac:dyDescent="0.3">
      <c r="A674">
        <v>20170822</v>
      </c>
      <c r="B674">
        <v>84990</v>
      </c>
      <c r="C674" s="8">
        <v>101700</v>
      </c>
      <c r="D674" s="8">
        <v>103200</v>
      </c>
      <c r="E674">
        <v>101277</v>
      </c>
      <c r="F674" s="8">
        <v>15956260</v>
      </c>
      <c r="G674" s="1">
        <v>1646686032000</v>
      </c>
      <c r="H674" s="1">
        <v>1416150028800</v>
      </c>
      <c r="I674">
        <f t="shared" si="10"/>
        <v>0</v>
      </c>
    </row>
    <row r="675" spans="1:9" x14ac:dyDescent="0.3">
      <c r="A675">
        <v>20170823</v>
      </c>
      <c r="B675">
        <v>84990</v>
      </c>
      <c r="C675" s="8">
        <v>103200</v>
      </c>
      <c r="D675" s="8">
        <v>112600</v>
      </c>
      <c r="E675">
        <v>110501</v>
      </c>
      <c r="F675" s="8">
        <v>15956260</v>
      </c>
      <c r="G675" s="1">
        <v>1796674876000</v>
      </c>
      <c r="H675" s="1">
        <v>1545140438400</v>
      </c>
      <c r="I675">
        <f t="shared" si="10"/>
        <v>0</v>
      </c>
    </row>
    <row r="676" spans="1:9" x14ac:dyDescent="0.3">
      <c r="A676">
        <v>20170824</v>
      </c>
      <c r="B676">
        <v>84990</v>
      </c>
      <c r="C676" s="8">
        <v>112600</v>
      </c>
      <c r="D676" s="8">
        <v>119100</v>
      </c>
      <c r="E676">
        <v>116880</v>
      </c>
      <c r="F676" s="8">
        <v>15956260</v>
      </c>
      <c r="G676" s="1">
        <v>1900390566000</v>
      </c>
      <c r="H676" s="1">
        <v>1634335934400</v>
      </c>
      <c r="I676">
        <f t="shared" si="10"/>
        <v>0</v>
      </c>
    </row>
    <row r="677" spans="1:9" x14ac:dyDescent="0.3">
      <c r="A677">
        <v>20170825</v>
      </c>
      <c r="B677">
        <v>84990</v>
      </c>
      <c r="C677" s="8">
        <v>119100</v>
      </c>
      <c r="D677" s="8">
        <v>122300</v>
      </c>
      <c r="E677">
        <v>120021</v>
      </c>
      <c r="F677" s="8">
        <v>15956260</v>
      </c>
      <c r="G677" s="1">
        <v>1951450598000</v>
      </c>
      <c r="H677" s="1">
        <v>1678247563200</v>
      </c>
      <c r="I677">
        <f t="shared" si="10"/>
        <v>0</v>
      </c>
    </row>
    <row r="678" spans="1:9" x14ac:dyDescent="0.3">
      <c r="A678">
        <v>20170828</v>
      </c>
      <c r="B678">
        <v>84990</v>
      </c>
      <c r="C678" s="8">
        <v>122300</v>
      </c>
      <c r="D678" s="8">
        <v>123200</v>
      </c>
      <c r="E678">
        <v>120904</v>
      </c>
      <c r="F678" s="8">
        <v>15956260</v>
      </c>
      <c r="G678" s="1">
        <v>1965811232000</v>
      </c>
      <c r="H678" s="1">
        <v>1690597708800</v>
      </c>
      <c r="I678">
        <f t="shared" si="10"/>
        <v>0</v>
      </c>
    </row>
    <row r="679" spans="1:9" x14ac:dyDescent="0.3">
      <c r="A679">
        <v>20170829</v>
      </c>
      <c r="B679">
        <v>84990</v>
      </c>
      <c r="C679" s="8">
        <v>123200</v>
      </c>
      <c r="D679" s="8">
        <v>125900</v>
      </c>
      <c r="E679">
        <v>123554</v>
      </c>
      <c r="F679" s="8">
        <v>15956260</v>
      </c>
      <c r="G679" s="1">
        <v>2008893134000</v>
      </c>
      <c r="H679" s="1">
        <v>1727648145600</v>
      </c>
      <c r="I679">
        <f t="shared" si="10"/>
        <v>0</v>
      </c>
    </row>
    <row r="680" spans="1:9" x14ac:dyDescent="0.3">
      <c r="A680">
        <v>20170830</v>
      </c>
      <c r="B680">
        <v>84990</v>
      </c>
      <c r="C680" s="8">
        <v>125900</v>
      </c>
      <c r="D680" s="8">
        <v>121500</v>
      </c>
      <c r="E680">
        <v>119236</v>
      </c>
      <c r="F680" s="8">
        <v>15956260</v>
      </c>
      <c r="G680" s="1">
        <v>1938685590000</v>
      </c>
      <c r="H680" s="1">
        <v>1667269656000</v>
      </c>
      <c r="I680">
        <f t="shared" si="10"/>
        <v>0</v>
      </c>
    </row>
    <row r="681" spans="1:9" x14ac:dyDescent="0.3">
      <c r="A681">
        <v>20170831</v>
      </c>
      <c r="B681">
        <v>84990</v>
      </c>
      <c r="C681" s="8">
        <v>121500</v>
      </c>
      <c r="D681" s="8">
        <v>124500</v>
      </c>
      <c r="E681">
        <v>122180</v>
      </c>
      <c r="F681" s="8">
        <v>15956260</v>
      </c>
      <c r="G681" s="1">
        <v>1986554370000</v>
      </c>
      <c r="H681" s="1">
        <v>1708436808000</v>
      </c>
      <c r="I681">
        <f t="shared" si="10"/>
        <v>0</v>
      </c>
    </row>
    <row r="682" spans="1:9" x14ac:dyDescent="0.3">
      <c r="A682">
        <v>20170901</v>
      </c>
      <c r="B682">
        <v>84990</v>
      </c>
      <c r="C682" s="8">
        <v>124500</v>
      </c>
      <c r="D682" s="8">
        <v>126000</v>
      </c>
      <c r="E682">
        <v>123652</v>
      </c>
      <c r="F682" s="8">
        <v>15956260</v>
      </c>
      <c r="G682" s="1">
        <v>2010488760000</v>
      </c>
      <c r="H682" s="1">
        <v>1729020384000</v>
      </c>
      <c r="I682">
        <f t="shared" si="10"/>
        <v>0</v>
      </c>
    </row>
    <row r="683" spans="1:9" x14ac:dyDescent="0.3">
      <c r="A683">
        <v>20170904</v>
      </c>
      <c r="B683">
        <v>84990</v>
      </c>
      <c r="C683" s="8">
        <v>126000</v>
      </c>
      <c r="D683" s="8">
        <v>130900</v>
      </c>
      <c r="E683">
        <v>128460</v>
      </c>
      <c r="F683" s="8">
        <v>15956260</v>
      </c>
      <c r="G683" s="1">
        <v>2088674434000</v>
      </c>
      <c r="H683" s="1">
        <v>1796260065600</v>
      </c>
      <c r="I683">
        <f t="shared" si="10"/>
        <v>0</v>
      </c>
    </row>
    <row r="684" spans="1:9" x14ac:dyDescent="0.3">
      <c r="A684">
        <v>20170905</v>
      </c>
      <c r="B684">
        <v>84990</v>
      </c>
      <c r="C684" s="8">
        <v>130900</v>
      </c>
      <c r="D684" s="8">
        <v>131000</v>
      </c>
      <c r="E684">
        <v>128559</v>
      </c>
      <c r="F684" s="8">
        <v>15956260</v>
      </c>
      <c r="G684" s="1">
        <v>2090270060000</v>
      </c>
      <c r="H684" s="1">
        <v>1797632304000</v>
      </c>
      <c r="I684">
        <f t="shared" si="10"/>
        <v>0</v>
      </c>
    </row>
    <row r="685" spans="1:9" x14ac:dyDescent="0.3">
      <c r="A685">
        <v>20170906</v>
      </c>
      <c r="B685">
        <v>84990</v>
      </c>
      <c r="C685" s="8">
        <v>131000</v>
      </c>
      <c r="D685" s="8">
        <v>131900</v>
      </c>
      <c r="E685">
        <v>129442</v>
      </c>
      <c r="F685" s="8">
        <v>15956260</v>
      </c>
      <c r="G685" s="1">
        <v>2104630694000</v>
      </c>
      <c r="H685" s="1">
        <v>1809982449600</v>
      </c>
      <c r="I685">
        <f t="shared" si="10"/>
        <v>0</v>
      </c>
    </row>
    <row r="686" spans="1:9" x14ac:dyDescent="0.3">
      <c r="A686">
        <v>20170907</v>
      </c>
      <c r="B686">
        <v>84990</v>
      </c>
      <c r="C686" s="8">
        <v>131900</v>
      </c>
      <c r="D686" s="8">
        <v>141000</v>
      </c>
      <c r="E686">
        <v>138372</v>
      </c>
      <c r="F686" s="8">
        <v>15956260</v>
      </c>
      <c r="G686" s="1">
        <v>2249832660000</v>
      </c>
      <c r="H686" s="1">
        <v>1934856144000</v>
      </c>
      <c r="I686">
        <f t="shared" si="10"/>
        <v>0</v>
      </c>
    </row>
    <row r="687" spans="1:9" x14ac:dyDescent="0.3">
      <c r="A687">
        <v>20170908</v>
      </c>
      <c r="B687">
        <v>84990</v>
      </c>
      <c r="C687" s="8">
        <v>141000</v>
      </c>
      <c r="D687" s="8">
        <v>143900</v>
      </c>
      <c r="E687">
        <v>141218</v>
      </c>
      <c r="F687" s="8">
        <v>15956260</v>
      </c>
      <c r="G687" s="1">
        <v>2296105814000</v>
      </c>
      <c r="H687" s="1">
        <v>1974651057600</v>
      </c>
      <c r="I687">
        <f t="shared" si="10"/>
        <v>0</v>
      </c>
    </row>
    <row r="688" spans="1:9" x14ac:dyDescent="0.3">
      <c r="A688">
        <v>20170911</v>
      </c>
      <c r="B688">
        <v>84990</v>
      </c>
      <c r="C688" s="8">
        <v>143900</v>
      </c>
      <c r="D688" s="8">
        <v>139000</v>
      </c>
      <c r="E688">
        <v>136409</v>
      </c>
      <c r="F688" s="8">
        <v>15956260</v>
      </c>
      <c r="G688" s="1">
        <v>2217920140000</v>
      </c>
      <c r="H688" s="1">
        <v>1907411376000</v>
      </c>
      <c r="I688">
        <f t="shared" si="10"/>
        <v>0</v>
      </c>
    </row>
    <row r="689" spans="1:9" x14ac:dyDescent="0.3">
      <c r="A689">
        <v>20170912</v>
      </c>
      <c r="B689">
        <v>84990</v>
      </c>
      <c r="C689" s="8">
        <v>139000</v>
      </c>
      <c r="D689" s="8">
        <v>128400</v>
      </c>
      <c r="E689">
        <v>126007</v>
      </c>
      <c r="F689" s="8">
        <v>15956260</v>
      </c>
      <c r="G689" s="1">
        <v>2048783784000</v>
      </c>
      <c r="H689" s="1">
        <v>1761954105600</v>
      </c>
      <c r="I689">
        <f t="shared" si="10"/>
        <v>0</v>
      </c>
    </row>
    <row r="690" spans="1:9" x14ac:dyDescent="0.3">
      <c r="A690">
        <v>20170913</v>
      </c>
      <c r="B690">
        <v>84990</v>
      </c>
      <c r="C690" s="8">
        <v>128400</v>
      </c>
      <c r="D690" s="8">
        <v>127300</v>
      </c>
      <c r="E690">
        <v>124927</v>
      </c>
      <c r="F690" s="8">
        <v>15956260</v>
      </c>
      <c r="G690" s="1">
        <v>2031231898000</v>
      </c>
      <c r="H690" s="1">
        <v>1746859483200</v>
      </c>
      <c r="I690">
        <f t="shared" si="10"/>
        <v>0</v>
      </c>
    </row>
    <row r="691" spans="1:9" x14ac:dyDescent="0.3">
      <c r="A691">
        <v>20170914</v>
      </c>
      <c r="B691">
        <v>84990</v>
      </c>
      <c r="C691" s="8">
        <v>127300</v>
      </c>
      <c r="D691" s="8">
        <v>126900</v>
      </c>
      <c r="E691">
        <v>124535</v>
      </c>
      <c r="F691" s="8">
        <v>15956260</v>
      </c>
      <c r="G691" s="1">
        <v>2024849394000</v>
      </c>
      <c r="H691" s="1">
        <v>1741370529600</v>
      </c>
      <c r="I691">
        <f t="shared" si="10"/>
        <v>0</v>
      </c>
    </row>
    <row r="692" spans="1:9" x14ac:dyDescent="0.3">
      <c r="A692">
        <v>20170915</v>
      </c>
      <c r="B692">
        <v>84990</v>
      </c>
      <c r="C692" s="8">
        <v>126900</v>
      </c>
      <c r="D692" s="8">
        <v>128900</v>
      </c>
      <c r="E692">
        <v>126498</v>
      </c>
      <c r="F692" s="8">
        <v>15956260</v>
      </c>
      <c r="G692" s="1">
        <v>2056761914000</v>
      </c>
      <c r="H692" s="1">
        <v>1768815297600</v>
      </c>
      <c r="I692">
        <f t="shared" si="10"/>
        <v>0</v>
      </c>
    </row>
    <row r="693" spans="1:9" x14ac:dyDescent="0.3">
      <c r="A693">
        <v>20170918</v>
      </c>
      <c r="B693">
        <v>84990</v>
      </c>
      <c r="C693" s="8">
        <v>128900</v>
      </c>
      <c r="D693" s="8">
        <v>117300</v>
      </c>
      <c r="E693">
        <v>115114</v>
      </c>
      <c r="F693" s="8">
        <v>15956260</v>
      </c>
      <c r="G693" s="1">
        <v>1871669298000</v>
      </c>
      <c r="H693" s="1">
        <v>1609635643200</v>
      </c>
      <c r="I693">
        <f t="shared" si="10"/>
        <v>0</v>
      </c>
    </row>
    <row r="694" spans="1:9" x14ac:dyDescent="0.3">
      <c r="A694">
        <v>20170919</v>
      </c>
      <c r="B694">
        <v>84990</v>
      </c>
      <c r="C694" s="8">
        <v>117300</v>
      </c>
      <c r="D694" s="8">
        <v>120600</v>
      </c>
      <c r="E694">
        <v>118352</v>
      </c>
      <c r="F694" s="8">
        <v>15956260</v>
      </c>
      <c r="G694" s="1">
        <v>1924324956000</v>
      </c>
      <c r="H694" s="1">
        <v>1654919510400</v>
      </c>
      <c r="I694">
        <f t="shared" si="10"/>
        <v>0</v>
      </c>
    </row>
    <row r="695" spans="1:9" x14ac:dyDescent="0.3">
      <c r="A695">
        <v>20170920</v>
      </c>
      <c r="B695">
        <v>84990</v>
      </c>
      <c r="C695" s="8">
        <v>120600</v>
      </c>
      <c r="D695" s="8">
        <v>118100</v>
      </c>
      <c r="E695">
        <v>115899</v>
      </c>
      <c r="F695" s="8">
        <v>15956260</v>
      </c>
      <c r="G695" s="1">
        <v>1884434306000</v>
      </c>
      <c r="H695" s="1">
        <v>1620613550400</v>
      </c>
      <c r="I695">
        <f t="shared" si="10"/>
        <v>0</v>
      </c>
    </row>
    <row r="696" spans="1:9" x14ac:dyDescent="0.3">
      <c r="A696">
        <v>20170921</v>
      </c>
      <c r="B696">
        <v>84990</v>
      </c>
      <c r="C696" s="8">
        <v>118100</v>
      </c>
      <c r="D696" s="8">
        <v>117100</v>
      </c>
      <c r="E696">
        <v>114918</v>
      </c>
      <c r="F696" s="8">
        <v>15956260</v>
      </c>
      <c r="G696" s="1">
        <v>1868478046000</v>
      </c>
      <c r="H696" s="1">
        <v>1606891166400</v>
      </c>
      <c r="I696">
        <f t="shared" si="10"/>
        <v>0</v>
      </c>
    </row>
    <row r="697" spans="1:9" x14ac:dyDescent="0.3">
      <c r="A697">
        <v>20170922</v>
      </c>
      <c r="B697">
        <v>84990</v>
      </c>
      <c r="C697" s="8">
        <v>117100</v>
      </c>
      <c r="D697" s="8">
        <v>113800</v>
      </c>
      <c r="E697">
        <v>111679</v>
      </c>
      <c r="F697" s="8">
        <v>15956260</v>
      </c>
      <c r="G697" s="1">
        <v>1815822388000</v>
      </c>
      <c r="H697" s="1">
        <v>1561607299200</v>
      </c>
      <c r="I697">
        <f t="shared" si="10"/>
        <v>0</v>
      </c>
    </row>
    <row r="698" spans="1:9" x14ac:dyDescent="0.3">
      <c r="A698">
        <v>20170925</v>
      </c>
      <c r="B698">
        <v>84990</v>
      </c>
      <c r="C698" s="8">
        <v>113800</v>
      </c>
      <c r="D698" s="8">
        <v>109500</v>
      </c>
      <c r="E698">
        <v>107459</v>
      </c>
      <c r="F698" s="8">
        <v>15956260</v>
      </c>
      <c r="G698" s="1">
        <v>1747210470000</v>
      </c>
      <c r="H698" s="1">
        <v>1502601048000</v>
      </c>
      <c r="I698">
        <f t="shared" si="10"/>
        <v>0</v>
      </c>
    </row>
    <row r="699" spans="1:9" x14ac:dyDescent="0.3">
      <c r="A699">
        <v>20170926</v>
      </c>
      <c r="B699">
        <v>84990</v>
      </c>
      <c r="C699" s="8">
        <v>109500</v>
      </c>
      <c r="D699" s="8">
        <v>118800</v>
      </c>
      <c r="E699">
        <v>116586</v>
      </c>
      <c r="F699" s="8">
        <v>15956260</v>
      </c>
      <c r="G699" s="1">
        <v>1895603688000</v>
      </c>
      <c r="H699" s="1">
        <v>1630219219200</v>
      </c>
      <c r="I699">
        <f t="shared" si="10"/>
        <v>0</v>
      </c>
    </row>
    <row r="700" spans="1:9" x14ac:dyDescent="0.3">
      <c r="A700">
        <v>20170927</v>
      </c>
      <c r="B700">
        <v>84990</v>
      </c>
      <c r="C700" s="8">
        <v>118800</v>
      </c>
      <c r="D700" s="8">
        <v>116700</v>
      </c>
      <c r="E700">
        <v>114525</v>
      </c>
      <c r="F700" s="8">
        <v>15956260</v>
      </c>
      <c r="G700" s="1">
        <v>1862095542000</v>
      </c>
      <c r="H700" s="1">
        <v>1601402212800</v>
      </c>
      <c r="I700">
        <f t="shared" si="10"/>
        <v>0</v>
      </c>
    </row>
    <row r="701" spans="1:9" x14ac:dyDescent="0.3">
      <c r="A701">
        <v>20170928</v>
      </c>
      <c r="B701">
        <v>84990</v>
      </c>
      <c r="C701" s="8">
        <v>116700</v>
      </c>
      <c r="D701" s="8">
        <v>114400</v>
      </c>
      <c r="E701">
        <v>112268</v>
      </c>
      <c r="F701" s="8">
        <v>15956260</v>
      </c>
      <c r="G701" s="1">
        <v>1825396144000</v>
      </c>
      <c r="H701" s="1">
        <v>1569840729600</v>
      </c>
      <c r="I701">
        <f t="shared" si="10"/>
        <v>0</v>
      </c>
    </row>
    <row r="702" spans="1:9" x14ac:dyDescent="0.3">
      <c r="A702">
        <v>20170929</v>
      </c>
      <c r="B702">
        <v>84990</v>
      </c>
      <c r="C702" s="8">
        <v>114400</v>
      </c>
      <c r="D702" s="8">
        <v>117200</v>
      </c>
      <c r="E702">
        <v>115016</v>
      </c>
      <c r="F702" s="8">
        <v>15956260</v>
      </c>
      <c r="G702" s="1">
        <v>1870073672000</v>
      </c>
      <c r="H702" s="1">
        <v>1608263404800</v>
      </c>
      <c r="I702">
        <f t="shared" si="10"/>
        <v>0</v>
      </c>
    </row>
    <row r="703" spans="1:9" x14ac:dyDescent="0.3">
      <c r="A703">
        <v>20171010</v>
      </c>
      <c r="B703">
        <v>84990</v>
      </c>
      <c r="C703" s="8">
        <v>117200</v>
      </c>
      <c r="D703" s="8">
        <v>117500</v>
      </c>
      <c r="E703">
        <v>115310</v>
      </c>
      <c r="F703" s="8">
        <v>15956260</v>
      </c>
      <c r="G703" s="1">
        <v>1874860550000</v>
      </c>
      <c r="H703" s="1">
        <v>1612380120000</v>
      </c>
      <c r="I703">
        <f t="shared" si="10"/>
        <v>0</v>
      </c>
    </row>
    <row r="704" spans="1:9" x14ac:dyDescent="0.3">
      <c r="A704">
        <v>20171011</v>
      </c>
      <c r="B704">
        <v>84990</v>
      </c>
      <c r="C704" s="8">
        <v>117500</v>
      </c>
      <c r="D704" s="8">
        <v>121500</v>
      </c>
      <c r="E704">
        <v>119236</v>
      </c>
      <c r="F704" s="8">
        <v>15956260</v>
      </c>
      <c r="G704" s="1">
        <v>1938685590000</v>
      </c>
      <c r="H704" s="1">
        <v>1667269656000</v>
      </c>
      <c r="I704">
        <f t="shared" si="10"/>
        <v>0</v>
      </c>
    </row>
    <row r="705" spans="1:9" x14ac:dyDescent="0.3">
      <c r="A705">
        <v>20171012</v>
      </c>
      <c r="B705">
        <v>84990</v>
      </c>
      <c r="C705" s="8">
        <v>121500</v>
      </c>
      <c r="D705" s="8">
        <v>121100</v>
      </c>
      <c r="E705">
        <v>118843</v>
      </c>
      <c r="F705" s="8">
        <v>15956260</v>
      </c>
      <c r="G705" s="1">
        <v>1932303086000</v>
      </c>
      <c r="H705" s="1">
        <v>1661780702400</v>
      </c>
      <c r="I705">
        <f t="shared" si="10"/>
        <v>0</v>
      </c>
    </row>
    <row r="706" spans="1:9" x14ac:dyDescent="0.3">
      <c r="A706">
        <v>20171013</v>
      </c>
      <c r="B706">
        <v>84990</v>
      </c>
      <c r="C706" s="8">
        <v>121100</v>
      </c>
      <c r="D706" s="8">
        <v>121200</v>
      </c>
      <c r="E706">
        <v>118941</v>
      </c>
      <c r="F706" s="8">
        <v>15956260</v>
      </c>
      <c r="G706" s="1">
        <v>1933898712000</v>
      </c>
      <c r="H706" s="1">
        <v>1663152940800</v>
      </c>
      <c r="I706">
        <f t="shared" si="10"/>
        <v>0</v>
      </c>
    </row>
    <row r="707" spans="1:9" x14ac:dyDescent="0.3">
      <c r="A707">
        <v>20171016</v>
      </c>
      <c r="B707">
        <v>84990</v>
      </c>
      <c r="C707" s="8">
        <v>121200</v>
      </c>
      <c r="D707" s="8">
        <v>116800</v>
      </c>
      <c r="E707">
        <v>114623</v>
      </c>
      <c r="F707" s="8">
        <v>15956260</v>
      </c>
      <c r="G707" s="1">
        <v>1863691168000</v>
      </c>
      <c r="H707" s="1">
        <v>1602774451200</v>
      </c>
      <c r="I707">
        <f t="shared" ref="I707:I770" si="11">IF(C707*F707=D706*F706,0,1)</f>
        <v>0</v>
      </c>
    </row>
    <row r="708" spans="1:9" x14ac:dyDescent="0.3">
      <c r="A708">
        <v>20171017</v>
      </c>
      <c r="B708">
        <v>84990</v>
      </c>
      <c r="C708" s="8">
        <v>116800</v>
      </c>
      <c r="D708" s="8">
        <v>116500</v>
      </c>
      <c r="E708">
        <v>114329</v>
      </c>
      <c r="F708" s="8">
        <v>15956260</v>
      </c>
      <c r="G708" s="1">
        <v>1858904290000</v>
      </c>
      <c r="H708" s="1">
        <v>1598657736000</v>
      </c>
      <c r="I708">
        <f t="shared" si="11"/>
        <v>0</v>
      </c>
    </row>
    <row r="709" spans="1:9" x14ac:dyDescent="0.3">
      <c r="A709">
        <v>20171018</v>
      </c>
      <c r="B709">
        <v>84990</v>
      </c>
      <c r="C709" s="8">
        <v>116500</v>
      </c>
      <c r="D709" s="8">
        <v>119600</v>
      </c>
      <c r="E709">
        <v>117371</v>
      </c>
      <c r="F709" s="8">
        <v>15956260</v>
      </c>
      <c r="G709" s="1">
        <v>1908368696000</v>
      </c>
      <c r="H709" s="1">
        <v>1641197126400</v>
      </c>
      <c r="I709">
        <f t="shared" si="11"/>
        <v>0</v>
      </c>
    </row>
    <row r="710" spans="1:9" x14ac:dyDescent="0.3">
      <c r="A710">
        <v>20171019</v>
      </c>
      <c r="B710">
        <v>84990</v>
      </c>
      <c r="C710" s="8">
        <v>119600</v>
      </c>
      <c r="D710" s="8">
        <v>124500</v>
      </c>
      <c r="E710">
        <v>122180</v>
      </c>
      <c r="F710" s="8">
        <v>15956260</v>
      </c>
      <c r="G710" s="1">
        <v>1986554370000</v>
      </c>
      <c r="H710" s="1">
        <v>1708436808000</v>
      </c>
      <c r="I710">
        <f t="shared" si="11"/>
        <v>0</v>
      </c>
    </row>
    <row r="711" spans="1:9" x14ac:dyDescent="0.3">
      <c r="A711">
        <v>20171020</v>
      </c>
      <c r="B711">
        <v>84990</v>
      </c>
      <c r="C711" s="8">
        <v>124500</v>
      </c>
      <c r="D711" s="8">
        <v>126800</v>
      </c>
      <c r="E711">
        <v>124437</v>
      </c>
      <c r="F711" s="8">
        <v>15956260</v>
      </c>
      <c r="G711" s="1">
        <v>2023253768000</v>
      </c>
      <c r="H711" s="1">
        <v>1739998291200</v>
      </c>
      <c r="I711">
        <f t="shared" si="11"/>
        <v>0</v>
      </c>
    </row>
    <row r="712" spans="1:9" x14ac:dyDescent="0.3">
      <c r="A712">
        <v>20171023</v>
      </c>
      <c r="B712">
        <v>84990</v>
      </c>
      <c r="C712" s="8">
        <v>126800</v>
      </c>
      <c r="D712" s="8">
        <v>123600</v>
      </c>
      <c r="E712">
        <v>121296</v>
      </c>
      <c r="F712" s="8">
        <v>15956260</v>
      </c>
      <c r="G712" s="1">
        <v>1972193736000</v>
      </c>
      <c r="H712" s="1">
        <v>1696086662400</v>
      </c>
      <c r="I712">
        <f t="shared" si="11"/>
        <v>0</v>
      </c>
    </row>
    <row r="713" spans="1:9" x14ac:dyDescent="0.3">
      <c r="A713">
        <v>20171024</v>
      </c>
      <c r="B713">
        <v>84990</v>
      </c>
      <c r="C713" s="8">
        <v>123600</v>
      </c>
      <c r="D713" s="8">
        <v>123500</v>
      </c>
      <c r="E713">
        <v>121198</v>
      </c>
      <c r="F713" s="8">
        <v>15956260</v>
      </c>
      <c r="G713" s="1">
        <v>1970598110000</v>
      </c>
      <c r="H713" s="1">
        <v>1694714424000</v>
      </c>
      <c r="I713">
        <f t="shared" si="11"/>
        <v>0</v>
      </c>
    </row>
    <row r="714" spans="1:9" x14ac:dyDescent="0.3">
      <c r="A714">
        <v>20171025</v>
      </c>
      <c r="B714">
        <v>84990</v>
      </c>
      <c r="C714" s="8">
        <v>123500</v>
      </c>
      <c r="D714" s="8">
        <v>125500</v>
      </c>
      <c r="E714">
        <v>123161</v>
      </c>
      <c r="F714" s="8">
        <v>15956260</v>
      </c>
      <c r="G714" s="1">
        <v>2002510630000</v>
      </c>
      <c r="H714" s="1">
        <v>1722159192000</v>
      </c>
      <c r="I714">
        <f t="shared" si="11"/>
        <v>0</v>
      </c>
    </row>
    <row r="715" spans="1:9" x14ac:dyDescent="0.3">
      <c r="A715">
        <v>20171026</v>
      </c>
      <c r="B715">
        <v>84990</v>
      </c>
      <c r="C715" s="8">
        <v>125500</v>
      </c>
      <c r="D715" s="8">
        <v>125300</v>
      </c>
      <c r="E715">
        <v>122965</v>
      </c>
      <c r="F715" s="8">
        <v>15956260</v>
      </c>
      <c r="G715" s="1">
        <v>1999319378000</v>
      </c>
      <c r="H715" s="1">
        <v>1719414715200</v>
      </c>
      <c r="I715">
        <f t="shared" si="11"/>
        <v>0</v>
      </c>
    </row>
    <row r="716" spans="1:9" x14ac:dyDescent="0.3">
      <c r="A716">
        <v>20171027</v>
      </c>
      <c r="B716">
        <v>84990</v>
      </c>
      <c r="C716" s="8">
        <v>125300</v>
      </c>
      <c r="D716" s="8">
        <v>145400</v>
      </c>
      <c r="E716">
        <v>142690</v>
      </c>
      <c r="F716" s="8">
        <v>15956260</v>
      </c>
      <c r="G716" s="1">
        <v>2320040204000</v>
      </c>
      <c r="H716" s="1">
        <v>1995234633600</v>
      </c>
      <c r="I716">
        <f t="shared" si="11"/>
        <v>0</v>
      </c>
    </row>
    <row r="717" spans="1:9" x14ac:dyDescent="0.3">
      <c r="A717">
        <v>20171030</v>
      </c>
      <c r="B717">
        <v>84990</v>
      </c>
      <c r="C717" s="8">
        <v>145400</v>
      </c>
      <c r="D717" s="8">
        <v>145500</v>
      </c>
      <c r="E717">
        <v>142788</v>
      </c>
      <c r="F717" s="8">
        <v>15956260</v>
      </c>
      <c r="G717" s="1">
        <v>2321635830000</v>
      </c>
      <c r="H717" s="1">
        <v>1996606872000</v>
      </c>
      <c r="I717">
        <f t="shared" si="11"/>
        <v>0</v>
      </c>
    </row>
    <row r="718" spans="1:9" x14ac:dyDescent="0.3">
      <c r="A718">
        <v>20171031</v>
      </c>
      <c r="B718">
        <v>84990</v>
      </c>
      <c r="C718" s="8">
        <v>145500</v>
      </c>
      <c r="D718" s="8">
        <v>148200</v>
      </c>
      <c r="E718">
        <v>145438</v>
      </c>
      <c r="F718" s="8">
        <v>15956260</v>
      </c>
      <c r="G718" s="1">
        <v>2364717732000</v>
      </c>
      <c r="H718" s="1">
        <v>2033657308800</v>
      </c>
      <c r="I718">
        <f t="shared" si="11"/>
        <v>0</v>
      </c>
    </row>
    <row r="719" spans="1:9" x14ac:dyDescent="0.3">
      <c r="A719">
        <v>20171101</v>
      </c>
      <c r="B719">
        <v>84990</v>
      </c>
      <c r="C719" s="8">
        <v>148200</v>
      </c>
      <c r="D719" s="8">
        <v>150500</v>
      </c>
      <c r="E719">
        <v>147695</v>
      </c>
      <c r="F719" s="8">
        <v>15956260</v>
      </c>
      <c r="G719" s="1">
        <v>2401417130000</v>
      </c>
      <c r="H719" s="1">
        <v>2065218792000</v>
      </c>
      <c r="I719">
        <f t="shared" si="11"/>
        <v>0</v>
      </c>
    </row>
    <row r="720" spans="1:9" x14ac:dyDescent="0.3">
      <c r="A720">
        <v>20171102</v>
      </c>
      <c r="B720">
        <v>84990</v>
      </c>
      <c r="C720" s="8">
        <v>150500</v>
      </c>
      <c r="D720" s="8">
        <v>140000</v>
      </c>
      <c r="E720">
        <v>137391</v>
      </c>
      <c r="F720" s="8">
        <v>15956260</v>
      </c>
      <c r="G720" s="1">
        <v>2233876400000</v>
      </c>
      <c r="H720" s="1">
        <v>1921133760000</v>
      </c>
      <c r="I720">
        <f t="shared" si="11"/>
        <v>0</v>
      </c>
    </row>
    <row r="721" spans="1:9" x14ac:dyDescent="0.3">
      <c r="A721">
        <v>20171103</v>
      </c>
      <c r="B721">
        <v>84990</v>
      </c>
      <c r="C721" s="8">
        <v>140000</v>
      </c>
      <c r="D721" s="8">
        <v>141100</v>
      </c>
      <c r="E721">
        <v>138470</v>
      </c>
      <c r="F721" s="8">
        <v>15956260</v>
      </c>
      <c r="G721" s="1">
        <v>2251428286000</v>
      </c>
      <c r="H721" s="1">
        <v>1936228382400</v>
      </c>
      <c r="I721">
        <f t="shared" si="11"/>
        <v>0</v>
      </c>
    </row>
    <row r="722" spans="1:9" x14ac:dyDescent="0.3">
      <c r="A722">
        <v>20171106</v>
      </c>
      <c r="B722">
        <v>84990</v>
      </c>
      <c r="C722" s="8">
        <v>141100</v>
      </c>
      <c r="D722" s="8">
        <v>136800</v>
      </c>
      <c r="E722">
        <v>134250</v>
      </c>
      <c r="F722" s="8">
        <v>15956260</v>
      </c>
      <c r="G722" s="1">
        <v>2182816368000</v>
      </c>
      <c r="H722" s="1">
        <v>1877222131200</v>
      </c>
      <c r="I722">
        <f t="shared" si="11"/>
        <v>0</v>
      </c>
    </row>
    <row r="723" spans="1:9" x14ac:dyDescent="0.3">
      <c r="A723">
        <v>20171107</v>
      </c>
      <c r="B723">
        <v>84990</v>
      </c>
      <c r="C723" s="8">
        <v>136800</v>
      </c>
      <c r="D723" s="8">
        <v>134300</v>
      </c>
      <c r="E723">
        <v>131797</v>
      </c>
      <c r="F723" s="8">
        <v>15956260</v>
      </c>
      <c r="G723" s="1">
        <v>2142925718000</v>
      </c>
      <c r="H723" s="1">
        <v>1842916171200</v>
      </c>
      <c r="I723">
        <f t="shared" si="11"/>
        <v>0</v>
      </c>
    </row>
    <row r="724" spans="1:9" x14ac:dyDescent="0.3">
      <c r="A724">
        <v>20171108</v>
      </c>
      <c r="B724">
        <v>84990</v>
      </c>
      <c r="C724" s="8">
        <v>134300</v>
      </c>
      <c r="D724" s="8">
        <v>132200</v>
      </c>
      <c r="E724">
        <v>129736</v>
      </c>
      <c r="F724" s="8">
        <v>15956260</v>
      </c>
      <c r="G724" s="1">
        <v>2109417572000</v>
      </c>
      <c r="H724" s="1">
        <v>1814099164800</v>
      </c>
      <c r="I724">
        <f t="shared" si="11"/>
        <v>0</v>
      </c>
    </row>
    <row r="725" spans="1:9" x14ac:dyDescent="0.3">
      <c r="A725">
        <v>20171109</v>
      </c>
      <c r="B725">
        <v>84990</v>
      </c>
      <c r="C725" s="8">
        <v>132200</v>
      </c>
      <c r="D725" s="8">
        <v>139000</v>
      </c>
      <c r="E725">
        <v>136409</v>
      </c>
      <c r="F725" s="8">
        <v>15956260</v>
      </c>
      <c r="G725" s="1">
        <v>2217920140000</v>
      </c>
      <c r="H725" s="1">
        <v>1907411376000</v>
      </c>
      <c r="I725">
        <f t="shared" si="11"/>
        <v>0</v>
      </c>
    </row>
    <row r="726" spans="1:9" x14ac:dyDescent="0.3">
      <c r="A726">
        <v>20171110</v>
      </c>
      <c r="B726">
        <v>84990</v>
      </c>
      <c r="C726" s="8">
        <v>139000</v>
      </c>
      <c r="D726" s="8">
        <v>140000</v>
      </c>
      <c r="E726">
        <v>137391</v>
      </c>
      <c r="F726" s="8">
        <v>15956260</v>
      </c>
      <c r="G726" s="1">
        <v>2233876400000</v>
      </c>
      <c r="H726" s="1">
        <v>1921133760000</v>
      </c>
      <c r="I726">
        <f t="shared" si="11"/>
        <v>0</v>
      </c>
    </row>
    <row r="727" spans="1:9" x14ac:dyDescent="0.3">
      <c r="A727">
        <v>20171113</v>
      </c>
      <c r="B727">
        <v>84990</v>
      </c>
      <c r="C727" s="8">
        <v>140000</v>
      </c>
      <c r="D727" s="8">
        <v>145100</v>
      </c>
      <c r="E727">
        <v>142396</v>
      </c>
      <c r="F727" s="8">
        <v>15956260</v>
      </c>
      <c r="G727" s="1">
        <v>2315253326000</v>
      </c>
      <c r="H727" s="1">
        <v>1991117918400</v>
      </c>
      <c r="I727">
        <f t="shared" si="11"/>
        <v>0</v>
      </c>
    </row>
    <row r="728" spans="1:9" x14ac:dyDescent="0.3">
      <c r="A728">
        <v>20171114</v>
      </c>
      <c r="B728">
        <v>84990</v>
      </c>
      <c r="C728" s="8">
        <v>145100</v>
      </c>
      <c r="D728" s="8">
        <v>151300</v>
      </c>
      <c r="E728">
        <v>148480</v>
      </c>
      <c r="F728" s="8">
        <v>15956260</v>
      </c>
      <c r="G728" s="1">
        <v>2414182138000</v>
      </c>
      <c r="H728" s="1">
        <v>2076196699200</v>
      </c>
      <c r="I728">
        <f t="shared" si="11"/>
        <v>0</v>
      </c>
    </row>
    <row r="729" spans="1:9" x14ac:dyDescent="0.3">
      <c r="A729">
        <v>20171115</v>
      </c>
      <c r="B729">
        <v>84990</v>
      </c>
      <c r="C729" s="8">
        <v>151300</v>
      </c>
      <c r="D729" s="8">
        <v>160900</v>
      </c>
      <c r="E729">
        <v>157901</v>
      </c>
      <c r="F729" s="8">
        <v>15956260</v>
      </c>
      <c r="G729" s="1">
        <v>2567362234000</v>
      </c>
      <c r="H729" s="1">
        <v>2207931585600</v>
      </c>
      <c r="I729">
        <f t="shared" si="11"/>
        <v>0</v>
      </c>
    </row>
    <row r="730" spans="1:9" x14ac:dyDescent="0.3">
      <c r="A730">
        <v>20171116</v>
      </c>
      <c r="B730">
        <v>84990</v>
      </c>
      <c r="C730" s="8">
        <v>160900</v>
      </c>
      <c r="D730" s="8">
        <v>168000</v>
      </c>
      <c r="E730">
        <v>164869</v>
      </c>
      <c r="F730" s="8">
        <v>15956260</v>
      </c>
      <c r="G730" s="1">
        <v>2680651680000</v>
      </c>
      <c r="H730" s="1">
        <v>2305360512000</v>
      </c>
      <c r="I730">
        <f t="shared" si="11"/>
        <v>0</v>
      </c>
    </row>
    <row r="731" spans="1:9" x14ac:dyDescent="0.3">
      <c r="A731">
        <v>20171117</v>
      </c>
      <c r="B731">
        <v>84990</v>
      </c>
      <c r="C731" s="8">
        <v>168000</v>
      </c>
      <c r="D731" s="8">
        <v>167900</v>
      </c>
      <c r="E731">
        <v>164771</v>
      </c>
      <c r="F731" s="8">
        <v>15956260</v>
      </c>
      <c r="G731" s="1">
        <v>2679056054000</v>
      </c>
      <c r="H731" s="1">
        <v>2303988273600</v>
      </c>
      <c r="I731">
        <f t="shared" si="11"/>
        <v>0</v>
      </c>
    </row>
    <row r="732" spans="1:9" x14ac:dyDescent="0.3">
      <c r="A732">
        <v>20171120</v>
      </c>
      <c r="B732">
        <v>84990</v>
      </c>
      <c r="C732" s="8">
        <v>167900</v>
      </c>
      <c r="D732" s="8">
        <v>162800</v>
      </c>
      <c r="E732">
        <v>159766</v>
      </c>
      <c r="F732" s="8">
        <v>15956260</v>
      </c>
      <c r="G732" s="1">
        <v>2597679128000</v>
      </c>
      <c r="H732" s="1">
        <v>2234004115200</v>
      </c>
      <c r="I732">
        <f t="shared" si="11"/>
        <v>0</v>
      </c>
    </row>
    <row r="733" spans="1:9" x14ac:dyDescent="0.3">
      <c r="A733">
        <v>20171121</v>
      </c>
      <c r="B733">
        <v>84990</v>
      </c>
      <c r="C733" s="8">
        <v>162800</v>
      </c>
      <c r="D733" s="8">
        <v>169900</v>
      </c>
      <c r="E733">
        <v>166734</v>
      </c>
      <c r="F733" s="8">
        <v>15956260</v>
      </c>
      <c r="G733" s="1">
        <v>2710968574000</v>
      </c>
      <c r="H733" s="1">
        <v>2331433041600</v>
      </c>
      <c r="I733">
        <f t="shared" si="11"/>
        <v>0</v>
      </c>
    </row>
    <row r="734" spans="1:9" x14ac:dyDescent="0.3">
      <c r="A734">
        <v>20171122</v>
      </c>
      <c r="B734">
        <v>84990</v>
      </c>
      <c r="C734" s="8">
        <v>169900</v>
      </c>
      <c r="D734" s="8">
        <v>160400</v>
      </c>
      <c r="E734">
        <v>157411</v>
      </c>
      <c r="F734" s="8">
        <v>15956260</v>
      </c>
      <c r="G734" s="1">
        <v>2559384104000</v>
      </c>
      <c r="H734" s="1">
        <v>2201070393600</v>
      </c>
      <c r="I734">
        <f t="shared" si="11"/>
        <v>0</v>
      </c>
    </row>
    <row r="735" spans="1:9" x14ac:dyDescent="0.3">
      <c r="A735">
        <v>20171123</v>
      </c>
      <c r="B735">
        <v>84990</v>
      </c>
      <c r="C735" s="8">
        <v>160400</v>
      </c>
      <c r="D735" s="8">
        <v>170900</v>
      </c>
      <c r="E735">
        <v>167715</v>
      </c>
      <c r="F735" s="8">
        <v>15956260</v>
      </c>
      <c r="G735" s="1">
        <v>2726924834000</v>
      </c>
      <c r="H735" s="1">
        <v>2345155425600</v>
      </c>
      <c r="I735">
        <f t="shared" si="11"/>
        <v>0</v>
      </c>
    </row>
    <row r="736" spans="1:9" x14ac:dyDescent="0.3">
      <c r="A736">
        <v>20171124</v>
      </c>
      <c r="B736">
        <v>84990</v>
      </c>
      <c r="C736" s="8">
        <v>170900</v>
      </c>
      <c r="D736" s="8">
        <v>178600</v>
      </c>
      <c r="E736">
        <v>175272</v>
      </c>
      <c r="F736" s="8">
        <v>15956260</v>
      </c>
      <c r="G736" s="1">
        <v>2849788036000</v>
      </c>
      <c r="H736" s="1">
        <v>2450817782400</v>
      </c>
      <c r="I736">
        <f t="shared" si="11"/>
        <v>0</v>
      </c>
    </row>
    <row r="737" spans="1:9" x14ac:dyDescent="0.3">
      <c r="A737">
        <v>20171127</v>
      </c>
      <c r="B737">
        <v>84990</v>
      </c>
      <c r="C737" s="8">
        <v>178600</v>
      </c>
      <c r="D737" s="8">
        <v>177100</v>
      </c>
      <c r="E737">
        <v>173800</v>
      </c>
      <c r="F737" s="8">
        <v>15956260</v>
      </c>
      <c r="G737" s="1">
        <v>2825853646000</v>
      </c>
      <c r="H737" s="1">
        <v>2430234206400</v>
      </c>
      <c r="I737">
        <f t="shared" si="11"/>
        <v>0</v>
      </c>
    </row>
    <row r="738" spans="1:9" x14ac:dyDescent="0.3">
      <c r="A738">
        <v>20171128</v>
      </c>
      <c r="B738">
        <v>84990</v>
      </c>
      <c r="C738" s="8">
        <v>177100</v>
      </c>
      <c r="D738" s="8">
        <v>162500</v>
      </c>
      <c r="E738">
        <v>159472</v>
      </c>
      <c r="F738" s="8">
        <v>15956260</v>
      </c>
      <c r="G738" s="1">
        <v>2592892250000</v>
      </c>
      <c r="H738" s="1">
        <v>2229887400000</v>
      </c>
      <c r="I738">
        <f t="shared" si="11"/>
        <v>0</v>
      </c>
    </row>
    <row r="739" spans="1:9" x14ac:dyDescent="0.3">
      <c r="A739">
        <v>20171129</v>
      </c>
      <c r="B739">
        <v>84990</v>
      </c>
      <c r="C739" s="8">
        <v>162500</v>
      </c>
      <c r="D739" s="8">
        <v>165000</v>
      </c>
      <c r="E739">
        <v>161925</v>
      </c>
      <c r="F739" s="8">
        <v>15956260</v>
      </c>
      <c r="G739" s="1">
        <v>2632782900000</v>
      </c>
      <c r="H739" s="1">
        <v>2264193360000</v>
      </c>
      <c r="I739">
        <f t="shared" si="11"/>
        <v>0</v>
      </c>
    </row>
    <row r="740" spans="1:9" x14ac:dyDescent="0.3">
      <c r="A740">
        <v>20171130</v>
      </c>
      <c r="B740">
        <v>84990</v>
      </c>
      <c r="C740" s="8">
        <v>165000</v>
      </c>
      <c r="D740" s="8">
        <v>157600</v>
      </c>
      <c r="E740">
        <v>154663</v>
      </c>
      <c r="F740" s="8">
        <v>15956260</v>
      </c>
      <c r="G740" s="1">
        <v>2514706576000</v>
      </c>
      <c r="H740" s="1">
        <v>2162647718400</v>
      </c>
      <c r="I740">
        <f t="shared" si="11"/>
        <v>0</v>
      </c>
    </row>
    <row r="741" spans="1:9" x14ac:dyDescent="0.3">
      <c r="A741">
        <v>20171201</v>
      </c>
      <c r="B741">
        <v>84990</v>
      </c>
      <c r="C741" s="8">
        <v>157600</v>
      </c>
      <c r="D741" s="8">
        <v>163800</v>
      </c>
      <c r="E741">
        <v>160747</v>
      </c>
      <c r="F741" s="8">
        <v>15956260</v>
      </c>
      <c r="G741" s="1">
        <v>2613635388000</v>
      </c>
      <c r="H741" s="1">
        <v>2247726499200</v>
      </c>
      <c r="I741">
        <f t="shared" si="11"/>
        <v>0</v>
      </c>
    </row>
    <row r="742" spans="1:9" x14ac:dyDescent="0.3">
      <c r="A742">
        <v>20171204</v>
      </c>
      <c r="B742">
        <v>84990</v>
      </c>
      <c r="C742" s="8">
        <v>163800</v>
      </c>
      <c r="D742" s="8">
        <v>160500</v>
      </c>
      <c r="E742">
        <v>157509</v>
      </c>
      <c r="F742" s="8">
        <v>15956260</v>
      </c>
      <c r="G742" s="1">
        <v>2560979730000</v>
      </c>
      <c r="H742" s="1">
        <v>2202442632000</v>
      </c>
      <c r="I742">
        <f t="shared" si="11"/>
        <v>0</v>
      </c>
    </row>
    <row r="743" spans="1:9" x14ac:dyDescent="0.3">
      <c r="A743">
        <v>20171205</v>
      </c>
      <c r="B743">
        <v>84990</v>
      </c>
      <c r="C743" s="8">
        <v>160500</v>
      </c>
      <c r="D743" s="8">
        <v>149000</v>
      </c>
      <c r="E743">
        <v>146223</v>
      </c>
      <c r="F743" s="8">
        <v>15956260</v>
      </c>
      <c r="G743" s="1">
        <v>2377482740000</v>
      </c>
      <c r="H743" s="1">
        <v>2044635216000</v>
      </c>
      <c r="I743">
        <f t="shared" si="11"/>
        <v>0</v>
      </c>
    </row>
    <row r="744" spans="1:9" x14ac:dyDescent="0.3">
      <c r="A744">
        <v>20171206</v>
      </c>
      <c r="B744">
        <v>84990</v>
      </c>
      <c r="C744" s="8">
        <v>149000</v>
      </c>
      <c r="D744" s="8">
        <v>148100</v>
      </c>
      <c r="E744">
        <v>145340</v>
      </c>
      <c r="F744" s="8">
        <v>15956260</v>
      </c>
      <c r="G744" s="1">
        <v>2363122106000</v>
      </c>
      <c r="H744" s="1">
        <v>2032285070400</v>
      </c>
      <c r="I744">
        <f t="shared" si="11"/>
        <v>0</v>
      </c>
    </row>
    <row r="745" spans="1:9" x14ac:dyDescent="0.3">
      <c r="A745">
        <v>20171207</v>
      </c>
      <c r="B745">
        <v>84990</v>
      </c>
      <c r="C745" s="8">
        <v>148100</v>
      </c>
      <c r="D745" s="8">
        <v>142800</v>
      </c>
      <c r="E745">
        <v>140139</v>
      </c>
      <c r="F745" s="8">
        <v>15956260</v>
      </c>
      <c r="G745" s="1">
        <v>2278553928000</v>
      </c>
      <c r="H745" s="1">
        <v>1959556435200</v>
      </c>
      <c r="I745">
        <f t="shared" si="11"/>
        <v>0</v>
      </c>
    </row>
    <row r="746" spans="1:9" x14ac:dyDescent="0.3">
      <c r="A746">
        <v>20171208</v>
      </c>
      <c r="B746">
        <v>84990</v>
      </c>
      <c r="C746" s="8">
        <v>142800</v>
      </c>
      <c r="D746" s="8">
        <v>141300</v>
      </c>
      <c r="E746">
        <v>138667</v>
      </c>
      <c r="F746" s="8">
        <v>15956260</v>
      </c>
      <c r="G746" s="1">
        <v>2254619538000</v>
      </c>
      <c r="H746" s="1">
        <v>1938972859200</v>
      </c>
      <c r="I746">
        <f t="shared" si="11"/>
        <v>0</v>
      </c>
    </row>
    <row r="747" spans="1:9" x14ac:dyDescent="0.3">
      <c r="A747">
        <v>20171211</v>
      </c>
      <c r="B747">
        <v>84990</v>
      </c>
      <c r="C747" s="8">
        <v>141300</v>
      </c>
      <c r="D747" s="8">
        <v>147000</v>
      </c>
      <c r="E747">
        <v>144260</v>
      </c>
      <c r="F747" s="8">
        <v>15956260</v>
      </c>
      <c r="G747" s="1">
        <v>2345570220000</v>
      </c>
      <c r="H747" s="1">
        <v>2017190448000</v>
      </c>
      <c r="I747">
        <f t="shared" si="11"/>
        <v>0</v>
      </c>
    </row>
    <row r="748" spans="1:9" x14ac:dyDescent="0.3">
      <c r="A748">
        <v>20171212</v>
      </c>
      <c r="B748">
        <v>84990</v>
      </c>
      <c r="C748" s="8">
        <v>147000</v>
      </c>
      <c r="D748" s="8">
        <v>147100</v>
      </c>
      <c r="E748">
        <v>144359</v>
      </c>
      <c r="F748" s="8">
        <v>15956260</v>
      </c>
      <c r="G748" s="1">
        <v>2347165846000</v>
      </c>
      <c r="H748" s="1">
        <v>2018562686400</v>
      </c>
      <c r="I748">
        <f t="shared" si="11"/>
        <v>0</v>
      </c>
    </row>
    <row r="749" spans="1:9" x14ac:dyDescent="0.3">
      <c r="A749">
        <v>20171213</v>
      </c>
      <c r="B749">
        <v>84990</v>
      </c>
      <c r="C749" s="8">
        <v>147100</v>
      </c>
      <c r="D749" s="8">
        <v>151100</v>
      </c>
      <c r="E749">
        <v>148284</v>
      </c>
      <c r="F749" s="8">
        <v>15956260</v>
      </c>
      <c r="G749" s="1">
        <v>2410990886000</v>
      </c>
      <c r="H749" s="1">
        <v>2073452222400</v>
      </c>
      <c r="I749">
        <f t="shared" si="11"/>
        <v>0</v>
      </c>
    </row>
    <row r="750" spans="1:9" x14ac:dyDescent="0.3">
      <c r="A750">
        <v>20171214</v>
      </c>
      <c r="B750">
        <v>84990</v>
      </c>
      <c r="C750" s="8">
        <v>151100</v>
      </c>
      <c r="D750" s="8">
        <v>147400</v>
      </c>
      <c r="E750">
        <v>144653</v>
      </c>
      <c r="F750" s="8">
        <v>15956260</v>
      </c>
      <c r="G750" s="1">
        <v>2351952724000</v>
      </c>
      <c r="H750" s="1">
        <v>2022679401600</v>
      </c>
      <c r="I750">
        <f t="shared" si="11"/>
        <v>0</v>
      </c>
    </row>
    <row r="751" spans="1:9" x14ac:dyDescent="0.3">
      <c r="A751">
        <v>20171215</v>
      </c>
      <c r="B751">
        <v>84990</v>
      </c>
      <c r="C751" s="8">
        <v>147400</v>
      </c>
      <c r="D751" s="8">
        <v>147600</v>
      </c>
      <c r="E751">
        <v>144849</v>
      </c>
      <c r="F751" s="8">
        <v>15956260</v>
      </c>
      <c r="G751" s="1">
        <v>2355143976000</v>
      </c>
      <c r="H751" s="1">
        <v>2025423878400</v>
      </c>
      <c r="I751">
        <f t="shared" si="11"/>
        <v>0</v>
      </c>
    </row>
    <row r="752" spans="1:9" x14ac:dyDescent="0.3">
      <c r="A752">
        <v>20171218</v>
      </c>
      <c r="B752">
        <v>84990</v>
      </c>
      <c r="C752" s="8">
        <v>147600</v>
      </c>
      <c r="D752" s="8">
        <v>143500</v>
      </c>
      <c r="E752">
        <v>140826</v>
      </c>
      <c r="F752" s="8">
        <v>15956260</v>
      </c>
      <c r="G752" s="1">
        <v>2289723310000</v>
      </c>
      <c r="H752" s="1">
        <v>1969162104000</v>
      </c>
      <c r="I752">
        <f t="shared" si="11"/>
        <v>0</v>
      </c>
    </row>
    <row r="753" spans="1:9" x14ac:dyDescent="0.3">
      <c r="A753">
        <v>20171219</v>
      </c>
      <c r="B753">
        <v>84990</v>
      </c>
      <c r="C753" s="8">
        <v>143500</v>
      </c>
      <c r="D753" s="8">
        <v>143700</v>
      </c>
      <c r="E753">
        <v>141022</v>
      </c>
      <c r="F753" s="8">
        <v>15956260</v>
      </c>
      <c r="G753" s="1">
        <v>2292914562000</v>
      </c>
      <c r="H753" s="1">
        <v>1971906580800</v>
      </c>
      <c r="I753">
        <f t="shared" si="11"/>
        <v>0</v>
      </c>
    </row>
    <row r="754" spans="1:9" x14ac:dyDescent="0.3">
      <c r="A754">
        <v>20171220</v>
      </c>
      <c r="B754">
        <v>84990</v>
      </c>
      <c r="C754" s="8">
        <v>143700</v>
      </c>
      <c r="D754" s="8">
        <v>143300</v>
      </c>
      <c r="E754">
        <v>140629</v>
      </c>
      <c r="F754" s="8">
        <v>15956260</v>
      </c>
      <c r="G754" s="1">
        <v>2286532058000</v>
      </c>
      <c r="H754" s="1">
        <v>1966417627200</v>
      </c>
      <c r="I754">
        <f t="shared" si="11"/>
        <v>0</v>
      </c>
    </row>
    <row r="755" spans="1:9" x14ac:dyDescent="0.3">
      <c r="A755">
        <v>20171221</v>
      </c>
      <c r="B755">
        <v>84990</v>
      </c>
      <c r="C755" s="8">
        <v>143300</v>
      </c>
      <c r="D755" s="8">
        <v>140600</v>
      </c>
      <c r="E755">
        <v>137980</v>
      </c>
      <c r="F755" s="8">
        <v>15956260</v>
      </c>
      <c r="G755" s="1">
        <v>2243450156000</v>
      </c>
      <c r="H755" s="1">
        <v>1929367190400</v>
      </c>
      <c r="I755">
        <f t="shared" si="11"/>
        <v>0</v>
      </c>
    </row>
    <row r="756" spans="1:9" x14ac:dyDescent="0.3">
      <c r="A756">
        <v>20171222</v>
      </c>
      <c r="B756">
        <v>84990</v>
      </c>
      <c r="C756" s="8">
        <v>140600</v>
      </c>
      <c r="D756" s="8">
        <v>147000</v>
      </c>
      <c r="E756">
        <v>144260</v>
      </c>
      <c r="F756" s="8">
        <v>15956260</v>
      </c>
      <c r="G756" s="1">
        <v>2345570220000</v>
      </c>
      <c r="H756" s="1">
        <v>2017190448000</v>
      </c>
      <c r="I756">
        <f t="shared" si="11"/>
        <v>0</v>
      </c>
    </row>
    <row r="757" spans="1:9" x14ac:dyDescent="0.3">
      <c r="A757">
        <v>20171226</v>
      </c>
      <c r="B757">
        <v>84990</v>
      </c>
      <c r="C757" s="8">
        <v>147000</v>
      </c>
      <c r="D757" s="8">
        <v>147300</v>
      </c>
      <c r="E757">
        <v>144555</v>
      </c>
      <c r="F757" s="8">
        <v>15956260</v>
      </c>
      <c r="G757" s="1">
        <v>2350357098000</v>
      </c>
      <c r="H757" s="1">
        <v>2021307163200</v>
      </c>
      <c r="I757">
        <f t="shared" si="11"/>
        <v>0</v>
      </c>
    </row>
    <row r="758" spans="1:9" x14ac:dyDescent="0.3">
      <c r="A758">
        <v>20171227</v>
      </c>
      <c r="B758">
        <v>84990</v>
      </c>
      <c r="C758" s="8">
        <v>147300</v>
      </c>
      <c r="D758" s="8">
        <v>160000</v>
      </c>
      <c r="E758">
        <v>157018</v>
      </c>
      <c r="F758" s="8">
        <v>15956260</v>
      </c>
      <c r="G758" s="1">
        <v>2553001600000</v>
      </c>
      <c r="H758" s="1">
        <v>2195581440000</v>
      </c>
      <c r="I758">
        <f t="shared" si="11"/>
        <v>0</v>
      </c>
    </row>
    <row r="759" spans="1:9" x14ac:dyDescent="0.3">
      <c r="A759">
        <v>20171228</v>
      </c>
      <c r="B759">
        <v>84990</v>
      </c>
      <c r="C759" s="8">
        <v>160000</v>
      </c>
      <c r="D759" s="8">
        <v>163300</v>
      </c>
      <c r="E759">
        <v>160257</v>
      </c>
      <c r="F759" s="8">
        <v>15956260</v>
      </c>
      <c r="G759" s="1">
        <v>2605657258000</v>
      </c>
      <c r="H759" s="1">
        <v>2240865307200</v>
      </c>
      <c r="I759">
        <f t="shared" si="11"/>
        <v>0</v>
      </c>
    </row>
    <row r="760" spans="1:9" x14ac:dyDescent="0.3">
      <c r="A760">
        <v>20180102</v>
      </c>
      <c r="B760">
        <v>84990</v>
      </c>
      <c r="C760" s="8">
        <v>163300</v>
      </c>
      <c r="D760" s="8">
        <v>166300</v>
      </c>
      <c r="E760">
        <v>163201</v>
      </c>
      <c r="F760" s="8">
        <v>15956260</v>
      </c>
      <c r="G760" s="1">
        <v>2653526038000</v>
      </c>
      <c r="H760" s="1">
        <v>2282032459200</v>
      </c>
      <c r="I760">
        <f t="shared" si="11"/>
        <v>0</v>
      </c>
    </row>
    <row r="761" spans="1:9" x14ac:dyDescent="0.3">
      <c r="A761">
        <v>20180103</v>
      </c>
      <c r="B761">
        <v>84990</v>
      </c>
      <c r="C761" s="8">
        <v>166300</v>
      </c>
      <c r="D761" s="8">
        <v>164200</v>
      </c>
      <c r="E761">
        <v>161140</v>
      </c>
      <c r="F761" s="8">
        <v>15956260</v>
      </c>
      <c r="G761" s="1">
        <v>2620017892000</v>
      </c>
      <c r="H761" s="1">
        <v>2253215452800</v>
      </c>
      <c r="I761">
        <f t="shared" si="11"/>
        <v>0</v>
      </c>
    </row>
    <row r="762" spans="1:9" x14ac:dyDescent="0.3">
      <c r="A762">
        <v>20180104</v>
      </c>
      <c r="B762">
        <v>84990</v>
      </c>
      <c r="C762" s="8">
        <v>164200</v>
      </c>
      <c r="D762" s="8">
        <v>164400</v>
      </c>
      <c r="E762">
        <v>161336</v>
      </c>
      <c r="F762" s="8">
        <v>15956260</v>
      </c>
      <c r="G762" s="1">
        <v>2623209144000</v>
      </c>
      <c r="H762" s="1">
        <v>2255959929600</v>
      </c>
      <c r="I762">
        <f t="shared" si="11"/>
        <v>0</v>
      </c>
    </row>
    <row r="763" spans="1:9" x14ac:dyDescent="0.3">
      <c r="A763">
        <v>20180105</v>
      </c>
      <c r="B763">
        <v>84990</v>
      </c>
      <c r="C763" s="8">
        <v>164400</v>
      </c>
      <c r="D763" s="8">
        <v>170500</v>
      </c>
      <c r="E763">
        <v>167322</v>
      </c>
      <c r="F763" s="8">
        <v>15956260</v>
      </c>
      <c r="G763" s="1">
        <v>2720542330000</v>
      </c>
      <c r="H763" s="1">
        <v>2339666472000</v>
      </c>
      <c r="I763">
        <f t="shared" si="11"/>
        <v>0</v>
      </c>
    </row>
    <row r="764" spans="1:9" x14ac:dyDescent="0.3">
      <c r="A764">
        <v>20180108</v>
      </c>
      <c r="B764">
        <v>84990</v>
      </c>
      <c r="C764" s="8">
        <v>170500</v>
      </c>
      <c r="D764" s="8">
        <v>170200</v>
      </c>
      <c r="E764">
        <v>167028</v>
      </c>
      <c r="F764" s="8">
        <v>15956260</v>
      </c>
      <c r="G764" s="1">
        <v>2715755452000</v>
      </c>
      <c r="H764" s="1">
        <v>2335549756800</v>
      </c>
      <c r="I764">
        <f t="shared" si="11"/>
        <v>0</v>
      </c>
    </row>
    <row r="765" spans="1:9" x14ac:dyDescent="0.3">
      <c r="A765">
        <v>20180109</v>
      </c>
      <c r="B765">
        <v>84990</v>
      </c>
      <c r="C765" s="8">
        <v>170200</v>
      </c>
      <c r="D765" s="8">
        <v>164000</v>
      </c>
      <c r="E765">
        <v>160944</v>
      </c>
      <c r="F765" s="8">
        <v>15956260</v>
      </c>
      <c r="G765" s="1">
        <v>2616826640000</v>
      </c>
      <c r="H765" s="1">
        <v>2250470976000</v>
      </c>
      <c r="I765">
        <f t="shared" si="11"/>
        <v>0</v>
      </c>
    </row>
    <row r="766" spans="1:9" x14ac:dyDescent="0.3">
      <c r="A766">
        <v>20180110</v>
      </c>
      <c r="B766">
        <v>84990</v>
      </c>
      <c r="C766" s="8">
        <v>164000</v>
      </c>
      <c r="D766" s="8">
        <v>164000</v>
      </c>
      <c r="E766">
        <v>160944</v>
      </c>
      <c r="F766" s="8">
        <v>15956260</v>
      </c>
      <c r="G766" s="1">
        <v>2616826640000</v>
      </c>
      <c r="H766" s="1">
        <v>2250470976000</v>
      </c>
      <c r="I766">
        <f t="shared" si="11"/>
        <v>0</v>
      </c>
    </row>
    <row r="767" spans="1:9" x14ac:dyDescent="0.3">
      <c r="A767">
        <v>20180111</v>
      </c>
      <c r="B767">
        <v>84990</v>
      </c>
      <c r="C767" s="8">
        <v>164000</v>
      </c>
      <c r="D767" s="8">
        <v>169000</v>
      </c>
      <c r="E767">
        <v>165850</v>
      </c>
      <c r="F767" s="8">
        <v>15956260</v>
      </c>
      <c r="G767" s="1">
        <v>2696607940000</v>
      </c>
      <c r="H767" s="1">
        <v>2319082896000</v>
      </c>
      <c r="I767">
        <f t="shared" si="11"/>
        <v>0</v>
      </c>
    </row>
    <row r="768" spans="1:9" x14ac:dyDescent="0.3">
      <c r="A768">
        <v>20180112</v>
      </c>
      <c r="B768">
        <v>84990</v>
      </c>
      <c r="C768" s="8">
        <v>169000</v>
      </c>
      <c r="D768" s="8">
        <v>177500</v>
      </c>
      <c r="E768">
        <v>174192</v>
      </c>
      <c r="F768" s="8">
        <v>15956260</v>
      </c>
      <c r="G768" s="1">
        <v>2832236150000</v>
      </c>
      <c r="H768" s="1">
        <v>2435723160000</v>
      </c>
      <c r="I768">
        <f t="shared" si="11"/>
        <v>0</v>
      </c>
    </row>
    <row r="769" spans="1:9" x14ac:dyDescent="0.3">
      <c r="A769">
        <v>20180115</v>
      </c>
      <c r="B769">
        <v>84990</v>
      </c>
      <c r="C769" s="8">
        <v>177500</v>
      </c>
      <c r="D769" s="8">
        <v>230700</v>
      </c>
      <c r="E769">
        <v>226401</v>
      </c>
      <c r="F769" s="8">
        <v>15956260</v>
      </c>
      <c r="G769" s="1">
        <v>3681109182000</v>
      </c>
      <c r="H769" s="1">
        <v>3165753988800</v>
      </c>
      <c r="I769">
        <f t="shared" si="11"/>
        <v>0</v>
      </c>
    </row>
    <row r="770" spans="1:9" x14ac:dyDescent="0.3">
      <c r="A770">
        <v>20180116</v>
      </c>
      <c r="B770">
        <v>84990</v>
      </c>
      <c r="C770" s="8">
        <v>230700</v>
      </c>
      <c r="D770" s="8">
        <v>229700</v>
      </c>
      <c r="E770">
        <v>225419</v>
      </c>
      <c r="F770" s="8">
        <v>15956260</v>
      </c>
      <c r="G770" s="1">
        <v>3665152922000</v>
      </c>
      <c r="H770" s="1">
        <v>3152031604800</v>
      </c>
      <c r="I770">
        <f t="shared" si="11"/>
        <v>0</v>
      </c>
    </row>
    <row r="771" spans="1:9" x14ac:dyDescent="0.3">
      <c r="A771">
        <v>20180117</v>
      </c>
      <c r="B771">
        <v>84990</v>
      </c>
      <c r="C771" s="8">
        <v>229700</v>
      </c>
      <c r="D771" s="8">
        <v>249200</v>
      </c>
      <c r="E771">
        <v>244556</v>
      </c>
      <c r="F771" s="8">
        <v>15956260</v>
      </c>
      <c r="G771" s="1">
        <v>3976299992000</v>
      </c>
      <c r="H771" s="1">
        <v>3419618092800</v>
      </c>
      <c r="I771">
        <f t="shared" ref="I771:I834" si="12">IF(C771*F771=D770*F770,0,1)</f>
        <v>0</v>
      </c>
    </row>
    <row r="772" spans="1:9" x14ac:dyDescent="0.3">
      <c r="A772">
        <v>20180118</v>
      </c>
      <c r="B772">
        <v>84990</v>
      </c>
      <c r="C772" s="8">
        <v>249200</v>
      </c>
      <c r="D772" s="8">
        <v>252000</v>
      </c>
      <c r="E772">
        <v>247304</v>
      </c>
      <c r="F772" s="8">
        <v>15956260</v>
      </c>
      <c r="G772" s="1">
        <v>4020977520000</v>
      </c>
      <c r="H772" s="1">
        <v>3458040768000</v>
      </c>
      <c r="I772">
        <f t="shared" si="12"/>
        <v>0</v>
      </c>
    </row>
    <row r="773" spans="1:9" x14ac:dyDescent="0.3">
      <c r="A773">
        <v>20180119</v>
      </c>
      <c r="B773">
        <v>84990</v>
      </c>
      <c r="C773" s="8">
        <v>252000</v>
      </c>
      <c r="D773" s="8">
        <v>236000</v>
      </c>
      <c r="E773">
        <v>231602</v>
      </c>
      <c r="F773" s="8">
        <v>15956260</v>
      </c>
      <c r="G773" s="1">
        <v>3765677360000</v>
      </c>
      <c r="H773" s="1">
        <v>3238482624000</v>
      </c>
      <c r="I773">
        <f t="shared" si="12"/>
        <v>0</v>
      </c>
    </row>
    <row r="774" spans="1:9" x14ac:dyDescent="0.3">
      <c r="A774">
        <v>20180122</v>
      </c>
      <c r="B774">
        <v>84990</v>
      </c>
      <c r="C774" s="8">
        <v>236000</v>
      </c>
      <c r="D774" s="8">
        <v>234900</v>
      </c>
      <c r="E774">
        <v>230522</v>
      </c>
      <c r="F774" s="8">
        <v>15956260</v>
      </c>
      <c r="G774" s="1">
        <v>3748125474000</v>
      </c>
      <c r="H774" s="1">
        <v>3223388001600</v>
      </c>
      <c r="I774">
        <f t="shared" si="12"/>
        <v>0</v>
      </c>
    </row>
    <row r="775" spans="1:9" x14ac:dyDescent="0.3">
      <c r="A775">
        <v>20180123</v>
      </c>
      <c r="B775">
        <v>84990</v>
      </c>
      <c r="C775" s="8">
        <v>234900</v>
      </c>
      <c r="D775" s="8">
        <v>242800</v>
      </c>
      <c r="E775">
        <v>238275</v>
      </c>
      <c r="F775" s="8">
        <v>15956260</v>
      </c>
      <c r="G775" s="1">
        <v>3874179928000</v>
      </c>
      <c r="H775" s="1">
        <v>3331794835200</v>
      </c>
      <c r="I775">
        <f t="shared" si="12"/>
        <v>0</v>
      </c>
    </row>
    <row r="776" spans="1:9" x14ac:dyDescent="0.3">
      <c r="A776">
        <v>20180124</v>
      </c>
      <c r="B776">
        <v>84990</v>
      </c>
      <c r="C776" s="8">
        <v>242800</v>
      </c>
      <c r="D776" s="8">
        <v>280400</v>
      </c>
      <c r="E776">
        <v>275175</v>
      </c>
      <c r="F776" s="8">
        <v>15956260</v>
      </c>
      <c r="G776" s="1">
        <v>4474135304000</v>
      </c>
      <c r="H776" s="1">
        <v>3847756473600</v>
      </c>
      <c r="I776">
        <f t="shared" si="12"/>
        <v>0</v>
      </c>
    </row>
    <row r="777" spans="1:9" x14ac:dyDescent="0.3">
      <c r="A777">
        <v>20180125</v>
      </c>
      <c r="B777">
        <v>84990</v>
      </c>
      <c r="C777" s="8">
        <v>280400</v>
      </c>
      <c r="D777" s="8">
        <v>275900</v>
      </c>
      <c r="E777">
        <v>270759</v>
      </c>
      <c r="F777" s="8">
        <v>15956260</v>
      </c>
      <c r="G777" s="1">
        <v>4402332134000</v>
      </c>
      <c r="H777" s="1">
        <v>3786005745600</v>
      </c>
      <c r="I777">
        <f t="shared" si="12"/>
        <v>0</v>
      </c>
    </row>
    <row r="778" spans="1:9" x14ac:dyDescent="0.3">
      <c r="A778">
        <v>20180126</v>
      </c>
      <c r="B778">
        <v>84990</v>
      </c>
      <c r="C778" s="8">
        <v>275900</v>
      </c>
      <c r="D778" s="8">
        <v>274400</v>
      </c>
      <c r="E778">
        <v>269286</v>
      </c>
      <c r="F778" s="8">
        <v>15956260</v>
      </c>
      <c r="G778" s="1">
        <v>4378397744000</v>
      </c>
      <c r="H778" s="1">
        <v>3765422169600</v>
      </c>
      <c r="I778">
        <f t="shared" si="12"/>
        <v>0</v>
      </c>
    </row>
    <row r="779" spans="1:9" x14ac:dyDescent="0.3">
      <c r="A779">
        <v>20180129</v>
      </c>
      <c r="B779">
        <v>84990</v>
      </c>
      <c r="C779" s="8">
        <v>274400</v>
      </c>
      <c r="D779" s="8">
        <v>290000</v>
      </c>
      <c r="E779">
        <v>284596</v>
      </c>
      <c r="F779" s="8">
        <v>15956260</v>
      </c>
      <c r="G779" s="1">
        <v>4627315400000</v>
      </c>
      <c r="H779" s="1">
        <v>3979491360000</v>
      </c>
      <c r="I779">
        <f t="shared" si="12"/>
        <v>0</v>
      </c>
    </row>
    <row r="780" spans="1:9" x14ac:dyDescent="0.3">
      <c r="A780">
        <v>20180130</v>
      </c>
      <c r="B780">
        <v>84990</v>
      </c>
      <c r="C780" s="8">
        <v>290000</v>
      </c>
      <c r="D780" s="8">
        <v>290300</v>
      </c>
      <c r="E780">
        <v>284890</v>
      </c>
      <c r="F780" s="8">
        <v>15956260</v>
      </c>
      <c r="G780" s="1">
        <v>4632102278000</v>
      </c>
      <c r="H780" s="1">
        <v>3983608075200</v>
      </c>
      <c r="I780">
        <f t="shared" si="12"/>
        <v>0</v>
      </c>
    </row>
    <row r="781" spans="1:9" x14ac:dyDescent="0.3">
      <c r="A781">
        <v>20180131</v>
      </c>
      <c r="B781">
        <v>84990</v>
      </c>
      <c r="C781" s="8">
        <v>290300</v>
      </c>
      <c r="D781" s="8">
        <v>267000</v>
      </c>
      <c r="E781">
        <v>262024</v>
      </c>
      <c r="F781" s="8">
        <v>15956260</v>
      </c>
      <c r="G781" s="1">
        <v>4260321420000</v>
      </c>
      <c r="H781" s="1">
        <v>3663876528000</v>
      </c>
      <c r="I781">
        <f t="shared" si="12"/>
        <v>0</v>
      </c>
    </row>
    <row r="782" spans="1:9" x14ac:dyDescent="0.3">
      <c r="A782">
        <v>20180201</v>
      </c>
      <c r="B782">
        <v>84990</v>
      </c>
      <c r="C782" s="8">
        <v>267000</v>
      </c>
      <c r="D782" s="8">
        <v>245400</v>
      </c>
      <c r="E782">
        <v>240827</v>
      </c>
      <c r="F782" s="8">
        <v>15956260</v>
      </c>
      <c r="G782" s="1">
        <v>3915666204000</v>
      </c>
      <c r="H782" s="1">
        <v>3367473033600</v>
      </c>
      <c r="I782">
        <f t="shared" si="12"/>
        <v>0</v>
      </c>
    </row>
    <row r="783" spans="1:9" x14ac:dyDescent="0.3">
      <c r="A783">
        <v>20180202</v>
      </c>
      <c r="B783">
        <v>84990</v>
      </c>
      <c r="C783" s="8">
        <v>245400</v>
      </c>
      <c r="D783" s="8">
        <v>253300</v>
      </c>
      <c r="E783">
        <v>248580</v>
      </c>
      <c r="F783" s="8">
        <v>15956260</v>
      </c>
      <c r="G783" s="1">
        <v>4041720658000</v>
      </c>
      <c r="H783" s="1">
        <v>3475879867200</v>
      </c>
      <c r="I783">
        <f t="shared" si="12"/>
        <v>0</v>
      </c>
    </row>
    <row r="784" spans="1:9" x14ac:dyDescent="0.3">
      <c r="A784">
        <v>20180205</v>
      </c>
      <c r="B784">
        <v>84990</v>
      </c>
      <c r="C784" s="8">
        <v>253300</v>
      </c>
      <c r="D784" s="8">
        <v>216000</v>
      </c>
      <c r="E784">
        <v>211975</v>
      </c>
      <c r="F784" s="8">
        <v>15956260</v>
      </c>
      <c r="G784" s="1">
        <v>3446552160000</v>
      </c>
      <c r="H784" s="1">
        <v>2964034944000</v>
      </c>
      <c r="I784">
        <f t="shared" si="12"/>
        <v>0</v>
      </c>
    </row>
    <row r="785" spans="1:9" x14ac:dyDescent="0.3">
      <c r="A785">
        <v>20180206</v>
      </c>
      <c r="B785">
        <v>84990</v>
      </c>
      <c r="C785" s="8">
        <v>216000</v>
      </c>
      <c r="D785" s="8">
        <v>231200</v>
      </c>
      <c r="E785">
        <v>226891</v>
      </c>
      <c r="F785" s="8">
        <v>15956260</v>
      </c>
      <c r="G785" s="1">
        <v>3689087312000</v>
      </c>
      <c r="H785" s="1">
        <v>3172615180800</v>
      </c>
      <c r="I785">
        <f t="shared" si="12"/>
        <v>0</v>
      </c>
    </row>
    <row r="786" spans="1:9" x14ac:dyDescent="0.3">
      <c r="A786">
        <v>20180207</v>
      </c>
      <c r="B786">
        <v>84990</v>
      </c>
      <c r="C786" s="8">
        <v>231200</v>
      </c>
      <c r="D786" s="8">
        <v>210000</v>
      </c>
      <c r="E786">
        <v>206086</v>
      </c>
      <c r="F786" s="8">
        <v>15956260</v>
      </c>
      <c r="G786" s="1">
        <v>3350814600000</v>
      </c>
      <c r="H786" s="1">
        <v>2881700640000</v>
      </c>
      <c r="I786">
        <f t="shared" si="12"/>
        <v>0</v>
      </c>
    </row>
    <row r="787" spans="1:9" x14ac:dyDescent="0.3">
      <c r="A787">
        <v>20180208</v>
      </c>
      <c r="B787">
        <v>84990</v>
      </c>
      <c r="C787" s="8">
        <v>210000</v>
      </c>
      <c r="D787" s="8">
        <v>220800</v>
      </c>
      <c r="E787">
        <v>216685</v>
      </c>
      <c r="F787" s="8">
        <v>15956260</v>
      </c>
      <c r="G787" s="1">
        <v>3523142208000</v>
      </c>
      <c r="H787" s="1">
        <v>3029902387200</v>
      </c>
      <c r="I787">
        <f t="shared" si="12"/>
        <v>0</v>
      </c>
    </row>
    <row r="788" spans="1:9" x14ac:dyDescent="0.3">
      <c r="A788">
        <v>20180209</v>
      </c>
      <c r="B788">
        <v>84990</v>
      </c>
      <c r="C788" s="8">
        <v>220800</v>
      </c>
      <c r="D788" s="8">
        <v>203900</v>
      </c>
      <c r="E788">
        <v>200100</v>
      </c>
      <c r="F788" s="8">
        <v>15956260</v>
      </c>
      <c r="G788" s="1">
        <v>3253481414000</v>
      </c>
      <c r="H788" s="1">
        <v>2797994097600</v>
      </c>
      <c r="I788">
        <f t="shared" si="12"/>
        <v>0</v>
      </c>
    </row>
    <row r="789" spans="1:9" x14ac:dyDescent="0.3">
      <c r="A789">
        <v>20180212</v>
      </c>
      <c r="B789">
        <v>84990</v>
      </c>
      <c r="C789" s="8">
        <v>203900</v>
      </c>
      <c r="D789" s="8">
        <v>216500</v>
      </c>
      <c r="E789">
        <v>212465</v>
      </c>
      <c r="F789" s="8">
        <v>15956260</v>
      </c>
      <c r="G789" s="1">
        <v>3454530290000</v>
      </c>
      <c r="H789" s="1">
        <v>2970896136000</v>
      </c>
      <c r="I789">
        <f t="shared" si="12"/>
        <v>0</v>
      </c>
    </row>
    <row r="790" spans="1:9" x14ac:dyDescent="0.3">
      <c r="A790">
        <v>20180213</v>
      </c>
      <c r="B790">
        <v>84990</v>
      </c>
      <c r="C790" s="8">
        <v>216500</v>
      </c>
      <c r="D790" s="8">
        <v>200200</v>
      </c>
      <c r="E790">
        <v>196469</v>
      </c>
      <c r="F790" s="8">
        <v>15956260</v>
      </c>
      <c r="G790" s="1">
        <v>3194443252000</v>
      </c>
      <c r="H790" s="1">
        <v>2747221276800</v>
      </c>
      <c r="I790">
        <f t="shared" si="12"/>
        <v>0</v>
      </c>
    </row>
    <row r="791" spans="1:9" x14ac:dyDescent="0.3">
      <c r="A791">
        <v>20180214</v>
      </c>
      <c r="B791">
        <v>84990</v>
      </c>
      <c r="C791" s="8">
        <v>200200</v>
      </c>
      <c r="D791" s="8">
        <v>205600</v>
      </c>
      <c r="E791">
        <v>201768</v>
      </c>
      <c r="F791" s="8">
        <v>15956260</v>
      </c>
      <c r="G791" s="1">
        <v>3280607056000</v>
      </c>
      <c r="H791" s="1">
        <v>2821322150400</v>
      </c>
      <c r="I791">
        <f t="shared" si="12"/>
        <v>0</v>
      </c>
    </row>
    <row r="792" spans="1:9" x14ac:dyDescent="0.3">
      <c r="A792">
        <v>20180219</v>
      </c>
      <c r="B792">
        <v>84990</v>
      </c>
      <c r="C792" s="8">
        <v>205600</v>
      </c>
      <c r="D792" s="8">
        <v>219500</v>
      </c>
      <c r="E792">
        <v>215409</v>
      </c>
      <c r="F792" s="8">
        <v>15956260</v>
      </c>
      <c r="G792" s="1">
        <v>3502399070000</v>
      </c>
      <c r="H792" s="1">
        <v>3012063288000</v>
      </c>
      <c r="I792">
        <f t="shared" si="12"/>
        <v>0</v>
      </c>
    </row>
    <row r="793" spans="1:9" x14ac:dyDescent="0.3">
      <c r="A793">
        <v>20180220</v>
      </c>
      <c r="B793">
        <v>84990</v>
      </c>
      <c r="C793" s="8">
        <v>219500</v>
      </c>
      <c r="D793" s="8">
        <v>215000</v>
      </c>
      <c r="E793">
        <v>210993</v>
      </c>
      <c r="F793" s="8">
        <v>15956260</v>
      </c>
      <c r="G793" s="1">
        <v>3430595900000</v>
      </c>
      <c r="H793" s="1">
        <v>2950312560000</v>
      </c>
      <c r="I793">
        <f t="shared" si="12"/>
        <v>0</v>
      </c>
    </row>
    <row r="794" spans="1:9" x14ac:dyDescent="0.3">
      <c r="A794">
        <v>20180221</v>
      </c>
      <c r="B794">
        <v>84990</v>
      </c>
      <c r="C794" s="8">
        <v>215000</v>
      </c>
      <c r="D794" s="8">
        <v>221200</v>
      </c>
      <c r="E794">
        <v>217078</v>
      </c>
      <c r="F794" s="8">
        <v>15956260</v>
      </c>
      <c r="G794" s="1">
        <v>3529524712000</v>
      </c>
      <c r="H794" s="1">
        <v>3035391340800</v>
      </c>
      <c r="I794">
        <f t="shared" si="12"/>
        <v>0</v>
      </c>
    </row>
    <row r="795" spans="1:9" x14ac:dyDescent="0.3">
      <c r="A795">
        <v>20180222</v>
      </c>
      <c r="B795">
        <v>84990</v>
      </c>
      <c r="C795" s="8">
        <v>221200</v>
      </c>
      <c r="D795" s="8">
        <v>219300</v>
      </c>
      <c r="E795">
        <v>215213</v>
      </c>
      <c r="F795" s="8">
        <v>15956260</v>
      </c>
      <c r="G795" s="1">
        <v>3499207818000</v>
      </c>
      <c r="H795" s="1">
        <v>3009318811200</v>
      </c>
      <c r="I795">
        <f t="shared" si="12"/>
        <v>0</v>
      </c>
    </row>
    <row r="796" spans="1:9" x14ac:dyDescent="0.3">
      <c r="A796">
        <v>20180223</v>
      </c>
      <c r="B796">
        <v>84990</v>
      </c>
      <c r="C796" s="8">
        <v>219300</v>
      </c>
      <c r="D796" s="8">
        <v>222700</v>
      </c>
      <c r="E796">
        <v>218550</v>
      </c>
      <c r="F796" s="8">
        <v>15956260</v>
      </c>
      <c r="G796" s="1">
        <v>3553459102000</v>
      </c>
      <c r="H796" s="1">
        <v>3055974916800</v>
      </c>
      <c r="I796">
        <f t="shared" si="12"/>
        <v>0</v>
      </c>
    </row>
    <row r="797" spans="1:9" x14ac:dyDescent="0.3">
      <c r="A797">
        <v>20180226</v>
      </c>
      <c r="B797">
        <v>84990</v>
      </c>
      <c r="C797" s="8">
        <v>222700</v>
      </c>
      <c r="D797" s="8">
        <v>224300</v>
      </c>
      <c r="E797">
        <v>220120</v>
      </c>
      <c r="F797" s="8">
        <v>15956260</v>
      </c>
      <c r="G797" s="1">
        <v>3578989118000</v>
      </c>
      <c r="H797" s="1">
        <v>3077930731200</v>
      </c>
      <c r="I797">
        <f t="shared" si="12"/>
        <v>0</v>
      </c>
    </row>
    <row r="798" spans="1:9" x14ac:dyDescent="0.3">
      <c r="A798">
        <v>20180227</v>
      </c>
      <c r="B798">
        <v>84990</v>
      </c>
      <c r="C798" s="8">
        <v>224300</v>
      </c>
      <c r="D798" s="8">
        <v>225200</v>
      </c>
      <c r="E798">
        <v>221003</v>
      </c>
      <c r="F798" s="8">
        <v>15956260</v>
      </c>
      <c r="G798" s="1">
        <v>3593349752000</v>
      </c>
      <c r="H798" s="1">
        <v>3090280876800</v>
      </c>
      <c r="I798">
        <f t="shared" si="12"/>
        <v>0</v>
      </c>
    </row>
    <row r="799" spans="1:9" x14ac:dyDescent="0.3">
      <c r="A799">
        <v>20180228</v>
      </c>
      <c r="B799">
        <v>84990</v>
      </c>
      <c r="C799" s="8">
        <v>225200</v>
      </c>
      <c r="D799" s="8">
        <v>234000</v>
      </c>
      <c r="E799">
        <v>229639</v>
      </c>
      <c r="F799" s="8">
        <v>15956260</v>
      </c>
      <c r="G799" s="1">
        <v>3733764840000</v>
      </c>
      <c r="H799" s="1">
        <v>3211037856000</v>
      </c>
      <c r="I799">
        <f t="shared" si="12"/>
        <v>0</v>
      </c>
    </row>
    <row r="800" spans="1:9" x14ac:dyDescent="0.3">
      <c r="A800">
        <v>20180302</v>
      </c>
      <c r="B800">
        <v>84990</v>
      </c>
      <c r="C800" s="8">
        <v>234000</v>
      </c>
      <c r="D800" s="8">
        <v>239000</v>
      </c>
      <c r="E800">
        <v>234546</v>
      </c>
      <c r="F800" s="8">
        <v>15956260</v>
      </c>
      <c r="G800" s="1">
        <v>3813546140000</v>
      </c>
      <c r="H800" s="1">
        <v>3279649776000</v>
      </c>
      <c r="I800">
        <f t="shared" si="12"/>
        <v>0</v>
      </c>
    </row>
    <row r="801" spans="1:9" x14ac:dyDescent="0.3">
      <c r="A801">
        <v>20180305</v>
      </c>
      <c r="B801">
        <v>84990</v>
      </c>
      <c r="C801" s="8">
        <v>239000</v>
      </c>
      <c r="D801" s="8">
        <v>228900</v>
      </c>
      <c r="E801">
        <v>224634</v>
      </c>
      <c r="F801" s="8">
        <v>15956260</v>
      </c>
      <c r="G801" s="1">
        <v>3652387914000</v>
      </c>
      <c r="H801" s="1">
        <v>3141053697600</v>
      </c>
      <c r="I801">
        <f t="shared" si="12"/>
        <v>0</v>
      </c>
    </row>
    <row r="802" spans="1:9" x14ac:dyDescent="0.3">
      <c r="A802">
        <v>20180306</v>
      </c>
      <c r="B802">
        <v>84990</v>
      </c>
      <c r="C802" s="8">
        <v>228900</v>
      </c>
      <c r="D802" s="8">
        <v>236700</v>
      </c>
      <c r="E802">
        <v>232289</v>
      </c>
      <c r="F802" s="8">
        <v>15956260</v>
      </c>
      <c r="G802" s="1">
        <v>3776846742000</v>
      </c>
      <c r="H802" s="1">
        <v>3248088292800</v>
      </c>
      <c r="I802">
        <f t="shared" si="12"/>
        <v>0</v>
      </c>
    </row>
    <row r="803" spans="1:9" x14ac:dyDescent="0.3">
      <c r="A803">
        <v>20180307</v>
      </c>
      <c r="B803">
        <v>84990</v>
      </c>
      <c r="C803" s="8">
        <v>236700</v>
      </c>
      <c r="D803" s="8">
        <v>223700</v>
      </c>
      <c r="E803">
        <v>219531</v>
      </c>
      <c r="F803" s="8">
        <v>15956260</v>
      </c>
      <c r="G803" s="1">
        <v>3569415362000</v>
      </c>
      <c r="H803" s="1">
        <v>3069697300800</v>
      </c>
      <c r="I803">
        <f t="shared" si="12"/>
        <v>0</v>
      </c>
    </row>
    <row r="804" spans="1:9" x14ac:dyDescent="0.3">
      <c r="A804">
        <v>20180308</v>
      </c>
      <c r="B804">
        <v>84990</v>
      </c>
      <c r="C804" s="8">
        <v>223700</v>
      </c>
      <c r="D804" s="8">
        <v>234300</v>
      </c>
      <c r="E804">
        <v>229934</v>
      </c>
      <c r="F804" s="8">
        <v>15956260</v>
      </c>
      <c r="G804" s="1">
        <v>3738551718000</v>
      </c>
      <c r="H804" s="1">
        <v>3215154571200</v>
      </c>
      <c r="I804">
        <f t="shared" si="12"/>
        <v>0</v>
      </c>
    </row>
    <row r="805" spans="1:9" x14ac:dyDescent="0.3">
      <c r="A805">
        <v>20180309</v>
      </c>
      <c r="B805">
        <v>84990</v>
      </c>
      <c r="C805" s="8">
        <v>234300</v>
      </c>
      <c r="D805" s="8">
        <v>243200</v>
      </c>
      <c r="E805">
        <v>238668</v>
      </c>
      <c r="F805" s="8">
        <v>15956260</v>
      </c>
      <c r="G805" s="1">
        <v>3880562432000</v>
      </c>
      <c r="H805" s="1">
        <v>3337283788800</v>
      </c>
      <c r="I805">
        <f t="shared" si="12"/>
        <v>0</v>
      </c>
    </row>
    <row r="806" spans="1:9" x14ac:dyDescent="0.3">
      <c r="A806">
        <v>20180312</v>
      </c>
      <c r="B806">
        <v>84990</v>
      </c>
      <c r="C806" s="8">
        <v>243200</v>
      </c>
      <c r="D806" s="8">
        <v>255300</v>
      </c>
      <c r="E806">
        <v>250542</v>
      </c>
      <c r="F806" s="8">
        <v>15956260</v>
      </c>
      <c r="G806" s="1">
        <v>4073633178000</v>
      </c>
      <c r="H806" s="1">
        <v>3503324635200</v>
      </c>
      <c r="I806">
        <f t="shared" si="12"/>
        <v>0</v>
      </c>
    </row>
    <row r="807" spans="1:9" x14ac:dyDescent="0.3">
      <c r="A807">
        <v>20180313</v>
      </c>
      <c r="B807">
        <v>84990</v>
      </c>
      <c r="C807" s="8">
        <v>255300</v>
      </c>
      <c r="D807" s="8">
        <v>256000</v>
      </c>
      <c r="E807">
        <v>251229</v>
      </c>
      <c r="F807" s="8">
        <v>15956260</v>
      </c>
      <c r="G807" s="1">
        <v>4084802560000</v>
      </c>
      <c r="H807" s="1">
        <v>3512930304000</v>
      </c>
      <c r="I807">
        <f t="shared" si="12"/>
        <v>0</v>
      </c>
    </row>
    <row r="808" spans="1:9" x14ac:dyDescent="0.3">
      <c r="A808">
        <v>20180314</v>
      </c>
      <c r="B808">
        <v>84990</v>
      </c>
      <c r="C808" s="8">
        <v>256000</v>
      </c>
      <c r="D808" s="8">
        <v>243500</v>
      </c>
      <c r="E808">
        <v>238962</v>
      </c>
      <c r="F808" s="8">
        <v>15956260</v>
      </c>
      <c r="G808" s="1">
        <v>3885349310000</v>
      </c>
      <c r="H808" s="1">
        <v>3341400504000</v>
      </c>
      <c r="I808">
        <f t="shared" si="12"/>
        <v>0</v>
      </c>
    </row>
    <row r="809" spans="1:9" x14ac:dyDescent="0.3">
      <c r="A809">
        <v>20180315</v>
      </c>
      <c r="B809">
        <v>84990</v>
      </c>
      <c r="C809" s="8">
        <v>243500</v>
      </c>
      <c r="D809" s="8">
        <v>240000</v>
      </c>
      <c r="E809">
        <v>235527</v>
      </c>
      <c r="F809" s="8">
        <v>15956260</v>
      </c>
      <c r="G809" s="1">
        <v>3829502400000</v>
      </c>
      <c r="H809" s="1">
        <v>3293372160000</v>
      </c>
      <c r="I809">
        <f t="shared" si="12"/>
        <v>0</v>
      </c>
    </row>
    <row r="810" spans="1:9" x14ac:dyDescent="0.3">
      <c r="A810">
        <v>20180316</v>
      </c>
      <c r="B810">
        <v>84990</v>
      </c>
      <c r="C810" s="8">
        <v>240000</v>
      </c>
      <c r="D810" s="8">
        <v>241000</v>
      </c>
      <c r="E810">
        <v>236509</v>
      </c>
      <c r="F810" s="8">
        <v>15956260</v>
      </c>
      <c r="G810" s="1">
        <v>3845458660000</v>
      </c>
      <c r="H810" s="1">
        <v>3307094544000</v>
      </c>
      <c r="I810">
        <f t="shared" si="12"/>
        <v>0</v>
      </c>
    </row>
    <row r="811" spans="1:9" x14ac:dyDescent="0.3">
      <c r="A811">
        <v>20180319</v>
      </c>
      <c r="B811">
        <v>84990</v>
      </c>
      <c r="C811" s="8">
        <v>241000</v>
      </c>
      <c r="D811" s="8">
        <v>233000</v>
      </c>
      <c r="E811">
        <v>228658</v>
      </c>
      <c r="F811" s="8">
        <v>15956260</v>
      </c>
      <c r="G811" s="1">
        <v>3717808580000</v>
      </c>
      <c r="H811" s="1">
        <v>3197315472000</v>
      </c>
      <c r="I811">
        <f t="shared" si="12"/>
        <v>0</v>
      </c>
    </row>
    <row r="812" spans="1:9" x14ac:dyDescent="0.3">
      <c r="A812">
        <v>20180320</v>
      </c>
      <c r="B812">
        <v>84990</v>
      </c>
      <c r="C812" s="8">
        <v>233000</v>
      </c>
      <c r="D812" s="8">
        <v>240600</v>
      </c>
      <c r="E812">
        <v>236116</v>
      </c>
      <c r="F812" s="8">
        <v>15956260</v>
      </c>
      <c r="G812" s="1">
        <v>3839076156000</v>
      </c>
      <c r="H812" s="1">
        <v>3301605590400</v>
      </c>
      <c r="I812">
        <f t="shared" si="12"/>
        <v>0</v>
      </c>
    </row>
    <row r="813" spans="1:9" x14ac:dyDescent="0.3">
      <c r="A813">
        <v>20180321</v>
      </c>
      <c r="B813">
        <v>84990</v>
      </c>
      <c r="C813" s="8">
        <v>240600</v>
      </c>
      <c r="D813" s="8">
        <v>241000</v>
      </c>
      <c r="E813">
        <v>236509</v>
      </c>
      <c r="F813" s="8">
        <v>15956260</v>
      </c>
      <c r="G813" s="1">
        <v>3845458660000</v>
      </c>
      <c r="H813" s="1">
        <v>3307094544000</v>
      </c>
      <c r="I813">
        <f t="shared" si="12"/>
        <v>0</v>
      </c>
    </row>
    <row r="814" spans="1:9" x14ac:dyDescent="0.3">
      <c r="A814">
        <v>20180322</v>
      </c>
      <c r="B814">
        <v>84990</v>
      </c>
      <c r="C814" s="8">
        <v>241000</v>
      </c>
      <c r="D814" s="8">
        <v>227900</v>
      </c>
      <c r="E814">
        <v>223653</v>
      </c>
      <c r="F814" s="8">
        <v>15956260</v>
      </c>
      <c r="G814" s="1">
        <v>3636431654000</v>
      </c>
      <c r="H814" s="1">
        <v>3127331313600</v>
      </c>
      <c r="I814">
        <f t="shared" si="12"/>
        <v>0</v>
      </c>
    </row>
    <row r="815" spans="1:9" x14ac:dyDescent="0.3">
      <c r="A815">
        <v>20180323</v>
      </c>
      <c r="B815">
        <v>84990</v>
      </c>
      <c r="C815" s="8">
        <v>227900</v>
      </c>
      <c r="D815" s="8">
        <v>201500</v>
      </c>
      <c r="E815">
        <v>197745</v>
      </c>
      <c r="F815" s="8">
        <v>15956260</v>
      </c>
      <c r="G815" s="1">
        <v>3215186390000</v>
      </c>
      <c r="H815" s="1">
        <v>2765060376000</v>
      </c>
      <c r="I815">
        <f t="shared" si="12"/>
        <v>0</v>
      </c>
    </row>
    <row r="816" spans="1:9" x14ac:dyDescent="0.3">
      <c r="A816">
        <v>20180326</v>
      </c>
      <c r="B816">
        <v>84990</v>
      </c>
      <c r="C816" s="8">
        <v>201500</v>
      </c>
      <c r="D816" s="8">
        <v>208600</v>
      </c>
      <c r="E816">
        <v>204713</v>
      </c>
      <c r="F816" s="8">
        <v>15956260</v>
      </c>
      <c r="G816" s="1">
        <v>3328475836000</v>
      </c>
      <c r="H816" s="1">
        <v>2862489302400</v>
      </c>
      <c r="I816">
        <f t="shared" si="12"/>
        <v>0</v>
      </c>
    </row>
    <row r="817" spans="1:9" x14ac:dyDescent="0.3">
      <c r="A817">
        <v>20180327</v>
      </c>
      <c r="B817">
        <v>84990</v>
      </c>
      <c r="C817" s="8">
        <v>208600</v>
      </c>
      <c r="D817" s="8">
        <v>213100</v>
      </c>
      <c r="E817">
        <v>209129</v>
      </c>
      <c r="F817" s="8">
        <v>15956260</v>
      </c>
      <c r="G817" s="1">
        <v>3400279006000</v>
      </c>
      <c r="H817" s="1">
        <v>2924240030400</v>
      </c>
      <c r="I817">
        <f t="shared" si="12"/>
        <v>0</v>
      </c>
    </row>
    <row r="818" spans="1:9" x14ac:dyDescent="0.3">
      <c r="A818">
        <v>20180328</v>
      </c>
      <c r="B818">
        <v>84990</v>
      </c>
      <c r="C818" s="8">
        <v>213100</v>
      </c>
      <c r="D818" s="8">
        <v>212000</v>
      </c>
      <c r="E818">
        <v>208049</v>
      </c>
      <c r="F818" s="8">
        <v>15956260</v>
      </c>
      <c r="G818" s="1">
        <v>3382727120000</v>
      </c>
      <c r="H818" s="1">
        <v>2909145408000</v>
      </c>
      <c r="I818">
        <f t="shared" si="12"/>
        <v>0</v>
      </c>
    </row>
    <row r="819" spans="1:9" x14ac:dyDescent="0.3">
      <c r="A819">
        <v>20180329</v>
      </c>
      <c r="B819">
        <v>84990</v>
      </c>
      <c r="C819" s="8">
        <v>212000</v>
      </c>
      <c r="D819" s="8">
        <v>221000</v>
      </c>
      <c r="E819">
        <v>216881</v>
      </c>
      <c r="F819" s="8">
        <v>15956260</v>
      </c>
      <c r="G819" s="1">
        <v>3526333460000</v>
      </c>
      <c r="H819" s="1">
        <v>3032646864000</v>
      </c>
      <c r="I819">
        <f t="shared" si="12"/>
        <v>0</v>
      </c>
    </row>
    <row r="820" spans="1:9" x14ac:dyDescent="0.3">
      <c r="A820">
        <v>20180330</v>
      </c>
      <c r="B820">
        <v>84990</v>
      </c>
      <c r="C820" s="8">
        <v>221000</v>
      </c>
      <c r="D820" s="8">
        <v>224900</v>
      </c>
      <c r="E820">
        <v>220709</v>
      </c>
      <c r="F820" s="8">
        <v>15956260</v>
      </c>
      <c r="G820" s="1">
        <v>3588562874000</v>
      </c>
      <c r="H820" s="1">
        <v>3086164161600</v>
      </c>
      <c r="I820">
        <f t="shared" si="12"/>
        <v>0</v>
      </c>
    </row>
    <row r="821" spans="1:9" x14ac:dyDescent="0.3">
      <c r="A821">
        <v>20180402</v>
      </c>
      <c r="B821">
        <v>84990</v>
      </c>
      <c r="C821" s="8">
        <v>224900</v>
      </c>
      <c r="D821" s="8">
        <v>224000</v>
      </c>
      <c r="E821">
        <v>219826</v>
      </c>
      <c r="F821" s="8">
        <v>15956260</v>
      </c>
      <c r="G821" s="1">
        <v>3574202240000</v>
      </c>
      <c r="H821" s="1">
        <v>3073814016000</v>
      </c>
      <c r="I821">
        <f t="shared" si="12"/>
        <v>0</v>
      </c>
    </row>
    <row r="822" spans="1:9" x14ac:dyDescent="0.3">
      <c r="A822">
        <v>20180403</v>
      </c>
      <c r="B822">
        <v>84990</v>
      </c>
      <c r="C822" s="8">
        <v>224000</v>
      </c>
      <c r="D822" s="8">
        <v>237300</v>
      </c>
      <c r="E822">
        <v>232878</v>
      </c>
      <c r="F822" s="8">
        <v>15956260</v>
      </c>
      <c r="G822" s="1">
        <v>3786420498000</v>
      </c>
      <c r="H822" s="1">
        <v>3256321723200</v>
      </c>
      <c r="I822">
        <f t="shared" si="12"/>
        <v>0</v>
      </c>
    </row>
    <row r="823" spans="1:9" x14ac:dyDescent="0.3">
      <c r="A823">
        <v>20180404</v>
      </c>
      <c r="B823">
        <v>84990</v>
      </c>
      <c r="C823" s="8">
        <v>237300</v>
      </c>
      <c r="D823" s="8">
        <v>241600</v>
      </c>
      <c r="E823">
        <v>237098</v>
      </c>
      <c r="F823" s="8">
        <v>15956260</v>
      </c>
      <c r="G823" s="1">
        <v>3855032416000</v>
      </c>
      <c r="H823" s="1">
        <v>3315327974400</v>
      </c>
      <c r="I823">
        <f t="shared" si="12"/>
        <v>0</v>
      </c>
    </row>
    <row r="824" spans="1:9" x14ac:dyDescent="0.3">
      <c r="A824">
        <v>20180405</v>
      </c>
      <c r="B824">
        <v>84990</v>
      </c>
      <c r="C824" s="8">
        <v>241600</v>
      </c>
      <c r="D824" s="8">
        <v>240400</v>
      </c>
      <c r="E824">
        <v>235920</v>
      </c>
      <c r="F824" s="8">
        <v>15956260</v>
      </c>
      <c r="G824" s="1">
        <v>3835884904000</v>
      </c>
      <c r="H824" s="1">
        <v>3298861113600</v>
      </c>
      <c r="I824">
        <f t="shared" si="12"/>
        <v>0</v>
      </c>
    </row>
    <row r="825" spans="1:9" x14ac:dyDescent="0.3">
      <c r="A825">
        <v>20180406</v>
      </c>
      <c r="B825">
        <v>84990</v>
      </c>
      <c r="C825" s="8">
        <v>240400</v>
      </c>
      <c r="D825" s="8">
        <v>241600</v>
      </c>
      <c r="E825">
        <v>237098</v>
      </c>
      <c r="F825" s="8">
        <v>15956260</v>
      </c>
      <c r="G825" s="1">
        <v>3855032416000</v>
      </c>
      <c r="H825" s="1">
        <v>3315327974400</v>
      </c>
      <c r="I825">
        <f t="shared" si="12"/>
        <v>0</v>
      </c>
    </row>
    <row r="826" spans="1:9" x14ac:dyDescent="0.3">
      <c r="A826">
        <v>20180409</v>
      </c>
      <c r="B826">
        <v>84990</v>
      </c>
      <c r="C826" s="8">
        <v>241600</v>
      </c>
      <c r="D826" s="8">
        <v>255100</v>
      </c>
      <c r="E826">
        <v>250346</v>
      </c>
      <c r="F826" s="8">
        <v>15956260</v>
      </c>
      <c r="G826" s="1">
        <v>4070441926000</v>
      </c>
      <c r="H826" s="1">
        <v>3500580158400</v>
      </c>
      <c r="I826">
        <f t="shared" si="12"/>
        <v>0</v>
      </c>
    </row>
    <row r="827" spans="1:9" x14ac:dyDescent="0.3">
      <c r="A827">
        <v>20180410</v>
      </c>
      <c r="B827">
        <v>84990</v>
      </c>
      <c r="C827" s="8">
        <v>255100</v>
      </c>
      <c r="D827" s="8">
        <v>260200</v>
      </c>
      <c r="E827">
        <v>255351</v>
      </c>
      <c r="F827" s="8">
        <v>15956260</v>
      </c>
      <c r="G827" s="1">
        <v>4151818852000</v>
      </c>
      <c r="H827" s="1">
        <v>3570564316800</v>
      </c>
      <c r="I827">
        <f t="shared" si="12"/>
        <v>0</v>
      </c>
    </row>
    <row r="828" spans="1:9" x14ac:dyDescent="0.3">
      <c r="A828">
        <v>20180411</v>
      </c>
      <c r="B828">
        <v>84990</v>
      </c>
      <c r="C828" s="8">
        <v>260200</v>
      </c>
      <c r="D828" s="8">
        <v>256500</v>
      </c>
      <c r="E828">
        <v>251720</v>
      </c>
      <c r="F828" s="8">
        <v>15956260</v>
      </c>
      <c r="G828" s="1">
        <v>4092780690000</v>
      </c>
      <c r="H828" s="1">
        <v>3519791496000</v>
      </c>
      <c r="I828">
        <f t="shared" si="12"/>
        <v>0</v>
      </c>
    </row>
    <row r="829" spans="1:9" x14ac:dyDescent="0.3">
      <c r="A829">
        <v>20180412</v>
      </c>
      <c r="B829">
        <v>84990</v>
      </c>
      <c r="C829" s="8">
        <v>256500</v>
      </c>
      <c r="D829" s="8">
        <v>232100</v>
      </c>
      <c r="E829">
        <v>227775</v>
      </c>
      <c r="F829" s="8">
        <v>15956260</v>
      </c>
      <c r="G829" s="1">
        <v>3703447946000</v>
      </c>
      <c r="H829" s="1">
        <v>3184965326400</v>
      </c>
      <c r="I829">
        <f t="shared" si="12"/>
        <v>0</v>
      </c>
    </row>
    <row r="830" spans="1:9" x14ac:dyDescent="0.3">
      <c r="A830">
        <v>20180413</v>
      </c>
      <c r="B830">
        <v>84990</v>
      </c>
      <c r="C830" s="8">
        <v>232100</v>
      </c>
      <c r="D830" s="8">
        <v>236000</v>
      </c>
      <c r="E830">
        <v>231602</v>
      </c>
      <c r="F830" s="8">
        <v>15956260</v>
      </c>
      <c r="G830" s="1">
        <v>3765677360000</v>
      </c>
      <c r="H830" s="1">
        <v>3238482624000</v>
      </c>
      <c r="I830">
        <f t="shared" si="12"/>
        <v>0</v>
      </c>
    </row>
    <row r="831" spans="1:9" x14ac:dyDescent="0.3">
      <c r="A831">
        <v>20180416</v>
      </c>
      <c r="B831">
        <v>84990</v>
      </c>
      <c r="C831" s="8">
        <v>236000</v>
      </c>
      <c r="D831" s="8">
        <v>227300</v>
      </c>
      <c r="E831">
        <v>223064</v>
      </c>
      <c r="F831" s="8">
        <v>15956260</v>
      </c>
      <c r="G831" s="1">
        <v>3626857898000</v>
      </c>
      <c r="H831" s="1">
        <v>3119097883200</v>
      </c>
      <c r="I831">
        <f t="shared" si="12"/>
        <v>0</v>
      </c>
    </row>
    <row r="832" spans="1:9" x14ac:dyDescent="0.3">
      <c r="A832">
        <v>20180417</v>
      </c>
      <c r="B832">
        <v>84990</v>
      </c>
      <c r="C832" s="8">
        <v>227300</v>
      </c>
      <c r="D832" s="8">
        <v>234100</v>
      </c>
      <c r="E832">
        <v>229737</v>
      </c>
      <c r="F832" s="8">
        <v>15956260</v>
      </c>
      <c r="G832" s="1">
        <v>3735360466000</v>
      </c>
      <c r="H832" s="1">
        <v>3212410094400</v>
      </c>
      <c r="I832">
        <f t="shared" si="12"/>
        <v>0</v>
      </c>
    </row>
    <row r="833" spans="1:9" x14ac:dyDescent="0.3">
      <c r="A833">
        <v>20180418</v>
      </c>
      <c r="B833">
        <v>84990</v>
      </c>
      <c r="C833" s="8">
        <v>234100</v>
      </c>
      <c r="D833" s="8">
        <v>233500</v>
      </c>
      <c r="E833">
        <v>229149</v>
      </c>
      <c r="F833" s="8">
        <v>15956260</v>
      </c>
      <c r="G833" s="1">
        <v>3725786710000</v>
      </c>
      <c r="H833" s="1">
        <v>3204176664000</v>
      </c>
      <c r="I833">
        <f t="shared" si="12"/>
        <v>0</v>
      </c>
    </row>
    <row r="834" spans="1:9" x14ac:dyDescent="0.3">
      <c r="A834">
        <v>20180419</v>
      </c>
      <c r="B834">
        <v>84990</v>
      </c>
      <c r="C834" s="8">
        <v>233500</v>
      </c>
      <c r="D834" s="8">
        <v>223200</v>
      </c>
      <c r="E834">
        <v>219040</v>
      </c>
      <c r="F834" s="8">
        <v>15956260</v>
      </c>
      <c r="G834" s="1">
        <v>3561437232000</v>
      </c>
      <c r="H834" s="1">
        <v>3062836108800</v>
      </c>
      <c r="I834">
        <f t="shared" si="12"/>
        <v>0</v>
      </c>
    </row>
    <row r="835" spans="1:9" x14ac:dyDescent="0.3">
      <c r="A835">
        <v>20180420</v>
      </c>
      <c r="B835">
        <v>84990</v>
      </c>
      <c r="C835" s="8">
        <v>223200</v>
      </c>
      <c r="D835" s="8">
        <v>224200</v>
      </c>
      <c r="E835">
        <v>220022</v>
      </c>
      <c r="F835" s="8">
        <v>15956260</v>
      </c>
      <c r="G835" s="1">
        <v>3577393492000</v>
      </c>
      <c r="H835" s="1">
        <v>3076558492800</v>
      </c>
      <c r="I835">
        <f t="shared" ref="I835:I898" si="13">IF(C835*F835=D834*F834,0,1)</f>
        <v>0</v>
      </c>
    </row>
    <row r="836" spans="1:9" x14ac:dyDescent="0.3">
      <c r="A836">
        <v>20180423</v>
      </c>
      <c r="B836">
        <v>84990</v>
      </c>
      <c r="C836" s="8">
        <v>224200</v>
      </c>
      <c r="D836" s="8">
        <v>214000</v>
      </c>
      <c r="E836">
        <v>210012</v>
      </c>
      <c r="F836" s="8">
        <v>15956260</v>
      </c>
      <c r="G836" s="1">
        <v>3414639640000</v>
      </c>
      <c r="H836" s="1">
        <v>2936590176000</v>
      </c>
      <c r="I836">
        <f t="shared" si="13"/>
        <v>0</v>
      </c>
    </row>
    <row r="837" spans="1:9" x14ac:dyDescent="0.3">
      <c r="A837">
        <v>20180424</v>
      </c>
      <c r="B837">
        <v>84990</v>
      </c>
      <c r="C837" s="8">
        <v>214000</v>
      </c>
      <c r="D837" s="8">
        <v>208900</v>
      </c>
      <c r="E837">
        <v>205007</v>
      </c>
      <c r="F837" s="8">
        <v>15956260</v>
      </c>
      <c r="G837" s="1">
        <v>3333262714000</v>
      </c>
      <c r="H837" s="1">
        <v>2866606017600</v>
      </c>
      <c r="I837">
        <f t="shared" si="13"/>
        <v>0</v>
      </c>
    </row>
    <row r="838" spans="1:9" x14ac:dyDescent="0.3">
      <c r="A838">
        <v>20180425</v>
      </c>
      <c r="B838">
        <v>84990</v>
      </c>
      <c r="C838" s="8">
        <v>208900</v>
      </c>
      <c r="D838" s="8">
        <v>215000</v>
      </c>
      <c r="E838">
        <v>210993</v>
      </c>
      <c r="F838" s="8">
        <v>15956260</v>
      </c>
      <c r="G838" s="1">
        <v>3430595900000</v>
      </c>
      <c r="H838" s="1">
        <v>2950312560000</v>
      </c>
      <c r="I838">
        <f t="shared" si="13"/>
        <v>0</v>
      </c>
    </row>
    <row r="839" spans="1:9" x14ac:dyDescent="0.3">
      <c r="A839">
        <v>20180426</v>
      </c>
      <c r="B839">
        <v>84990</v>
      </c>
      <c r="C839" s="8">
        <v>215000</v>
      </c>
      <c r="D839" s="8">
        <v>218700</v>
      </c>
      <c r="E839">
        <v>214624</v>
      </c>
      <c r="F839" s="8">
        <v>15956260</v>
      </c>
      <c r="G839" s="1">
        <v>3489634062000</v>
      </c>
      <c r="H839" s="1">
        <v>3001085380800</v>
      </c>
      <c r="I839">
        <f t="shared" si="13"/>
        <v>0</v>
      </c>
    </row>
    <row r="840" spans="1:9" x14ac:dyDescent="0.3">
      <c r="A840">
        <v>20180427</v>
      </c>
      <c r="B840">
        <v>84990</v>
      </c>
      <c r="C840" s="8">
        <v>218700</v>
      </c>
      <c r="D840" s="8">
        <v>223000</v>
      </c>
      <c r="E840">
        <v>218844</v>
      </c>
      <c r="F840" s="8">
        <v>15956260</v>
      </c>
      <c r="G840" s="1">
        <v>3558245980000</v>
      </c>
      <c r="H840" s="1">
        <v>3060091632000</v>
      </c>
      <c r="I840">
        <f t="shared" si="13"/>
        <v>0</v>
      </c>
    </row>
    <row r="841" spans="1:9" x14ac:dyDescent="0.3">
      <c r="A841">
        <v>20180430</v>
      </c>
      <c r="B841">
        <v>84990</v>
      </c>
      <c r="C841" s="8">
        <v>223000</v>
      </c>
      <c r="D841" s="8">
        <v>216500</v>
      </c>
      <c r="E841">
        <v>212465</v>
      </c>
      <c r="F841" s="8">
        <v>15956260</v>
      </c>
      <c r="G841" s="1">
        <v>3454530290000</v>
      </c>
      <c r="H841" s="1">
        <v>2970896136000</v>
      </c>
      <c r="I841">
        <f t="shared" si="13"/>
        <v>0</v>
      </c>
    </row>
    <row r="842" spans="1:9" x14ac:dyDescent="0.3">
      <c r="A842">
        <v>20180502</v>
      </c>
      <c r="B842">
        <v>84990</v>
      </c>
      <c r="C842" s="8">
        <v>216500</v>
      </c>
      <c r="D842" s="8">
        <v>214700</v>
      </c>
      <c r="E842">
        <v>210699</v>
      </c>
      <c r="F842" s="8">
        <v>15956260</v>
      </c>
      <c r="G842" s="1">
        <v>3425809022000</v>
      </c>
      <c r="H842" s="1">
        <v>2946195844800</v>
      </c>
      <c r="I842">
        <f t="shared" si="13"/>
        <v>0</v>
      </c>
    </row>
    <row r="843" spans="1:9" x14ac:dyDescent="0.3">
      <c r="A843">
        <v>20180503</v>
      </c>
      <c r="B843">
        <v>84990</v>
      </c>
      <c r="C843" s="8">
        <v>214700</v>
      </c>
      <c r="D843" s="8">
        <v>207700</v>
      </c>
      <c r="E843">
        <v>203829</v>
      </c>
      <c r="F843" s="8">
        <v>15956260</v>
      </c>
      <c r="G843" s="1">
        <v>3314115202000</v>
      </c>
      <c r="H843" s="1">
        <v>2850139156800</v>
      </c>
      <c r="I843">
        <f t="shared" si="13"/>
        <v>0</v>
      </c>
    </row>
    <row r="844" spans="1:9" x14ac:dyDescent="0.3">
      <c r="A844">
        <v>20180504</v>
      </c>
      <c r="B844">
        <v>84990</v>
      </c>
      <c r="C844" s="8">
        <v>207700</v>
      </c>
      <c r="D844" s="8">
        <v>200200</v>
      </c>
      <c r="E844">
        <v>196469</v>
      </c>
      <c r="F844" s="8">
        <v>15956260</v>
      </c>
      <c r="G844" s="1">
        <v>3194443252000</v>
      </c>
      <c r="H844" s="1">
        <v>2747221276800</v>
      </c>
      <c r="I844">
        <f t="shared" si="13"/>
        <v>0</v>
      </c>
    </row>
    <row r="845" spans="1:9" x14ac:dyDescent="0.3">
      <c r="A845">
        <v>20180508</v>
      </c>
      <c r="B845">
        <v>84990</v>
      </c>
      <c r="C845" s="8">
        <v>200200</v>
      </c>
      <c r="D845" s="8">
        <v>194500</v>
      </c>
      <c r="E845">
        <v>190875</v>
      </c>
      <c r="F845" s="8">
        <v>15956260</v>
      </c>
      <c r="G845" s="1">
        <v>3103492570000</v>
      </c>
      <c r="H845" s="1">
        <v>2669003688000</v>
      </c>
      <c r="I845">
        <f t="shared" si="13"/>
        <v>0</v>
      </c>
    </row>
    <row r="846" spans="1:9" x14ac:dyDescent="0.3">
      <c r="A846">
        <v>20180509</v>
      </c>
      <c r="B846">
        <v>84990</v>
      </c>
      <c r="C846" s="8">
        <v>194500</v>
      </c>
      <c r="D846" s="8">
        <v>201900</v>
      </c>
      <c r="E846">
        <v>198137</v>
      </c>
      <c r="F846" s="8">
        <v>15956260</v>
      </c>
      <c r="G846" s="1">
        <v>3221568894000</v>
      </c>
      <c r="H846" s="1">
        <v>2770549329600</v>
      </c>
      <c r="I846">
        <f t="shared" si="13"/>
        <v>0</v>
      </c>
    </row>
    <row r="847" spans="1:9" x14ac:dyDescent="0.3">
      <c r="A847">
        <v>20180510</v>
      </c>
      <c r="B847">
        <v>84990</v>
      </c>
      <c r="C847" s="8">
        <v>201900</v>
      </c>
      <c r="D847" s="8">
        <v>198600</v>
      </c>
      <c r="E847">
        <v>194899</v>
      </c>
      <c r="F847" s="8">
        <v>15956260</v>
      </c>
      <c r="G847" s="1">
        <v>3168913236000</v>
      </c>
      <c r="H847" s="1">
        <v>2725265462400</v>
      </c>
      <c r="I847">
        <f t="shared" si="13"/>
        <v>0</v>
      </c>
    </row>
    <row r="848" spans="1:9" x14ac:dyDescent="0.3">
      <c r="A848">
        <v>20180511</v>
      </c>
      <c r="B848">
        <v>84990</v>
      </c>
      <c r="C848" s="8">
        <v>198600</v>
      </c>
      <c r="D848" s="8">
        <v>198700</v>
      </c>
      <c r="E848">
        <v>194997</v>
      </c>
      <c r="F848" s="8">
        <v>15956260</v>
      </c>
      <c r="G848" s="1">
        <v>3170508862000</v>
      </c>
      <c r="H848" s="1">
        <v>2726637700800</v>
      </c>
      <c r="I848">
        <f t="shared" si="13"/>
        <v>0</v>
      </c>
    </row>
    <row r="849" spans="1:9" x14ac:dyDescent="0.3">
      <c r="A849">
        <v>20180514</v>
      </c>
      <c r="B849">
        <v>84990</v>
      </c>
      <c r="C849" s="8">
        <v>198700</v>
      </c>
      <c r="D849" s="8">
        <v>187700</v>
      </c>
      <c r="E849">
        <v>184202</v>
      </c>
      <c r="F849" s="8">
        <v>15956260</v>
      </c>
      <c r="G849" s="1">
        <v>2994990002000</v>
      </c>
      <c r="H849" s="1">
        <v>2575691476800</v>
      </c>
      <c r="I849">
        <f t="shared" si="13"/>
        <v>0</v>
      </c>
    </row>
    <row r="850" spans="1:9" x14ac:dyDescent="0.3">
      <c r="A850">
        <v>20180515</v>
      </c>
      <c r="B850">
        <v>84990</v>
      </c>
      <c r="C850" s="8">
        <v>187700</v>
      </c>
      <c r="D850" s="8">
        <v>196900</v>
      </c>
      <c r="E850">
        <v>193231</v>
      </c>
      <c r="F850" s="8">
        <v>15956260</v>
      </c>
      <c r="G850" s="1">
        <v>3141787594000</v>
      </c>
      <c r="H850" s="1">
        <v>2701937409600</v>
      </c>
      <c r="I850">
        <f t="shared" si="13"/>
        <v>0</v>
      </c>
    </row>
    <row r="851" spans="1:9" x14ac:dyDescent="0.3">
      <c r="A851">
        <v>20180516</v>
      </c>
      <c r="B851">
        <v>84990</v>
      </c>
      <c r="C851" s="8">
        <v>196900</v>
      </c>
      <c r="D851" s="8">
        <v>205500</v>
      </c>
      <c r="E851">
        <v>201670</v>
      </c>
      <c r="F851" s="8">
        <v>15956260</v>
      </c>
      <c r="G851" s="1">
        <v>3279011430000</v>
      </c>
      <c r="H851" s="1">
        <v>2819949912000</v>
      </c>
      <c r="I851">
        <f t="shared" si="13"/>
        <v>0</v>
      </c>
    </row>
    <row r="852" spans="1:9" x14ac:dyDescent="0.3">
      <c r="A852">
        <v>20180517</v>
      </c>
      <c r="B852">
        <v>84990</v>
      </c>
      <c r="C852" s="8">
        <v>205500</v>
      </c>
      <c r="D852" s="8">
        <v>213000</v>
      </c>
      <c r="E852">
        <v>209031</v>
      </c>
      <c r="F852" s="8">
        <v>15956260</v>
      </c>
      <c r="G852" s="1">
        <v>3398683380000</v>
      </c>
      <c r="H852" s="1">
        <v>2922867792000</v>
      </c>
      <c r="I852">
        <f t="shared" si="13"/>
        <v>0</v>
      </c>
    </row>
    <row r="853" spans="1:9" x14ac:dyDescent="0.3">
      <c r="A853">
        <v>20180518</v>
      </c>
      <c r="B853">
        <v>84990</v>
      </c>
      <c r="C853" s="8">
        <v>213000</v>
      </c>
      <c r="D853" s="8">
        <v>220100</v>
      </c>
      <c r="E853">
        <v>215998</v>
      </c>
      <c r="F853" s="8">
        <v>15956260</v>
      </c>
      <c r="G853" s="1">
        <v>3511972826000</v>
      </c>
      <c r="H853" s="1">
        <v>3020296718400</v>
      </c>
      <c r="I853">
        <f t="shared" si="13"/>
        <v>0</v>
      </c>
    </row>
    <row r="854" spans="1:9" x14ac:dyDescent="0.3">
      <c r="A854">
        <v>20180521</v>
      </c>
      <c r="B854">
        <v>84990</v>
      </c>
      <c r="C854" s="8">
        <v>220100</v>
      </c>
      <c r="D854" s="8">
        <v>224300</v>
      </c>
      <c r="E854">
        <v>220120</v>
      </c>
      <c r="F854" s="8">
        <v>15956260</v>
      </c>
      <c r="G854" s="1">
        <v>3578989118000</v>
      </c>
      <c r="H854" s="1">
        <v>3077930731200</v>
      </c>
      <c r="I854">
        <f t="shared" si="13"/>
        <v>0</v>
      </c>
    </row>
    <row r="855" spans="1:9" x14ac:dyDescent="0.3">
      <c r="A855">
        <v>20180523</v>
      </c>
      <c r="B855">
        <v>84990</v>
      </c>
      <c r="C855" s="8">
        <v>224300</v>
      </c>
      <c r="D855" s="8">
        <v>256000</v>
      </c>
      <c r="E855">
        <v>251229</v>
      </c>
      <c r="F855" s="8">
        <v>15956260</v>
      </c>
      <c r="G855" s="1">
        <v>4084802560000</v>
      </c>
      <c r="H855" s="1">
        <v>3512930304000</v>
      </c>
      <c r="I855">
        <f t="shared" si="13"/>
        <v>0</v>
      </c>
    </row>
    <row r="856" spans="1:9" x14ac:dyDescent="0.3">
      <c r="A856">
        <v>20180524</v>
      </c>
      <c r="B856">
        <v>84990</v>
      </c>
      <c r="C856" s="8">
        <v>256000</v>
      </c>
      <c r="D856" s="8">
        <v>255000</v>
      </c>
      <c r="E856">
        <v>250248</v>
      </c>
      <c r="F856" s="8">
        <v>15956260</v>
      </c>
      <c r="G856" s="1">
        <v>4068846300000</v>
      </c>
      <c r="H856" s="1">
        <v>3499207920000</v>
      </c>
      <c r="I856">
        <f t="shared" si="13"/>
        <v>0</v>
      </c>
    </row>
    <row r="857" spans="1:9" x14ac:dyDescent="0.3">
      <c r="A857">
        <v>20180525</v>
      </c>
      <c r="B857">
        <v>84990</v>
      </c>
      <c r="C857" s="8">
        <v>255000</v>
      </c>
      <c r="D857" s="8">
        <v>259800</v>
      </c>
      <c r="E857">
        <v>254959</v>
      </c>
      <c r="F857" s="8">
        <v>15956260</v>
      </c>
      <c r="G857" s="1">
        <v>4145436348000</v>
      </c>
      <c r="H857" s="1">
        <v>3565075363200</v>
      </c>
      <c r="I857">
        <f t="shared" si="13"/>
        <v>0</v>
      </c>
    </row>
    <row r="858" spans="1:9" x14ac:dyDescent="0.3">
      <c r="A858">
        <v>20180528</v>
      </c>
      <c r="B858">
        <v>84990</v>
      </c>
      <c r="C858" s="8">
        <v>259800</v>
      </c>
      <c r="D858" s="8">
        <v>261000</v>
      </c>
      <c r="E858">
        <v>256136</v>
      </c>
      <c r="F858" s="8">
        <v>15956260</v>
      </c>
      <c r="G858" s="1">
        <v>4164583860000</v>
      </c>
      <c r="H858" s="1">
        <v>3581542224000</v>
      </c>
      <c r="I858">
        <f t="shared" si="13"/>
        <v>0</v>
      </c>
    </row>
    <row r="859" spans="1:9" x14ac:dyDescent="0.3">
      <c r="A859">
        <v>20180529</v>
      </c>
      <c r="B859">
        <v>84990</v>
      </c>
      <c r="C859" s="8">
        <v>261000</v>
      </c>
      <c r="D859" s="8">
        <v>249000</v>
      </c>
      <c r="E859">
        <v>244360</v>
      </c>
      <c r="F859" s="8">
        <v>15956260</v>
      </c>
      <c r="G859" s="1">
        <v>3973108740000</v>
      </c>
      <c r="H859" s="1">
        <v>3416873616000</v>
      </c>
      <c r="I859">
        <f t="shared" si="13"/>
        <v>0</v>
      </c>
    </row>
    <row r="860" spans="1:9" x14ac:dyDescent="0.3">
      <c r="A860">
        <v>20180530</v>
      </c>
      <c r="B860">
        <v>84990</v>
      </c>
      <c r="C860" s="8">
        <v>249000</v>
      </c>
      <c r="D860" s="8">
        <v>261400</v>
      </c>
      <c r="E860">
        <v>256529</v>
      </c>
      <c r="F860" s="8">
        <v>15956260</v>
      </c>
      <c r="G860" s="1">
        <v>4170966364000</v>
      </c>
      <c r="H860" s="1">
        <v>3587031177600</v>
      </c>
      <c r="I860">
        <f t="shared" si="13"/>
        <v>0</v>
      </c>
    </row>
    <row r="861" spans="1:9" x14ac:dyDescent="0.3">
      <c r="A861">
        <v>20180531</v>
      </c>
      <c r="B861">
        <v>84990</v>
      </c>
      <c r="C861" s="8">
        <v>261400</v>
      </c>
      <c r="D861" s="8">
        <v>265000</v>
      </c>
      <c r="E861">
        <v>260062</v>
      </c>
      <c r="F861" s="8">
        <v>15956260</v>
      </c>
      <c r="G861" s="1">
        <v>4228408900000</v>
      </c>
      <c r="H861" s="1">
        <v>3636431760000</v>
      </c>
      <c r="I861">
        <f t="shared" si="13"/>
        <v>0</v>
      </c>
    </row>
    <row r="862" spans="1:9" x14ac:dyDescent="0.3">
      <c r="A862">
        <v>20180601</v>
      </c>
      <c r="B862">
        <v>84990</v>
      </c>
      <c r="C862" s="8">
        <v>265000</v>
      </c>
      <c r="D862" s="8">
        <v>263500</v>
      </c>
      <c r="E862">
        <v>258590</v>
      </c>
      <c r="F862" s="8">
        <v>15956260</v>
      </c>
      <c r="G862" s="1">
        <v>4204474510000</v>
      </c>
      <c r="H862" s="1">
        <v>3615848184000</v>
      </c>
      <c r="I862">
        <f t="shared" si="13"/>
        <v>0</v>
      </c>
    </row>
    <row r="863" spans="1:9" x14ac:dyDescent="0.3">
      <c r="A863">
        <v>20180604</v>
      </c>
      <c r="B863">
        <v>84990</v>
      </c>
      <c r="C863" s="8">
        <v>263500</v>
      </c>
      <c r="D863" s="8">
        <v>253000</v>
      </c>
      <c r="E863">
        <v>248285</v>
      </c>
      <c r="F863" s="8">
        <v>15956260</v>
      </c>
      <c r="G863" s="1">
        <v>4036933780000</v>
      </c>
      <c r="H863" s="1">
        <v>3471763152000</v>
      </c>
      <c r="I863">
        <f t="shared" si="13"/>
        <v>0</v>
      </c>
    </row>
    <row r="864" spans="1:9" x14ac:dyDescent="0.3">
      <c r="A864">
        <v>20180605</v>
      </c>
      <c r="B864">
        <v>84990</v>
      </c>
      <c r="C864" s="8">
        <v>253000</v>
      </c>
      <c r="D864" s="8">
        <v>245000</v>
      </c>
      <c r="E864">
        <v>240434</v>
      </c>
      <c r="F864" s="8">
        <v>15956260</v>
      </c>
      <c r="G864" s="1">
        <v>3909283700000</v>
      </c>
      <c r="H864" s="1">
        <v>3361984080000</v>
      </c>
      <c r="I864">
        <f t="shared" si="13"/>
        <v>0</v>
      </c>
    </row>
    <row r="865" spans="1:9" x14ac:dyDescent="0.3">
      <c r="A865">
        <v>20180607</v>
      </c>
      <c r="B865">
        <v>84990</v>
      </c>
      <c r="C865" s="8">
        <v>245000</v>
      </c>
      <c r="D865" s="8">
        <v>257100</v>
      </c>
      <c r="E865">
        <v>252309</v>
      </c>
      <c r="F865" s="8">
        <v>15956260</v>
      </c>
      <c r="G865" s="1">
        <v>4102354446000</v>
      </c>
      <c r="H865" s="1">
        <v>3528024926400</v>
      </c>
      <c r="I865">
        <f t="shared" si="13"/>
        <v>0</v>
      </c>
    </row>
    <row r="866" spans="1:9" x14ac:dyDescent="0.3">
      <c r="A866">
        <v>20180608</v>
      </c>
      <c r="B866">
        <v>84990</v>
      </c>
      <c r="C866" s="8">
        <v>257100</v>
      </c>
      <c r="D866" s="8">
        <v>248300</v>
      </c>
      <c r="E866">
        <v>243673</v>
      </c>
      <c r="F866" s="8">
        <v>15956260</v>
      </c>
      <c r="G866" s="1">
        <v>3961939358000</v>
      </c>
      <c r="H866" s="1">
        <v>3407267947200</v>
      </c>
      <c r="I866">
        <f t="shared" si="13"/>
        <v>0</v>
      </c>
    </row>
    <row r="867" spans="1:9" x14ac:dyDescent="0.3">
      <c r="A867">
        <v>20180611</v>
      </c>
      <c r="B867">
        <v>84990</v>
      </c>
      <c r="C867" s="8">
        <v>248300</v>
      </c>
      <c r="D867" s="8">
        <v>245000</v>
      </c>
      <c r="E867">
        <v>240434</v>
      </c>
      <c r="F867" s="8">
        <v>15956260</v>
      </c>
      <c r="G867" s="1">
        <v>3909283700000</v>
      </c>
      <c r="H867" s="1">
        <v>3361984080000</v>
      </c>
      <c r="I867">
        <f t="shared" si="13"/>
        <v>0</v>
      </c>
    </row>
    <row r="868" spans="1:9" x14ac:dyDescent="0.3">
      <c r="A868">
        <v>20180612</v>
      </c>
      <c r="B868">
        <v>84990</v>
      </c>
      <c r="C868" s="8">
        <v>245000</v>
      </c>
      <c r="D868" s="8">
        <v>246500</v>
      </c>
      <c r="E868">
        <v>241906</v>
      </c>
      <c r="F868" s="8">
        <v>15956260</v>
      </c>
      <c r="G868" s="1">
        <v>3933218090000</v>
      </c>
      <c r="H868" s="1">
        <v>3382567656000</v>
      </c>
      <c r="I868">
        <f t="shared" si="13"/>
        <v>0</v>
      </c>
    </row>
    <row r="869" spans="1:9" x14ac:dyDescent="0.3">
      <c r="A869">
        <v>20180614</v>
      </c>
      <c r="B869">
        <v>84990</v>
      </c>
      <c r="C869" s="8">
        <v>246500</v>
      </c>
      <c r="D869" s="8">
        <v>236100</v>
      </c>
      <c r="E869">
        <v>231700</v>
      </c>
      <c r="F869" s="8">
        <v>15956260</v>
      </c>
      <c r="G869" s="1">
        <v>3767272986000</v>
      </c>
      <c r="H869" s="1">
        <v>3239854862400</v>
      </c>
      <c r="I869">
        <f t="shared" si="13"/>
        <v>0</v>
      </c>
    </row>
    <row r="870" spans="1:9" x14ac:dyDescent="0.3">
      <c r="A870">
        <v>20180615</v>
      </c>
      <c r="B870">
        <v>84990</v>
      </c>
      <c r="C870" s="8">
        <v>236100</v>
      </c>
      <c r="D870" s="8">
        <v>232700</v>
      </c>
      <c r="E870">
        <v>228363</v>
      </c>
      <c r="F870" s="8">
        <v>15956260</v>
      </c>
      <c r="G870" s="1">
        <v>3713021702000</v>
      </c>
      <c r="H870" s="1">
        <v>3193198756800</v>
      </c>
      <c r="I870">
        <f t="shared" si="13"/>
        <v>0</v>
      </c>
    </row>
    <row r="871" spans="1:9" x14ac:dyDescent="0.3">
      <c r="A871">
        <v>20180618</v>
      </c>
      <c r="B871">
        <v>84990</v>
      </c>
      <c r="C871" s="8">
        <v>232700</v>
      </c>
      <c r="D871" s="8">
        <v>218900</v>
      </c>
      <c r="E871">
        <v>214821</v>
      </c>
      <c r="F871" s="8">
        <v>15956260</v>
      </c>
      <c r="G871" s="1">
        <v>3492825314000</v>
      </c>
      <c r="H871" s="1">
        <v>3003829857600</v>
      </c>
      <c r="I871">
        <f t="shared" si="13"/>
        <v>0</v>
      </c>
    </row>
    <row r="872" spans="1:9" x14ac:dyDescent="0.3">
      <c r="A872">
        <v>20180619</v>
      </c>
      <c r="B872">
        <v>84990</v>
      </c>
      <c r="C872" s="8">
        <v>218900</v>
      </c>
      <c r="D872" s="8">
        <v>222300</v>
      </c>
      <c r="E872">
        <v>218157</v>
      </c>
      <c r="F872" s="8">
        <v>15956260</v>
      </c>
      <c r="G872" s="1">
        <v>3547076598000</v>
      </c>
      <c r="H872" s="1">
        <v>3050485963200</v>
      </c>
      <c r="I872">
        <f t="shared" si="13"/>
        <v>0</v>
      </c>
    </row>
    <row r="873" spans="1:9" x14ac:dyDescent="0.3">
      <c r="A873">
        <v>20180620</v>
      </c>
      <c r="B873">
        <v>84990</v>
      </c>
      <c r="C873" s="8">
        <v>222300</v>
      </c>
      <c r="D873" s="8">
        <v>234400</v>
      </c>
      <c r="E873">
        <v>230032</v>
      </c>
      <c r="F873" s="8">
        <v>15956260</v>
      </c>
      <c r="G873" s="1">
        <v>3740147344000</v>
      </c>
      <c r="H873" s="1">
        <v>3216526809600</v>
      </c>
      <c r="I873">
        <f t="shared" si="13"/>
        <v>0</v>
      </c>
    </row>
    <row r="874" spans="1:9" x14ac:dyDescent="0.3">
      <c r="A874">
        <v>20180621</v>
      </c>
      <c r="B874">
        <v>84990</v>
      </c>
      <c r="C874" s="8">
        <v>234400</v>
      </c>
      <c r="D874" s="8">
        <v>231000</v>
      </c>
      <c r="E874">
        <v>226695</v>
      </c>
      <c r="F874" s="8">
        <v>15956260</v>
      </c>
      <c r="G874" s="1">
        <v>3685896060000</v>
      </c>
      <c r="H874" s="1">
        <v>3169870704000</v>
      </c>
      <c r="I874">
        <f t="shared" si="13"/>
        <v>0</v>
      </c>
    </row>
    <row r="875" spans="1:9" x14ac:dyDescent="0.3">
      <c r="A875">
        <v>20180622</v>
      </c>
      <c r="B875">
        <v>84990</v>
      </c>
      <c r="C875" s="8">
        <v>231000</v>
      </c>
      <c r="D875" s="8">
        <v>232000</v>
      </c>
      <c r="E875">
        <v>227677</v>
      </c>
      <c r="F875" s="8">
        <v>15956260</v>
      </c>
      <c r="G875" s="1">
        <v>3701852320000</v>
      </c>
      <c r="H875" s="1">
        <v>3183593088000</v>
      </c>
      <c r="I875">
        <f t="shared" si="13"/>
        <v>0</v>
      </c>
    </row>
    <row r="876" spans="1:9" x14ac:dyDescent="0.3">
      <c r="A876">
        <v>20180625</v>
      </c>
      <c r="B876">
        <v>84990</v>
      </c>
      <c r="C876" s="8">
        <v>232000</v>
      </c>
      <c r="D876" s="8">
        <v>230900</v>
      </c>
      <c r="E876">
        <v>226597</v>
      </c>
      <c r="F876" s="8">
        <v>15956260</v>
      </c>
      <c r="G876" s="1">
        <v>3684300434000</v>
      </c>
      <c r="H876" s="1">
        <v>3168498465600</v>
      </c>
      <c r="I876">
        <f t="shared" si="13"/>
        <v>0</v>
      </c>
    </row>
    <row r="877" spans="1:9" x14ac:dyDescent="0.3">
      <c r="A877">
        <v>20180626</v>
      </c>
      <c r="B877">
        <v>84990</v>
      </c>
      <c r="C877" s="8">
        <v>230900</v>
      </c>
      <c r="D877" s="8">
        <v>223800</v>
      </c>
      <c r="E877">
        <v>219629</v>
      </c>
      <c r="F877" s="8">
        <v>15956260</v>
      </c>
      <c r="G877" s="1">
        <v>3571010988000</v>
      </c>
      <c r="H877" s="1">
        <v>3071069539200</v>
      </c>
      <c r="I877">
        <f t="shared" si="13"/>
        <v>0</v>
      </c>
    </row>
    <row r="878" spans="1:9" x14ac:dyDescent="0.3">
      <c r="A878">
        <v>20180627</v>
      </c>
      <c r="B878">
        <v>84990</v>
      </c>
      <c r="C878" s="8">
        <v>223800</v>
      </c>
      <c r="D878" s="8">
        <v>227100</v>
      </c>
      <c r="E878">
        <v>222868</v>
      </c>
      <c r="F878" s="8">
        <v>15956260</v>
      </c>
      <c r="G878" s="1">
        <v>3623666646000</v>
      </c>
      <c r="H878" s="1">
        <v>3116353406400</v>
      </c>
      <c r="I878">
        <f t="shared" si="13"/>
        <v>0</v>
      </c>
    </row>
    <row r="879" spans="1:9" x14ac:dyDescent="0.3">
      <c r="A879">
        <v>20180628</v>
      </c>
      <c r="B879">
        <v>84990</v>
      </c>
      <c r="C879" s="8">
        <v>227100</v>
      </c>
      <c r="D879" s="8">
        <v>227600</v>
      </c>
      <c r="E879">
        <v>223359</v>
      </c>
      <c r="F879" s="8">
        <v>15956260</v>
      </c>
      <c r="G879" s="1">
        <v>3631644776000</v>
      </c>
      <c r="H879" s="1">
        <v>3123214598400</v>
      </c>
      <c r="I879">
        <f t="shared" si="13"/>
        <v>0</v>
      </c>
    </row>
    <row r="880" spans="1:9" x14ac:dyDescent="0.3">
      <c r="A880">
        <v>20180629</v>
      </c>
      <c r="B880">
        <v>84990</v>
      </c>
      <c r="C880" s="8">
        <v>227600</v>
      </c>
      <c r="D880" s="8">
        <v>235600</v>
      </c>
      <c r="E880">
        <v>231209</v>
      </c>
      <c r="F880" s="8">
        <v>15956260</v>
      </c>
      <c r="G880" s="1">
        <v>3759294856000</v>
      </c>
      <c r="H880" s="1">
        <v>3232993670400</v>
      </c>
      <c r="I880">
        <f t="shared" si="13"/>
        <v>0</v>
      </c>
    </row>
    <row r="881" spans="1:9" x14ac:dyDescent="0.3">
      <c r="A881">
        <v>20180702</v>
      </c>
      <c r="B881">
        <v>84990</v>
      </c>
      <c r="C881" s="8">
        <v>235600</v>
      </c>
      <c r="D881" s="8">
        <v>223900</v>
      </c>
      <c r="E881">
        <v>219727</v>
      </c>
      <c r="F881" s="8">
        <v>15956260</v>
      </c>
      <c r="G881" s="1">
        <v>3572606614000</v>
      </c>
      <c r="H881" s="1">
        <v>3072441777600</v>
      </c>
      <c r="I881">
        <f t="shared" si="13"/>
        <v>0</v>
      </c>
    </row>
    <row r="882" spans="1:9" x14ac:dyDescent="0.3">
      <c r="A882">
        <v>20180703</v>
      </c>
      <c r="B882">
        <v>84990</v>
      </c>
      <c r="C882" s="8">
        <v>223900</v>
      </c>
      <c r="D882" s="8">
        <v>222000</v>
      </c>
      <c r="E882">
        <v>217863</v>
      </c>
      <c r="F882" s="8">
        <v>15956260</v>
      </c>
      <c r="G882" s="1">
        <v>3542289720000</v>
      </c>
      <c r="H882" s="1">
        <v>3046369248000</v>
      </c>
      <c r="I882">
        <f t="shared" si="13"/>
        <v>0</v>
      </c>
    </row>
    <row r="883" spans="1:9" x14ac:dyDescent="0.3">
      <c r="A883">
        <v>20180704</v>
      </c>
      <c r="B883">
        <v>84990</v>
      </c>
      <c r="C883" s="8">
        <v>222000</v>
      </c>
      <c r="D883" s="8">
        <v>215500</v>
      </c>
      <c r="E883">
        <v>211484</v>
      </c>
      <c r="F883" s="8">
        <v>15956260</v>
      </c>
      <c r="G883" s="1">
        <v>3438574030000</v>
      </c>
      <c r="H883" s="1">
        <v>2957173752000</v>
      </c>
      <c r="I883">
        <f t="shared" si="13"/>
        <v>0</v>
      </c>
    </row>
    <row r="884" spans="1:9" x14ac:dyDescent="0.3">
      <c r="A884">
        <v>20180705</v>
      </c>
      <c r="B884">
        <v>84990</v>
      </c>
      <c r="C884" s="8">
        <v>215500</v>
      </c>
      <c r="D884" s="8">
        <v>209200</v>
      </c>
      <c r="E884">
        <v>205301</v>
      </c>
      <c r="F884" s="8">
        <v>15956260</v>
      </c>
      <c r="G884" s="1">
        <v>3338049592000</v>
      </c>
      <c r="H884" s="1">
        <v>2870722732800</v>
      </c>
      <c r="I884">
        <f t="shared" si="13"/>
        <v>0</v>
      </c>
    </row>
    <row r="885" spans="1:9" x14ac:dyDescent="0.3">
      <c r="A885">
        <v>20180706</v>
      </c>
      <c r="B885">
        <v>84990</v>
      </c>
      <c r="C885" s="8">
        <v>209200</v>
      </c>
      <c r="D885" s="8">
        <v>217100</v>
      </c>
      <c r="E885">
        <v>213054</v>
      </c>
      <c r="F885" s="8">
        <v>15956260</v>
      </c>
      <c r="G885" s="1">
        <v>3464104046000</v>
      </c>
      <c r="H885" s="1">
        <v>2979129566400</v>
      </c>
      <c r="I885">
        <f t="shared" si="13"/>
        <v>0</v>
      </c>
    </row>
    <row r="886" spans="1:9" x14ac:dyDescent="0.3">
      <c r="A886">
        <v>20180709</v>
      </c>
      <c r="B886">
        <v>84990</v>
      </c>
      <c r="C886" s="8">
        <v>217100</v>
      </c>
      <c r="D886" s="8">
        <v>228700</v>
      </c>
      <c r="E886">
        <v>224438</v>
      </c>
      <c r="F886" s="8">
        <v>15956260</v>
      </c>
      <c r="G886" s="1">
        <v>3649196662000</v>
      </c>
      <c r="H886" s="1">
        <v>3138309220800</v>
      </c>
      <c r="I886">
        <f t="shared" si="13"/>
        <v>0</v>
      </c>
    </row>
    <row r="887" spans="1:9" x14ac:dyDescent="0.3">
      <c r="A887">
        <v>20180710</v>
      </c>
      <c r="B887">
        <v>84990</v>
      </c>
      <c r="C887" s="8">
        <v>228700</v>
      </c>
      <c r="D887" s="8">
        <v>231000</v>
      </c>
      <c r="E887">
        <v>226695</v>
      </c>
      <c r="F887" s="8">
        <v>15956260</v>
      </c>
      <c r="G887" s="1">
        <v>3685896060000</v>
      </c>
      <c r="H887" s="1">
        <v>3169870704000</v>
      </c>
      <c r="I887">
        <f t="shared" si="13"/>
        <v>0</v>
      </c>
    </row>
    <row r="888" spans="1:9" x14ac:dyDescent="0.3">
      <c r="A888">
        <v>20180711</v>
      </c>
      <c r="B888">
        <v>84990</v>
      </c>
      <c r="C888" s="8">
        <v>231000</v>
      </c>
      <c r="D888" s="8">
        <v>227000</v>
      </c>
      <c r="E888">
        <v>222770</v>
      </c>
      <c r="F888" s="8">
        <v>15956260</v>
      </c>
      <c r="G888" s="1">
        <v>3622071020000</v>
      </c>
      <c r="H888" s="1">
        <v>3114981168000</v>
      </c>
      <c r="I888">
        <f t="shared" si="13"/>
        <v>0</v>
      </c>
    </row>
    <row r="889" spans="1:9" x14ac:dyDescent="0.3">
      <c r="A889">
        <v>20180712</v>
      </c>
      <c r="B889">
        <v>84990</v>
      </c>
      <c r="C889" s="8">
        <v>227000</v>
      </c>
      <c r="D889" s="8">
        <v>228200</v>
      </c>
      <c r="E889">
        <v>223947</v>
      </c>
      <c r="F889" s="8">
        <v>15956260</v>
      </c>
      <c r="G889" s="1">
        <v>3641218532000</v>
      </c>
      <c r="H889" s="1">
        <v>3131448028800</v>
      </c>
      <c r="I889">
        <f t="shared" si="13"/>
        <v>0</v>
      </c>
    </row>
    <row r="890" spans="1:9" x14ac:dyDescent="0.3">
      <c r="A890">
        <v>20180713</v>
      </c>
      <c r="B890">
        <v>84990</v>
      </c>
      <c r="C890" s="8">
        <v>228200</v>
      </c>
      <c r="D890" s="8">
        <v>235500</v>
      </c>
      <c r="E890">
        <v>231111</v>
      </c>
      <c r="F890" s="8">
        <v>15956260</v>
      </c>
      <c r="G890" s="1">
        <v>3757699230000</v>
      </c>
      <c r="H890" s="1">
        <v>3231621432000</v>
      </c>
      <c r="I890">
        <f t="shared" si="13"/>
        <v>0</v>
      </c>
    </row>
    <row r="891" spans="1:9" x14ac:dyDescent="0.3">
      <c r="A891">
        <v>20180716</v>
      </c>
      <c r="B891">
        <v>84990</v>
      </c>
      <c r="C891" s="8">
        <v>235500</v>
      </c>
      <c r="D891" s="8">
        <v>244900</v>
      </c>
      <c r="E891">
        <v>240336</v>
      </c>
      <c r="F891" s="8">
        <v>15956260</v>
      </c>
      <c r="G891" s="1">
        <v>3907688074000</v>
      </c>
      <c r="H891" s="1">
        <v>3360611841600</v>
      </c>
      <c r="I891">
        <f t="shared" si="13"/>
        <v>0</v>
      </c>
    </row>
    <row r="892" spans="1:9" x14ac:dyDescent="0.3">
      <c r="A892">
        <v>20180717</v>
      </c>
      <c r="B892">
        <v>84990</v>
      </c>
      <c r="C892" s="8">
        <v>244900</v>
      </c>
      <c r="D892" s="8">
        <v>235800</v>
      </c>
      <c r="E892">
        <v>231406</v>
      </c>
      <c r="F892" s="8">
        <v>15956260</v>
      </c>
      <c r="G892" s="1">
        <v>3762486108000</v>
      </c>
      <c r="H892" s="1">
        <v>3235738147200</v>
      </c>
      <c r="I892">
        <f t="shared" si="13"/>
        <v>0</v>
      </c>
    </row>
    <row r="893" spans="1:9" x14ac:dyDescent="0.3">
      <c r="A893">
        <v>20180718</v>
      </c>
      <c r="B893">
        <v>84990</v>
      </c>
      <c r="C893" s="8">
        <v>235800</v>
      </c>
      <c r="D893" s="8">
        <v>237700</v>
      </c>
      <c r="E893">
        <v>233270</v>
      </c>
      <c r="F893" s="8">
        <v>15956260</v>
      </c>
      <c r="G893" s="1">
        <v>3792803002000</v>
      </c>
      <c r="H893" s="1">
        <v>3261810676800</v>
      </c>
      <c r="I893">
        <f t="shared" si="13"/>
        <v>0</v>
      </c>
    </row>
    <row r="894" spans="1:9" x14ac:dyDescent="0.3">
      <c r="A894">
        <v>20180719</v>
      </c>
      <c r="B894">
        <v>84990</v>
      </c>
      <c r="C894" s="8">
        <v>237700</v>
      </c>
      <c r="D894" s="8">
        <v>231700</v>
      </c>
      <c r="E894">
        <v>227382</v>
      </c>
      <c r="F894" s="8">
        <v>15956260</v>
      </c>
      <c r="G894" s="1">
        <v>3697065442000</v>
      </c>
      <c r="H894" s="1">
        <v>3179476372800</v>
      </c>
      <c r="I894">
        <f t="shared" si="13"/>
        <v>0</v>
      </c>
    </row>
    <row r="895" spans="1:9" x14ac:dyDescent="0.3">
      <c r="A895">
        <v>20180720</v>
      </c>
      <c r="B895">
        <v>84990</v>
      </c>
      <c r="C895" s="8">
        <v>231700</v>
      </c>
      <c r="D895" s="8">
        <v>224400</v>
      </c>
      <c r="E895">
        <v>220218</v>
      </c>
      <c r="F895" s="8">
        <v>15956260</v>
      </c>
      <c r="G895" s="1">
        <v>3580584744000</v>
      </c>
      <c r="H895" s="1">
        <v>3079302969600</v>
      </c>
      <c r="I895">
        <f t="shared" si="13"/>
        <v>0</v>
      </c>
    </row>
    <row r="896" spans="1:9" x14ac:dyDescent="0.3">
      <c r="A896">
        <v>20180723</v>
      </c>
      <c r="B896">
        <v>84990</v>
      </c>
      <c r="C896" s="8">
        <v>224400</v>
      </c>
      <c r="D896" s="8">
        <v>209500</v>
      </c>
      <c r="E896">
        <v>205596</v>
      </c>
      <c r="F896" s="8">
        <v>15956260</v>
      </c>
      <c r="G896" s="1">
        <v>3342836470000</v>
      </c>
      <c r="H896" s="1">
        <v>2874839448000</v>
      </c>
      <c r="I896">
        <f t="shared" si="13"/>
        <v>0</v>
      </c>
    </row>
    <row r="897" spans="1:9" x14ac:dyDescent="0.3">
      <c r="A897">
        <v>20180724</v>
      </c>
      <c r="B897">
        <v>84990</v>
      </c>
      <c r="C897" s="8">
        <v>209500</v>
      </c>
      <c r="D897" s="8">
        <v>204300</v>
      </c>
      <c r="E897">
        <v>200493</v>
      </c>
      <c r="F897" s="8">
        <v>15956260</v>
      </c>
      <c r="G897" s="1">
        <v>3259863918000</v>
      </c>
      <c r="H897" s="1">
        <v>2803483051200</v>
      </c>
      <c r="I897">
        <f t="shared" si="13"/>
        <v>0</v>
      </c>
    </row>
    <row r="898" spans="1:9" x14ac:dyDescent="0.3">
      <c r="A898">
        <v>20180725</v>
      </c>
      <c r="B898">
        <v>84990</v>
      </c>
      <c r="C898" s="8">
        <v>204300</v>
      </c>
      <c r="D898" s="8">
        <v>193600</v>
      </c>
      <c r="E898">
        <v>189992</v>
      </c>
      <c r="F898" s="8">
        <v>15956260</v>
      </c>
      <c r="G898" s="1">
        <v>3089131936000</v>
      </c>
      <c r="H898" s="1">
        <v>2656653542400</v>
      </c>
      <c r="I898">
        <f t="shared" si="13"/>
        <v>0</v>
      </c>
    </row>
    <row r="899" spans="1:9" x14ac:dyDescent="0.3">
      <c r="A899">
        <v>20180726</v>
      </c>
      <c r="B899">
        <v>84990</v>
      </c>
      <c r="C899" s="8">
        <v>193600</v>
      </c>
      <c r="D899" s="8">
        <v>198400</v>
      </c>
      <c r="E899">
        <v>194703</v>
      </c>
      <c r="F899" s="8">
        <v>15956260</v>
      </c>
      <c r="G899" s="1">
        <v>3165721984000</v>
      </c>
      <c r="H899" s="1">
        <v>2722520985600</v>
      </c>
      <c r="I899">
        <f t="shared" ref="I899:I962" si="14">IF(C899*F899=D898*F898,0,1)</f>
        <v>0</v>
      </c>
    </row>
    <row r="900" spans="1:9" x14ac:dyDescent="0.3">
      <c r="A900">
        <v>20180727</v>
      </c>
      <c r="B900">
        <v>84990</v>
      </c>
      <c r="C900" s="8">
        <v>198400</v>
      </c>
      <c r="D900" s="8">
        <v>199500</v>
      </c>
      <c r="E900">
        <v>195782</v>
      </c>
      <c r="F900" s="8">
        <v>15956260</v>
      </c>
      <c r="G900" s="1">
        <v>3183273870000</v>
      </c>
      <c r="H900" s="1">
        <v>2737615608000</v>
      </c>
      <c r="I900">
        <f t="shared" si="14"/>
        <v>0</v>
      </c>
    </row>
    <row r="901" spans="1:9" x14ac:dyDescent="0.3">
      <c r="A901">
        <v>20180730</v>
      </c>
      <c r="B901">
        <v>84990</v>
      </c>
      <c r="C901" s="8">
        <v>199500</v>
      </c>
      <c r="D901" s="8">
        <v>192300</v>
      </c>
      <c r="E901">
        <v>188716</v>
      </c>
      <c r="F901" s="8">
        <v>15956260</v>
      </c>
      <c r="G901" s="1">
        <v>3068388798000</v>
      </c>
      <c r="H901" s="1">
        <v>2638814443200</v>
      </c>
      <c r="I901">
        <f t="shared" si="14"/>
        <v>0</v>
      </c>
    </row>
    <row r="902" spans="1:9" x14ac:dyDescent="0.3">
      <c r="A902">
        <v>20180731</v>
      </c>
      <c r="B902">
        <v>84990</v>
      </c>
      <c r="C902" s="8">
        <v>192300</v>
      </c>
      <c r="D902" s="8">
        <v>199600</v>
      </c>
      <c r="E902">
        <v>195880</v>
      </c>
      <c r="F902" s="8">
        <v>15956260</v>
      </c>
      <c r="G902" s="1">
        <v>3184869496000</v>
      </c>
      <c r="H902" s="1">
        <v>2738987846400</v>
      </c>
      <c r="I902">
        <f t="shared" si="14"/>
        <v>0</v>
      </c>
    </row>
    <row r="903" spans="1:9" x14ac:dyDescent="0.3">
      <c r="A903">
        <v>20180801</v>
      </c>
      <c r="B903">
        <v>84990</v>
      </c>
      <c r="C903" s="8">
        <v>199600</v>
      </c>
      <c r="D903" s="8">
        <v>207200</v>
      </c>
      <c r="E903">
        <v>203339</v>
      </c>
      <c r="F903" s="8">
        <v>15956260</v>
      </c>
      <c r="G903" s="1">
        <v>3306137072000</v>
      </c>
      <c r="H903" s="1">
        <v>2843277964800</v>
      </c>
      <c r="I903">
        <f t="shared" si="14"/>
        <v>0</v>
      </c>
    </row>
    <row r="904" spans="1:9" x14ac:dyDescent="0.3">
      <c r="A904">
        <v>20180802</v>
      </c>
      <c r="B904">
        <v>84990</v>
      </c>
      <c r="C904" s="8">
        <v>207200</v>
      </c>
      <c r="D904" s="8">
        <v>198300</v>
      </c>
      <c r="E904">
        <v>194604</v>
      </c>
      <c r="F904" s="8">
        <v>15956260</v>
      </c>
      <c r="G904" s="1">
        <v>3164126358000</v>
      </c>
      <c r="H904" s="1">
        <v>2721148747200</v>
      </c>
      <c r="I904">
        <f t="shared" si="14"/>
        <v>0</v>
      </c>
    </row>
    <row r="905" spans="1:9" x14ac:dyDescent="0.3">
      <c r="A905">
        <v>20180803</v>
      </c>
      <c r="B905">
        <v>84990</v>
      </c>
      <c r="C905" s="8">
        <v>198300</v>
      </c>
      <c r="D905" s="8">
        <v>207700</v>
      </c>
      <c r="E905">
        <v>203829</v>
      </c>
      <c r="F905" s="8">
        <v>15956260</v>
      </c>
      <c r="G905" s="1">
        <v>3314115202000</v>
      </c>
      <c r="H905" s="1">
        <v>2850139156800</v>
      </c>
      <c r="I905">
        <f t="shared" si="14"/>
        <v>0</v>
      </c>
    </row>
    <row r="906" spans="1:9" x14ac:dyDescent="0.3">
      <c r="A906">
        <v>20180806</v>
      </c>
      <c r="B906">
        <v>84990</v>
      </c>
      <c r="C906" s="8">
        <v>207700</v>
      </c>
      <c r="D906" s="8">
        <v>198700</v>
      </c>
      <c r="E906">
        <v>194997</v>
      </c>
      <c r="F906" s="8">
        <v>15956260</v>
      </c>
      <c r="G906" s="1">
        <v>3170508862000</v>
      </c>
      <c r="H906" s="1">
        <v>2726637700800</v>
      </c>
      <c r="I906">
        <f t="shared" si="14"/>
        <v>0</v>
      </c>
    </row>
    <row r="907" spans="1:9" x14ac:dyDescent="0.3">
      <c r="A907">
        <v>20180807</v>
      </c>
      <c r="B907">
        <v>84990</v>
      </c>
      <c r="C907" s="8">
        <v>198700</v>
      </c>
      <c r="D907" s="8">
        <v>205300</v>
      </c>
      <c r="E907">
        <v>201474</v>
      </c>
      <c r="F907" s="8">
        <v>15956260</v>
      </c>
      <c r="G907" s="1">
        <v>3275820178000</v>
      </c>
      <c r="H907" s="1">
        <v>2817205435200</v>
      </c>
      <c r="I907">
        <f t="shared" si="14"/>
        <v>0</v>
      </c>
    </row>
    <row r="908" spans="1:9" x14ac:dyDescent="0.3">
      <c r="A908">
        <v>20180808</v>
      </c>
      <c r="B908">
        <v>84990</v>
      </c>
      <c r="C908" s="8">
        <v>205300</v>
      </c>
      <c r="D908" s="8">
        <v>199000</v>
      </c>
      <c r="E908">
        <v>195291</v>
      </c>
      <c r="F908" s="8">
        <v>15956260</v>
      </c>
      <c r="G908" s="1">
        <v>3175295740000</v>
      </c>
      <c r="H908" s="1">
        <v>2730754416000</v>
      </c>
      <c r="I908">
        <f t="shared" si="14"/>
        <v>0</v>
      </c>
    </row>
    <row r="909" spans="1:9" x14ac:dyDescent="0.3">
      <c r="A909">
        <v>20180809</v>
      </c>
      <c r="B909">
        <v>84990</v>
      </c>
      <c r="C909" s="8">
        <v>199000</v>
      </c>
      <c r="D909" s="8">
        <v>203900</v>
      </c>
      <c r="E909">
        <v>200100</v>
      </c>
      <c r="F909" s="8">
        <v>15956260</v>
      </c>
      <c r="G909" s="1">
        <v>3253481414000</v>
      </c>
      <c r="H909" s="1">
        <v>2797994097600</v>
      </c>
      <c r="I909">
        <f t="shared" si="14"/>
        <v>0</v>
      </c>
    </row>
    <row r="910" spans="1:9" x14ac:dyDescent="0.3">
      <c r="A910">
        <v>20180810</v>
      </c>
      <c r="B910">
        <v>84990</v>
      </c>
      <c r="C910" s="8">
        <v>203900</v>
      </c>
      <c r="D910" s="8">
        <v>202500</v>
      </c>
      <c r="E910">
        <v>198726</v>
      </c>
      <c r="F910" s="8">
        <v>15956260</v>
      </c>
      <c r="G910" s="1">
        <v>3231142650000</v>
      </c>
      <c r="H910" s="1">
        <v>2778782760000</v>
      </c>
      <c r="I910">
        <f t="shared" si="14"/>
        <v>0</v>
      </c>
    </row>
    <row r="911" spans="1:9" x14ac:dyDescent="0.3">
      <c r="A911">
        <v>20180813</v>
      </c>
      <c r="B911">
        <v>84990</v>
      </c>
      <c r="C911" s="8">
        <v>202500</v>
      </c>
      <c r="D911" s="8">
        <v>196400</v>
      </c>
      <c r="E911">
        <v>192740</v>
      </c>
      <c r="F911" s="8">
        <v>15956260</v>
      </c>
      <c r="G911" s="1">
        <v>3133809464000</v>
      </c>
      <c r="H911" s="1">
        <v>2695076217600</v>
      </c>
      <c r="I911">
        <f t="shared" si="14"/>
        <v>0</v>
      </c>
    </row>
    <row r="912" spans="1:9" x14ac:dyDescent="0.3">
      <c r="A912">
        <v>20180814</v>
      </c>
      <c r="B912">
        <v>84990</v>
      </c>
      <c r="C912" s="8">
        <v>196400</v>
      </c>
      <c r="D912" s="8">
        <v>197900</v>
      </c>
      <c r="E912">
        <v>194212</v>
      </c>
      <c r="F912" s="8">
        <v>15956260</v>
      </c>
      <c r="G912" s="1">
        <v>3157743854000</v>
      </c>
      <c r="H912" s="1">
        <v>2715659793600</v>
      </c>
      <c r="I912">
        <f t="shared" si="14"/>
        <v>0</v>
      </c>
    </row>
    <row r="913" spans="1:9" x14ac:dyDescent="0.3">
      <c r="A913">
        <v>20180816</v>
      </c>
      <c r="B913">
        <v>84990</v>
      </c>
      <c r="C913" s="8">
        <v>197900</v>
      </c>
      <c r="D913" s="8">
        <v>193700</v>
      </c>
      <c r="E913">
        <v>190090</v>
      </c>
      <c r="F913" s="8">
        <v>15956260</v>
      </c>
      <c r="G913" s="1">
        <v>3090727562000</v>
      </c>
      <c r="H913" s="1">
        <v>2658025780800</v>
      </c>
      <c r="I913">
        <f t="shared" si="14"/>
        <v>0</v>
      </c>
    </row>
    <row r="914" spans="1:9" x14ac:dyDescent="0.3">
      <c r="A914">
        <v>20180817</v>
      </c>
      <c r="B914">
        <v>84990</v>
      </c>
      <c r="C914" s="8">
        <v>193700</v>
      </c>
      <c r="D914" s="8">
        <v>201400</v>
      </c>
      <c r="E914">
        <v>197647</v>
      </c>
      <c r="F914" s="8">
        <v>15956260</v>
      </c>
      <c r="G914" s="1">
        <v>3213590764000</v>
      </c>
      <c r="H914" s="1">
        <v>2763688137600</v>
      </c>
      <c r="I914">
        <f t="shared" si="14"/>
        <v>0</v>
      </c>
    </row>
    <row r="915" spans="1:9" x14ac:dyDescent="0.3">
      <c r="A915">
        <v>20180820</v>
      </c>
      <c r="B915">
        <v>84990</v>
      </c>
      <c r="C915" s="8">
        <v>201400</v>
      </c>
      <c r="D915" s="8">
        <v>201000</v>
      </c>
      <c r="E915">
        <v>197254</v>
      </c>
      <c r="F915" s="8">
        <v>15956260</v>
      </c>
      <c r="G915" s="1">
        <v>3207208260000</v>
      </c>
      <c r="H915" s="1">
        <v>2758199184000</v>
      </c>
      <c r="I915">
        <f t="shared" si="14"/>
        <v>0</v>
      </c>
    </row>
    <row r="916" spans="1:9" x14ac:dyDescent="0.3">
      <c r="A916">
        <v>20180821</v>
      </c>
      <c r="B916">
        <v>84990</v>
      </c>
      <c r="C916" s="8">
        <v>201000</v>
      </c>
      <c r="D916" s="8">
        <v>217200</v>
      </c>
      <c r="E916">
        <v>213152</v>
      </c>
      <c r="F916" s="8">
        <v>15956260</v>
      </c>
      <c r="G916" s="1">
        <v>3465699672000</v>
      </c>
      <c r="H916" s="1">
        <v>2980501804800</v>
      </c>
      <c r="I916">
        <f t="shared" si="14"/>
        <v>0</v>
      </c>
    </row>
    <row r="917" spans="1:9" x14ac:dyDescent="0.3">
      <c r="A917">
        <v>20180822</v>
      </c>
      <c r="B917">
        <v>84990</v>
      </c>
      <c r="C917" s="8">
        <v>217200</v>
      </c>
      <c r="D917" s="8">
        <v>217100</v>
      </c>
      <c r="E917">
        <v>213054</v>
      </c>
      <c r="F917" s="8">
        <v>15956260</v>
      </c>
      <c r="G917" s="1">
        <v>3464104046000</v>
      </c>
      <c r="H917" s="1">
        <v>2979129566400</v>
      </c>
      <c r="I917">
        <f t="shared" si="14"/>
        <v>0</v>
      </c>
    </row>
    <row r="918" spans="1:9" x14ac:dyDescent="0.3">
      <c r="A918">
        <v>20180823</v>
      </c>
      <c r="B918">
        <v>84990</v>
      </c>
      <c r="C918" s="8">
        <v>217100</v>
      </c>
      <c r="D918" s="8">
        <v>217500</v>
      </c>
      <c r="E918">
        <v>213447</v>
      </c>
      <c r="F918" s="8">
        <v>15956260</v>
      </c>
      <c r="G918" s="1">
        <v>3470486550000</v>
      </c>
      <c r="H918" s="1">
        <v>2984618520000</v>
      </c>
      <c r="I918">
        <f t="shared" si="14"/>
        <v>0</v>
      </c>
    </row>
    <row r="919" spans="1:9" x14ac:dyDescent="0.3">
      <c r="A919">
        <v>20180824</v>
      </c>
      <c r="B919">
        <v>84990</v>
      </c>
      <c r="C919" s="8">
        <v>217500</v>
      </c>
      <c r="D919" s="8">
        <v>221100</v>
      </c>
      <c r="E919">
        <v>216980</v>
      </c>
      <c r="F919" s="8">
        <v>15956260</v>
      </c>
      <c r="G919" s="1">
        <v>3527929086000</v>
      </c>
      <c r="H919" s="1">
        <v>3034019102400</v>
      </c>
      <c r="I919">
        <f t="shared" si="14"/>
        <v>0</v>
      </c>
    </row>
    <row r="920" spans="1:9" x14ac:dyDescent="0.3">
      <c r="A920">
        <v>20180827</v>
      </c>
      <c r="B920">
        <v>84990</v>
      </c>
      <c r="C920" s="8">
        <v>221100</v>
      </c>
      <c r="D920" s="8">
        <v>220800</v>
      </c>
      <c r="E920">
        <v>216685</v>
      </c>
      <c r="F920" s="8">
        <v>15956260</v>
      </c>
      <c r="G920" s="1">
        <v>3523142208000</v>
      </c>
      <c r="H920" s="1">
        <v>3029902387200</v>
      </c>
      <c r="I920">
        <f t="shared" si="14"/>
        <v>0</v>
      </c>
    </row>
    <row r="921" spans="1:9" x14ac:dyDescent="0.3">
      <c r="A921">
        <v>20180828</v>
      </c>
      <c r="B921">
        <v>84990</v>
      </c>
      <c r="C921" s="8">
        <v>220800</v>
      </c>
      <c r="D921" s="8">
        <v>221000</v>
      </c>
      <c r="E921">
        <v>216881</v>
      </c>
      <c r="F921" s="8">
        <v>15956260</v>
      </c>
      <c r="G921" s="1">
        <v>3526333460000</v>
      </c>
      <c r="H921" s="1">
        <v>3032646864000</v>
      </c>
      <c r="I921">
        <f t="shared" si="14"/>
        <v>0</v>
      </c>
    </row>
    <row r="922" spans="1:9" x14ac:dyDescent="0.3">
      <c r="A922">
        <v>20180829</v>
      </c>
      <c r="B922">
        <v>84990</v>
      </c>
      <c r="C922" s="8">
        <v>221000</v>
      </c>
      <c r="D922" s="8">
        <v>223500</v>
      </c>
      <c r="E922">
        <v>219335</v>
      </c>
      <c r="F922" s="8">
        <v>15956260</v>
      </c>
      <c r="G922" s="1">
        <v>3566224110000</v>
      </c>
      <c r="H922" s="1">
        <v>3066952824000</v>
      </c>
      <c r="I922">
        <f t="shared" si="14"/>
        <v>0</v>
      </c>
    </row>
    <row r="923" spans="1:9" x14ac:dyDescent="0.3">
      <c r="A923">
        <v>20180830</v>
      </c>
      <c r="B923">
        <v>84990</v>
      </c>
      <c r="C923" s="8">
        <v>223500</v>
      </c>
      <c r="D923" s="8">
        <v>224800</v>
      </c>
      <c r="E923">
        <v>220611</v>
      </c>
      <c r="F923" s="8">
        <v>15956260</v>
      </c>
      <c r="G923" s="1">
        <v>3586967248000</v>
      </c>
      <c r="H923" s="1">
        <v>3084791923200</v>
      </c>
      <c r="I923">
        <f t="shared" si="14"/>
        <v>0</v>
      </c>
    </row>
    <row r="924" spans="1:9" x14ac:dyDescent="0.3">
      <c r="A924">
        <v>20180831</v>
      </c>
      <c r="B924">
        <v>84990</v>
      </c>
      <c r="C924" s="8">
        <v>224800</v>
      </c>
      <c r="D924" s="8">
        <v>237100</v>
      </c>
      <c r="E924">
        <v>232681</v>
      </c>
      <c r="F924" s="8">
        <v>15956260</v>
      </c>
      <c r="G924" s="1">
        <v>3783229246000</v>
      </c>
      <c r="H924" s="1">
        <v>3253577246400</v>
      </c>
      <c r="I924">
        <f t="shared" si="14"/>
        <v>0</v>
      </c>
    </row>
    <row r="925" spans="1:9" x14ac:dyDescent="0.3">
      <c r="A925">
        <v>20180903</v>
      </c>
      <c r="B925">
        <v>84990</v>
      </c>
      <c r="C925" s="8">
        <v>237100</v>
      </c>
      <c r="D925" s="8">
        <v>235000</v>
      </c>
      <c r="E925">
        <v>230621</v>
      </c>
      <c r="F925" s="8">
        <v>15956260</v>
      </c>
      <c r="G925" s="1">
        <v>3749721100000</v>
      </c>
      <c r="H925" s="1">
        <v>3224760240000</v>
      </c>
      <c r="I925">
        <f t="shared" si="14"/>
        <v>0</v>
      </c>
    </row>
    <row r="926" spans="1:9" x14ac:dyDescent="0.3">
      <c r="A926">
        <v>20180904</v>
      </c>
      <c r="B926">
        <v>84990</v>
      </c>
      <c r="C926" s="8">
        <v>235000</v>
      </c>
      <c r="D926" s="8">
        <v>238000</v>
      </c>
      <c r="E926">
        <v>233565</v>
      </c>
      <c r="F926" s="8">
        <v>15956260</v>
      </c>
      <c r="G926" s="1">
        <v>3797589880000</v>
      </c>
      <c r="H926" s="1">
        <v>3265927392000</v>
      </c>
      <c r="I926">
        <f t="shared" si="14"/>
        <v>0</v>
      </c>
    </row>
    <row r="927" spans="1:9" x14ac:dyDescent="0.3">
      <c r="A927">
        <v>20180905</v>
      </c>
      <c r="B927">
        <v>84990</v>
      </c>
      <c r="C927" s="8">
        <v>238000</v>
      </c>
      <c r="D927" s="8">
        <v>234400</v>
      </c>
      <c r="E927">
        <v>230032</v>
      </c>
      <c r="F927" s="8">
        <v>15956260</v>
      </c>
      <c r="G927" s="1">
        <v>3740147344000</v>
      </c>
      <c r="H927" s="1">
        <v>3216526809600</v>
      </c>
      <c r="I927">
        <f t="shared" si="14"/>
        <v>0</v>
      </c>
    </row>
    <row r="928" spans="1:9" x14ac:dyDescent="0.3">
      <c r="A928">
        <v>20180906</v>
      </c>
      <c r="B928">
        <v>84990</v>
      </c>
      <c r="C928" s="8">
        <v>234400</v>
      </c>
      <c r="D928" s="8">
        <v>224500</v>
      </c>
      <c r="E928">
        <v>220316</v>
      </c>
      <c r="F928" s="8">
        <v>15956260</v>
      </c>
      <c r="G928" s="1">
        <v>3582180370000</v>
      </c>
      <c r="H928" s="1">
        <v>3080675208000</v>
      </c>
      <c r="I928">
        <f t="shared" si="14"/>
        <v>0</v>
      </c>
    </row>
    <row r="929" spans="1:9" x14ac:dyDescent="0.3">
      <c r="A929">
        <v>20180907</v>
      </c>
      <c r="B929">
        <v>84990</v>
      </c>
      <c r="C929" s="8">
        <v>224500</v>
      </c>
      <c r="D929" s="8">
        <v>225000</v>
      </c>
      <c r="E929">
        <v>220807</v>
      </c>
      <c r="F929" s="8">
        <v>15956260</v>
      </c>
      <c r="G929" s="1">
        <v>3590158500000</v>
      </c>
      <c r="H929" s="1">
        <v>3087536400000</v>
      </c>
      <c r="I929">
        <f t="shared" si="14"/>
        <v>0</v>
      </c>
    </row>
    <row r="930" spans="1:9" x14ac:dyDescent="0.3">
      <c r="A930">
        <v>20180910</v>
      </c>
      <c r="B930">
        <v>84990</v>
      </c>
      <c r="C930" s="8">
        <v>225000</v>
      </c>
      <c r="D930" s="8">
        <v>221800</v>
      </c>
      <c r="E930">
        <v>217667</v>
      </c>
      <c r="F930" s="8">
        <v>15956260</v>
      </c>
      <c r="G930" s="1">
        <v>3539098468000</v>
      </c>
      <c r="H930" s="1">
        <v>3043624771200</v>
      </c>
      <c r="I930">
        <f t="shared" si="14"/>
        <v>0</v>
      </c>
    </row>
    <row r="931" spans="1:9" x14ac:dyDescent="0.3">
      <c r="A931">
        <v>20180911</v>
      </c>
      <c r="B931">
        <v>84990</v>
      </c>
      <c r="C931" s="8">
        <v>221800</v>
      </c>
      <c r="D931" s="8">
        <v>222800</v>
      </c>
      <c r="E931">
        <v>218648</v>
      </c>
      <c r="F931" s="8">
        <v>15956260</v>
      </c>
      <c r="G931" s="1">
        <v>3555054728000</v>
      </c>
      <c r="H931" s="1">
        <v>3057347155200</v>
      </c>
      <c r="I931">
        <f t="shared" si="14"/>
        <v>0</v>
      </c>
    </row>
    <row r="932" spans="1:9" x14ac:dyDescent="0.3">
      <c r="A932">
        <v>20180912</v>
      </c>
      <c r="B932">
        <v>84990</v>
      </c>
      <c r="C932" s="8">
        <v>222800</v>
      </c>
      <c r="D932" s="8">
        <v>230100</v>
      </c>
      <c r="E932">
        <v>225812</v>
      </c>
      <c r="F932" s="8">
        <v>15956260</v>
      </c>
      <c r="G932" s="1">
        <v>3671535426000</v>
      </c>
      <c r="H932" s="1">
        <v>3157520558400</v>
      </c>
      <c r="I932">
        <f t="shared" si="14"/>
        <v>0</v>
      </c>
    </row>
    <row r="933" spans="1:9" x14ac:dyDescent="0.3">
      <c r="A933">
        <v>20180913</v>
      </c>
      <c r="B933">
        <v>84990</v>
      </c>
      <c r="C933" s="8">
        <v>230100</v>
      </c>
      <c r="D933" s="8">
        <v>232300</v>
      </c>
      <c r="E933">
        <v>227971</v>
      </c>
      <c r="F933" s="8">
        <v>15956260</v>
      </c>
      <c r="G933" s="1">
        <v>3706639198000</v>
      </c>
      <c r="H933" s="1">
        <v>3187709803200</v>
      </c>
      <c r="I933">
        <f t="shared" si="14"/>
        <v>0</v>
      </c>
    </row>
    <row r="934" spans="1:9" x14ac:dyDescent="0.3">
      <c r="A934">
        <v>20180914</v>
      </c>
      <c r="B934">
        <v>84990</v>
      </c>
      <c r="C934" s="8">
        <v>232300</v>
      </c>
      <c r="D934" s="8">
        <v>240300</v>
      </c>
      <c r="E934">
        <v>235822</v>
      </c>
      <c r="F934" s="8">
        <v>15956260</v>
      </c>
      <c r="G934" s="1">
        <v>3834289278000</v>
      </c>
      <c r="H934" s="1">
        <v>3297488875200</v>
      </c>
      <c r="I934">
        <f t="shared" si="14"/>
        <v>0</v>
      </c>
    </row>
    <row r="935" spans="1:9" x14ac:dyDescent="0.3">
      <c r="A935">
        <v>20180917</v>
      </c>
      <c r="B935">
        <v>84990</v>
      </c>
      <c r="C935" s="8">
        <v>240300</v>
      </c>
      <c r="D935" s="8">
        <v>241300</v>
      </c>
      <c r="E935">
        <v>236803</v>
      </c>
      <c r="F935" s="8">
        <v>15956260</v>
      </c>
      <c r="G935" s="1">
        <v>3850245538000</v>
      </c>
      <c r="H935" s="1">
        <v>3311211259200</v>
      </c>
      <c r="I935">
        <f t="shared" si="14"/>
        <v>0</v>
      </c>
    </row>
    <row r="936" spans="1:9" x14ac:dyDescent="0.3">
      <c r="A936">
        <v>20180918</v>
      </c>
      <c r="B936">
        <v>84990</v>
      </c>
      <c r="C936" s="8">
        <v>241300</v>
      </c>
      <c r="D936" s="8">
        <v>243000</v>
      </c>
      <c r="E936">
        <v>238472</v>
      </c>
      <c r="F936" s="8">
        <v>15956260</v>
      </c>
      <c r="G936" s="1">
        <v>3877371180000</v>
      </c>
      <c r="H936" s="1">
        <v>3334539312000</v>
      </c>
      <c r="I936">
        <f t="shared" si="14"/>
        <v>0</v>
      </c>
    </row>
    <row r="937" spans="1:9" x14ac:dyDescent="0.3">
      <c r="A937">
        <v>20180919</v>
      </c>
      <c r="B937">
        <v>84990</v>
      </c>
      <c r="C937" s="8">
        <v>243000</v>
      </c>
      <c r="D937" s="8">
        <v>243000</v>
      </c>
      <c r="E937">
        <v>238472</v>
      </c>
      <c r="F937" s="8">
        <v>15956260</v>
      </c>
      <c r="G937" s="1">
        <v>3877371180000</v>
      </c>
      <c r="H937" s="1">
        <v>3334539312000</v>
      </c>
      <c r="I937">
        <f t="shared" si="14"/>
        <v>0</v>
      </c>
    </row>
    <row r="938" spans="1:9" x14ac:dyDescent="0.3">
      <c r="A938">
        <v>20180920</v>
      </c>
      <c r="B938">
        <v>84990</v>
      </c>
      <c r="C938" s="8">
        <v>243000</v>
      </c>
      <c r="D938" s="8">
        <v>246100</v>
      </c>
      <c r="E938">
        <v>241514</v>
      </c>
      <c r="F938" s="8">
        <v>15956260</v>
      </c>
      <c r="G938" s="1">
        <v>3926835586000</v>
      </c>
      <c r="H938" s="1">
        <v>3377078702400</v>
      </c>
      <c r="I938">
        <f t="shared" si="14"/>
        <v>0</v>
      </c>
    </row>
    <row r="939" spans="1:9" x14ac:dyDescent="0.3">
      <c r="A939">
        <v>20180921</v>
      </c>
      <c r="B939">
        <v>84990</v>
      </c>
      <c r="C939" s="8">
        <v>246100</v>
      </c>
      <c r="D939" s="8">
        <v>245000</v>
      </c>
      <c r="E939">
        <v>240434</v>
      </c>
      <c r="F939" s="8">
        <v>15956260</v>
      </c>
      <c r="G939" s="1">
        <v>3909283700000</v>
      </c>
      <c r="H939" s="1">
        <v>3361984080000</v>
      </c>
      <c r="I939">
        <f t="shared" si="14"/>
        <v>0</v>
      </c>
    </row>
    <row r="940" spans="1:9" x14ac:dyDescent="0.3">
      <c r="A940">
        <v>20180927</v>
      </c>
      <c r="B940">
        <v>84990</v>
      </c>
      <c r="C940" s="8">
        <v>245000</v>
      </c>
      <c r="D940" s="8">
        <v>248600</v>
      </c>
      <c r="E940">
        <v>243967</v>
      </c>
      <c r="F940" s="8">
        <v>15956260</v>
      </c>
      <c r="G940" s="1">
        <v>3966726236000</v>
      </c>
      <c r="H940" s="1">
        <v>3411384662400</v>
      </c>
      <c r="I940">
        <f t="shared" si="14"/>
        <v>0</v>
      </c>
    </row>
    <row r="941" spans="1:9" x14ac:dyDescent="0.3">
      <c r="A941">
        <v>20180928</v>
      </c>
      <c r="B941">
        <v>84990</v>
      </c>
      <c r="C941" s="8">
        <v>248600</v>
      </c>
      <c r="D941" s="8">
        <v>240800</v>
      </c>
      <c r="E941">
        <v>236313</v>
      </c>
      <c r="F941" s="8">
        <v>15956260</v>
      </c>
      <c r="G941" s="1">
        <v>3842267408000</v>
      </c>
      <c r="H941" s="1">
        <v>3304350067200</v>
      </c>
      <c r="I941">
        <f t="shared" si="14"/>
        <v>0</v>
      </c>
    </row>
    <row r="942" spans="1:9" x14ac:dyDescent="0.3">
      <c r="A942">
        <v>20181001</v>
      </c>
      <c r="B942">
        <v>84990</v>
      </c>
      <c r="C942" s="8">
        <v>240800</v>
      </c>
      <c r="D942" s="8">
        <v>242000</v>
      </c>
      <c r="E942">
        <v>237490</v>
      </c>
      <c r="F942" s="8">
        <v>15956260</v>
      </c>
      <c r="G942" s="1">
        <v>3861414920000</v>
      </c>
      <c r="H942" s="1">
        <v>3320816928000</v>
      </c>
      <c r="I942">
        <f t="shared" si="14"/>
        <v>0</v>
      </c>
    </row>
    <row r="943" spans="1:9" x14ac:dyDescent="0.3">
      <c r="A943">
        <v>20181002</v>
      </c>
      <c r="B943">
        <v>84990</v>
      </c>
      <c r="C943" s="8">
        <v>242000</v>
      </c>
      <c r="D943" s="8">
        <v>235000</v>
      </c>
      <c r="E943">
        <v>230621</v>
      </c>
      <c r="F943" s="8">
        <v>15956260</v>
      </c>
      <c r="G943" s="1">
        <v>3749721100000</v>
      </c>
      <c r="H943" s="1">
        <v>3224760240000</v>
      </c>
      <c r="I943">
        <f t="shared" si="14"/>
        <v>0</v>
      </c>
    </row>
    <row r="944" spans="1:9" x14ac:dyDescent="0.3">
      <c r="A944">
        <v>20181004</v>
      </c>
      <c r="B944">
        <v>84990</v>
      </c>
      <c r="C944" s="8">
        <v>235000</v>
      </c>
      <c r="D944" s="8">
        <v>231700</v>
      </c>
      <c r="E944">
        <v>227382</v>
      </c>
      <c r="F944" s="8">
        <v>15956260</v>
      </c>
      <c r="G944" s="1">
        <v>3697065442000</v>
      </c>
      <c r="H944" s="1">
        <v>3179476372800</v>
      </c>
      <c r="I944">
        <f t="shared" si="14"/>
        <v>0</v>
      </c>
    </row>
    <row r="945" spans="1:9" x14ac:dyDescent="0.3">
      <c r="A945">
        <v>20181005</v>
      </c>
      <c r="B945">
        <v>84990</v>
      </c>
      <c r="C945" s="8">
        <v>231700</v>
      </c>
      <c r="D945" s="8">
        <v>220800</v>
      </c>
      <c r="E945">
        <v>216685</v>
      </c>
      <c r="F945" s="8">
        <v>15956260</v>
      </c>
      <c r="G945" s="1">
        <v>3523142208000</v>
      </c>
      <c r="H945" s="1">
        <v>3029902387200</v>
      </c>
      <c r="I945">
        <f t="shared" si="14"/>
        <v>0</v>
      </c>
    </row>
    <row r="946" spans="1:9" x14ac:dyDescent="0.3">
      <c r="A946">
        <v>20181008</v>
      </c>
      <c r="B946">
        <v>84990</v>
      </c>
      <c r="C946" s="8">
        <v>220800</v>
      </c>
      <c r="D946" s="8">
        <v>217500</v>
      </c>
      <c r="E946">
        <v>213447</v>
      </c>
      <c r="F946" s="8">
        <v>15956260</v>
      </c>
      <c r="G946" s="1">
        <v>3470486550000</v>
      </c>
      <c r="H946" s="1">
        <v>2984618520000</v>
      </c>
      <c r="I946">
        <f t="shared" si="14"/>
        <v>0</v>
      </c>
    </row>
    <row r="947" spans="1:9" x14ac:dyDescent="0.3">
      <c r="A947">
        <v>20181010</v>
      </c>
      <c r="B947">
        <v>84990</v>
      </c>
      <c r="C947" s="8">
        <v>217500</v>
      </c>
      <c r="D947" s="8">
        <v>219500</v>
      </c>
      <c r="E947">
        <v>215409</v>
      </c>
      <c r="F947" s="8">
        <v>15956260</v>
      </c>
      <c r="G947" s="1">
        <v>3502399070000</v>
      </c>
      <c r="H947" s="1">
        <v>3012063288000</v>
      </c>
      <c r="I947">
        <f t="shared" si="14"/>
        <v>0</v>
      </c>
    </row>
    <row r="948" spans="1:9" x14ac:dyDescent="0.3">
      <c r="A948">
        <v>20181011</v>
      </c>
      <c r="B948">
        <v>84990</v>
      </c>
      <c r="C948" s="8">
        <v>219500</v>
      </c>
      <c r="D948" s="8">
        <v>211100</v>
      </c>
      <c r="E948">
        <v>207166</v>
      </c>
      <c r="F948" s="8">
        <v>15956260</v>
      </c>
      <c r="G948" s="1">
        <v>3368366486000</v>
      </c>
      <c r="H948" s="1">
        <v>2896795262400</v>
      </c>
      <c r="I948">
        <f t="shared" si="14"/>
        <v>0</v>
      </c>
    </row>
    <row r="949" spans="1:9" x14ac:dyDescent="0.3">
      <c r="A949">
        <v>20181012</v>
      </c>
      <c r="B949">
        <v>84990</v>
      </c>
      <c r="C949" s="8">
        <v>211100</v>
      </c>
      <c r="D949" s="8">
        <v>222200</v>
      </c>
      <c r="E949">
        <v>218059</v>
      </c>
      <c r="F949" s="8">
        <v>15956260</v>
      </c>
      <c r="G949" s="1">
        <v>3545480972000</v>
      </c>
      <c r="H949" s="1">
        <v>3049113724800</v>
      </c>
      <c r="I949">
        <f t="shared" si="14"/>
        <v>0</v>
      </c>
    </row>
    <row r="950" spans="1:9" x14ac:dyDescent="0.3">
      <c r="A950">
        <v>20181015</v>
      </c>
      <c r="B950">
        <v>84990</v>
      </c>
      <c r="C950" s="8">
        <v>222200</v>
      </c>
      <c r="D950" s="8">
        <v>210000</v>
      </c>
      <c r="E950">
        <v>206086</v>
      </c>
      <c r="F950" s="8">
        <v>15956260</v>
      </c>
      <c r="G950" s="1">
        <v>3350814600000</v>
      </c>
      <c r="H950" s="1">
        <v>2881700640000</v>
      </c>
      <c r="I950">
        <f t="shared" si="14"/>
        <v>0</v>
      </c>
    </row>
    <row r="951" spans="1:9" x14ac:dyDescent="0.3">
      <c r="A951">
        <v>20181016</v>
      </c>
      <c r="B951">
        <v>84990</v>
      </c>
      <c r="C951" s="8">
        <v>210000</v>
      </c>
      <c r="D951" s="8">
        <v>216000</v>
      </c>
      <c r="E951">
        <v>211975</v>
      </c>
      <c r="F951" s="8">
        <v>15956260</v>
      </c>
      <c r="G951" s="1">
        <v>3446552160000</v>
      </c>
      <c r="H951" s="1">
        <v>2964034944000</v>
      </c>
      <c r="I951">
        <f t="shared" si="14"/>
        <v>0</v>
      </c>
    </row>
    <row r="952" spans="1:9" x14ac:dyDescent="0.3">
      <c r="A952">
        <v>20181017</v>
      </c>
      <c r="B952">
        <v>84990</v>
      </c>
      <c r="C952" s="8">
        <v>216000</v>
      </c>
      <c r="D952" s="8">
        <v>217500</v>
      </c>
      <c r="E952">
        <v>213447</v>
      </c>
      <c r="F952" s="8">
        <v>15956260</v>
      </c>
      <c r="G952" s="1">
        <v>3470486550000</v>
      </c>
      <c r="H952" s="1">
        <v>2984618520000</v>
      </c>
      <c r="I952">
        <f t="shared" si="14"/>
        <v>0</v>
      </c>
    </row>
    <row r="953" spans="1:9" x14ac:dyDescent="0.3">
      <c r="A953">
        <v>20181018</v>
      </c>
      <c r="B953">
        <v>84990</v>
      </c>
      <c r="C953" s="8">
        <v>217500</v>
      </c>
      <c r="D953" s="8">
        <v>213700</v>
      </c>
      <c r="E953">
        <v>209718</v>
      </c>
      <c r="F953" s="8">
        <v>15956260</v>
      </c>
      <c r="G953" s="1">
        <v>3409852762000</v>
      </c>
      <c r="H953" s="1">
        <v>2932473460800</v>
      </c>
      <c r="I953">
        <f t="shared" si="14"/>
        <v>0</v>
      </c>
    </row>
    <row r="954" spans="1:9" x14ac:dyDescent="0.3">
      <c r="A954">
        <v>20181019</v>
      </c>
      <c r="B954">
        <v>84990</v>
      </c>
      <c r="C954" s="8">
        <v>213700</v>
      </c>
      <c r="D954" s="8">
        <v>224200</v>
      </c>
      <c r="E954">
        <v>220022</v>
      </c>
      <c r="F954" s="8">
        <v>15956260</v>
      </c>
      <c r="G954" s="1">
        <v>3577393492000</v>
      </c>
      <c r="H954" s="1">
        <v>3076558492800</v>
      </c>
      <c r="I954">
        <f t="shared" si="14"/>
        <v>0</v>
      </c>
    </row>
    <row r="955" spans="1:9" x14ac:dyDescent="0.3">
      <c r="A955">
        <v>20181022</v>
      </c>
      <c r="B955">
        <v>84990</v>
      </c>
      <c r="C955" s="8">
        <v>224200</v>
      </c>
      <c r="D955" s="8">
        <v>224500</v>
      </c>
      <c r="E955">
        <v>220316</v>
      </c>
      <c r="F955" s="8">
        <v>15956260</v>
      </c>
      <c r="G955" s="1">
        <v>3582180370000</v>
      </c>
      <c r="H955" s="1">
        <v>3080675208000</v>
      </c>
      <c r="I955">
        <f t="shared" si="14"/>
        <v>0</v>
      </c>
    </row>
    <row r="956" spans="1:9" x14ac:dyDescent="0.3">
      <c r="A956">
        <v>20181023</v>
      </c>
      <c r="B956">
        <v>84990</v>
      </c>
      <c r="C956" s="8">
        <v>224500</v>
      </c>
      <c r="D956" s="8">
        <v>215900</v>
      </c>
      <c r="E956">
        <v>211877</v>
      </c>
      <c r="F956" s="8">
        <v>15956260</v>
      </c>
      <c r="G956" s="1">
        <v>3444956534000</v>
      </c>
      <c r="H956" s="1">
        <v>2962662705600</v>
      </c>
      <c r="I956">
        <f t="shared" si="14"/>
        <v>0</v>
      </c>
    </row>
    <row r="957" spans="1:9" x14ac:dyDescent="0.3">
      <c r="A957">
        <v>20181024</v>
      </c>
      <c r="B957">
        <v>84990</v>
      </c>
      <c r="C957" s="8">
        <v>215900</v>
      </c>
      <c r="D957" s="8">
        <v>216700</v>
      </c>
      <c r="E957">
        <v>212662</v>
      </c>
      <c r="F957" s="8">
        <v>15956260</v>
      </c>
      <c r="G957" s="1">
        <v>3457721542000</v>
      </c>
      <c r="H957" s="1">
        <v>2973640612800</v>
      </c>
      <c r="I957">
        <f t="shared" si="14"/>
        <v>0</v>
      </c>
    </row>
    <row r="958" spans="1:9" x14ac:dyDescent="0.3">
      <c r="A958">
        <v>20181025</v>
      </c>
      <c r="B958">
        <v>84990</v>
      </c>
      <c r="C958" s="8">
        <v>216700</v>
      </c>
      <c r="D958" s="8">
        <v>203000</v>
      </c>
      <c r="E958">
        <v>199217</v>
      </c>
      <c r="F958" s="8">
        <v>15956260</v>
      </c>
      <c r="G958" s="1">
        <v>3239120780000</v>
      </c>
      <c r="H958" s="1">
        <v>2785643952000</v>
      </c>
      <c r="I958">
        <f t="shared" si="14"/>
        <v>0</v>
      </c>
    </row>
    <row r="959" spans="1:9" x14ac:dyDescent="0.3">
      <c r="A959">
        <v>20181026</v>
      </c>
      <c r="B959">
        <v>84990</v>
      </c>
      <c r="C959" s="8">
        <v>203000</v>
      </c>
      <c r="D959" s="8">
        <v>194900</v>
      </c>
      <c r="E959">
        <v>191268</v>
      </c>
      <c r="F959" s="8">
        <v>15956260</v>
      </c>
      <c r="G959" s="1">
        <v>3109875074000</v>
      </c>
      <c r="H959" s="1">
        <v>2674492641600</v>
      </c>
      <c r="I959">
        <f t="shared" si="14"/>
        <v>0</v>
      </c>
    </row>
    <row r="960" spans="1:9" x14ac:dyDescent="0.3">
      <c r="A960">
        <v>20181029</v>
      </c>
      <c r="B960">
        <v>84990</v>
      </c>
      <c r="C960" s="8">
        <v>194900</v>
      </c>
      <c r="D960" s="8">
        <v>181800</v>
      </c>
      <c r="E960">
        <v>178412</v>
      </c>
      <c r="F960" s="8">
        <v>15956260</v>
      </c>
      <c r="G960" s="1">
        <v>2900848068000</v>
      </c>
      <c r="H960" s="1">
        <v>2494729411200</v>
      </c>
      <c r="I960">
        <f t="shared" si="14"/>
        <v>0</v>
      </c>
    </row>
    <row r="961" spans="1:9" x14ac:dyDescent="0.3">
      <c r="A961">
        <v>20181030</v>
      </c>
      <c r="B961">
        <v>84990</v>
      </c>
      <c r="C961" s="8">
        <v>181800</v>
      </c>
      <c r="D961" s="8">
        <v>190500</v>
      </c>
      <c r="E961">
        <v>186950</v>
      </c>
      <c r="F961" s="8">
        <v>15956260</v>
      </c>
      <c r="G961" s="1">
        <v>3039667530000</v>
      </c>
      <c r="H961" s="1">
        <v>2614114152000</v>
      </c>
      <c r="I961">
        <f t="shared" si="14"/>
        <v>0</v>
      </c>
    </row>
    <row r="962" spans="1:9" x14ac:dyDescent="0.3">
      <c r="A962">
        <v>20181031</v>
      </c>
      <c r="B962">
        <v>84990</v>
      </c>
      <c r="C962" s="8">
        <v>190500</v>
      </c>
      <c r="D962" s="8">
        <v>186300</v>
      </c>
      <c r="E962">
        <v>182828</v>
      </c>
      <c r="F962" s="8">
        <v>15956260</v>
      </c>
      <c r="G962" s="1">
        <v>2972651238000</v>
      </c>
      <c r="H962" s="1">
        <v>2556480139200</v>
      </c>
      <c r="I962">
        <f t="shared" si="14"/>
        <v>0</v>
      </c>
    </row>
    <row r="963" spans="1:9" x14ac:dyDescent="0.3">
      <c r="A963">
        <v>20181101</v>
      </c>
      <c r="B963">
        <v>84990</v>
      </c>
      <c r="C963" s="8">
        <v>186300</v>
      </c>
      <c r="D963" s="8">
        <v>183000</v>
      </c>
      <c r="E963">
        <v>179590</v>
      </c>
      <c r="F963" s="8">
        <v>15956260</v>
      </c>
      <c r="G963" s="1">
        <v>2919995580000</v>
      </c>
      <c r="H963" s="1">
        <v>2511196272000</v>
      </c>
      <c r="I963">
        <f t="shared" ref="I963:I1026" si="15">IF(C963*F963=D962*F962,0,1)</f>
        <v>0</v>
      </c>
    </row>
    <row r="964" spans="1:9" x14ac:dyDescent="0.3">
      <c r="A964">
        <v>20181102</v>
      </c>
      <c r="B964">
        <v>84990</v>
      </c>
      <c r="C964" s="8">
        <v>183000</v>
      </c>
      <c r="D964" s="8">
        <v>197900</v>
      </c>
      <c r="E964">
        <v>194212</v>
      </c>
      <c r="F964" s="8">
        <v>15956260</v>
      </c>
      <c r="G964" s="1">
        <v>3157743854000</v>
      </c>
      <c r="H964" s="1">
        <v>2715659793600</v>
      </c>
      <c r="I964">
        <f t="shared" si="15"/>
        <v>0</v>
      </c>
    </row>
    <row r="965" spans="1:9" x14ac:dyDescent="0.3">
      <c r="A965">
        <v>20181105</v>
      </c>
      <c r="B965">
        <v>84990</v>
      </c>
      <c r="C965" s="8">
        <v>197900</v>
      </c>
      <c r="D965" s="8">
        <v>204000</v>
      </c>
      <c r="E965">
        <v>200198</v>
      </c>
      <c r="F965" s="8">
        <v>15956260</v>
      </c>
      <c r="G965" s="1">
        <v>3255077040000</v>
      </c>
      <c r="H965" s="1">
        <v>2799366336000</v>
      </c>
      <c r="I965">
        <f t="shared" si="15"/>
        <v>0</v>
      </c>
    </row>
    <row r="966" spans="1:9" x14ac:dyDescent="0.3">
      <c r="A966">
        <v>20181106</v>
      </c>
      <c r="B966">
        <v>84990</v>
      </c>
      <c r="C966" s="8">
        <v>204000</v>
      </c>
      <c r="D966" s="8">
        <v>203200</v>
      </c>
      <c r="E966">
        <v>199413</v>
      </c>
      <c r="F966" s="8">
        <v>15956260</v>
      </c>
      <c r="G966" s="1">
        <v>3242312032000</v>
      </c>
      <c r="H966" s="1">
        <v>2788388428800</v>
      </c>
      <c r="I966">
        <f t="shared" si="15"/>
        <v>0</v>
      </c>
    </row>
    <row r="967" spans="1:9" x14ac:dyDescent="0.3">
      <c r="A967">
        <v>20181107</v>
      </c>
      <c r="B967">
        <v>84990</v>
      </c>
      <c r="C967" s="8">
        <v>203200</v>
      </c>
      <c r="D967" s="8">
        <v>201000</v>
      </c>
      <c r="E967">
        <v>197254</v>
      </c>
      <c r="F967" s="8">
        <v>15956260</v>
      </c>
      <c r="G967" s="1">
        <v>3207208260000</v>
      </c>
      <c r="H967" s="1">
        <v>2758199184000</v>
      </c>
      <c r="I967">
        <f t="shared" si="15"/>
        <v>0</v>
      </c>
    </row>
    <row r="968" spans="1:9" x14ac:dyDescent="0.3">
      <c r="A968">
        <v>20181108</v>
      </c>
      <c r="B968">
        <v>84990</v>
      </c>
      <c r="C968" s="8">
        <v>201000</v>
      </c>
      <c r="D968" s="8">
        <v>202700</v>
      </c>
      <c r="E968">
        <v>198922</v>
      </c>
      <c r="F968" s="8">
        <v>15956260</v>
      </c>
      <c r="G968" s="1">
        <v>3234333902000</v>
      </c>
      <c r="H968" s="1">
        <v>2781527236800</v>
      </c>
      <c r="I968">
        <f t="shared" si="15"/>
        <v>0</v>
      </c>
    </row>
    <row r="969" spans="1:9" x14ac:dyDescent="0.3">
      <c r="A969">
        <v>20181109</v>
      </c>
      <c r="B969">
        <v>84990</v>
      </c>
      <c r="C969" s="8">
        <v>202700</v>
      </c>
      <c r="D969" s="8">
        <v>193600</v>
      </c>
      <c r="E969">
        <v>189992</v>
      </c>
      <c r="F969" s="8">
        <v>15956260</v>
      </c>
      <c r="G969" s="1">
        <v>3089131936000</v>
      </c>
      <c r="H969" s="1">
        <v>2656653542400</v>
      </c>
      <c r="I969">
        <f t="shared" si="15"/>
        <v>0</v>
      </c>
    </row>
    <row r="970" spans="1:9" x14ac:dyDescent="0.3">
      <c r="A970">
        <v>20181112</v>
      </c>
      <c r="B970">
        <v>84990</v>
      </c>
      <c r="C970" s="8">
        <v>193600</v>
      </c>
      <c r="D970" s="8">
        <v>181000</v>
      </c>
      <c r="E970">
        <v>177627</v>
      </c>
      <c r="F970" s="8">
        <v>15956260</v>
      </c>
      <c r="G970" s="1">
        <v>2888083060000</v>
      </c>
      <c r="H970" s="1">
        <v>2483751504000</v>
      </c>
      <c r="I970">
        <f t="shared" si="15"/>
        <v>0</v>
      </c>
    </row>
    <row r="971" spans="1:9" x14ac:dyDescent="0.3">
      <c r="A971">
        <v>20181113</v>
      </c>
      <c r="B971">
        <v>84990</v>
      </c>
      <c r="C971" s="8">
        <v>181000</v>
      </c>
      <c r="D971" s="8">
        <v>185600</v>
      </c>
      <c r="E971">
        <v>182141</v>
      </c>
      <c r="F971" s="8">
        <v>15956260</v>
      </c>
      <c r="G971" s="1">
        <v>2961481856000</v>
      </c>
      <c r="H971" s="1">
        <v>2546874470400</v>
      </c>
      <c r="I971">
        <f t="shared" si="15"/>
        <v>0</v>
      </c>
    </row>
    <row r="972" spans="1:9" x14ac:dyDescent="0.3">
      <c r="A972">
        <v>20181114</v>
      </c>
      <c r="B972">
        <v>84990</v>
      </c>
      <c r="C972" s="8">
        <v>185600</v>
      </c>
      <c r="D972" s="8">
        <v>185400</v>
      </c>
      <c r="E972">
        <v>181945</v>
      </c>
      <c r="F972" s="8">
        <v>15956260</v>
      </c>
      <c r="G972" s="1">
        <v>2958290604000</v>
      </c>
      <c r="H972" s="1">
        <v>2544129993600</v>
      </c>
      <c r="I972">
        <f t="shared" si="15"/>
        <v>0</v>
      </c>
    </row>
    <row r="973" spans="1:9" x14ac:dyDescent="0.3">
      <c r="A973">
        <v>20181115</v>
      </c>
      <c r="B973">
        <v>84990</v>
      </c>
      <c r="C973" s="8">
        <v>185400</v>
      </c>
      <c r="D973" s="8">
        <v>187100</v>
      </c>
      <c r="E973">
        <v>183613</v>
      </c>
      <c r="F973" s="8">
        <v>15956260</v>
      </c>
      <c r="G973" s="1">
        <v>2985416246000</v>
      </c>
      <c r="H973" s="1">
        <v>2567458046400</v>
      </c>
      <c r="I973">
        <f t="shared" si="15"/>
        <v>0</v>
      </c>
    </row>
    <row r="974" spans="1:9" x14ac:dyDescent="0.3">
      <c r="A974">
        <v>20181116</v>
      </c>
      <c r="B974">
        <v>84990</v>
      </c>
      <c r="C974" s="8">
        <v>187100</v>
      </c>
      <c r="D974" s="8">
        <v>190400</v>
      </c>
      <c r="E974">
        <v>186852</v>
      </c>
      <c r="F974" s="8">
        <v>15956260</v>
      </c>
      <c r="G974" s="1">
        <v>3038071904000</v>
      </c>
      <c r="H974" s="1">
        <v>2612741913600</v>
      </c>
      <c r="I974">
        <f t="shared" si="15"/>
        <v>0</v>
      </c>
    </row>
    <row r="975" spans="1:9" x14ac:dyDescent="0.3">
      <c r="A975">
        <v>20181119</v>
      </c>
      <c r="B975">
        <v>84990</v>
      </c>
      <c r="C975" s="8">
        <v>190400</v>
      </c>
      <c r="D975" s="8">
        <v>201700</v>
      </c>
      <c r="E975">
        <v>197941</v>
      </c>
      <c r="F975" s="8">
        <v>15956260</v>
      </c>
      <c r="G975" s="1">
        <v>3218377642000</v>
      </c>
      <c r="H975" s="1">
        <v>2767804852800</v>
      </c>
      <c r="I975">
        <f t="shared" si="15"/>
        <v>0</v>
      </c>
    </row>
    <row r="976" spans="1:9" x14ac:dyDescent="0.3">
      <c r="A976">
        <v>20181120</v>
      </c>
      <c r="B976">
        <v>84990</v>
      </c>
      <c r="C976" s="8">
        <v>201700</v>
      </c>
      <c r="D976" s="8">
        <v>194200</v>
      </c>
      <c r="E976">
        <v>190581</v>
      </c>
      <c r="F976" s="8">
        <v>15956260</v>
      </c>
      <c r="G976" s="1">
        <v>3098705692000</v>
      </c>
      <c r="H976" s="1">
        <v>2664886972800</v>
      </c>
      <c r="I976">
        <f t="shared" si="15"/>
        <v>0</v>
      </c>
    </row>
    <row r="977" spans="1:9" x14ac:dyDescent="0.3">
      <c r="A977">
        <v>20181121</v>
      </c>
      <c r="B977">
        <v>84990</v>
      </c>
      <c r="C977" s="8">
        <v>194200</v>
      </c>
      <c r="D977" s="8">
        <v>191100</v>
      </c>
      <c r="E977">
        <v>187539</v>
      </c>
      <c r="F977" s="8">
        <v>15956260</v>
      </c>
      <c r="G977" s="1">
        <v>3049241286000</v>
      </c>
      <c r="H977" s="1">
        <v>2622347582400</v>
      </c>
      <c r="I977">
        <f t="shared" si="15"/>
        <v>0</v>
      </c>
    </row>
    <row r="978" spans="1:9" x14ac:dyDescent="0.3">
      <c r="A978">
        <v>20181122</v>
      </c>
      <c r="B978">
        <v>84990</v>
      </c>
      <c r="C978" s="8">
        <v>191100</v>
      </c>
      <c r="D978" s="8">
        <v>194900</v>
      </c>
      <c r="E978">
        <v>191268</v>
      </c>
      <c r="F978" s="8">
        <v>15956260</v>
      </c>
      <c r="G978" s="1">
        <v>3109875074000</v>
      </c>
      <c r="H978" s="1">
        <v>2674492641600</v>
      </c>
      <c r="I978">
        <f t="shared" si="15"/>
        <v>0</v>
      </c>
    </row>
    <row r="979" spans="1:9" x14ac:dyDescent="0.3">
      <c r="A979">
        <v>20181123</v>
      </c>
      <c r="B979">
        <v>84990</v>
      </c>
      <c r="C979" s="8">
        <v>194900</v>
      </c>
      <c r="D979" s="8">
        <v>189200</v>
      </c>
      <c r="E979">
        <v>185674</v>
      </c>
      <c r="F979" s="8">
        <v>15956260</v>
      </c>
      <c r="G979" s="1">
        <v>3018924392000</v>
      </c>
      <c r="H979" s="1">
        <v>2596275052800</v>
      </c>
      <c r="I979">
        <f t="shared" si="15"/>
        <v>0</v>
      </c>
    </row>
    <row r="980" spans="1:9" x14ac:dyDescent="0.3">
      <c r="A980">
        <v>20181126</v>
      </c>
      <c r="B980">
        <v>84990</v>
      </c>
      <c r="C980" s="8">
        <v>189200</v>
      </c>
      <c r="D980" s="8">
        <v>194700</v>
      </c>
      <c r="E980">
        <v>191072</v>
      </c>
      <c r="F980" s="8">
        <v>15956260</v>
      </c>
      <c r="G980" s="1">
        <v>3106683822000</v>
      </c>
      <c r="H980" s="1">
        <v>2671748164800</v>
      </c>
      <c r="I980">
        <f t="shared" si="15"/>
        <v>0</v>
      </c>
    </row>
    <row r="981" spans="1:9" x14ac:dyDescent="0.3">
      <c r="A981">
        <v>20181127</v>
      </c>
      <c r="B981">
        <v>84990</v>
      </c>
      <c r="C981" s="8">
        <v>194700</v>
      </c>
      <c r="D981" s="8">
        <v>202800</v>
      </c>
      <c r="E981">
        <v>199021</v>
      </c>
      <c r="F981" s="8">
        <v>15956260</v>
      </c>
      <c r="G981" s="1">
        <v>3235929528000</v>
      </c>
      <c r="H981" s="1">
        <v>2782899475200</v>
      </c>
      <c r="I981">
        <f t="shared" si="15"/>
        <v>0</v>
      </c>
    </row>
    <row r="982" spans="1:9" x14ac:dyDescent="0.3">
      <c r="A982">
        <v>20181128</v>
      </c>
      <c r="B982">
        <v>84990</v>
      </c>
      <c r="C982" s="8">
        <v>202800</v>
      </c>
      <c r="D982" s="8">
        <v>199000</v>
      </c>
      <c r="E982">
        <v>195291</v>
      </c>
      <c r="F982" s="8">
        <v>15956260</v>
      </c>
      <c r="G982" s="1">
        <v>3175295740000</v>
      </c>
      <c r="H982" s="1">
        <v>2730754416000</v>
      </c>
      <c r="I982">
        <f t="shared" si="15"/>
        <v>0</v>
      </c>
    </row>
    <row r="983" spans="1:9" x14ac:dyDescent="0.3">
      <c r="A983">
        <v>20181129</v>
      </c>
      <c r="B983">
        <v>84990</v>
      </c>
      <c r="C983" s="8">
        <v>199000</v>
      </c>
      <c r="D983" s="8">
        <v>196200</v>
      </c>
      <c r="E983">
        <v>192544</v>
      </c>
      <c r="F983" s="8">
        <v>15956260</v>
      </c>
      <c r="G983" s="1">
        <v>3130618212000</v>
      </c>
      <c r="H983" s="1">
        <v>2692331740800</v>
      </c>
      <c r="I983">
        <f t="shared" si="15"/>
        <v>0</v>
      </c>
    </row>
    <row r="984" spans="1:9" x14ac:dyDescent="0.3">
      <c r="A984">
        <v>20181130</v>
      </c>
      <c r="B984">
        <v>84990</v>
      </c>
      <c r="C984" s="8">
        <v>196200</v>
      </c>
      <c r="D984" s="8">
        <v>197300</v>
      </c>
      <c r="E984">
        <v>193623</v>
      </c>
      <c r="F984" s="8">
        <v>15956260</v>
      </c>
      <c r="G984" s="1">
        <v>3148170098000</v>
      </c>
      <c r="H984" s="1">
        <v>2707426363200</v>
      </c>
      <c r="I984">
        <f t="shared" si="15"/>
        <v>0</v>
      </c>
    </row>
    <row r="985" spans="1:9" x14ac:dyDescent="0.3">
      <c r="A985">
        <v>20181203</v>
      </c>
      <c r="B985">
        <v>84990</v>
      </c>
      <c r="C985" s="8">
        <v>197300</v>
      </c>
      <c r="D985" s="8">
        <v>206200</v>
      </c>
      <c r="E985">
        <v>202357</v>
      </c>
      <c r="F985" s="8">
        <v>15956260</v>
      </c>
      <c r="G985" s="1">
        <v>3290180812000</v>
      </c>
      <c r="H985" s="1">
        <v>2829555580800</v>
      </c>
      <c r="I985">
        <f t="shared" si="15"/>
        <v>0</v>
      </c>
    </row>
    <row r="986" spans="1:9" x14ac:dyDescent="0.3">
      <c r="A986">
        <v>20181204</v>
      </c>
      <c r="B986">
        <v>84990</v>
      </c>
      <c r="C986" s="8">
        <v>206200</v>
      </c>
      <c r="D986" s="8">
        <v>205800</v>
      </c>
      <c r="E986">
        <v>201965</v>
      </c>
      <c r="F986" s="8">
        <v>15956260</v>
      </c>
      <c r="G986" s="1">
        <v>3283798308000</v>
      </c>
      <c r="H986" s="1">
        <v>2824066627200</v>
      </c>
      <c r="I986">
        <f t="shared" si="15"/>
        <v>0</v>
      </c>
    </row>
    <row r="987" spans="1:9" x14ac:dyDescent="0.3">
      <c r="A987">
        <v>20181205</v>
      </c>
      <c r="B987">
        <v>84990</v>
      </c>
      <c r="C987" s="8">
        <v>205800</v>
      </c>
      <c r="D987" s="8">
        <v>201500</v>
      </c>
      <c r="E987">
        <v>197745</v>
      </c>
      <c r="F987" s="8">
        <v>15956260</v>
      </c>
      <c r="G987" s="1">
        <v>3215186390000</v>
      </c>
      <c r="H987" s="1">
        <v>2765060376000</v>
      </c>
      <c r="I987">
        <f t="shared" si="15"/>
        <v>0</v>
      </c>
    </row>
    <row r="988" spans="1:9" x14ac:dyDescent="0.3">
      <c r="A988">
        <v>20181206</v>
      </c>
      <c r="B988">
        <v>84990</v>
      </c>
      <c r="C988" s="8">
        <v>201500</v>
      </c>
      <c r="D988" s="8">
        <v>194500</v>
      </c>
      <c r="E988">
        <v>190875</v>
      </c>
      <c r="F988" s="8">
        <v>15956260</v>
      </c>
      <c r="G988" s="1">
        <v>3103492570000</v>
      </c>
      <c r="H988" s="1">
        <v>2669003688000</v>
      </c>
      <c r="I988">
        <f t="shared" si="15"/>
        <v>0</v>
      </c>
    </row>
    <row r="989" spans="1:9" x14ac:dyDescent="0.3">
      <c r="A989">
        <v>20181207</v>
      </c>
      <c r="B989">
        <v>84990</v>
      </c>
      <c r="C989" s="8">
        <v>194500</v>
      </c>
      <c r="D989" s="8">
        <v>198300</v>
      </c>
      <c r="E989">
        <v>194604</v>
      </c>
      <c r="F989" s="8">
        <v>15956260</v>
      </c>
      <c r="G989" s="1">
        <v>3164126358000</v>
      </c>
      <c r="H989" s="1">
        <v>2721148747200</v>
      </c>
      <c r="I989">
        <f t="shared" si="15"/>
        <v>0</v>
      </c>
    </row>
    <row r="990" spans="1:9" x14ac:dyDescent="0.3">
      <c r="A990">
        <v>20181210</v>
      </c>
      <c r="B990">
        <v>84990</v>
      </c>
      <c r="C990" s="8">
        <v>198300</v>
      </c>
      <c r="D990" s="8">
        <v>195300</v>
      </c>
      <c r="E990">
        <v>191660</v>
      </c>
      <c r="F990" s="8">
        <v>15956260</v>
      </c>
      <c r="G990" s="1">
        <v>3116257578000</v>
      </c>
      <c r="H990" s="1">
        <v>2679981595200</v>
      </c>
      <c r="I990">
        <f t="shared" si="15"/>
        <v>0</v>
      </c>
    </row>
    <row r="991" spans="1:9" x14ac:dyDescent="0.3">
      <c r="A991">
        <v>20181211</v>
      </c>
      <c r="B991">
        <v>84990</v>
      </c>
      <c r="C991" s="8">
        <v>195300</v>
      </c>
      <c r="D991" s="8">
        <v>195400</v>
      </c>
      <c r="E991">
        <v>191759</v>
      </c>
      <c r="F991" s="8">
        <v>15956260</v>
      </c>
      <c r="G991" s="1">
        <v>3117853204000</v>
      </c>
      <c r="H991" s="1">
        <v>2681353833600</v>
      </c>
      <c r="I991">
        <f t="shared" si="15"/>
        <v>0</v>
      </c>
    </row>
    <row r="992" spans="1:9" x14ac:dyDescent="0.3">
      <c r="A992">
        <v>20181212</v>
      </c>
      <c r="B992">
        <v>84990</v>
      </c>
      <c r="C992" s="8">
        <v>195400</v>
      </c>
      <c r="D992" s="8">
        <v>203000</v>
      </c>
      <c r="E992">
        <v>199217</v>
      </c>
      <c r="F992" s="8">
        <v>15956260</v>
      </c>
      <c r="G992" s="1">
        <v>3239120780000</v>
      </c>
      <c r="H992" s="1">
        <v>2785643952000</v>
      </c>
      <c r="I992">
        <f t="shared" si="15"/>
        <v>0</v>
      </c>
    </row>
    <row r="993" spans="1:9" x14ac:dyDescent="0.3">
      <c r="A993">
        <v>20181213</v>
      </c>
      <c r="B993">
        <v>84990</v>
      </c>
      <c r="C993" s="8">
        <v>203000</v>
      </c>
      <c r="D993" s="8">
        <v>205700</v>
      </c>
      <c r="E993">
        <v>201867</v>
      </c>
      <c r="F993" s="8">
        <v>15956260</v>
      </c>
      <c r="G993" s="1">
        <v>3282202682000</v>
      </c>
      <c r="H993" s="1">
        <v>2822694388800</v>
      </c>
      <c r="I993">
        <f t="shared" si="15"/>
        <v>0</v>
      </c>
    </row>
    <row r="994" spans="1:9" x14ac:dyDescent="0.3">
      <c r="A994">
        <v>20181214</v>
      </c>
      <c r="B994">
        <v>84990</v>
      </c>
      <c r="C994" s="8">
        <v>205700</v>
      </c>
      <c r="D994" s="8">
        <v>199600</v>
      </c>
      <c r="E994">
        <v>195880</v>
      </c>
      <c r="F994" s="8">
        <v>15956260</v>
      </c>
      <c r="G994" s="1">
        <v>3184869496000</v>
      </c>
      <c r="H994" s="1">
        <v>2738987846400</v>
      </c>
      <c r="I994">
        <f t="shared" si="15"/>
        <v>0</v>
      </c>
    </row>
    <row r="995" spans="1:9" x14ac:dyDescent="0.3">
      <c r="A995">
        <v>20181217</v>
      </c>
      <c r="B995">
        <v>84990</v>
      </c>
      <c r="C995" s="8">
        <v>199600</v>
      </c>
      <c r="D995" s="8">
        <v>202000</v>
      </c>
      <c r="E995">
        <v>198236</v>
      </c>
      <c r="F995" s="8">
        <v>15956260</v>
      </c>
      <c r="G995" s="1">
        <v>3223164520000</v>
      </c>
      <c r="H995" s="1">
        <v>2771921568000</v>
      </c>
      <c r="I995">
        <f t="shared" si="15"/>
        <v>0</v>
      </c>
    </row>
    <row r="996" spans="1:9" x14ac:dyDescent="0.3">
      <c r="A996">
        <v>20181218</v>
      </c>
      <c r="B996">
        <v>84990</v>
      </c>
      <c r="C996" s="8">
        <v>202000</v>
      </c>
      <c r="D996" s="8">
        <v>215000</v>
      </c>
      <c r="E996">
        <v>210993</v>
      </c>
      <c r="F996" s="8">
        <v>15956260</v>
      </c>
      <c r="G996" s="1">
        <v>3430595900000</v>
      </c>
      <c r="H996" s="1">
        <v>2950312560000</v>
      </c>
      <c r="I996">
        <f t="shared" si="15"/>
        <v>0</v>
      </c>
    </row>
    <row r="997" spans="1:9" x14ac:dyDescent="0.3">
      <c r="A997">
        <v>20181219</v>
      </c>
      <c r="B997">
        <v>84990</v>
      </c>
      <c r="C997" s="8">
        <v>215000</v>
      </c>
      <c r="D997" s="8">
        <v>216700</v>
      </c>
      <c r="E997">
        <v>212662</v>
      </c>
      <c r="F997" s="8">
        <v>15956260</v>
      </c>
      <c r="G997" s="1">
        <v>3457721542000</v>
      </c>
      <c r="H997" s="1">
        <v>2973640612800</v>
      </c>
      <c r="I997">
        <f t="shared" si="15"/>
        <v>0</v>
      </c>
    </row>
    <row r="998" spans="1:9" x14ac:dyDescent="0.3">
      <c r="A998">
        <v>20181220</v>
      </c>
      <c r="B998">
        <v>84990</v>
      </c>
      <c r="C998" s="8">
        <v>216700</v>
      </c>
      <c r="D998" s="8">
        <v>224500</v>
      </c>
      <c r="E998">
        <v>220316</v>
      </c>
      <c r="F998" s="8">
        <v>15956260</v>
      </c>
      <c r="G998" s="1">
        <v>3582180370000</v>
      </c>
      <c r="H998" s="1">
        <v>3080675208000</v>
      </c>
      <c r="I998">
        <f t="shared" si="15"/>
        <v>0</v>
      </c>
    </row>
    <row r="999" spans="1:9" x14ac:dyDescent="0.3">
      <c r="A999">
        <v>20181221</v>
      </c>
      <c r="B999">
        <v>84990</v>
      </c>
      <c r="C999" s="8">
        <v>224500</v>
      </c>
      <c r="D999" s="8">
        <v>228300</v>
      </c>
      <c r="E999">
        <v>224045</v>
      </c>
      <c r="F999" s="8">
        <v>15956260</v>
      </c>
      <c r="G999" s="1">
        <v>3642814158000</v>
      </c>
      <c r="H999" s="1">
        <v>3132820267200</v>
      </c>
      <c r="I999">
        <f t="shared" si="15"/>
        <v>0</v>
      </c>
    </row>
    <row r="1000" spans="1:9" x14ac:dyDescent="0.3">
      <c r="A1000">
        <v>20181224</v>
      </c>
      <c r="B1000">
        <v>84990</v>
      </c>
      <c r="C1000" s="8">
        <v>228300</v>
      </c>
      <c r="D1000" s="8">
        <v>226900</v>
      </c>
      <c r="E1000">
        <v>222672</v>
      </c>
      <c r="F1000" s="8">
        <v>15956260</v>
      </c>
      <c r="G1000" s="1">
        <v>3620475394000</v>
      </c>
      <c r="H1000" s="1">
        <v>3113608929600</v>
      </c>
      <c r="I1000">
        <f t="shared" si="15"/>
        <v>0</v>
      </c>
    </row>
    <row r="1001" spans="1:9" x14ac:dyDescent="0.3">
      <c r="A1001">
        <v>20181226</v>
      </c>
      <c r="B1001">
        <v>84990</v>
      </c>
      <c r="C1001" s="8">
        <v>226900</v>
      </c>
      <c r="D1001" s="8">
        <v>233100</v>
      </c>
      <c r="E1001">
        <v>228756</v>
      </c>
      <c r="F1001" s="8">
        <v>15956260</v>
      </c>
      <c r="G1001" s="1">
        <v>3719404206000</v>
      </c>
      <c r="H1001" s="1">
        <v>3198687710400</v>
      </c>
      <c r="I1001">
        <f t="shared" si="15"/>
        <v>0</v>
      </c>
    </row>
    <row r="1002" spans="1:9" x14ac:dyDescent="0.3">
      <c r="A1002">
        <v>20181227</v>
      </c>
      <c r="B1002">
        <v>84990</v>
      </c>
      <c r="C1002" s="8">
        <v>233100</v>
      </c>
      <c r="D1002" s="8">
        <v>243600</v>
      </c>
      <c r="E1002">
        <v>239060</v>
      </c>
      <c r="F1002" s="8">
        <v>15956260</v>
      </c>
      <c r="G1002" s="1">
        <v>3886944936000</v>
      </c>
      <c r="H1002" s="1">
        <v>3342772742400</v>
      </c>
      <c r="I1002">
        <f t="shared" si="15"/>
        <v>0</v>
      </c>
    </row>
    <row r="1003" spans="1:9" x14ac:dyDescent="0.3">
      <c r="A1003">
        <v>20181228</v>
      </c>
      <c r="B1003">
        <v>84990</v>
      </c>
      <c r="C1003" s="8">
        <v>243600</v>
      </c>
      <c r="D1003" s="8">
        <v>254000</v>
      </c>
      <c r="E1003">
        <v>249267</v>
      </c>
      <c r="F1003" s="8">
        <v>15956260</v>
      </c>
      <c r="G1003" s="1">
        <v>4052890040000</v>
      </c>
      <c r="H1003" s="1">
        <v>3485485536000</v>
      </c>
      <c r="I1003">
        <f t="shared" si="15"/>
        <v>0</v>
      </c>
    </row>
    <row r="1004" spans="1:9" x14ac:dyDescent="0.3">
      <c r="A1004">
        <v>20190102</v>
      </c>
      <c r="B1004">
        <v>84990</v>
      </c>
      <c r="C1004" s="8">
        <v>254000</v>
      </c>
      <c r="D1004" s="8">
        <v>260000</v>
      </c>
      <c r="E1004">
        <v>255155</v>
      </c>
      <c r="F1004" s="8">
        <v>15956260</v>
      </c>
      <c r="G1004" s="1">
        <v>4148627600000</v>
      </c>
      <c r="H1004" s="1">
        <v>3567819840000</v>
      </c>
      <c r="I1004">
        <f t="shared" si="15"/>
        <v>0</v>
      </c>
    </row>
    <row r="1005" spans="1:9" x14ac:dyDescent="0.3">
      <c r="A1005">
        <v>20190103</v>
      </c>
      <c r="B1005">
        <v>84990</v>
      </c>
      <c r="C1005" s="8">
        <v>260000</v>
      </c>
      <c r="D1005" s="8">
        <v>249400</v>
      </c>
      <c r="E1005">
        <v>244752</v>
      </c>
      <c r="F1005" s="8">
        <v>15956260</v>
      </c>
      <c r="G1005" s="1">
        <v>3979491244000</v>
      </c>
      <c r="H1005" s="1">
        <v>3422362569600</v>
      </c>
      <c r="I1005">
        <f t="shared" si="15"/>
        <v>0</v>
      </c>
    </row>
    <row r="1006" spans="1:9" x14ac:dyDescent="0.3">
      <c r="A1006">
        <v>20190104</v>
      </c>
      <c r="B1006">
        <v>84990</v>
      </c>
      <c r="C1006" s="8">
        <v>249400</v>
      </c>
      <c r="D1006" s="8">
        <v>254200</v>
      </c>
      <c r="E1006">
        <v>249463</v>
      </c>
      <c r="F1006" s="8">
        <v>15956260</v>
      </c>
      <c r="G1006" s="1">
        <v>4056081292000</v>
      </c>
      <c r="H1006" s="1">
        <v>3488230012800</v>
      </c>
      <c r="I1006">
        <f t="shared" si="15"/>
        <v>0</v>
      </c>
    </row>
    <row r="1007" spans="1:9" x14ac:dyDescent="0.3">
      <c r="A1007">
        <v>20190107</v>
      </c>
      <c r="B1007">
        <v>84990</v>
      </c>
      <c r="C1007" s="8">
        <v>254200</v>
      </c>
      <c r="D1007" s="8">
        <v>255400</v>
      </c>
      <c r="E1007">
        <v>250640</v>
      </c>
      <c r="F1007" s="8">
        <v>15956260</v>
      </c>
      <c r="G1007" s="1">
        <v>4075228804000</v>
      </c>
      <c r="H1007" s="1">
        <v>3504696873600</v>
      </c>
      <c r="I1007">
        <f t="shared" si="15"/>
        <v>0</v>
      </c>
    </row>
    <row r="1008" spans="1:9" x14ac:dyDescent="0.3">
      <c r="A1008">
        <v>20190108</v>
      </c>
      <c r="B1008">
        <v>84990</v>
      </c>
      <c r="C1008" s="8">
        <v>255400</v>
      </c>
      <c r="D1008" s="8">
        <v>259800</v>
      </c>
      <c r="E1008">
        <v>254959</v>
      </c>
      <c r="F1008" s="8">
        <v>15956260</v>
      </c>
      <c r="G1008" s="1">
        <v>4145436348000</v>
      </c>
      <c r="H1008" s="1">
        <v>3565075363200</v>
      </c>
      <c r="I1008">
        <f t="shared" si="15"/>
        <v>0</v>
      </c>
    </row>
    <row r="1009" spans="1:9" x14ac:dyDescent="0.3">
      <c r="A1009">
        <v>20190109</v>
      </c>
      <c r="B1009">
        <v>84990</v>
      </c>
      <c r="C1009" s="8">
        <v>259800</v>
      </c>
      <c r="D1009" s="8">
        <v>243700</v>
      </c>
      <c r="E1009">
        <v>239159</v>
      </c>
      <c r="F1009" s="8">
        <v>15956260</v>
      </c>
      <c r="G1009" s="1">
        <v>3888540562000</v>
      </c>
      <c r="H1009" s="1">
        <v>3344144980800</v>
      </c>
      <c r="I1009">
        <f t="shared" si="15"/>
        <v>0</v>
      </c>
    </row>
    <row r="1010" spans="1:9" x14ac:dyDescent="0.3">
      <c r="A1010">
        <v>20190110</v>
      </c>
      <c r="B1010">
        <v>84990</v>
      </c>
      <c r="C1010" s="8">
        <v>243700</v>
      </c>
      <c r="D1010" s="8">
        <v>249300</v>
      </c>
      <c r="E1010">
        <v>244654</v>
      </c>
      <c r="F1010" s="8">
        <v>15956260</v>
      </c>
      <c r="G1010" s="1">
        <v>3977895618000</v>
      </c>
      <c r="H1010" s="1">
        <v>3420990331200</v>
      </c>
      <c r="I1010">
        <f t="shared" si="15"/>
        <v>0</v>
      </c>
    </row>
    <row r="1011" spans="1:9" x14ac:dyDescent="0.3">
      <c r="A1011">
        <v>20190111</v>
      </c>
      <c r="B1011">
        <v>84990</v>
      </c>
      <c r="C1011" s="8">
        <v>249300</v>
      </c>
      <c r="D1011" s="8">
        <v>248700</v>
      </c>
      <c r="E1011">
        <v>244065</v>
      </c>
      <c r="F1011" s="8">
        <v>15956260</v>
      </c>
      <c r="G1011" s="1">
        <v>3968321862000</v>
      </c>
      <c r="H1011" s="1">
        <v>3412756900800</v>
      </c>
      <c r="I1011">
        <f t="shared" si="15"/>
        <v>0</v>
      </c>
    </row>
    <row r="1012" spans="1:9" x14ac:dyDescent="0.3">
      <c r="A1012">
        <v>20190114</v>
      </c>
      <c r="B1012">
        <v>84990</v>
      </c>
      <c r="C1012" s="8">
        <v>248700</v>
      </c>
      <c r="D1012" s="8">
        <v>243800</v>
      </c>
      <c r="E1012">
        <v>239257</v>
      </c>
      <c r="F1012" s="8">
        <v>15956260</v>
      </c>
      <c r="G1012" s="1">
        <v>3890136188000</v>
      </c>
      <c r="H1012" s="1">
        <v>3345517219200</v>
      </c>
      <c r="I1012">
        <f t="shared" si="15"/>
        <v>0</v>
      </c>
    </row>
    <row r="1013" spans="1:9" x14ac:dyDescent="0.3">
      <c r="A1013">
        <v>20190115</v>
      </c>
      <c r="B1013">
        <v>84990</v>
      </c>
      <c r="C1013" s="8">
        <v>243800</v>
      </c>
      <c r="D1013" s="8">
        <v>247100</v>
      </c>
      <c r="E1013">
        <v>242495</v>
      </c>
      <c r="F1013" s="8">
        <v>15956260</v>
      </c>
      <c r="G1013" s="1">
        <v>3942791846000</v>
      </c>
      <c r="H1013" s="1">
        <v>3390801086400</v>
      </c>
      <c r="I1013">
        <f t="shared" si="15"/>
        <v>0</v>
      </c>
    </row>
    <row r="1014" spans="1:9" x14ac:dyDescent="0.3">
      <c r="A1014">
        <v>20190116</v>
      </c>
      <c r="B1014">
        <v>84990</v>
      </c>
      <c r="C1014" s="8">
        <v>247100</v>
      </c>
      <c r="D1014" s="8">
        <v>249200</v>
      </c>
      <c r="E1014">
        <v>244556</v>
      </c>
      <c r="F1014" s="8">
        <v>15956260</v>
      </c>
      <c r="G1014" s="1">
        <v>3976299992000</v>
      </c>
      <c r="H1014" s="1">
        <v>3419618092800</v>
      </c>
      <c r="I1014">
        <f t="shared" si="15"/>
        <v>0</v>
      </c>
    </row>
    <row r="1015" spans="1:9" x14ac:dyDescent="0.3">
      <c r="A1015">
        <v>20190117</v>
      </c>
      <c r="B1015">
        <v>84990</v>
      </c>
      <c r="C1015" s="8">
        <v>249200</v>
      </c>
      <c r="D1015" s="8">
        <v>255100</v>
      </c>
      <c r="E1015">
        <v>250346</v>
      </c>
      <c r="F1015" s="8">
        <v>15956260</v>
      </c>
      <c r="G1015" s="1">
        <v>4070441926000</v>
      </c>
      <c r="H1015" s="1">
        <v>3500580158400</v>
      </c>
      <c r="I1015">
        <f t="shared" si="15"/>
        <v>0</v>
      </c>
    </row>
    <row r="1016" spans="1:9" x14ac:dyDescent="0.3">
      <c r="A1016">
        <v>20190118</v>
      </c>
      <c r="B1016">
        <v>84990</v>
      </c>
      <c r="C1016" s="8">
        <v>255100</v>
      </c>
      <c r="D1016" s="8">
        <v>261000</v>
      </c>
      <c r="E1016">
        <v>256136</v>
      </c>
      <c r="F1016" s="8">
        <v>15956260</v>
      </c>
      <c r="G1016" s="1">
        <v>4164583860000</v>
      </c>
      <c r="H1016" s="1">
        <v>3581542224000</v>
      </c>
      <c r="I1016">
        <f t="shared" si="15"/>
        <v>0</v>
      </c>
    </row>
    <row r="1017" spans="1:9" x14ac:dyDescent="0.3">
      <c r="A1017">
        <v>20190121</v>
      </c>
      <c r="B1017">
        <v>84990</v>
      </c>
      <c r="C1017" s="8">
        <v>261000</v>
      </c>
      <c r="D1017" s="8">
        <v>257000</v>
      </c>
      <c r="E1017">
        <v>252211</v>
      </c>
      <c r="F1017" s="8">
        <v>15956260</v>
      </c>
      <c r="G1017" s="1">
        <v>4100758820000</v>
      </c>
      <c r="H1017" s="1">
        <v>3526652688000</v>
      </c>
      <c r="I1017">
        <f t="shared" si="15"/>
        <v>0</v>
      </c>
    </row>
    <row r="1018" spans="1:9" x14ac:dyDescent="0.3">
      <c r="A1018">
        <v>20190122</v>
      </c>
      <c r="B1018">
        <v>84990</v>
      </c>
      <c r="C1018" s="8">
        <v>257000</v>
      </c>
      <c r="D1018" s="8">
        <v>257100</v>
      </c>
      <c r="E1018">
        <v>252309</v>
      </c>
      <c r="F1018" s="8">
        <v>15956260</v>
      </c>
      <c r="G1018" s="1">
        <v>4102354446000</v>
      </c>
      <c r="H1018" s="1">
        <v>3528024926400</v>
      </c>
      <c r="I1018">
        <f t="shared" si="15"/>
        <v>0</v>
      </c>
    </row>
    <row r="1019" spans="1:9" x14ac:dyDescent="0.3">
      <c r="A1019">
        <v>20190123</v>
      </c>
      <c r="B1019">
        <v>84990</v>
      </c>
      <c r="C1019" s="8">
        <v>257100</v>
      </c>
      <c r="D1019" s="8">
        <v>251900</v>
      </c>
      <c r="E1019">
        <v>247206</v>
      </c>
      <c r="F1019" s="8">
        <v>15956260</v>
      </c>
      <c r="G1019" s="1">
        <v>4019381894000</v>
      </c>
      <c r="H1019" s="1">
        <v>3456668529600</v>
      </c>
      <c r="I1019">
        <f t="shared" si="15"/>
        <v>0</v>
      </c>
    </row>
    <row r="1020" spans="1:9" x14ac:dyDescent="0.3">
      <c r="A1020">
        <v>20190124</v>
      </c>
      <c r="B1020">
        <v>84990</v>
      </c>
      <c r="C1020" s="8">
        <v>251900</v>
      </c>
      <c r="D1020" s="8">
        <v>261700</v>
      </c>
      <c r="E1020">
        <v>256823</v>
      </c>
      <c r="F1020" s="8">
        <v>15956260</v>
      </c>
      <c r="G1020" s="1">
        <v>4175753242000</v>
      </c>
      <c r="H1020" s="1">
        <v>3591147892800</v>
      </c>
      <c r="I1020">
        <f t="shared" si="15"/>
        <v>0</v>
      </c>
    </row>
    <row r="1021" spans="1:9" x14ac:dyDescent="0.3">
      <c r="A1021">
        <v>20190125</v>
      </c>
      <c r="B1021">
        <v>84990</v>
      </c>
      <c r="C1021" s="8">
        <v>261700</v>
      </c>
      <c r="D1021" s="8">
        <v>260300</v>
      </c>
      <c r="E1021">
        <v>255449</v>
      </c>
      <c r="F1021" s="8">
        <v>15956260</v>
      </c>
      <c r="G1021" s="1">
        <v>4153414478000</v>
      </c>
      <c r="H1021" s="1">
        <v>3571936555200</v>
      </c>
      <c r="I1021">
        <f t="shared" si="15"/>
        <v>0</v>
      </c>
    </row>
    <row r="1022" spans="1:9" x14ac:dyDescent="0.3">
      <c r="A1022">
        <v>20190128</v>
      </c>
      <c r="B1022">
        <v>84990</v>
      </c>
      <c r="C1022" s="8">
        <v>260300</v>
      </c>
      <c r="D1022" s="8">
        <v>262700</v>
      </c>
      <c r="E1022">
        <v>257804</v>
      </c>
      <c r="F1022" s="8">
        <v>15956260</v>
      </c>
      <c r="G1022" s="1">
        <v>4191709502000</v>
      </c>
      <c r="H1022" s="1">
        <v>3604870276800</v>
      </c>
      <c r="I1022">
        <f t="shared" si="15"/>
        <v>0</v>
      </c>
    </row>
    <row r="1023" spans="1:9" x14ac:dyDescent="0.3">
      <c r="A1023">
        <v>20190129</v>
      </c>
      <c r="B1023">
        <v>84990</v>
      </c>
      <c r="C1023" s="8">
        <v>262700</v>
      </c>
      <c r="D1023" s="8">
        <v>269900</v>
      </c>
      <c r="E1023">
        <v>264870</v>
      </c>
      <c r="F1023" s="8">
        <v>15956260</v>
      </c>
      <c r="G1023" s="1">
        <v>4306594574000</v>
      </c>
      <c r="H1023" s="1">
        <v>3703671441600</v>
      </c>
      <c r="I1023">
        <f t="shared" si="15"/>
        <v>0</v>
      </c>
    </row>
    <row r="1024" spans="1:9" x14ac:dyDescent="0.3">
      <c r="A1024">
        <v>20190130</v>
      </c>
      <c r="B1024">
        <v>84990</v>
      </c>
      <c r="C1024" s="8">
        <v>269900</v>
      </c>
      <c r="D1024" s="8">
        <v>273500</v>
      </c>
      <c r="E1024">
        <v>268403</v>
      </c>
      <c r="F1024" s="8">
        <v>15956260</v>
      </c>
      <c r="G1024" s="1">
        <v>4364037110000</v>
      </c>
      <c r="H1024" s="1">
        <v>3753072024000</v>
      </c>
      <c r="I1024">
        <f t="shared" si="15"/>
        <v>0</v>
      </c>
    </row>
    <row r="1025" spans="1:9" x14ac:dyDescent="0.3">
      <c r="A1025">
        <v>20190131</v>
      </c>
      <c r="B1025">
        <v>84990</v>
      </c>
      <c r="C1025" s="8">
        <v>273500</v>
      </c>
      <c r="D1025" s="8">
        <v>276000</v>
      </c>
      <c r="E1025">
        <v>270857</v>
      </c>
      <c r="F1025" s="8">
        <v>15956260</v>
      </c>
      <c r="G1025" s="1">
        <v>4403927760000</v>
      </c>
      <c r="H1025" s="1">
        <v>3787377984000</v>
      </c>
      <c r="I1025">
        <f t="shared" si="15"/>
        <v>0</v>
      </c>
    </row>
    <row r="1026" spans="1:9" x14ac:dyDescent="0.3">
      <c r="A1026">
        <v>20190201</v>
      </c>
      <c r="B1026">
        <v>84990</v>
      </c>
      <c r="C1026" s="8">
        <v>276000</v>
      </c>
      <c r="D1026" s="8">
        <v>278200</v>
      </c>
      <c r="E1026">
        <v>273016</v>
      </c>
      <c r="F1026" s="8">
        <v>15956260</v>
      </c>
      <c r="G1026" s="1">
        <v>4439031532000</v>
      </c>
      <c r="H1026" s="1">
        <v>3817567228800</v>
      </c>
      <c r="I1026">
        <f t="shared" si="15"/>
        <v>0</v>
      </c>
    </row>
    <row r="1027" spans="1:9" x14ac:dyDescent="0.3">
      <c r="A1027">
        <v>20190207</v>
      </c>
      <c r="B1027">
        <v>84990</v>
      </c>
      <c r="C1027" s="8">
        <v>278200</v>
      </c>
      <c r="D1027" s="8">
        <v>288100</v>
      </c>
      <c r="E1027">
        <v>282731</v>
      </c>
      <c r="F1027" s="8">
        <v>15956260</v>
      </c>
      <c r="G1027" s="1">
        <v>4596998506000</v>
      </c>
      <c r="H1027" s="1">
        <v>3953418830400</v>
      </c>
      <c r="I1027">
        <f t="shared" ref="I1027:I1090" si="16">IF(C1027*F1027=D1026*F1026,0,1)</f>
        <v>0</v>
      </c>
    </row>
    <row r="1028" spans="1:9" x14ac:dyDescent="0.3">
      <c r="A1028">
        <v>20190208</v>
      </c>
      <c r="B1028">
        <v>84990</v>
      </c>
      <c r="C1028" s="8">
        <v>288100</v>
      </c>
      <c r="D1028" s="8">
        <v>289200</v>
      </c>
      <c r="E1028">
        <v>283811</v>
      </c>
      <c r="F1028" s="8">
        <v>15956260</v>
      </c>
      <c r="G1028" s="1">
        <v>4614550392000</v>
      </c>
      <c r="H1028" s="1">
        <v>3968513452800</v>
      </c>
      <c r="I1028">
        <f t="shared" si="16"/>
        <v>0</v>
      </c>
    </row>
    <row r="1029" spans="1:9" x14ac:dyDescent="0.3">
      <c r="A1029">
        <v>20190211</v>
      </c>
      <c r="B1029">
        <v>84990</v>
      </c>
      <c r="C1029" s="8">
        <v>289200</v>
      </c>
      <c r="D1029" s="8">
        <v>290000</v>
      </c>
      <c r="E1029">
        <v>284596</v>
      </c>
      <c r="F1029" s="8">
        <v>15956260</v>
      </c>
      <c r="G1029" s="1">
        <v>4627315400000</v>
      </c>
      <c r="H1029" s="1">
        <v>3979491360000</v>
      </c>
      <c r="I1029">
        <f t="shared" si="16"/>
        <v>0</v>
      </c>
    </row>
    <row r="1030" spans="1:9" x14ac:dyDescent="0.3">
      <c r="A1030">
        <v>20190212</v>
      </c>
      <c r="B1030">
        <v>84990</v>
      </c>
      <c r="C1030" s="8">
        <v>290000</v>
      </c>
      <c r="D1030" s="8">
        <v>279300</v>
      </c>
      <c r="E1030">
        <v>274095</v>
      </c>
      <c r="F1030" s="8">
        <v>15956260</v>
      </c>
      <c r="G1030" s="1">
        <v>4456583418000</v>
      </c>
      <c r="H1030" s="1">
        <v>3832661851200</v>
      </c>
      <c r="I1030">
        <f t="shared" si="16"/>
        <v>0</v>
      </c>
    </row>
    <row r="1031" spans="1:9" x14ac:dyDescent="0.3">
      <c r="A1031">
        <v>20190213</v>
      </c>
      <c r="B1031">
        <v>84990</v>
      </c>
      <c r="C1031" s="8">
        <v>279300</v>
      </c>
      <c r="D1031" s="8">
        <v>282600</v>
      </c>
      <c r="E1031">
        <v>277334</v>
      </c>
      <c r="F1031" s="8">
        <v>15956260</v>
      </c>
      <c r="G1031" s="1">
        <v>4509239076000</v>
      </c>
      <c r="H1031" s="1">
        <v>3877945718400</v>
      </c>
      <c r="I1031">
        <f t="shared" si="16"/>
        <v>0</v>
      </c>
    </row>
    <row r="1032" spans="1:9" x14ac:dyDescent="0.3">
      <c r="A1032">
        <v>20190214</v>
      </c>
      <c r="B1032">
        <v>84990</v>
      </c>
      <c r="C1032" s="8">
        <v>282600</v>
      </c>
      <c r="D1032" s="8">
        <v>280000</v>
      </c>
      <c r="E1032">
        <v>274782</v>
      </c>
      <c r="F1032" s="8">
        <v>15956260</v>
      </c>
      <c r="G1032" s="1">
        <v>4467752800000</v>
      </c>
      <c r="H1032" s="1">
        <v>3842267520000</v>
      </c>
      <c r="I1032">
        <f t="shared" si="16"/>
        <v>0</v>
      </c>
    </row>
    <row r="1033" spans="1:9" x14ac:dyDescent="0.3">
      <c r="A1033">
        <v>20190215</v>
      </c>
      <c r="B1033">
        <v>84990</v>
      </c>
      <c r="C1033" s="8">
        <v>280000</v>
      </c>
      <c r="D1033" s="8">
        <v>284700</v>
      </c>
      <c r="E1033">
        <v>279395</v>
      </c>
      <c r="F1033" s="8">
        <v>15956260</v>
      </c>
      <c r="G1033" s="1">
        <v>4542747222000</v>
      </c>
      <c r="H1033" s="1">
        <v>3906762724800</v>
      </c>
      <c r="I1033">
        <f t="shared" si="16"/>
        <v>0</v>
      </c>
    </row>
    <row r="1034" spans="1:9" x14ac:dyDescent="0.3">
      <c r="A1034">
        <v>20190218</v>
      </c>
      <c r="B1034">
        <v>84990</v>
      </c>
      <c r="C1034" s="8">
        <v>284700</v>
      </c>
      <c r="D1034" s="8">
        <v>278700</v>
      </c>
      <c r="E1034">
        <v>273506</v>
      </c>
      <c r="F1034" s="8">
        <v>15956260</v>
      </c>
      <c r="G1034" s="1">
        <v>4447009662000</v>
      </c>
      <c r="H1034" s="1">
        <v>3824428420800</v>
      </c>
      <c r="I1034">
        <f t="shared" si="16"/>
        <v>0</v>
      </c>
    </row>
    <row r="1035" spans="1:9" x14ac:dyDescent="0.3">
      <c r="A1035">
        <v>20190219</v>
      </c>
      <c r="B1035">
        <v>84990</v>
      </c>
      <c r="C1035" s="8">
        <v>278700</v>
      </c>
      <c r="D1035" s="8">
        <v>288300</v>
      </c>
      <c r="E1035">
        <v>282927</v>
      </c>
      <c r="F1035" s="8">
        <v>15956260</v>
      </c>
      <c r="G1035" s="1">
        <v>4600189758000</v>
      </c>
      <c r="H1035" s="1">
        <v>3956163307200</v>
      </c>
      <c r="I1035">
        <f t="shared" si="16"/>
        <v>0</v>
      </c>
    </row>
    <row r="1036" spans="1:9" x14ac:dyDescent="0.3">
      <c r="A1036">
        <v>20190220</v>
      </c>
      <c r="B1036">
        <v>84990</v>
      </c>
      <c r="C1036" s="8">
        <v>288300</v>
      </c>
      <c r="D1036" s="8">
        <v>290600</v>
      </c>
      <c r="E1036">
        <v>285185</v>
      </c>
      <c r="F1036" s="8">
        <v>15956260</v>
      </c>
      <c r="G1036" s="1">
        <v>4636889156000</v>
      </c>
      <c r="H1036" s="1">
        <v>3987724790400</v>
      </c>
      <c r="I1036">
        <f t="shared" si="16"/>
        <v>0</v>
      </c>
    </row>
    <row r="1037" spans="1:9" x14ac:dyDescent="0.3">
      <c r="A1037">
        <v>20190221</v>
      </c>
      <c r="B1037">
        <v>84990</v>
      </c>
      <c r="C1037" s="8">
        <v>290600</v>
      </c>
      <c r="D1037" s="8">
        <v>287200</v>
      </c>
      <c r="E1037">
        <v>281848</v>
      </c>
      <c r="F1037" s="8">
        <v>15956260</v>
      </c>
      <c r="G1037" s="1">
        <v>4582637872000</v>
      </c>
      <c r="H1037" s="1">
        <v>3941068684800</v>
      </c>
      <c r="I1037">
        <f t="shared" si="16"/>
        <v>0</v>
      </c>
    </row>
    <row r="1038" spans="1:9" x14ac:dyDescent="0.3">
      <c r="A1038">
        <v>20190222</v>
      </c>
      <c r="B1038">
        <v>84990</v>
      </c>
      <c r="C1038" s="8">
        <v>287200</v>
      </c>
      <c r="D1038" s="8">
        <v>287500</v>
      </c>
      <c r="E1038">
        <v>282142</v>
      </c>
      <c r="F1038" s="8">
        <v>15956260</v>
      </c>
      <c r="G1038" s="1">
        <v>4587424750000</v>
      </c>
      <c r="H1038" s="1">
        <v>3945185400000</v>
      </c>
      <c r="I1038">
        <f t="shared" si="16"/>
        <v>0</v>
      </c>
    </row>
    <row r="1039" spans="1:9" x14ac:dyDescent="0.3">
      <c r="A1039">
        <v>20190225</v>
      </c>
      <c r="B1039">
        <v>84990</v>
      </c>
      <c r="C1039" s="8">
        <v>287500</v>
      </c>
      <c r="D1039" s="8">
        <v>283000</v>
      </c>
      <c r="E1039">
        <v>277726</v>
      </c>
      <c r="F1039" s="8">
        <v>15956260</v>
      </c>
      <c r="G1039" s="1">
        <v>4515621580000</v>
      </c>
      <c r="H1039" s="1">
        <v>3883434672000</v>
      </c>
      <c r="I1039">
        <f t="shared" si="16"/>
        <v>0</v>
      </c>
    </row>
    <row r="1040" spans="1:9" x14ac:dyDescent="0.3">
      <c r="A1040">
        <v>20190226</v>
      </c>
      <c r="B1040">
        <v>84990</v>
      </c>
      <c r="C1040" s="8">
        <v>283000</v>
      </c>
      <c r="D1040" s="8">
        <v>281500</v>
      </c>
      <c r="E1040">
        <v>276254</v>
      </c>
      <c r="F1040" s="8">
        <v>15956260</v>
      </c>
      <c r="G1040" s="1">
        <v>4491687190000</v>
      </c>
      <c r="H1040" s="1">
        <v>3862851096000</v>
      </c>
      <c r="I1040">
        <f t="shared" si="16"/>
        <v>0</v>
      </c>
    </row>
    <row r="1041" spans="1:9" x14ac:dyDescent="0.3">
      <c r="A1041">
        <v>20190227</v>
      </c>
      <c r="B1041">
        <v>84990</v>
      </c>
      <c r="C1041" s="8">
        <v>281500</v>
      </c>
      <c r="D1041" s="8">
        <v>277300</v>
      </c>
      <c r="E1041">
        <v>272132</v>
      </c>
      <c r="F1041" s="8">
        <v>15956260</v>
      </c>
      <c r="G1041" s="1">
        <v>4424670898000</v>
      </c>
      <c r="H1041" s="1">
        <v>3805217083200</v>
      </c>
      <c r="I1041">
        <f t="shared" si="16"/>
        <v>0</v>
      </c>
    </row>
    <row r="1042" spans="1:9" x14ac:dyDescent="0.3">
      <c r="A1042">
        <v>20190228</v>
      </c>
      <c r="B1042">
        <v>84990</v>
      </c>
      <c r="C1042" s="8">
        <v>277300</v>
      </c>
      <c r="D1042" s="8">
        <v>277800</v>
      </c>
      <c r="E1042">
        <v>272623</v>
      </c>
      <c r="F1042" s="8">
        <v>15956260</v>
      </c>
      <c r="G1042" s="1">
        <v>4432649028000</v>
      </c>
      <c r="H1042" s="1">
        <v>3812078275200</v>
      </c>
      <c r="I1042">
        <f t="shared" si="16"/>
        <v>0</v>
      </c>
    </row>
    <row r="1043" spans="1:9" x14ac:dyDescent="0.3">
      <c r="A1043">
        <v>20190304</v>
      </c>
      <c r="B1043">
        <v>84990</v>
      </c>
      <c r="C1043" s="8">
        <v>277800</v>
      </c>
      <c r="D1043" s="8">
        <v>290800</v>
      </c>
      <c r="E1043">
        <v>285381</v>
      </c>
      <c r="F1043" s="8">
        <v>15956260</v>
      </c>
      <c r="G1043" s="1">
        <v>4640080408000</v>
      </c>
      <c r="H1043" s="1">
        <v>3990469267200</v>
      </c>
      <c r="I1043">
        <f t="shared" si="16"/>
        <v>0</v>
      </c>
    </row>
    <row r="1044" spans="1:9" x14ac:dyDescent="0.3">
      <c r="A1044">
        <v>20190305</v>
      </c>
      <c r="B1044">
        <v>84990</v>
      </c>
      <c r="C1044" s="8">
        <v>290800</v>
      </c>
      <c r="D1044" s="8">
        <v>298000</v>
      </c>
      <c r="E1044">
        <v>292447</v>
      </c>
      <c r="F1044" s="8">
        <v>15956260</v>
      </c>
      <c r="G1044" s="1">
        <v>4754965480000</v>
      </c>
      <c r="H1044" s="1">
        <v>4089270432000</v>
      </c>
      <c r="I1044">
        <f t="shared" si="16"/>
        <v>0</v>
      </c>
    </row>
    <row r="1045" spans="1:9" x14ac:dyDescent="0.3">
      <c r="A1045">
        <v>20190306</v>
      </c>
      <c r="B1045">
        <v>84990</v>
      </c>
      <c r="C1045" s="8">
        <v>298000</v>
      </c>
      <c r="D1045" s="8">
        <v>297600</v>
      </c>
      <c r="E1045">
        <v>292054</v>
      </c>
      <c r="F1045" s="8">
        <v>15956260</v>
      </c>
      <c r="G1045" s="1">
        <v>4748582976000</v>
      </c>
      <c r="H1045" s="1">
        <v>4083781478400</v>
      </c>
      <c r="I1045">
        <f t="shared" si="16"/>
        <v>0</v>
      </c>
    </row>
    <row r="1046" spans="1:9" x14ac:dyDescent="0.3">
      <c r="A1046">
        <v>20190307</v>
      </c>
      <c r="B1046">
        <v>84990</v>
      </c>
      <c r="C1046" s="8">
        <v>297600</v>
      </c>
      <c r="D1046" s="8">
        <v>284000</v>
      </c>
      <c r="E1046">
        <v>278708</v>
      </c>
      <c r="F1046" s="8">
        <v>15956260</v>
      </c>
      <c r="G1046" s="1">
        <v>4531577840000</v>
      </c>
      <c r="H1046" s="1">
        <v>3897157056000</v>
      </c>
      <c r="I1046">
        <f t="shared" si="16"/>
        <v>0</v>
      </c>
    </row>
    <row r="1047" spans="1:9" x14ac:dyDescent="0.3">
      <c r="A1047">
        <v>20190308</v>
      </c>
      <c r="B1047">
        <v>84990</v>
      </c>
      <c r="C1047" s="8">
        <v>284000</v>
      </c>
      <c r="D1047" s="8">
        <v>281500</v>
      </c>
      <c r="E1047">
        <v>276254</v>
      </c>
      <c r="F1047" s="8">
        <v>15956260</v>
      </c>
      <c r="G1047" s="1">
        <v>4491687190000</v>
      </c>
      <c r="H1047" s="1">
        <v>3862851096000</v>
      </c>
      <c r="I1047">
        <f t="shared" si="16"/>
        <v>0</v>
      </c>
    </row>
    <row r="1048" spans="1:9" x14ac:dyDescent="0.3">
      <c r="A1048">
        <v>20190311</v>
      </c>
      <c r="B1048">
        <v>84990</v>
      </c>
      <c r="C1048" s="8">
        <v>281500</v>
      </c>
      <c r="D1048" s="8">
        <v>288100</v>
      </c>
      <c r="E1048">
        <v>282731</v>
      </c>
      <c r="F1048" s="8">
        <v>15956260</v>
      </c>
      <c r="G1048" s="1">
        <v>4596998506000</v>
      </c>
      <c r="H1048" s="1">
        <v>3953418830400</v>
      </c>
      <c r="I1048">
        <f t="shared" si="16"/>
        <v>0</v>
      </c>
    </row>
    <row r="1049" spans="1:9" x14ac:dyDescent="0.3">
      <c r="A1049">
        <v>20190312</v>
      </c>
      <c r="B1049">
        <v>84990</v>
      </c>
      <c r="C1049" s="8">
        <v>288100</v>
      </c>
      <c r="D1049" s="8">
        <v>301500</v>
      </c>
      <c r="E1049">
        <v>295881</v>
      </c>
      <c r="F1049" s="8">
        <v>15956260</v>
      </c>
      <c r="G1049" s="1">
        <v>4810812390000</v>
      </c>
      <c r="H1049" s="1">
        <v>4137298776000</v>
      </c>
      <c r="I1049">
        <f t="shared" si="16"/>
        <v>0</v>
      </c>
    </row>
    <row r="1050" spans="1:9" x14ac:dyDescent="0.3">
      <c r="A1050">
        <v>20190313</v>
      </c>
      <c r="B1050">
        <v>84990</v>
      </c>
      <c r="C1050" s="8">
        <v>301500</v>
      </c>
      <c r="D1050" s="8">
        <v>312200</v>
      </c>
      <c r="E1050">
        <v>306382</v>
      </c>
      <c r="F1050" s="8">
        <v>15956260</v>
      </c>
      <c r="G1050" s="1">
        <v>4981544372000</v>
      </c>
      <c r="H1050" s="1">
        <v>4284128284800</v>
      </c>
      <c r="I1050">
        <f t="shared" si="16"/>
        <v>0</v>
      </c>
    </row>
    <row r="1051" spans="1:9" x14ac:dyDescent="0.3">
      <c r="A1051">
        <v>20190314</v>
      </c>
      <c r="B1051">
        <v>84990</v>
      </c>
      <c r="C1051" s="8">
        <v>312200</v>
      </c>
      <c r="D1051" s="8">
        <v>306800</v>
      </c>
      <c r="E1051">
        <v>301083</v>
      </c>
      <c r="F1051" s="8">
        <v>15956260</v>
      </c>
      <c r="G1051" s="1">
        <v>4895380568000</v>
      </c>
      <c r="H1051" s="1">
        <v>4210027411200</v>
      </c>
      <c r="I1051">
        <f t="shared" si="16"/>
        <v>0</v>
      </c>
    </row>
    <row r="1052" spans="1:9" x14ac:dyDescent="0.3">
      <c r="A1052">
        <v>20190315</v>
      </c>
      <c r="B1052">
        <v>84990</v>
      </c>
      <c r="C1052" s="8">
        <v>306800</v>
      </c>
      <c r="D1052" s="8">
        <v>305500</v>
      </c>
      <c r="E1052">
        <v>299807</v>
      </c>
      <c r="F1052" s="8">
        <v>15956260</v>
      </c>
      <c r="G1052" s="1">
        <v>4874637430000</v>
      </c>
      <c r="H1052" s="1">
        <v>4192188312000</v>
      </c>
      <c r="I1052">
        <f t="shared" si="16"/>
        <v>0</v>
      </c>
    </row>
    <row r="1053" spans="1:9" x14ac:dyDescent="0.3">
      <c r="A1053">
        <v>20190318</v>
      </c>
      <c r="B1053">
        <v>84990</v>
      </c>
      <c r="C1053" s="8">
        <v>305500</v>
      </c>
      <c r="D1053" s="8">
        <v>299400</v>
      </c>
      <c r="E1053">
        <v>293821</v>
      </c>
      <c r="F1053" s="8">
        <v>15956260</v>
      </c>
      <c r="G1053" s="1">
        <v>4777304244000</v>
      </c>
      <c r="H1053" s="1">
        <v>4108481769600</v>
      </c>
      <c r="I1053">
        <f t="shared" si="16"/>
        <v>0</v>
      </c>
    </row>
    <row r="1054" spans="1:9" x14ac:dyDescent="0.3">
      <c r="A1054">
        <v>20190319</v>
      </c>
      <c r="B1054">
        <v>84990</v>
      </c>
      <c r="C1054" s="8">
        <v>299400</v>
      </c>
      <c r="D1054" s="8">
        <v>289800</v>
      </c>
      <c r="E1054">
        <v>284400</v>
      </c>
      <c r="F1054" s="8">
        <v>15956260</v>
      </c>
      <c r="G1054" s="1">
        <v>4624124148000</v>
      </c>
      <c r="H1054" s="1">
        <v>3976746883200</v>
      </c>
      <c r="I1054">
        <f t="shared" si="16"/>
        <v>0</v>
      </c>
    </row>
    <row r="1055" spans="1:9" x14ac:dyDescent="0.3">
      <c r="A1055">
        <v>20190320</v>
      </c>
      <c r="B1055">
        <v>84990</v>
      </c>
      <c r="C1055" s="8">
        <v>289800</v>
      </c>
      <c r="D1055" s="8">
        <v>294700</v>
      </c>
      <c r="E1055">
        <v>289208</v>
      </c>
      <c r="F1055" s="8">
        <v>15956260</v>
      </c>
      <c r="G1055" s="1">
        <v>4702309822000</v>
      </c>
      <c r="H1055" s="1">
        <v>4043986564800</v>
      </c>
      <c r="I1055">
        <f t="shared" si="16"/>
        <v>0</v>
      </c>
    </row>
    <row r="1056" spans="1:9" x14ac:dyDescent="0.3">
      <c r="A1056">
        <v>20190321</v>
      </c>
      <c r="B1056">
        <v>84990</v>
      </c>
      <c r="C1056" s="8">
        <v>294700</v>
      </c>
      <c r="D1056" s="8">
        <v>282800</v>
      </c>
      <c r="E1056">
        <v>277530</v>
      </c>
      <c r="F1056" s="8">
        <v>15956260</v>
      </c>
      <c r="G1056" s="1">
        <v>4512430328000</v>
      </c>
      <c r="H1056" s="1">
        <v>3880690195200</v>
      </c>
      <c r="I1056">
        <f t="shared" si="16"/>
        <v>0</v>
      </c>
    </row>
    <row r="1057" spans="1:9" x14ac:dyDescent="0.3">
      <c r="A1057">
        <v>20190322</v>
      </c>
      <c r="B1057">
        <v>84990</v>
      </c>
      <c r="C1057" s="8">
        <v>282800</v>
      </c>
      <c r="D1057" s="8">
        <v>281300</v>
      </c>
      <c r="E1057">
        <v>276058</v>
      </c>
      <c r="F1057" s="8">
        <v>15956260</v>
      </c>
      <c r="G1057" s="1">
        <v>4488495938000</v>
      </c>
      <c r="H1057" s="1">
        <v>3860106619200</v>
      </c>
      <c r="I1057">
        <f t="shared" si="16"/>
        <v>0</v>
      </c>
    </row>
    <row r="1058" spans="1:9" x14ac:dyDescent="0.3">
      <c r="A1058">
        <v>20190325</v>
      </c>
      <c r="B1058">
        <v>84990</v>
      </c>
      <c r="C1058" s="8">
        <v>281300</v>
      </c>
      <c r="D1058" s="8">
        <v>271500</v>
      </c>
      <c r="E1058">
        <v>266440</v>
      </c>
      <c r="F1058" s="8">
        <v>15956260</v>
      </c>
      <c r="G1058" s="1">
        <v>4332124590000</v>
      </c>
      <c r="H1058" s="1">
        <v>3725627256000</v>
      </c>
      <c r="I1058">
        <f t="shared" si="16"/>
        <v>0</v>
      </c>
    </row>
    <row r="1059" spans="1:9" x14ac:dyDescent="0.3">
      <c r="A1059">
        <v>20190326</v>
      </c>
      <c r="B1059">
        <v>84990</v>
      </c>
      <c r="C1059" s="8">
        <v>271500</v>
      </c>
      <c r="D1059" s="8">
        <v>286300</v>
      </c>
      <c r="E1059">
        <v>280965</v>
      </c>
      <c r="F1059" s="8">
        <v>15956260</v>
      </c>
      <c r="G1059" s="1">
        <v>4568277238000</v>
      </c>
      <c r="H1059" s="1">
        <v>3928718539200</v>
      </c>
      <c r="I1059">
        <f t="shared" si="16"/>
        <v>0</v>
      </c>
    </row>
    <row r="1060" spans="1:9" x14ac:dyDescent="0.3">
      <c r="A1060">
        <v>20190327</v>
      </c>
      <c r="B1060">
        <v>84990</v>
      </c>
      <c r="C1060" s="8">
        <v>286300</v>
      </c>
      <c r="D1060" s="8">
        <v>269600</v>
      </c>
      <c r="E1060">
        <v>264576</v>
      </c>
      <c r="F1060" s="8">
        <v>15956260</v>
      </c>
      <c r="G1060" s="1">
        <v>4301807696000</v>
      </c>
      <c r="H1060" s="1">
        <v>3699554726400</v>
      </c>
      <c r="I1060">
        <f t="shared" si="16"/>
        <v>0</v>
      </c>
    </row>
    <row r="1061" spans="1:9" x14ac:dyDescent="0.3">
      <c r="A1061">
        <v>20190328</v>
      </c>
      <c r="B1061">
        <v>84990</v>
      </c>
      <c r="C1061" s="8">
        <v>269600</v>
      </c>
      <c r="D1061" s="8">
        <v>270300</v>
      </c>
      <c r="E1061">
        <v>265263</v>
      </c>
      <c r="F1061" s="8">
        <v>15956260</v>
      </c>
      <c r="G1061" s="1">
        <v>4312977078000</v>
      </c>
      <c r="H1061" s="1">
        <v>3709160395200</v>
      </c>
      <c r="I1061">
        <f t="shared" si="16"/>
        <v>0</v>
      </c>
    </row>
    <row r="1062" spans="1:9" x14ac:dyDescent="0.3">
      <c r="A1062">
        <v>20190329</v>
      </c>
      <c r="B1062">
        <v>84990</v>
      </c>
      <c r="C1062" s="8">
        <v>270300</v>
      </c>
      <c r="D1062" s="8">
        <v>279800</v>
      </c>
      <c r="E1062">
        <v>274586</v>
      </c>
      <c r="F1062" s="8">
        <v>15956260</v>
      </c>
      <c r="G1062" s="1">
        <v>4464561548000</v>
      </c>
      <c r="H1062" s="1">
        <v>3839523043200</v>
      </c>
      <c r="I1062">
        <f t="shared" si="16"/>
        <v>0</v>
      </c>
    </row>
    <row r="1063" spans="1:9" x14ac:dyDescent="0.3">
      <c r="A1063">
        <v>20190401</v>
      </c>
      <c r="B1063">
        <v>84990</v>
      </c>
      <c r="C1063" s="8">
        <v>279800</v>
      </c>
      <c r="D1063" s="8">
        <v>274900</v>
      </c>
      <c r="E1063">
        <v>269777</v>
      </c>
      <c r="F1063" s="8">
        <v>15956260</v>
      </c>
      <c r="G1063" s="1">
        <v>4386375874000</v>
      </c>
      <c r="H1063" s="1">
        <v>3772283361600</v>
      </c>
      <c r="I1063">
        <f t="shared" si="16"/>
        <v>0</v>
      </c>
    </row>
    <row r="1064" spans="1:9" x14ac:dyDescent="0.3">
      <c r="A1064">
        <v>20190402</v>
      </c>
      <c r="B1064">
        <v>84990</v>
      </c>
      <c r="C1064" s="8">
        <v>274900</v>
      </c>
      <c r="D1064" s="8">
        <v>277000</v>
      </c>
      <c r="E1064">
        <v>271838</v>
      </c>
      <c r="F1064" s="8">
        <v>15956260</v>
      </c>
      <c r="G1064" s="1">
        <v>4419884020000</v>
      </c>
      <c r="H1064" s="1">
        <v>3801100368000</v>
      </c>
      <c r="I1064">
        <f t="shared" si="16"/>
        <v>0</v>
      </c>
    </row>
    <row r="1065" spans="1:9" x14ac:dyDescent="0.3">
      <c r="A1065">
        <v>20190403</v>
      </c>
      <c r="B1065">
        <v>84990</v>
      </c>
      <c r="C1065" s="8">
        <v>277000</v>
      </c>
      <c r="D1065" s="8">
        <v>279500</v>
      </c>
      <c r="E1065">
        <v>274291</v>
      </c>
      <c r="F1065" s="8">
        <v>15956260</v>
      </c>
      <c r="G1065" s="1">
        <v>4459774670000</v>
      </c>
      <c r="H1065" s="1">
        <v>3835406328000</v>
      </c>
      <c r="I1065">
        <f t="shared" si="16"/>
        <v>0</v>
      </c>
    </row>
    <row r="1066" spans="1:9" x14ac:dyDescent="0.3">
      <c r="A1066">
        <v>20190404</v>
      </c>
      <c r="B1066">
        <v>84990</v>
      </c>
      <c r="C1066" s="8">
        <v>279500</v>
      </c>
      <c r="D1066" s="8">
        <v>272900</v>
      </c>
      <c r="E1066">
        <v>267814</v>
      </c>
      <c r="F1066" s="8">
        <v>15956260</v>
      </c>
      <c r="G1066" s="1">
        <v>4354463354000</v>
      </c>
      <c r="H1066" s="1">
        <v>3744838593600</v>
      </c>
      <c r="I1066">
        <f t="shared" si="16"/>
        <v>0</v>
      </c>
    </row>
    <row r="1067" spans="1:9" x14ac:dyDescent="0.3">
      <c r="A1067">
        <v>20190405</v>
      </c>
      <c r="B1067">
        <v>84990</v>
      </c>
      <c r="C1067" s="8">
        <v>272900</v>
      </c>
      <c r="D1067" s="8">
        <v>265100</v>
      </c>
      <c r="E1067">
        <v>260160</v>
      </c>
      <c r="F1067" s="8">
        <v>15956260</v>
      </c>
      <c r="G1067" s="1">
        <v>4230004526000</v>
      </c>
      <c r="H1067" s="1">
        <v>3637803998400</v>
      </c>
      <c r="I1067">
        <f t="shared" si="16"/>
        <v>0</v>
      </c>
    </row>
    <row r="1068" spans="1:9" x14ac:dyDescent="0.3">
      <c r="A1068">
        <v>20190408</v>
      </c>
      <c r="B1068">
        <v>84990</v>
      </c>
      <c r="C1068" s="8">
        <v>265100</v>
      </c>
      <c r="D1068" s="8">
        <v>271200</v>
      </c>
      <c r="E1068">
        <v>266146</v>
      </c>
      <c r="F1068" s="8">
        <v>15956260</v>
      </c>
      <c r="G1068" s="1">
        <v>4327337712000</v>
      </c>
      <c r="H1068" s="1">
        <v>3721510540800</v>
      </c>
      <c r="I1068">
        <f t="shared" si="16"/>
        <v>0</v>
      </c>
    </row>
    <row r="1069" spans="1:9" x14ac:dyDescent="0.3">
      <c r="A1069">
        <v>20190409</v>
      </c>
      <c r="B1069">
        <v>84990</v>
      </c>
      <c r="C1069" s="8">
        <v>271200</v>
      </c>
      <c r="D1069" s="8">
        <v>270900</v>
      </c>
      <c r="E1069">
        <v>265852</v>
      </c>
      <c r="F1069" s="8">
        <v>15956260</v>
      </c>
      <c r="G1069" s="1">
        <v>4322550834000</v>
      </c>
      <c r="H1069" s="1">
        <v>3717393825600</v>
      </c>
      <c r="I1069">
        <f t="shared" si="16"/>
        <v>0</v>
      </c>
    </row>
    <row r="1070" spans="1:9" x14ac:dyDescent="0.3">
      <c r="A1070">
        <v>20190410</v>
      </c>
      <c r="B1070">
        <v>84990</v>
      </c>
      <c r="C1070" s="8">
        <v>270900</v>
      </c>
      <c r="D1070" s="8">
        <v>278000</v>
      </c>
      <c r="E1070">
        <v>272819</v>
      </c>
      <c r="F1070" s="8">
        <v>15956260</v>
      </c>
      <c r="G1070" s="1">
        <v>4435840280000</v>
      </c>
      <c r="H1070" s="1">
        <v>3814822752000</v>
      </c>
      <c r="I1070">
        <f t="shared" si="16"/>
        <v>0</v>
      </c>
    </row>
    <row r="1071" spans="1:9" x14ac:dyDescent="0.3">
      <c r="A1071">
        <v>20190411</v>
      </c>
      <c r="B1071">
        <v>84990</v>
      </c>
      <c r="C1071" s="8">
        <v>278000</v>
      </c>
      <c r="D1071" s="8">
        <v>278500</v>
      </c>
      <c r="E1071">
        <v>273310</v>
      </c>
      <c r="F1071" s="8">
        <v>15956260</v>
      </c>
      <c r="G1071" s="1">
        <v>4443818410000</v>
      </c>
      <c r="H1071" s="1">
        <v>3821683944000</v>
      </c>
      <c r="I1071">
        <f t="shared" si="16"/>
        <v>0</v>
      </c>
    </row>
    <row r="1072" spans="1:9" x14ac:dyDescent="0.3">
      <c r="A1072">
        <v>20190412</v>
      </c>
      <c r="B1072">
        <v>84990</v>
      </c>
      <c r="C1072" s="8">
        <v>278500</v>
      </c>
      <c r="D1072" s="8">
        <v>274100</v>
      </c>
      <c r="E1072">
        <v>268992</v>
      </c>
      <c r="F1072" s="8">
        <v>15956260</v>
      </c>
      <c r="G1072" s="1">
        <v>4373610866000</v>
      </c>
      <c r="H1072" s="1">
        <v>3761305454400</v>
      </c>
      <c r="I1072">
        <f t="shared" si="16"/>
        <v>0</v>
      </c>
    </row>
    <row r="1073" spans="1:9" x14ac:dyDescent="0.3">
      <c r="A1073">
        <v>20190415</v>
      </c>
      <c r="B1073">
        <v>84990</v>
      </c>
      <c r="C1073" s="8">
        <v>274100</v>
      </c>
      <c r="D1073" s="8">
        <v>268400</v>
      </c>
      <c r="E1073">
        <v>263398</v>
      </c>
      <c r="F1073" s="8">
        <v>15956260</v>
      </c>
      <c r="G1073" s="1">
        <v>4282660184000</v>
      </c>
      <c r="H1073" s="1">
        <v>3683087865600</v>
      </c>
      <c r="I1073">
        <f t="shared" si="16"/>
        <v>0</v>
      </c>
    </row>
    <row r="1074" spans="1:9" x14ac:dyDescent="0.3">
      <c r="A1074">
        <v>20190416</v>
      </c>
      <c r="B1074">
        <v>84990</v>
      </c>
      <c r="C1074" s="8">
        <v>268400</v>
      </c>
      <c r="D1074" s="8">
        <v>270200</v>
      </c>
      <c r="E1074">
        <v>265165</v>
      </c>
      <c r="F1074" s="8">
        <v>15956260</v>
      </c>
      <c r="G1074" s="1">
        <v>4311381452000</v>
      </c>
      <c r="H1074" s="1">
        <v>3707788156800</v>
      </c>
      <c r="I1074">
        <f t="shared" si="16"/>
        <v>0</v>
      </c>
    </row>
    <row r="1075" spans="1:9" x14ac:dyDescent="0.3">
      <c r="A1075">
        <v>20190417</v>
      </c>
      <c r="B1075">
        <v>84990</v>
      </c>
      <c r="C1075" s="8">
        <v>270200</v>
      </c>
      <c r="D1075" s="8">
        <v>266500</v>
      </c>
      <c r="E1075">
        <v>261534</v>
      </c>
      <c r="F1075" s="8">
        <v>15956260</v>
      </c>
      <c r="G1075" s="1">
        <v>4252343290000</v>
      </c>
      <c r="H1075" s="1">
        <v>3657015336000</v>
      </c>
      <c r="I1075">
        <f t="shared" si="16"/>
        <v>0</v>
      </c>
    </row>
    <row r="1076" spans="1:9" x14ac:dyDescent="0.3">
      <c r="A1076">
        <v>20190418</v>
      </c>
      <c r="B1076">
        <v>84990</v>
      </c>
      <c r="C1076" s="8">
        <v>266500</v>
      </c>
      <c r="D1076" s="8">
        <v>257500</v>
      </c>
      <c r="E1076">
        <v>252701</v>
      </c>
      <c r="F1076" s="8">
        <v>15956260</v>
      </c>
      <c r="G1076" s="1">
        <v>4108736950000</v>
      </c>
      <c r="H1076" s="1">
        <v>3533513880000</v>
      </c>
      <c r="I1076">
        <f t="shared" si="16"/>
        <v>0</v>
      </c>
    </row>
    <row r="1077" spans="1:9" x14ac:dyDescent="0.3">
      <c r="A1077">
        <v>20190419</v>
      </c>
      <c r="B1077">
        <v>84990</v>
      </c>
      <c r="C1077" s="8">
        <v>257500</v>
      </c>
      <c r="D1077" s="8">
        <v>261500</v>
      </c>
      <c r="E1077">
        <v>256627</v>
      </c>
      <c r="F1077" s="8">
        <v>15956260</v>
      </c>
      <c r="G1077" s="1">
        <v>4172561990000</v>
      </c>
      <c r="H1077" s="1">
        <v>3588403416000</v>
      </c>
      <c r="I1077">
        <f t="shared" si="16"/>
        <v>0</v>
      </c>
    </row>
    <row r="1078" spans="1:9" x14ac:dyDescent="0.3">
      <c r="A1078">
        <v>20190422</v>
      </c>
      <c r="B1078">
        <v>84990</v>
      </c>
      <c r="C1078" s="8">
        <v>261500</v>
      </c>
      <c r="D1078" s="8">
        <v>259300</v>
      </c>
      <c r="E1078">
        <v>254468</v>
      </c>
      <c r="F1078" s="8">
        <v>15956260</v>
      </c>
      <c r="G1078" s="1">
        <v>4137458218000</v>
      </c>
      <c r="H1078" s="1">
        <v>3558214171200</v>
      </c>
      <c r="I1078">
        <f t="shared" si="16"/>
        <v>0</v>
      </c>
    </row>
    <row r="1079" spans="1:9" x14ac:dyDescent="0.3">
      <c r="A1079">
        <v>20190423</v>
      </c>
      <c r="B1079">
        <v>84990</v>
      </c>
      <c r="C1079" s="8">
        <v>259300</v>
      </c>
      <c r="D1079" s="8">
        <v>259300</v>
      </c>
      <c r="E1079">
        <v>254468</v>
      </c>
      <c r="F1079" s="8">
        <v>15956260</v>
      </c>
      <c r="G1079" s="1">
        <v>4137458218000</v>
      </c>
      <c r="H1079" s="1">
        <v>3558214171200</v>
      </c>
      <c r="I1079">
        <f t="shared" si="16"/>
        <v>0</v>
      </c>
    </row>
    <row r="1080" spans="1:9" x14ac:dyDescent="0.3">
      <c r="A1080">
        <v>20190424</v>
      </c>
      <c r="B1080">
        <v>84990</v>
      </c>
      <c r="C1080" s="8">
        <v>259300</v>
      </c>
      <c r="D1080" s="8">
        <v>258900</v>
      </c>
      <c r="E1080">
        <v>254075</v>
      </c>
      <c r="F1080" s="8">
        <v>15956260</v>
      </c>
      <c r="G1080" s="1">
        <v>4131075714000</v>
      </c>
      <c r="H1080" s="1">
        <v>3552725217600</v>
      </c>
      <c r="I1080">
        <f t="shared" si="16"/>
        <v>0</v>
      </c>
    </row>
    <row r="1081" spans="1:9" x14ac:dyDescent="0.3">
      <c r="A1081">
        <v>20190425</v>
      </c>
      <c r="B1081">
        <v>84990</v>
      </c>
      <c r="C1081" s="8">
        <v>258900</v>
      </c>
      <c r="D1081" s="8">
        <v>254200</v>
      </c>
      <c r="E1081">
        <v>249463</v>
      </c>
      <c r="F1081" s="8">
        <v>15956260</v>
      </c>
      <c r="G1081" s="1">
        <v>4056081292000</v>
      </c>
      <c r="H1081" s="1">
        <v>3488230012800</v>
      </c>
      <c r="I1081">
        <f t="shared" si="16"/>
        <v>0</v>
      </c>
    </row>
    <row r="1082" spans="1:9" x14ac:dyDescent="0.3">
      <c r="A1082">
        <v>20190426</v>
      </c>
      <c r="B1082">
        <v>84990</v>
      </c>
      <c r="C1082" s="8">
        <v>254200</v>
      </c>
      <c r="D1082" s="8">
        <v>254200</v>
      </c>
      <c r="E1082">
        <v>249463</v>
      </c>
      <c r="F1082" s="8">
        <v>15956260</v>
      </c>
      <c r="G1082" s="1">
        <v>4056081292000</v>
      </c>
      <c r="H1082" s="1">
        <v>3488230012800</v>
      </c>
      <c r="I1082">
        <f t="shared" si="16"/>
        <v>0</v>
      </c>
    </row>
    <row r="1083" spans="1:9" x14ac:dyDescent="0.3">
      <c r="A1083">
        <v>20190429</v>
      </c>
      <c r="B1083">
        <v>84990</v>
      </c>
      <c r="C1083" s="8">
        <v>254200</v>
      </c>
      <c r="D1083" s="8">
        <v>258400</v>
      </c>
      <c r="E1083">
        <v>253585</v>
      </c>
      <c r="F1083" s="8">
        <v>15956260</v>
      </c>
      <c r="G1083" s="1">
        <v>4123097584000</v>
      </c>
      <c r="H1083" s="1">
        <v>3545864025600</v>
      </c>
      <c r="I1083">
        <f t="shared" si="16"/>
        <v>0</v>
      </c>
    </row>
    <row r="1084" spans="1:9" x14ac:dyDescent="0.3">
      <c r="A1084">
        <v>20190430</v>
      </c>
      <c r="B1084">
        <v>84990</v>
      </c>
      <c r="C1084" s="8">
        <v>258400</v>
      </c>
      <c r="D1084" s="8">
        <v>260300</v>
      </c>
      <c r="E1084">
        <v>255449</v>
      </c>
      <c r="F1084" s="8">
        <v>15956260</v>
      </c>
      <c r="G1084" s="1">
        <v>4153414478000</v>
      </c>
      <c r="H1084" s="1">
        <v>3571936555200</v>
      </c>
      <c r="I1084">
        <f t="shared" si="16"/>
        <v>0</v>
      </c>
    </row>
    <row r="1085" spans="1:9" x14ac:dyDescent="0.3">
      <c r="A1085">
        <v>20190502</v>
      </c>
      <c r="B1085">
        <v>84990</v>
      </c>
      <c r="C1085" s="8">
        <v>260300</v>
      </c>
      <c r="D1085" s="8">
        <v>249800</v>
      </c>
      <c r="E1085">
        <v>245145</v>
      </c>
      <c r="F1085" s="8">
        <v>15956260</v>
      </c>
      <c r="G1085" s="1">
        <v>3985873748000</v>
      </c>
      <c r="H1085" s="1">
        <v>3427851523200</v>
      </c>
      <c r="I1085">
        <f t="shared" si="16"/>
        <v>0</v>
      </c>
    </row>
    <row r="1086" spans="1:9" x14ac:dyDescent="0.3">
      <c r="A1086">
        <v>20190503</v>
      </c>
      <c r="B1086">
        <v>84990</v>
      </c>
      <c r="C1086" s="8">
        <v>249800</v>
      </c>
      <c r="D1086" s="8">
        <v>248000</v>
      </c>
      <c r="E1086">
        <v>243378</v>
      </c>
      <c r="F1086" s="8">
        <v>15956260</v>
      </c>
      <c r="G1086" s="1">
        <v>3957152480000</v>
      </c>
      <c r="H1086" s="1">
        <v>3403151232000</v>
      </c>
      <c r="I1086">
        <f t="shared" si="16"/>
        <v>0</v>
      </c>
    </row>
    <row r="1087" spans="1:9" x14ac:dyDescent="0.3">
      <c r="A1087">
        <v>20190507</v>
      </c>
      <c r="B1087">
        <v>84990</v>
      </c>
      <c r="C1087" s="8">
        <v>248000</v>
      </c>
      <c r="D1087" s="8">
        <v>239500</v>
      </c>
      <c r="E1087">
        <v>235037</v>
      </c>
      <c r="F1087" s="8">
        <v>15956260</v>
      </c>
      <c r="G1087" s="1">
        <v>3821524270000</v>
      </c>
      <c r="H1087" s="1">
        <v>3286510968000</v>
      </c>
      <c r="I1087">
        <f t="shared" si="16"/>
        <v>0</v>
      </c>
    </row>
    <row r="1088" spans="1:9" x14ac:dyDescent="0.3">
      <c r="A1088">
        <v>20190508</v>
      </c>
      <c r="B1088">
        <v>84990</v>
      </c>
      <c r="C1088" s="8">
        <v>239500</v>
      </c>
      <c r="D1088" s="8">
        <v>231300</v>
      </c>
      <c r="E1088">
        <v>226990</v>
      </c>
      <c r="F1088" s="8">
        <v>15956260</v>
      </c>
      <c r="G1088" s="1">
        <v>3690682938000</v>
      </c>
      <c r="H1088" s="1">
        <v>3173987419200</v>
      </c>
      <c r="I1088">
        <f t="shared" si="16"/>
        <v>0</v>
      </c>
    </row>
    <row r="1089" spans="1:9" x14ac:dyDescent="0.3">
      <c r="A1089">
        <v>20190509</v>
      </c>
      <c r="B1089">
        <v>84990</v>
      </c>
      <c r="C1089" s="8">
        <v>231300</v>
      </c>
      <c r="D1089" s="8">
        <v>228100</v>
      </c>
      <c r="E1089">
        <v>223849</v>
      </c>
      <c r="F1089" s="8">
        <v>15956260</v>
      </c>
      <c r="G1089" s="1">
        <v>3639622906000</v>
      </c>
      <c r="H1089" s="1">
        <v>3130075790400</v>
      </c>
      <c r="I1089">
        <f t="shared" si="16"/>
        <v>0</v>
      </c>
    </row>
    <row r="1090" spans="1:9" x14ac:dyDescent="0.3">
      <c r="A1090">
        <v>20190510</v>
      </c>
      <c r="B1090">
        <v>84990</v>
      </c>
      <c r="C1090" s="8">
        <v>228100</v>
      </c>
      <c r="D1090" s="8">
        <v>225500</v>
      </c>
      <c r="E1090">
        <v>221298</v>
      </c>
      <c r="F1090" s="8">
        <v>15956260</v>
      </c>
      <c r="G1090" s="1">
        <v>3598136630000</v>
      </c>
      <c r="H1090" s="1">
        <v>3094397592000</v>
      </c>
      <c r="I1090">
        <f t="shared" si="16"/>
        <v>0</v>
      </c>
    </row>
    <row r="1091" spans="1:9" x14ac:dyDescent="0.3">
      <c r="A1091">
        <v>20190513</v>
      </c>
      <c r="B1091">
        <v>84990</v>
      </c>
      <c r="C1091" s="8">
        <v>225500</v>
      </c>
      <c r="D1091" s="8">
        <v>223700</v>
      </c>
      <c r="E1091">
        <v>219531</v>
      </c>
      <c r="F1091" s="8">
        <v>15956260</v>
      </c>
      <c r="G1091" s="1">
        <v>3569415362000</v>
      </c>
      <c r="H1091" s="1">
        <v>3069697300800</v>
      </c>
      <c r="I1091">
        <f t="shared" ref="I1091:I1137" si="17">IF(C1091*F1091=D1090*F1090,0,1)</f>
        <v>0</v>
      </c>
    </row>
    <row r="1092" spans="1:9" x14ac:dyDescent="0.3">
      <c r="A1092">
        <v>20190514</v>
      </c>
      <c r="B1092">
        <v>84990</v>
      </c>
      <c r="C1092" s="8">
        <v>223700</v>
      </c>
      <c r="D1092" s="8">
        <v>225500</v>
      </c>
      <c r="E1092">
        <v>221298</v>
      </c>
      <c r="F1092" s="8">
        <v>15956260</v>
      </c>
      <c r="G1092" s="1">
        <v>3598136630000</v>
      </c>
      <c r="H1092" s="1">
        <v>3094397592000</v>
      </c>
      <c r="I1092">
        <f t="shared" si="17"/>
        <v>0</v>
      </c>
    </row>
    <row r="1093" spans="1:9" x14ac:dyDescent="0.3">
      <c r="A1093">
        <v>20190515</v>
      </c>
      <c r="B1093">
        <v>84990</v>
      </c>
      <c r="C1093" s="8">
        <v>225500</v>
      </c>
      <c r="D1093" s="8">
        <v>239400</v>
      </c>
      <c r="E1093">
        <v>234939</v>
      </c>
      <c r="F1093" s="8">
        <v>15956260</v>
      </c>
      <c r="G1093" s="1">
        <v>3819928644000</v>
      </c>
      <c r="H1093" s="1">
        <v>3285138729600</v>
      </c>
      <c r="I1093">
        <f t="shared" si="17"/>
        <v>0</v>
      </c>
    </row>
    <row r="1094" spans="1:9" x14ac:dyDescent="0.3">
      <c r="A1094">
        <v>20190516</v>
      </c>
      <c r="B1094">
        <v>84990</v>
      </c>
      <c r="C1094" s="8">
        <v>239400</v>
      </c>
      <c r="D1094" s="8">
        <v>224300</v>
      </c>
      <c r="E1094">
        <v>220120</v>
      </c>
      <c r="F1094" s="8">
        <v>15956260</v>
      </c>
      <c r="G1094" s="1">
        <v>3578989118000</v>
      </c>
      <c r="H1094" s="1">
        <v>3077930731200</v>
      </c>
      <c r="I1094">
        <f t="shared" si="17"/>
        <v>0</v>
      </c>
    </row>
    <row r="1095" spans="1:9" x14ac:dyDescent="0.3">
      <c r="A1095">
        <v>20190517</v>
      </c>
      <c r="B1095">
        <v>84990</v>
      </c>
      <c r="C1095" s="8">
        <v>224300</v>
      </c>
      <c r="D1095" s="8">
        <v>222500</v>
      </c>
      <c r="E1095">
        <v>218354</v>
      </c>
      <c r="F1095" s="8">
        <v>15956260</v>
      </c>
      <c r="G1095" s="1">
        <v>3550267850000</v>
      </c>
      <c r="H1095" s="1">
        <v>3053230440000</v>
      </c>
      <c r="I1095">
        <f t="shared" si="17"/>
        <v>0</v>
      </c>
    </row>
    <row r="1096" spans="1:9" x14ac:dyDescent="0.3">
      <c r="A1096">
        <v>20190520</v>
      </c>
      <c r="B1096">
        <v>84990</v>
      </c>
      <c r="C1096" s="8">
        <v>222500</v>
      </c>
      <c r="D1096" s="8">
        <v>211900</v>
      </c>
      <c r="E1096">
        <v>207951</v>
      </c>
      <c r="F1096" s="8">
        <v>15956260</v>
      </c>
      <c r="G1096" s="1">
        <v>3381131494000</v>
      </c>
      <c r="H1096" s="1">
        <v>2907773169600</v>
      </c>
      <c r="I1096">
        <f t="shared" si="17"/>
        <v>0</v>
      </c>
    </row>
    <row r="1097" spans="1:9" x14ac:dyDescent="0.3">
      <c r="A1097">
        <v>20190521</v>
      </c>
      <c r="B1097">
        <v>84990</v>
      </c>
      <c r="C1097" s="8">
        <v>211900</v>
      </c>
      <c r="D1097" s="8">
        <v>214200</v>
      </c>
      <c r="E1097">
        <v>210208</v>
      </c>
      <c r="F1097" s="8">
        <v>15956260</v>
      </c>
      <c r="G1097" s="1">
        <v>3417830892000</v>
      </c>
      <c r="H1097" s="1">
        <v>2939334652800</v>
      </c>
      <c r="I1097">
        <f t="shared" si="17"/>
        <v>0</v>
      </c>
    </row>
    <row r="1098" spans="1:9" x14ac:dyDescent="0.3">
      <c r="A1098">
        <v>20190522</v>
      </c>
      <c r="B1098">
        <v>84990</v>
      </c>
      <c r="C1098" s="8">
        <v>214200</v>
      </c>
      <c r="D1098" s="8">
        <v>214500</v>
      </c>
      <c r="E1098">
        <v>210503</v>
      </c>
      <c r="F1098" s="8">
        <v>15956260</v>
      </c>
      <c r="G1098" s="1">
        <v>3422617770000</v>
      </c>
      <c r="H1098" s="1">
        <v>2943451368000</v>
      </c>
      <c r="I1098">
        <f t="shared" si="17"/>
        <v>0</v>
      </c>
    </row>
    <row r="1099" spans="1:9" x14ac:dyDescent="0.3">
      <c r="A1099">
        <v>20190523</v>
      </c>
      <c r="B1099">
        <v>84990</v>
      </c>
      <c r="C1099" s="8">
        <v>214500</v>
      </c>
      <c r="D1099" s="8">
        <v>203500</v>
      </c>
      <c r="E1099">
        <v>199708</v>
      </c>
      <c r="F1099" s="8">
        <v>15956260</v>
      </c>
      <c r="G1099" s="1">
        <v>3247098910000</v>
      </c>
      <c r="H1099" s="1">
        <v>2792505144000</v>
      </c>
      <c r="I1099">
        <f t="shared" si="17"/>
        <v>0</v>
      </c>
    </row>
    <row r="1100" spans="1:9" x14ac:dyDescent="0.3">
      <c r="A1100">
        <v>20190524</v>
      </c>
      <c r="B1100">
        <v>84990</v>
      </c>
      <c r="C1100" s="8">
        <v>203500</v>
      </c>
      <c r="D1100" s="8">
        <v>211500</v>
      </c>
      <c r="E1100">
        <v>207559</v>
      </c>
      <c r="F1100" s="8">
        <v>15956260</v>
      </c>
      <c r="G1100" s="1">
        <v>3374748990000</v>
      </c>
      <c r="H1100" s="1">
        <v>2902284216000</v>
      </c>
      <c r="I1100">
        <f t="shared" si="17"/>
        <v>0</v>
      </c>
    </row>
    <row r="1101" spans="1:9" x14ac:dyDescent="0.3">
      <c r="A1101">
        <v>20190527</v>
      </c>
      <c r="B1101">
        <v>84990</v>
      </c>
      <c r="C1101" s="8">
        <v>211500</v>
      </c>
      <c r="D1101" s="8">
        <v>211500</v>
      </c>
      <c r="E1101">
        <v>207559</v>
      </c>
      <c r="F1101" s="8">
        <v>15956260</v>
      </c>
      <c r="G1101" s="1">
        <v>3374748990000</v>
      </c>
      <c r="H1101" s="1">
        <v>2902284216000</v>
      </c>
      <c r="I1101">
        <f t="shared" si="17"/>
        <v>0</v>
      </c>
    </row>
    <row r="1102" spans="1:9" x14ac:dyDescent="0.3">
      <c r="A1102">
        <v>20190528</v>
      </c>
      <c r="B1102">
        <v>84990</v>
      </c>
      <c r="C1102" s="8">
        <v>211500</v>
      </c>
      <c r="D1102" s="8">
        <v>218200</v>
      </c>
      <c r="E1102">
        <v>214134</v>
      </c>
      <c r="F1102" s="8">
        <v>15956260</v>
      </c>
      <c r="G1102" s="1">
        <v>3481655932000</v>
      </c>
      <c r="H1102" s="1">
        <v>2994224188800</v>
      </c>
      <c r="I1102">
        <f t="shared" si="17"/>
        <v>0</v>
      </c>
    </row>
    <row r="1103" spans="1:9" x14ac:dyDescent="0.3">
      <c r="A1103">
        <v>20190529</v>
      </c>
      <c r="B1103">
        <v>84990</v>
      </c>
      <c r="C1103" s="8">
        <v>218200</v>
      </c>
      <c r="D1103" s="8">
        <v>187900</v>
      </c>
      <c r="E1103">
        <v>184398</v>
      </c>
      <c r="F1103" s="8">
        <v>15956260</v>
      </c>
      <c r="G1103" s="1">
        <v>2998181254000</v>
      </c>
      <c r="H1103" s="1">
        <v>2578435953600</v>
      </c>
      <c r="I1103">
        <f t="shared" si="17"/>
        <v>0</v>
      </c>
    </row>
    <row r="1104" spans="1:9" x14ac:dyDescent="0.3">
      <c r="A1104">
        <v>20190530</v>
      </c>
      <c r="B1104">
        <v>84990</v>
      </c>
      <c r="C1104" s="8">
        <v>187900</v>
      </c>
      <c r="D1104" s="8">
        <v>183700</v>
      </c>
      <c r="E1104">
        <v>180277</v>
      </c>
      <c r="F1104" s="8">
        <v>15956260</v>
      </c>
      <c r="G1104" s="1">
        <v>2931164962000</v>
      </c>
      <c r="H1104" s="1">
        <v>2520801940800</v>
      </c>
      <c r="I1104">
        <f t="shared" si="17"/>
        <v>0</v>
      </c>
    </row>
    <row r="1105" spans="1:9" x14ac:dyDescent="0.3">
      <c r="A1105">
        <v>20190531</v>
      </c>
      <c r="B1105">
        <v>84990</v>
      </c>
      <c r="C1105" s="8">
        <v>183700</v>
      </c>
      <c r="D1105" s="8">
        <v>194800</v>
      </c>
      <c r="E1105">
        <v>191170</v>
      </c>
      <c r="F1105" s="8">
        <v>15956260</v>
      </c>
      <c r="G1105" s="1">
        <v>3108279448000</v>
      </c>
      <c r="H1105" s="1">
        <v>2673120403200</v>
      </c>
      <c r="I1105">
        <f t="shared" si="17"/>
        <v>0</v>
      </c>
    </row>
    <row r="1106" spans="1:9" x14ac:dyDescent="0.3">
      <c r="A1106">
        <v>20190603</v>
      </c>
      <c r="B1106">
        <v>84990</v>
      </c>
      <c r="C1106" s="8">
        <v>194800</v>
      </c>
      <c r="D1106" s="8">
        <v>190200</v>
      </c>
      <c r="E1106">
        <v>186655</v>
      </c>
      <c r="F1106" s="8">
        <v>15956260</v>
      </c>
      <c r="G1106" s="1">
        <v>3034880652000</v>
      </c>
      <c r="H1106" s="1">
        <v>2609997436800</v>
      </c>
      <c r="I1106">
        <f t="shared" si="17"/>
        <v>0</v>
      </c>
    </row>
    <row r="1107" spans="1:9" x14ac:dyDescent="0.3">
      <c r="A1107">
        <v>20190604</v>
      </c>
      <c r="B1107">
        <v>84990</v>
      </c>
      <c r="C1107" s="8">
        <v>190200</v>
      </c>
      <c r="D1107" s="8">
        <v>187100</v>
      </c>
      <c r="E1107">
        <v>183613</v>
      </c>
      <c r="F1107" s="8">
        <v>15956260</v>
      </c>
      <c r="G1107" s="1">
        <v>2985416246000</v>
      </c>
      <c r="H1107" s="1">
        <v>2567458046400</v>
      </c>
      <c r="I1107">
        <f t="shared" si="17"/>
        <v>0</v>
      </c>
    </row>
    <row r="1108" spans="1:9" x14ac:dyDescent="0.3">
      <c r="A1108">
        <v>20190605</v>
      </c>
      <c r="B1108">
        <v>84990</v>
      </c>
      <c r="C1108" s="8">
        <v>187100</v>
      </c>
      <c r="D1108" s="8">
        <v>187900</v>
      </c>
      <c r="E1108">
        <v>184398</v>
      </c>
      <c r="F1108" s="8">
        <v>15956260</v>
      </c>
      <c r="G1108" s="1">
        <v>2998181254000</v>
      </c>
      <c r="H1108" s="1">
        <v>2578435953600</v>
      </c>
      <c r="I1108">
        <f t="shared" si="17"/>
        <v>0</v>
      </c>
    </row>
    <row r="1109" spans="1:9" x14ac:dyDescent="0.3">
      <c r="A1109">
        <v>20190607</v>
      </c>
      <c r="B1109">
        <v>84990</v>
      </c>
      <c r="C1109" s="8">
        <v>187900</v>
      </c>
      <c r="D1109" s="8">
        <v>190700</v>
      </c>
      <c r="E1109">
        <v>187146</v>
      </c>
      <c r="F1109" s="8">
        <v>15956260</v>
      </c>
      <c r="G1109" s="1">
        <v>3042858782000</v>
      </c>
      <c r="H1109" s="1">
        <v>2616858628800</v>
      </c>
      <c r="I1109">
        <f t="shared" si="17"/>
        <v>0</v>
      </c>
    </row>
    <row r="1110" spans="1:9" x14ac:dyDescent="0.3">
      <c r="A1110">
        <v>20190610</v>
      </c>
      <c r="B1110">
        <v>84990</v>
      </c>
      <c r="C1110" s="8">
        <v>190700</v>
      </c>
      <c r="D1110" s="8">
        <v>191000</v>
      </c>
      <c r="E1110">
        <v>187440</v>
      </c>
      <c r="F1110" s="8">
        <v>15956260</v>
      </c>
      <c r="G1110" s="1">
        <v>3047645660000</v>
      </c>
      <c r="H1110" s="1">
        <v>2620975344000</v>
      </c>
      <c r="I1110">
        <f t="shared" si="17"/>
        <v>0</v>
      </c>
    </row>
    <row r="1111" spans="1:9" x14ac:dyDescent="0.3">
      <c r="A1111">
        <v>20190611</v>
      </c>
      <c r="B1111">
        <v>84990</v>
      </c>
      <c r="C1111" s="8">
        <v>191000</v>
      </c>
      <c r="D1111" s="8">
        <v>197400</v>
      </c>
      <c r="E1111">
        <v>193721</v>
      </c>
      <c r="F1111" s="8">
        <v>15956260</v>
      </c>
      <c r="G1111" s="1">
        <v>3149765724000</v>
      </c>
      <c r="H1111" s="1">
        <v>2708798601600</v>
      </c>
      <c r="I1111">
        <f t="shared" si="17"/>
        <v>0</v>
      </c>
    </row>
    <row r="1112" spans="1:9" x14ac:dyDescent="0.3">
      <c r="A1112">
        <v>20190612</v>
      </c>
      <c r="B1112">
        <v>84990</v>
      </c>
      <c r="C1112" s="8">
        <v>197400</v>
      </c>
      <c r="D1112" s="8">
        <v>192000</v>
      </c>
      <c r="E1112">
        <v>188422</v>
      </c>
      <c r="F1112" s="8">
        <v>15956260</v>
      </c>
      <c r="G1112" s="1">
        <v>3063601920000</v>
      </c>
      <c r="H1112" s="1">
        <v>2634697728000</v>
      </c>
      <c r="I1112">
        <f t="shared" si="17"/>
        <v>0</v>
      </c>
    </row>
    <row r="1113" spans="1:9" x14ac:dyDescent="0.3">
      <c r="A1113">
        <v>20190613</v>
      </c>
      <c r="B1113">
        <v>84990</v>
      </c>
      <c r="C1113" s="8">
        <v>192000</v>
      </c>
      <c r="D1113" s="8">
        <v>190800</v>
      </c>
      <c r="E1113">
        <v>187244</v>
      </c>
      <c r="F1113" s="8">
        <v>15956260</v>
      </c>
      <c r="G1113" s="1">
        <v>3044454408000</v>
      </c>
      <c r="H1113" s="1">
        <v>2618230867200</v>
      </c>
      <c r="I1113">
        <f t="shared" si="17"/>
        <v>0</v>
      </c>
    </row>
    <row r="1114" spans="1:9" x14ac:dyDescent="0.3">
      <c r="A1114">
        <v>20190614</v>
      </c>
      <c r="B1114">
        <v>84990</v>
      </c>
      <c r="C1114" s="8">
        <v>190800</v>
      </c>
      <c r="D1114" s="8">
        <v>190700</v>
      </c>
      <c r="E1114">
        <v>187146</v>
      </c>
      <c r="F1114" s="8">
        <v>15956260</v>
      </c>
      <c r="G1114" s="1">
        <v>3042858782000</v>
      </c>
      <c r="H1114" s="1">
        <v>2616858628800</v>
      </c>
      <c r="I1114">
        <f t="shared" si="17"/>
        <v>0</v>
      </c>
    </row>
    <row r="1115" spans="1:9" x14ac:dyDescent="0.3">
      <c r="A1115">
        <v>20190617</v>
      </c>
      <c r="B1115">
        <v>84990</v>
      </c>
      <c r="C1115" s="8">
        <v>190700</v>
      </c>
      <c r="D1115" s="8">
        <v>190300</v>
      </c>
      <c r="E1115">
        <v>186754</v>
      </c>
      <c r="F1115" s="8">
        <v>15956260</v>
      </c>
      <c r="G1115" s="1">
        <v>3036476278000</v>
      </c>
      <c r="H1115" s="1">
        <v>2611369675200</v>
      </c>
      <c r="I1115">
        <f t="shared" si="17"/>
        <v>0</v>
      </c>
    </row>
    <row r="1116" spans="1:9" x14ac:dyDescent="0.3">
      <c r="A1116">
        <v>20190618</v>
      </c>
      <c r="B1116">
        <v>84990</v>
      </c>
      <c r="C1116" s="8">
        <v>190300</v>
      </c>
      <c r="D1116" s="8">
        <v>185300</v>
      </c>
      <c r="E1116">
        <v>181847</v>
      </c>
      <c r="F1116" s="8">
        <v>15956260</v>
      </c>
      <c r="G1116" s="1">
        <v>2956694978000</v>
      </c>
      <c r="H1116" s="1">
        <v>2542757755200</v>
      </c>
      <c r="I1116">
        <f t="shared" si="17"/>
        <v>0</v>
      </c>
    </row>
    <row r="1117" spans="1:9" x14ac:dyDescent="0.3">
      <c r="A1117">
        <v>20190619</v>
      </c>
      <c r="B1117">
        <v>84990</v>
      </c>
      <c r="C1117" s="8">
        <v>185300</v>
      </c>
      <c r="D1117" s="8">
        <v>191500</v>
      </c>
      <c r="E1117">
        <v>187931</v>
      </c>
      <c r="F1117" s="8">
        <v>15956260</v>
      </c>
      <c r="G1117" s="1">
        <v>3055623790000</v>
      </c>
      <c r="H1117" s="1">
        <v>2627836536000</v>
      </c>
      <c r="I1117">
        <f t="shared" si="17"/>
        <v>0</v>
      </c>
    </row>
    <row r="1118" spans="1:9" x14ac:dyDescent="0.3">
      <c r="A1118">
        <v>20190620</v>
      </c>
      <c r="B1118">
        <v>84990</v>
      </c>
      <c r="C1118" s="8">
        <v>191500</v>
      </c>
      <c r="D1118" s="8">
        <v>195300</v>
      </c>
      <c r="E1118">
        <v>191660</v>
      </c>
      <c r="F1118" s="8">
        <v>15956260</v>
      </c>
      <c r="G1118" s="1">
        <v>3116257578000</v>
      </c>
      <c r="H1118" s="1">
        <v>2679981595200</v>
      </c>
      <c r="I1118">
        <f t="shared" si="17"/>
        <v>0</v>
      </c>
    </row>
    <row r="1119" spans="1:9" x14ac:dyDescent="0.3">
      <c r="A1119">
        <v>20190621</v>
      </c>
      <c r="B1119">
        <v>84990</v>
      </c>
      <c r="C1119" s="8">
        <v>195300</v>
      </c>
      <c r="D1119" s="8">
        <v>191800</v>
      </c>
      <c r="E1119">
        <v>188226</v>
      </c>
      <c r="F1119" s="8">
        <v>15956260</v>
      </c>
      <c r="G1119" s="1">
        <v>3060410668000</v>
      </c>
      <c r="H1119" s="1">
        <v>2631953251200</v>
      </c>
      <c r="I1119">
        <f t="shared" si="17"/>
        <v>0</v>
      </c>
    </row>
    <row r="1120" spans="1:9" x14ac:dyDescent="0.3">
      <c r="A1120">
        <v>20190624</v>
      </c>
      <c r="B1120">
        <v>84990</v>
      </c>
      <c r="C1120" s="8">
        <v>191800</v>
      </c>
      <c r="D1120" s="8">
        <v>193900</v>
      </c>
      <c r="E1120">
        <v>190286</v>
      </c>
      <c r="F1120" s="8">
        <v>15956260</v>
      </c>
      <c r="G1120" s="1">
        <v>3093918814000</v>
      </c>
      <c r="H1120" s="1">
        <v>2660770257600</v>
      </c>
      <c r="I1120">
        <f t="shared" si="17"/>
        <v>0</v>
      </c>
    </row>
    <row r="1121" spans="1:10" x14ac:dyDescent="0.3">
      <c r="A1121">
        <v>20190625</v>
      </c>
      <c r="B1121">
        <v>84990</v>
      </c>
      <c r="C1121" s="8">
        <v>193900</v>
      </c>
      <c r="D1121" s="8">
        <v>195000</v>
      </c>
      <c r="E1121">
        <v>191366</v>
      </c>
      <c r="F1121" s="8">
        <v>15956260</v>
      </c>
      <c r="G1121" s="1">
        <v>3111470700000</v>
      </c>
      <c r="H1121" s="1">
        <v>2675864880000</v>
      </c>
      <c r="I1121">
        <f t="shared" si="17"/>
        <v>0</v>
      </c>
    </row>
    <row r="1122" spans="1:10" x14ac:dyDescent="0.3">
      <c r="A1122">
        <v>20190626</v>
      </c>
      <c r="B1122">
        <v>84990</v>
      </c>
      <c r="C1122" s="8">
        <v>195000</v>
      </c>
      <c r="D1122" s="8">
        <v>203400</v>
      </c>
      <c r="E1122">
        <v>199609</v>
      </c>
      <c r="F1122" s="8">
        <v>15956260</v>
      </c>
      <c r="G1122" s="1">
        <v>3245503284000</v>
      </c>
      <c r="H1122" s="1">
        <v>2791132905600</v>
      </c>
      <c r="I1122">
        <f t="shared" si="17"/>
        <v>0</v>
      </c>
    </row>
    <row r="1123" spans="1:10" x14ac:dyDescent="0.3">
      <c r="A1123">
        <v>20190627</v>
      </c>
      <c r="B1123">
        <v>84990</v>
      </c>
      <c r="C1123" s="8">
        <v>203400</v>
      </c>
      <c r="D1123" s="8">
        <v>193200</v>
      </c>
      <c r="E1123">
        <v>189600</v>
      </c>
      <c r="F1123" s="8">
        <v>15956260</v>
      </c>
      <c r="G1123" s="1">
        <v>3082749432000</v>
      </c>
      <c r="H1123" s="1">
        <v>2651164588800</v>
      </c>
      <c r="I1123">
        <f t="shared" si="17"/>
        <v>0</v>
      </c>
    </row>
    <row r="1124" spans="1:10" x14ac:dyDescent="0.3">
      <c r="A1124" s="8">
        <v>20190628</v>
      </c>
      <c r="B1124" s="8">
        <v>84990</v>
      </c>
      <c r="C1124" s="8">
        <v>189600</v>
      </c>
      <c r="D1124" s="8">
        <v>168600</v>
      </c>
      <c r="E1124" s="8">
        <v>168600</v>
      </c>
      <c r="F1124" s="8">
        <v>15956260</v>
      </c>
      <c r="G1124" s="9">
        <v>2690225436000</v>
      </c>
      <c r="H1124" s="9">
        <v>2473089542400</v>
      </c>
      <c r="I1124" s="8">
        <f t="shared" si="17"/>
        <v>1</v>
      </c>
      <c r="J1124" t="s">
        <v>33</v>
      </c>
    </row>
    <row r="1125" spans="1:10" x14ac:dyDescent="0.3">
      <c r="A1125">
        <v>20190701</v>
      </c>
      <c r="B1125">
        <v>84990</v>
      </c>
      <c r="C1125" s="8">
        <v>168600</v>
      </c>
      <c r="D1125" s="8">
        <v>181000</v>
      </c>
      <c r="E1125">
        <v>181000</v>
      </c>
      <c r="F1125" s="8">
        <v>15956260</v>
      </c>
      <c r="G1125" s="1">
        <v>2888083060000</v>
      </c>
      <c r="H1125" s="1">
        <v>2654977504000</v>
      </c>
      <c r="I1125">
        <f t="shared" si="17"/>
        <v>0</v>
      </c>
    </row>
    <row r="1126" spans="1:10" x14ac:dyDescent="0.3">
      <c r="A1126">
        <v>20190702</v>
      </c>
      <c r="B1126">
        <v>84990</v>
      </c>
      <c r="C1126" s="8">
        <v>181000</v>
      </c>
      <c r="D1126" s="8">
        <v>178300</v>
      </c>
      <c r="E1126">
        <v>178300</v>
      </c>
      <c r="F1126" s="8">
        <v>15956260</v>
      </c>
      <c r="G1126" s="1">
        <v>2845001158000</v>
      </c>
      <c r="H1126" s="1">
        <v>2615372867200</v>
      </c>
      <c r="I1126">
        <f t="shared" si="17"/>
        <v>0</v>
      </c>
    </row>
    <row r="1127" spans="1:10" x14ac:dyDescent="0.3">
      <c r="A1127">
        <v>20190703</v>
      </c>
      <c r="B1127">
        <v>84990</v>
      </c>
      <c r="C1127" s="8">
        <v>178300</v>
      </c>
      <c r="D1127" s="8">
        <v>184900</v>
      </c>
      <c r="E1127">
        <v>184900</v>
      </c>
      <c r="F1127" s="8">
        <v>15956260</v>
      </c>
      <c r="G1127" s="1">
        <v>2950312474000</v>
      </c>
      <c r="H1127" s="1">
        <v>2712184201600</v>
      </c>
      <c r="I1127">
        <f t="shared" si="17"/>
        <v>0</v>
      </c>
    </row>
    <row r="1128" spans="1:10" x14ac:dyDescent="0.3">
      <c r="A1128">
        <v>20190704</v>
      </c>
      <c r="B1128">
        <v>84990</v>
      </c>
      <c r="C1128" s="8">
        <v>184900</v>
      </c>
      <c r="D1128" s="8">
        <v>182600</v>
      </c>
      <c r="E1128">
        <v>182600</v>
      </c>
      <c r="F1128" s="8">
        <v>15956260</v>
      </c>
      <c r="G1128" s="1">
        <v>2913613076000</v>
      </c>
      <c r="H1128" s="1">
        <v>2678446918400</v>
      </c>
      <c r="I1128">
        <f t="shared" si="17"/>
        <v>0</v>
      </c>
    </row>
    <row r="1129" spans="1:10" x14ac:dyDescent="0.3">
      <c r="A1129">
        <v>20190705</v>
      </c>
      <c r="B1129">
        <v>84990</v>
      </c>
      <c r="C1129" s="8">
        <v>182600</v>
      </c>
      <c r="D1129" s="8">
        <v>186500</v>
      </c>
      <c r="E1129">
        <v>186500</v>
      </c>
      <c r="F1129" s="8">
        <v>15956260</v>
      </c>
      <c r="G1129" s="1">
        <v>2975842490000</v>
      </c>
      <c r="H1129" s="1">
        <v>2735653616000</v>
      </c>
      <c r="I1129">
        <f t="shared" si="17"/>
        <v>0</v>
      </c>
    </row>
    <row r="1130" spans="1:10" x14ac:dyDescent="0.3">
      <c r="A1130">
        <v>20190708</v>
      </c>
      <c r="B1130">
        <v>84990</v>
      </c>
      <c r="C1130" s="8">
        <v>186500</v>
      </c>
      <c r="D1130" s="8">
        <v>178300</v>
      </c>
      <c r="E1130">
        <v>178300</v>
      </c>
      <c r="F1130" s="8">
        <v>15956260</v>
      </c>
      <c r="G1130" s="1">
        <v>2845001158000</v>
      </c>
      <c r="H1130" s="1">
        <v>2615372867200</v>
      </c>
      <c r="I1130">
        <f t="shared" si="17"/>
        <v>0</v>
      </c>
    </row>
    <row r="1131" spans="1:10" x14ac:dyDescent="0.3">
      <c r="A1131">
        <v>20190709</v>
      </c>
      <c r="B1131">
        <v>84990</v>
      </c>
      <c r="C1131" s="8">
        <v>178300</v>
      </c>
      <c r="D1131" s="8">
        <v>172000</v>
      </c>
      <c r="E1131">
        <v>172000</v>
      </c>
      <c r="F1131" s="8">
        <v>15956260</v>
      </c>
      <c r="G1131" s="1">
        <v>2744476720000</v>
      </c>
      <c r="H1131" s="1">
        <v>2522962048000</v>
      </c>
      <c r="I1131">
        <f t="shared" si="17"/>
        <v>0</v>
      </c>
    </row>
    <row r="1132" spans="1:10" x14ac:dyDescent="0.3">
      <c r="A1132">
        <v>20190710</v>
      </c>
      <c r="B1132">
        <v>84990</v>
      </c>
      <c r="C1132" s="8">
        <v>172000</v>
      </c>
      <c r="D1132" s="8">
        <v>173700</v>
      </c>
      <c r="E1132">
        <v>173700</v>
      </c>
      <c r="F1132" s="8">
        <v>15956260</v>
      </c>
      <c r="G1132" s="1">
        <v>2771602362000</v>
      </c>
      <c r="H1132" s="1">
        <v>2547898300800</v>
      </c>
      <c r="I1132">
        <f t="shared" si="17"/>
        <v>0</v>
      </c>
    </row>
    <row r="1133" spans="1:10" x14ac:dyDescent="0.3">
      <c r="A1133">
        <v>20190711</v>
      </c>
      <c r="B1133">
        <v>84990</v>
      </c>
      <c r="C1133" s="8">
        <v>173700</v>
      </c>
      <c r="D1133" s="8">
        <v>172700</v>
      </c>
      <c r="E1133">
        <v>172700</v>
      </c>
      <c r="F1133" s="8">
        <v>15956260</v>
      </c>
      <c r="G1133" s="1">
        <v>2755646102000</v>
      </c>
      <c r="H1133" s="1">
        <v>2533229916800</v>
      </c>
      <c r="I1133">
        <f t="shared" si="17"/>
        <v>0</v>
      </c>
    </row>
    <row r="1134" spans="1:10" x14ac:dyDescent="0.3">
      <c r="A1134">
        <v>20190712</v>
      </c>
      <c r="B1134">
        <v>84990</v>
      </c>
      <c r="C1134" s="8">
        <v>172700</v>
      </c>
      <c r="D1134" s="8">
        <v>169800</v>
      </c>
      <c r="E1134">
        <v>169800</v>
      </c>
      <c r="F1134" s="8">
        <v>15956260</v>
      </c>
      <c r="G1134" s="1">
        <v>2709372948000</v>
      </c>
      <c r="H1134" s="1">
        <v>2490691603200</v>
      </c>
      <c r="I1134">
        <f t="shared" si="17"/>
        <v>0</v>
      </c>
    </row>
    <row r="1135" spans="1:10" x14ac:dyDescent="0.3">
      <c r="A1135">
        <v>20190715</v>
      </c>
      <c r="B1135">
        <v>84990</v>
      </c>
      <c r="C1135" s="8">
        <v>169800</v>
      </c>
      <c r="D1135" s="8">
        <v>171600</v>
      </c>
      <c r="E1135">
        <v>171600</v>
      </c>
      <c r="F1135" s="8">
        <v>15956260</v>
      </c>
      <c r="G1135" s="1">
        <v>2738094216000</v>
      </c>
      <c r="H1135" s="1">
        <v>2517094694400</v>
      </c>
      <c r="I1135">
        <f t="shared" si="17"/>
        <v>0</v>
      </c>
    </row>
    <row r="1136" spans="1:10" x14ac:dyDescent="0.3">
      <c r="A1136">
        <v>20190716</v>
      </c>
      <c r="B1136">
        <v>84990</v>
      </c>
      <c r="C1136" s="8">
        <v>171600</v>
      </c>
      <c r="D1136" s="8">
        <v>176000</v>
      </c>
      <c r="E1136">
        <v>176000</v>
      </c>
      <c r="F1136" s="8">
        <v>15956260</v>
      </c>
      <c r="G1136" s="1">
        <v>2808301760000</v>
      </c>
      <c r="H1136" s="1">
        <v>2581635584000</v>
      </c>
      <c r="I1136">
        <f t="shared" si="17"/>
        <v>0</v>
      </c>
    </row>
    <row r="1137" spans="1:9" x14ac:dyDescent="0.3">
      <c r="A1137">
        <v>20190717</v>
      </c>
      <c r="B1137">
        <v>84990</v>
      </c>
      <c r="C1137" s="8">
        <v>176000</v>
      </c>
      <c r="D1137" s="8">
        <v>178400</v>
      </c>
      <c r="E1137">
        <v>178400</v>
      </c>
      <c r="F1137" s="8">
        <v>15956260</v>
      </c>
      <c r="G1137" s="1">
        <v>2846596784000</v>
      </c>
      <c r="H1137" s="1">
        <v>2616839705600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"/>
  <sheetViews>
    <sheetView workbookViewId="0">
      <selection activeCell="E2" sqref="E2:E163"/>
    </sheetView>
  </sheetViews>
  <sheetFormatPr defaultColWidth="8.875" defaultRowHeight="16.5" x14ac:dyDescent="0.3"/>
  <cols>
    <col min="1" max="1" width="9.5" bestFit="1" customWidth="1"/>
    <col min="2" max="2" width="9" bestFit="1" customWidth="1"/>
    <col min="3" max="3" width="7.125" bestFit="1" customWidth="1"/>
    <col min="4" max="4" width="9" bestFit="1" customWidth="1"/>
    <col min="5" max="5" width="11" bestFit="1" customWidth="1"/>
    <col min="6" max="7" width="14.625" bestFit="1" customWidth="1"/>
  </cols>
  <sheetData>
    <row r="1" spans="1:8" x14ac:dyDescent="0.3">
      <c r="A1" s="3" t="s">
        <v>0</v>
      </c>
      <c r="B1" s="3" t="s">
        <v>1</v>
      </c>
      <c r="C1" s="3" t="s">
        <v>11</v>
      </c>
      <c r="D1" s="3" t="s">
        <v>2</v>
      </c>
      <c r="E1" s="3" t="s">
        <v>3</v>
      </c>
      <c r="F1" s="3" t="s">
        <v>6</v>
      </c>
      <c r="G1" s="4" t="s">
        <v>7</v>
      </c>
      <c r="H1" s="3" t="s">
        <v>8</v>
      </c>
    </row>
    <row r="2" spans="1:8" x14ac:dyDescent="0.3">
      <c r="A2">
        <v>20181120</v>
      </c>
      <c r="B2">
        <v>310970</v>
      </c>
      <c r="C2">
        <v>10325</v>
      </c>
      <c r="D2">
        <v>10190</v>
      </c>
      <c r="E2">
        <v>10190</v>
      </c>
      <c r="F2">
        <v>4500000</v>
      </c>
      <c r="G2" s="1">
        <v>45855000000</v>
      </c>
      <c r="H2">
        <v>0</v>
      </c>
    </row>
    <row r="3" spans="1:8" x14ac:dyDescent="0.3">
      <c r="A3">
        <v>20181121</v>
      </c>
      <c r="B3">
        <v>310970</v>
      </c>
      <c r="C3">
        <v>10190</v>
      </c>
      <c r="D3">
        <v>10090</v>
      </c>
      <c r="E3">
        <v>10090</v>
      </c>
      <c r="F3">
        <v>4500000</v>
      </c>
      <c r="G3" s="1">
        <v>45405000000</v>
      </c>
      <c r="H3">
        <v>0</v>
      </c>
    </row>
    <row r="4" spans="1:8" x14ac:dyDescent="0.3">
      <c r="A4">
        <v>20181122</v>
      </c>
      <c r="B4">
        <v>310970</v>
      </c>
      <c r="C4">
        <v>10090</v>
      </c>
      <c r="D4">
        <v>10115</v>
      </c>
      <c r="E4">
        <v>10115</v>
      </c>
      <c r="F4">
        <v>4500000</v>
      </c>
      <c r="G4" s="1">
        <v>45517500000</v>
      </c>
      <c r="H4">
        <v>0</v>
      </c>
    </row>
    <row r="5" spans="1:8" x14ac:dyDescent="0.3">
      <c r="A5">
        <v>20181123</v>
      </c>
      <c r="B5">
        <v>310970</v>
      </c>
      <c r="C5">
        <v>10115</v>
      </c>
      <c r="D5">
        <v>10065</v>
      </c>
      <c r="E5">
        <v>10065</v>
      </c>
      <c r="F5">
        <v>4500000</v>
      </c>
      <c r="G5" s="1">
        <v>45292500000</v>
      </c>
      <c r="H5">
        <v>0</v>
      </c>
    </row>
    <row r="6" spans="1:8" x14ac:dyDescent="0.3">
      <c r="A6">
        <v>20181126</v>
      </c>
      <c r="B6">
        <v>310970</v>
      </c>
      <c r="C6">
        <v>10065</v>
      </c>
      <c r="D6">
        <v>10190</v>
      </c>
      <c r="E6">
        <v>10190</v>
      </c>
      <c r="F6">
        <v>4500000</v>
      </c>
      <c r="G6" s="1">
        <v>45855000000</v>
      </c>
      <c r="H6">
        <v>0</v>
      </c>
    </row>
    <row r="7" spans="1:8" x14ac:dyDescent="0.3">
      <c r="A7">
        <v>20181127</v>
      </c>
      <c r="B7">
        <v>310970</v>
      </c>
      <c r="C7">
        <v>10190</v>
      </c>
      <c r="D7">
        <v>10290</v>
      </c>
      <c r="E7">
        <v>10290</v>
      </c>
      <c r="F7">
        <v>4500000</v>
      </c>
      <c r="G7" s="1">
        <v>46305000000</v>
      </c>
      <c r="H7">
        <v>0</v>
      </c>
    </row>
    <row r="8" spans="1:8" x14ac:dyDescent="0.3">
      <c r="A8">
        <v>20181128</v>
      </c>
      <c r="B8">
        <v>310970</v>
      </c>
      <c r="C8">
        <v>10290</v>
      </c>
      <c r="D8">
        <v>10300</v>
      </c>
      <c r="E8">
        <v>10300</v>
      </c>
      <c r="F8">
        <v>4500000</v>
      </c>
      <c r="G8" s="1">
        <v>46350000000</v>
      </c>
      <c r="H8">
        <v>0</v>
      </c>
    </row>
    <row r="9" spans="1:8" x14ac:dyDescent="0.3">
      <c r="A9">
        <v>20181129</v>
      </c>
      <c r="B9">
        <v>310970</v>
      </c>
      <c r="C9">
        <v>10300</v>
      </c>
      <c r="D9">
        <v>10320</v>
      </c>
      <c r="E9">
        <v>10320</v>
      </c>
      <c r="F9">
        <v>4500000</v>
      </c>
      <c r="G9" s="1">
        <v>46440000000</v>
      </c>
      <c r="H9">
        <v>0</v>
      </c>
    </row>
    <row r="10" spans="1:8" x14ac:dyDescent="0.3">
      <c r="A10">
        <v>20181130</v>
      </c>
      <c r="B10">
        <v>310970</v>
      </c>
      <c r="C10">
        <v>10320</v>
      </c>
      <c r="D10">
        <v>10235</v>
      </c>
      <c r="E10">
        <v>10235</v>
      </c>
      <c r="F10">
        <v>4500000</v>
      </c>
      <c r="G10" s="1">
        <v>46057500000</v>
      </c>
      <c r="H10">
        <v>0</v>
      </c>
    </row>
    <row r="11" spans="1:8" x14ac:dyDescent="0.3">
      <c r="A11">
        <v>20181203</v>
      </c>
      <c r="B11">
        <v>310970</v>
      </c>
      <c r="C11">
        <v>10235</v>
      </c>
      <c r="D11">
        <v>10430</v>
      </c>
      <c r="E11">
        <v>10430</v>
      </c>
      <c r="F11">
        <v>4500000</v>
      </c>
      <c r="G11" s="1">
        <v>46935000000</v>
      </c>
      <c r="H11">
        <v>0</v>
      </c>
    </row>
    <row r="12" spans="1:8" x14ac:dyDescent="0.3">
      <c r="A12">
        <v>20181204</v>
      </c>
      <c r="B12">
        <v>310970</v>
      </c>
      <c r="C12">
        <v>10430</v>
      </c>
      <c r="D12">
        <v>10310</v>
      </c>
      <c r="E12">
        <v>10310</v>
      </c>
      <c r="F12">
        <v>4500000</v>
      </c>
      <c r="G12" s="1">
        <v>46395000000</v>
      </c>
      <c r="H12">
        <v>0</v>
      </c>
    </row>
    <row r="13" spans="1:8" x14ac:dyDescent="0.3">
      <c r="A13">
        <v>20181205</v>
      </c>
      <c r="B13">
        <v>310970</v>
      </c>
      <c r="C13">
        <v>10310</v>
      </c>
      <c r="D13">
        <v>10265</v>
      </c>
      <c r="E13">
        <v>10265</v>
      </c>
      <c r="F13">
        <v>4500000</v>
      </c>
      <c r="G13" s="1">
        <v>46192500000</v>
      </c>
      <c r="H13">
        <v>0</v>
      </c>
    </row>
    <row r="14" spans="1:8" x14ac:dyDescent="0.3">
      <c r="A14">
        <v>20181206</v>
      </c>
      <c r="B14">
        <v>310970</v>
      </c>
      <c r="C14">
        <v>10265</v>
      </c>
      <c r="D14">
        <v>10080</v>
      </c>
      <c r="E14">
        <v>10080</v>
      </c>
      <c r="F14">
        <v>20300000</v>
      </c>
      <c r="G14" s="1">
        <v>204624000000</v>
      </c>
      <c r="H14">
        <v>0</v>
      </c>
    </row>
    <row r="15" spans="1:8" x14ac:dyDescent="0.3">
      <c r="A15">
        <v>20181207</v>
      </c>
      <c r="B15">
        <v>310970</v>
      </c>
      <c r="C15">
        <v>10080</v>
      </c>
      <c r="D15">
        <v>10120</v>
      </c>
      <c r="E15">
        <v>10120</v>
      </c>
      <c r="F15">
        <v>24500000</v>
      </c>
      <c r="G15" s="1">
        <v>247940000000</v>
      </c>
      <c r="H15">
        <v>0</v>
      </c>
    </row>
    <row r="16" spans="1:8" x14ac:dyDescent="0.3">
      <c r="A16">
        <v>20181210</v>
      </c>
      <c r="B16">
        <v>310970</v>
      </c>
      <c r="C16">
        <v>10120</v>
      </c>
      <c r="D16">
        <v>10020</v>
      </c>
      <c r="E16">
        <v>10020</v>
      </c>
      <c r="F16">
        <v>26500000</v>
      </c>
      <c r="G16" s="1">
        <v>265530000000</v>
      </c>
      <c r="H16">
        <v>0</v>
      </c>
    </row>
    <row r="17" spans="1:8" x14ac:dyDescent="0.3">
      <c r="A17">
        <v>20181211</v>
      </c>
      <c r="B17">
        <v>310970</v>
      </c>
      <c r="C17">
        <v>10020</v>
      </c>
      <c r="D17">
        <v>9980</v>
      </c>
      <c r="E17">
        <v>9980</v>
      </c>
      <c r="F17">
        <v>40600000</v>
      </c>
      <c r="G17" s="1">
        <v>405188000000</v>
      </c>
      <c r="H17">
        <v>0</v>
      </c>
    </row>
    <row r="18" spans="1:8" x14ac:dyDescent="0.3">
      <c r="A18">
        <v>20181212</v>
      </c>
      <c r="B18">
        <v>310970</v>
      </c>
      <c r="C18">
        <v>9980</v>
      </c>
      <c r="D18">
        <v>10115</v>
      </c>
      <c r="E18">
        <v>10115</v>
      </c>
      <c r="F18">
        <v>40600000</v>
      </c>
      <c r="G18" s="1">
        <v>410669000000</v>
      </c>
      <c r="H18">
        <v>0</v>
      </c>
    </row>
    <row r="19" spans="1:8" x14ac:dyDescent="0.3">
      <c r="A19">
        <v>20181213</v>
      </c>
      <c r="B19">
        <v>310970</v>
      </c>
      <c r="C19">
        <v>10115</v>
      </c>
      <c r="D19">
        <v>10195</v>
      </c>
      <c r="E19">
        <v>10195</v>
      </c>
      <c r="F19">
        <v>40600000</v>
      </c>
      <c r="G19" s="1">
        <v>413917000000</v>
      </c>
      <c r="H19">
        <v>0</v>
      </c>
    </row>
    <row r="20" spans="1:8" x14ac:dyDescent="0.3">
      <c r="A20">
        <v>20181214</v>
      </c>
      <c r="B20">
        <v>310970</v>
      </c>
      <c r="C20">
        <v>10195</v>
      </c>
      <c r="D20">
        <v>9995</v>
      </c>
      <c r="E20">
        <v>9995</v>
      </c>
      <c r="F20">
        <v>40600000</v>
      </c>
      <c r="G20" s="1">
        <v>405797000000</v>
      </c>
      <c r="H20">
        <v>0</v>
      </c>
    </row>
    <row r="21" spans="1:8" x14ac:dyDescent="0.3">
      <c r="A21">
        <v>20181217</v>
      </c>
      <c r="B21">
        <v>310970</v>
      </c>
      <c r="C21">
        <v>9995</v>
      </c>
      <c r="D21">
        <v>10020</v>
      </c>
      <c r="E21">
        <v>10020</v>
      </c>
      <c r="F21">
        <v>45600000</v>
      </c>
      <c r="G21" s="1">
        <v>456912000000</v>
      </c>
      <c r="H21">
        <v>0</v>
      </c>
    </row>
    <row r="22" spans="1:8" x14ac:dyDescent="0.3">
      <c r="A22">
        <v>20181218</v>
      </c>
      <c r="B22">
        <v>310970</v>
      </c>
      <c r="C22">
        <v>10020</v>
      </c>
      <c r="D22">
        <v>9960</v>
      </c>
      <c r="E22">
        <v>9960</v>
      </c>
      <c r="F22">
        <v>55400000</v>
      </c>
      <c r="G22" s="1">
        <v>551784000000</v>
      </c>
      <c r="H22">
        <v>0</v>
      </c>
    </row>
    <row r="23" spans="1:8" x14ac:dyDescent="0.3">
      <c r="A23">
        <v>20181219</v>
      </c>
      <c r="B23">
        <v>310970</v>
      </c>
      <c r="C23">
        <v>9960</v>
      </c>
      <c r="D23">
        <v>10055</v>
      </c>
      <c r="E23">
        <v>10055</v>
      </c>
      <c r="F23">
        <v>55400000</v>
      </c>
      <c r="G23" s="1">
        <v>557047000000</v>
      </c>
      <c r="H23">
        <v>0</v>
      </c>
    </row>
    <row r="24" spans="1:8" x14ac:dyDescent="0.3">
      <c r="A24">
        <v>20181220</v>
      </c>
      <c r="B24">
        <v>310970</v>
      </c>
      <c r="C24">
        <v>10055</v>
      </c>
      <c r="D24">
        <v>9910</v>
      </c>
      <c r="E24">
        <v>9910</v>
      </c>
      <c r="F24">
        <v>54900000</v>
      </c>
      <c r="G24" s="1">
        <v>544059000000</v>
      </c>
      <c r="H24">
        <v>0</v>
      </c>
    </row>
    <row r="25" spans="1:8" x14ac:dyDescent="0.3">
      <c r="A25">
        <v>20181221</v>
      </c>
      <c r="B25">
        <v>310970</v>
      </c>
      <c r="C25">
        <v>9910</v>
      </c>
      <c r="D25">
        <v>9880</v>
      </c>
      <c r="E25">
        <v>9880</v>
      </c>
      <c r="F25">
        <v>62500000</v>
      </c>
      <c r="G25" s="1">
        <v>617500000000</v>
      </c>
      <c r="H25">
        <v>0</v>
      </c>
    </row>
    <row r="26" spans="1:8" x14ac:dyDescent="0.3">
      <c r="A26">
        <v>20181224</v>
      </c>
      <c r="B26">
        <v>310970</v>
      </c>
      <c r="C26">
        <v>9880</v>
      </c>
      <c r="D26">
        <v>9955</v>
      </c>
      <c r="E26">
        <v>9955</v>
      </c>
      <c r="F26">
        <v>57500000</v>
      </c>
      <c r="G26" s="1">
        <v>572412500000</v>
      </c>
      <c r="H26">
        <v>0</v>
      </c>
    </row>
    <row r="27" spans="1:8" x14ac:dyDescent="0.3">
      <c r="A27">
        <v>20181226</v>
      </c>
      <c r="B27">
        <v>310970</v>
      </c>
      <c r="C27">
        <v>9955</v>
      </c>
      <c r="D27">
        <v>9790</v>
      </c>
      <c r="E27">
        <v>9790</v>
      </c>
      <c r="F27">
        <v>62100000</v>
      </c>
      <c r="G27" s="1">
        <v>607959000000</v>
      </c>
      <c r="H27">
        <v>0</v>
      </c>
    </row>
    <row r="28" spans="1:8" x14ac:dyDescent="0.3">
      <c r="A28">
        <v>20181227</v>
      </c>
      <c r="B28">
        <v>310970</v>
      </c>
      <c r="C28">
        <v>9790</v>
      </c>
      <c r="D28">
        <v>9940</v>
      </c>
      <c r="E28">
        <v>9940</v>
      </c>
      <c r="F28">
        <v>62100000</v>
      </c>
      <c r="G28" s="1">
        <v>617274000000</v>
      </c>
      <c r="H28">
        <v>0</v>
      </c>
    </row>
    <row r="29" spans="1:8" x14ac:dyDescent="0.3">
      <c r="A29">
        <v>20181228</v>
      </c>
      <c r="B29">
        <v>310970</v>
      </c>
      <c r="C29">
        <v>9940</v>
      </c>
      <c r="D29">
        <v>10040</v>
      </c>
      <c r="E29">
        <v>10040</v>
      </c>
      <c r="F29">
        <v>62100000</v>
      </c>
      <c r="G29" s="1">
        <v>623484000000</v>
      </c>
      <c r="H29">
        <v>0</v>
      </c>
    </row>
    <row r="30" spans="1:8" x14ac:dyDescent="0.3">
      <c r="A30">
        <v>20190102</v>
      </c>
      <c r="B30">
        <v>310970</v>
      </c>
      <c r="C30">
        <v>10040</v>
      </c>
      <c r="D30">
        <v>9845</v>
      </c>
      <c r="E30">
        <v>9845</v>
      </c>
      <c r="F30">
        <v>62100000</v>
      </c>
      <c r="G30" s="1">
        <v>611374500000</v>
      </c>
      <c r="H30">
        <v>0</v>
      </c>
    </row>
    <row r="31" spans="1:8" x14ac:dyDescent="0.3">
      <c r="A31">
        <v>20190103</v>
      </c>
      <c r="B31">
        <v>310970</v>
      </c>
      <c r="C31">
        <v>9845</v>
      </c>
      <c r="D31">
        <v>9750</v>
      </c>
      <c r="E31">
        <v>9750</v>
      </c>
      <c r="F31">
        <v>62100000</v>
      </c>
      <c r="G31" s="1">
        <v>605475000000</v>
      </c>
      <c r="H31">
        <v>0</v>
      </c>
    </row>
    <row r="32" spans="1:8" x14ac:dyDescent="0.3">
      <c r="A32">
        <v>20190104</v>
      </c>
      <c r="B32">
        <v>310970</v>
      </c>
      <c r="C32">
        <v>9750</v>
      </c>
      <c r="D32">
        <v>9810</v>
      </c>
      <c r="E32">
        <v>9810</v>
      </c>
      <c r="F32">
        <v>62100000</v>
      </c>
      <c r="G32" s="1">
        <v>609201000000</v>
      </c>
      <c r="H32">
        <v>0</v>
      </c>
    </row>
    <row r="33" spans="1:8" x14ac:dyDescent="0.3">
      <c r="A33">
        <v>20190107</v>
      </c>
      <c r="B33">
        <v>310970</v>
      </c>
      <c r="C33">
        <v>9810</v>
      </c>
      <c r="D33">
        <v>9975</v>
      </c>
      <c r="E33">
        <v>9975</v>
      </c>
      <c r="F33">
        <v>60600000</v>
      </c>
      <c r="G33" s="1">
        <v>604485000000</v>
      </c>
      <c r="H33">
        <v>0</v>
      </c>
    </row>
    <row r="34" spans="1:8" x14ac:dyDescent="0.3">
      <c r="A34">
        <v>20190108</v>
      </c>
      <c r="B34">
        <v>310970</v>
      </c>
      <c r="C34">
        <v>9975</v>
      </c>
      <c r="D34">
        <v>9920</v>
      </c>
      <c r="E34">
        <v>9920</v>
      </c>
      <c r="F34">
        <v>65100000</v>
      </c>
      <c r="G34" s="1">
        <v>645792000000</v>
      </c>
      <c r="H34">
        <v>0</v>
      </c>
    </row>
    <row r="35" spans="1:8" x14ac:dyDescent="0.3">
      <c r="A35">
        <v>20190109</v>
      </c>
      <c r="B35">
        <v>310970</v>
      </c>
      <c r="C35">
        <v>9920</v>
      </c>
      <c r="D35">
        <v>10145</v>
      </c>
      <c r="E35">
        <v>10145</v>
      </c>
      <c r="F35">
        <v>70100000</v>
      </c>
      <c r="G35" s="1">
        <v>711164500000</v>
      </c>
      <c r="H35">
        <v>0</v>
      </c>
    </row>
    <row r="36" spans="1:8" x14ac:dyDescent="0.3">
      <c r="A36">
        <v>20190110</v>
      </c>
      <c r="B36">
        <v>310970</v>
      </c>
      <c r="C36">
        <v>10145</v>
      </c>
      <c r="D36">
        <v>10125</v>
      </c>
      <c r="E36">
        <v>10125</v>
      </c>
      <c r="F36">
        <v>70100000</v>
      </c>
      <c r="G36" s="1">
        <v>709762500000</v>
      </c>
      <c r="H36">
        <v>0</v>
      </c>
    </row>
    <row r="37" spans="1:8" x14ac:dyDescent="0.3">
      <c r="A37">
        <v>20190111</v>
      </c>
      <c r="B37">
        <v>310970</v>
      </c>
      <c r="C37">
        <v>10125</v>
      </c>
      <c r="D37">
        <v>10240</v>
      </c>
      <c r="E37">
        <v>10240</v>
      </c>
      <c r="F37">
        <v>68700000</v>
      </c>
      <c r="G37" s="1">
        <v>703488000000</v>
      </c>
      <c r="H37">
        <v>0</v>
      </c>
    </row>
    <row r="38" spans="1:8" x14ac:dyDescent="0.3">
      <c r="A38">
        <v>20190114</v>
      </c>
      <c r="B38">
        <v>310970</v>
      </c>
      <c r="C38">
        <v>10240</v>
      </c>
      <c r="D38">
        <v>10200</v>
      </c>
      <c r="E38">
        <v>10200</v>
      </c>
      <c r="F38">
        <v>68700000</v>
      </c>
      <c r="G38" s="1">
        <v>700740000000</v>
      </c>
      <c r="H38">
        <v>0</v>
      </c>
    </row>
    <row r="39" spans="1:8" x14ac:dyDescent="0.3">
      <c r="A39">
        <v>20190115</v>
      </c>
      <c r="B39">
        <v>310970</v>
      </c>
      <c r="C39">
        <v>10200</v>
      </c>
      <c r="D39">
        <v>10295</v>
      </c>
      <c r="E39">
        <v>10295</v>
      </c>
      <c r="F39">
        <v>68700000</v>
      </c>
      <c r="G39" s="1">
        <v>707266500000</v>
      </c>
      <c r="H39">
        <v>0</v>
      </c>
    </row>
    <row r="40" spans="1:8" x14ac:dyDescent="0.3">
      <c r="A40">
        <v>20190116</v>
      </c>
      <c r="B40">
        <v>310970</v>
      </c>
      <c r="C40">
        <v>10295</v>
      </c>
      <c r="D40">
        <v>10400</v>
      </c>
      <c r="E40">
        <v>10400</v>
      </c>
      <c r="F40">
        <v>68700000</v>
      </c>
      <c r="G40" s="1">
        <v>714480000000</v>
      </c>
      <c r="H40">
        <v>0</v>
      </c>
    </row>
    <row r="41" spans="1:8" x14ac:dyDescent="0.3">
      <c r="A41">
        <v>20190117</v>
      </c>
      <c r="B41">
        <v>310970</v>
      </c>
      <c r="C41">
        <v>10400</v>
      </c>
      <c r="D41">
        <v>10410</v>
      </c>
      <c r="E41">
        <v>10410</v>
      </c>
      <c r="F41">
        <v>68700000</v>
      </c>
      <c r="G41" s="1">
        <v>715167000000</v>
      </c>
      <c r="H41">
        <v>0</v>
      </c>
    </row>
    <row r="42" spans="1:8" x14ac:dyDescent="0.3">
      <c r="A42">
        <v>20190118</v>
      </c>
      <c r="B42">
        <v>310970</v>
      </c>
      <c r="C42">
        <v>10410</v>
      </c>
      <c r="D42">
        <v>10470</v>
      </c>
      <c r="E42">
        <v>10470</v>
      </c>
      <c r="F42">
        <v>68700000</v>
      </c>
      <c r="G42" s="1">
        <v>719289000000</v>
      </c>
      <c r="H42">
        <v>0</v>
      </c>
    </row>
    <row r="43" spans="1:8" x14ac:dyDescent="0.3">
      <c r="A43">
        <v>20190121</v>
      </c>
      <c r="B43">
        <v>310970</v>
      </c>
      <c r="C43">
        <v>10470</v>
      </c>
      <c r="D43">
        <v>10505</v>
      </c>
      <c r="E43">
        <v>10505</v>
      </c>
      <c r="F43">
        <v>68700000</v>
      </c>
      <c r="G43" s="1">
        <v>721693500000</v>
      </c>
      <c r="H43">
        <v>0</v>
      </c>
    </row>
    <row r="44" spans="1:8" x14ac:dyDescent="0.3">
      <c r="A44">
        <v>20190122</v>
      </c>
      <c r="B44">
        <v>310970</v>
      </c>
      <c r="C44">
        <v>10505</v>
      </c>
      <c r="D44">
        <v>10450</v>
      </c>
      <c r="E44">
        <v>10450</v>
      </c>
      <c r="F44">
        <v>68700000</v>
      </c>
      <c r="G44" s="1">
        <v>717915000000</v>
      </c>
      <c r="H44">
        <v>0</v>
      </c>
    </row>
    <row r="45" spans="1:8" x14ac:dyDescent="0.3">
      <c r="A45">
        <v>20190123</v>
      </c>
      <c r="B45">
        <v>310970</v>
      </c>
      <c r="C45">
        <v>10450</v>
      </c>
      <c r="D45">
        <v>10485</v>
      </c>
      <c r="E45">
        <v>10485</v>
      </c>
      <c r="F45">
        <v>68700000</v>
      </c>
      <c r="G45" s="1">
        <v>720319500000</v>
      </c>
      <c r="H45">
        <v>0</v>
      </c>
    </row>
    <row r="46" spans="1:8" x14ac:dyDescent="0.3">
      <c r="A46">
        <v>20190124</v>
      </c>
      <c r="B46">
        <v>310970</v>
      </c>
      <c r="C46">
        <v>10485</v>
      </c>
      <c r="D46">
        <v>10605</v>
      </c>
      <c r="E46">
        <v>10605</v>
      </c>
      <c r="F46">
        <v>68700000</v>
      </c>
      <c r="G46" s="1">
        <v>720319500000</v>
      </c>
      <c r="H46">
        <v>0</v>
      </c>
    </row>
    <row r="47" spans="1:8" x14ac:dyDescent="0.3">
      <c r="A47">
        <v>20190125</v>
      </c>
      <c r="B47">
        <v>310970</v>
      </c>
      <c r="C47">
        <v>10605</v>
      </c>
      <c r="D47">
        <v>10820</v>
      </c>
      <c r="E47">
        <v>10820</v>
      </c>
      <c r="F47">
        <v>68700000</v>
      </c>
      <c r="G47" s="1">
        <v>728563500000</v>
      </c>
      <c r="H47">
        <v>0</v>
      </c>
    </row>
    <row r="48" spans="1:8" x14ac:dyDescent="0.3">
      <c r="A48">
        <v>20190128</v>
      </c>
      <c r="B48">
        <v>310970</v>
      </c>
      <c r="C48">
        <v>10820</v>
      </c>
      <c r="D48">
        <v>10875</v>
      </c>
      <c r="E48">
        <v>10875</v>
      </c>
      <c r="F48">
        <v>68700000</v>
      </c>
      <c r="G48" s="1">
        <v>747112500000</v>
      </c>
      <c r="H48">
        <v>0</v>
      </c>
    </row>
    <row r="49" spans="1:8" x14ac:dyDescent="0.3">
      <c r="A49">
        <v>20190129</v>
      </c>
      <c r="B49">
        <v>310970</v>
      </c>
      <c r="C49">
        <v>10875</v>
      </c>
      <c r="D49">
        <v>10875</v>
      </c>
      <c r="E49">
        <v>10875</v>
      </c>
      <c r="F49">
        <v>68700000</v>
      </c>
      <c r="G49" s="1">
        <v>747112500000</v>
      </c>
      <c r="H49">
        <v>0</v>
      </c>
    </row>
    <row r="50" spans="1:8" x14ac:dyDescent="0.3">
      <c r="A50">
        <v>20190130</v>
      </c>
      <c r="B50">
        <v>310970</v>
      </c>
      <c r="C50">
        <v>10875</v>
      </c>
      <c r="D50">
        <v>11020</v>
      </c>
      <c r="E50">
        <v>11020</v>
      </c>
      <c r="F50">
        <v>68700000</v>
      </c>
      <c r="G50" s="1">
        <v>757074000000</v>
      </c>
      <c r="H50">
        <v>0</v>
      </c>
    </row>
    <row r="51" spans="1:8" x14ac:dyDescent="0.3">
      <c r="A51">
        <v>20190131</v>
      </c>
      <c r="B51">
        <v>310970</v>
      </c>
      <c r="C51">
        <v>11020</v>
      </c>
      <c r="D51">
        <v>11045</v>
      </c>
      <c r="E51">
        <v>11045</v>
      </c>
      <c r="F51">
        <v>68700000</v>
      </c>
      <c r="G51" s="1">
        <v>758791500000</v>
      </c>
      <c r="H51">
        <v>0</v>
      </c>
    </row>
    <row r="52" spans="1:8" x14ac:dyDescent="0.3">
      <c r="A52">
        <v>20190201</v>
      </c>
      <c r="B52">
        <v>310970</v>
      </c>
      <c r="C52">
        <v>11045</v>
      </c>
      <c r="D52">
        <v>11030</v>
      </c>
      <c r="E52">
        <v>11030</v>
      </c>
      <c r="F52">
        <v>68700000</v>
      </c>
      <c r="G52" s="1">
        <v>757761000000</v>
      </c>
      <c r="H52">
        <v>0</v>
      </c>
    </row>
    <row r="53" spans="1:8" x14ac:dyDescent="0.3">
      <c r="A53">
        <v>20190207</v>
      </c>
      <c r="B53">
        <v>310970</v>
      </c>
      <c r="C53">
        <v>11030</v>
      </c>
      <c r="D53">
        <v>11020</v>
      </c>
      <c r="E53">
        <v>11020</v>
      </c>
      <c r="F53">
        <v>68700000</v>
      </c>
      <c r="G53" s="1">
        <v>757074000000</v>
      </c>
      <c r="H53">
        <v>0</v>
      </c>
    </row>
    <row r="54" spans="1:8" x14ac:dyDescent="0.3">
      <c r="A54">
        <v>20190208</v>
      </c>
      <c r="B54">
        <v>310970</v>
      </c>
      <c r="C54">
        <v>11020</v>
      </c>
      <c r="D54">
        <v>10845</v>
      </c>
      <c r="E54">
        <v>10845</v>
      </c>
      <c r="F54">
        <v>68700000</v>
      </c>
      <c r="G54" s="1">
        <v>757074000000</v>
      </c>
      <c r="H54">
        <v>0</v>
      </c>
    </row>
    <row r="55" spans="1:8" x14ac:dyDescent="0.3">
      <c r="A55">
        <v>20190211</v>
      </c>
      <c r="B55">
        <v>310970</v>
      </c>
      <c r="C55">
        <v>10845</v>
      </c>
      <c r="D55">
        <v>10775</v>
      </c>
      <c r="E55">
        <v>10775</v>
      </c>
      <c r="F55">
        <v>68700000</v>
      </c>
      <c r="G55" s="1">
        <v>740242500000</v>
      </c>
      <c r="H55">
        <v>0</v>
      </c>
    </row>
    <row r="56" spans="1:8" x14ac:dyDescent="0.3">
      <c r="A56">
        <v>20190212</v>
      </c>
      <c r="B56">
        <v>310970</v>
      </c>
      <c r="C56">
        <v>10775</v>
      </c>
      <c r="D56">
        <v>10935</v>
      </c>
      <c r="E56">
        <v>10935</v>
      </c>
      <c r="F56">
        <v>68700000</v>
      </c>
      <c r="G56" s="1">
        <v>751234500000</v>
      </c>
      <c r="H56">
        <v>0</v>
      </c>
    </row>
    <row r="57" spans="1:8" x14ac:dyDescent="0.3">
      <c r="A57">
        <v>20190213</v>
      </c>
      <c r="B57">
        <v>310970</v>
      </c>
      <c r="C57">
        <v>10935</v>
      </c>
      <c r="D57">
        <v>10990</v>
      </c>
      <c r="E57">
        <v>10990</v>
      </c>
      <c r="F57">
        <v>68700000</v>
      </c>
      <c r="G57" s="1">
        <v>755013000000</v>
      </c>
      <c r="H57">
        <v>0</v>
      </c>
    </row>
    <row r="58" spans="1:8" x14ac:dyDescent="0.3">
      <c r="A58">
        <v>20190214</v>
      </c>
      <c r="B58">
        <v>310970</v>
      </c>
      <c r="C58">
        <v>10990</v>
      </c>
      <c r="D58">
        <v>11090</v>
      </c>
      <c r="E58">
        <v>11090</v>
      </c>
      <c r="F58">
        <v>68700000</v>
      </c>
      <c r="G58" s="1">
        <v>761883000000</v>
      </c>
      <c r="H58">
        <v>0</v>
      </c>
    </row>
    <row r="59" spans="1:8" x14ac:dyDescent="0.3">
      <c r="A59">
        <v>20190215</v>
      </c>
      <c r="B59">
        <v>310970</v>
      </c>
      <c r="C59">
        <v>11090</v>
      </c>
      <c r="D59">
        <v>10945</v>
      </c>
      <c r="E59">
        <v>10945</v>
      </c>
      <c r="F59">
        <v>68700000</v>
      </c>
      <c r="G59" s="1">
        <v>751921500000</v>
      </c>
      <c r="H59">
        <v>0</v>
      </c>
    </row>
    <row r="60" spans="1:8" x14ac:dyDescent="0.3">
      <c r="A60">
        <v>20190218</v>
      </c>
      <c r="B60">
        <v>310970</v>
      </c>
      <c r="C60">
        <v>10945</v>
      </c>
      <c r="D60">
        <v>11015</v>
      </c>
      <c r="E60">
        <v>11015</v>
      </c>
      <c r="F60">
        <v>68700000</v>
      </c>
      <c r="G60" s="1">
        <v>756730500000</v>
      </c>
      <c r="H60">
        <v>0</v>
      </c>
    </row>
    <row r="61" spans="1:8" x14ac:dyDescent="0.3">
      <c r="A61">
        <v>20190219</v>
      </c>
      <c r="B61">
        <v>310970</v>
      </c>
      <c r="C61">
        <v>11015</v>
      </c>
      <c r="D61">
        <v>10975</v>
      </c>
      <c r="E61">
        <v>10975</v>
      </c>
      <c r="F61">
        <v>68700000</v>
      </c>
      <c r="G61" s="1">
        <v>753982500000</v>
      </c>
      <c r="H61">
        <v>0</v>
      </c>
    </row>
    <row r="62" spans="1:8" x14ac:dyDescent="0.3">
      <c r="A62">
        <v>20190220</v>
      </c>
      <c r="B62">
        <v>310970</v>
      </c>
      <c r="C62">
        <v>10975</v>
      </c>
      <c r="D62">
        <v>11090</v>
      </c>
      <c r="E62">
        <v>11090</v>
      </c>
      <c r="F62">
        <v>68700000</v>
      </c>
      <c r="G62" s="1">
        <v>761883000000</v>
      </c>
      <c r="H62">
        <v>0</v>
      </c>
    </row>
    <row r="63" spans="1:8" x14ac:dyDescent="0.3">
      <c r="A63">
        <v>20190221</v>
      </c>
      <c r="B63">
        <v>310970</v>
      </c>
      <c r="C63">
        <v>11090</v>
      </c>
      <c r="D63">
        <v>11095</v>
      </c>
      <c r="E63">
        <v>11095</v>
      </c>
      <c r="F63">
        <v>68700000</v>
      </c>
      <c r="G63" s="1">
        <v>762226500000</v>
      </c>
      <c r="H63">
        <v>0</v>
      </c>
    </row>
    <row r="64" spans="1:8" x14ac:dyDescent="0.3">
      <c r="A64">
        <v>20190222</v>
      </c>
      <c r="B64">
        <v>310970</v>
      </c>
      <c r="C64">
        <v>11095</v>
      </c>
      <c r="D64">
        <v>11075</v>
      </c>
      <c r="E64">
        <v>11075</v>
      </c>
      <c r="F64">
        <v>68700000</v>
      </c>
      <c r="G64" s="1">
        <v>760852500000</v>
      </c>
      <c r="H64">
        <v>0</v>
      </c>
    </row>
    <row r="65" spans="1:8" x14ac:dyDescent="0.3">
      <c r="A65">
        <v>20190225</v>
      </c>
      <c r="B65">
        <v>310970</v>
      </c>
      <c r="C65">
        <v>11075</v>
      </c>
      <c r="D65">
        <v>11130</v>
      </c>
      <c r="E65">
        <v>11130</v>
      </c>
      <c r="F65">
        <v>68700000</v>
      </c>
      <c r="G65" s="1">
        <v>764631000000</v>
      </c>
      <c r="H65">
        <v>0</v>
      </c>
    </row>
    <row r="66" spans="1:8" x14ac:dyDescent="0.3">
      <c r="A66">
        <v>20190226</v>
      </c>
      <c r="B66">
        <v>310970</v>
      </c>
      <c r="C66">
        <v>11130</v>
      </c>
      <c r="D66">
        <v>11095</v>
      </c>
      <c r="E66">
        <v>11095</v>
      </c>
      <c r="F66">
        <v>68700000</v>
      </c>
      <c r="G66" s="1">
        <v>762226500000</v>
      </c>
      <c r="H66">
        <v>0</v>
      </c>
    </row>
    <row r="67" spans="1:8" x14ac:dyDescent="0.3">
      <c r="A67">
        <v>20190227</v>
      </c>
      <c r="B67">
        <v>310970</v>
      </c>
      <c r="C67">
        <v>11095</v>
      </c>
      <c r="D67">
        <v>11095</v>
      </c>
      <c r="E67">
        <v>11095</v>
      </c>
      <c r="F67">
        <v>68700000</v>
      </c>
      <c r="G67" s="1">
        <v>762226500000</v>
      </c>
      <c r="H67">
        <v>0</v>
      </c>
    </row>
    <row r="68" spans="1:8" x14ac:dyDescent="0.3">
      <c r="A68">
        <v>20190228</v>
      </c>
      <c r="B68">
        <v>310970</v>
      </c>
      <c r="C68">
        <v>11095</v>
      </c>
      <c r="D68">
        <v>10950</v>
      </c>
      <c r="E68">
        <v>10950</v>
      </c>
      <c r="F68">
        <v>57700000</v>
      </c>
      <c r="G68" s="1">
        <v>631815000000</v>
      </c>
      <c r="H68">
        <v>0</v>
      </c>
    </row>
    <row r="69" spans="1:8" x14ac:dyDescent="0.3">
      <c r="A69">
        <v>20190304</v>
      </c>
      <c r="B69">
        <v>310970</v>
      </c>
      <c r="C69">
        <v>10950</v>
      </c>
      <c r="D69">
        <v>10895</v>
      </c>
      <c r="E69">
        <v>10895</v>
      </c>
      <c r="F69">
        <v>57700000</v>
      </c>
      <c r="G69" s="1">
        <v>628641500000</v>
      </c>
      <c r="H69">
        <v>0</v>
      </c>
    </row>
    <row r="70" spans="1:8" x14ac:dyDescent="0.3">
      <c r="A70">
        <v>20190305</v>
      </c>
      <c r="B70">
        <v>310970</v>
      </c>
      <c r="C70">
        <v>10895</v>
      </c>
      <c r="D70">
        <v>10805</v>
      </c>
      <c r="E70">
        <v>10805</v>
      </c>
      <c r="F70">
        <v>57700000</v>
      </c>
      <c r="G70" s="1">
        <v>628641500000</v>
      </c>
      <c r="H70">
        <v>0</v>
      </c>
    </row>
    <row r="71" spans="1:8" x14ac:dyDescent="0.3">
      <c r="A71">
        <v>20190306</v>
      </c>
      <c r="B71">
        <v>310970</v>
      </c>
      <c r="C71">
        <v>10805</v>
      </c>
      <c r="D71">
        <v>10780</v>
      </c>
      <c r="E71">
        <v>10780</v>
      </c>
      <c r="F71">
        <v>57700000</v>
      </c>
      <c r="G71" s="1">
        <v>622006000000</v>
      </c>
      <c r="H71">
        <v>0</v>
      </c>
    </row>
    <row r="72" spans="1:8" x14ac:dyDescent="0.3">
      <c r="A72">
        <v>20190307</v>
      </c>
      <c r="B72">
        <v>310970</v>
      </c>
      <c r="C72">
        <v>10780</v>
      </c>
      <c r="D72">
        <v>10740</v>
      </c>
      <c r="E72">
        <v>10740</v>
      </c>
      <c r="F72">
        <v>68700000</v>
      </c>
      <c r="G72" s="1">
        <v>737838000000</v>
      </c>
      <c r="H72">
        <v>0</v>
      </c>
    </row>
    <row r="73" spans="1:8" x14ac:dyDescent="0.3">
      <c r="A73">
        <v>20190308</v>
      </c>
      <c r="B73">
        <v>310970</v>
      </c>
      <c r="C73">
        <v>10740</v>
      </c>
      <c r="D73">
        <v>10660</v>
      </c>
      <c r="E73">
        <v>10660</v>
      </c>
      <c r="F73">
        <v>68700000</v>
      </c>
      <c r="G73" s="1">
        <v>732342000000</v>
      </c>
      <c r="H73">
        <v>0</v>
      </c>
    </row>
    <row r="74" spans="1:8" x14ac:dyDescent="0.3">
      <c r="A74">
        <v>20190311</v>
      </c>
      <c r="B74">
        <v>310970</v>
      </c>
      <c r="C74">
        <v>10660</v>
      </c>
      <c r="D74">
        <v>10610</v>
      </c>
      <c r="E74">
        <v>10610</v>
      </c>
      <c r="F74">
        <v>59000000</v>
      </c>
      <c r="G74" s="1">
        <v>628940000000</v>
      </c>
      <c r="H74">
        <v>0</v>
      </c>
    </row>
    <row r="75" spans="1:8" x14ac:dyDescent="0.3">
      <c r="A75">
        <v>20190312</v>
      </c>
      <c r="B75">
        <v>310970</v>
      </c>
      <c r="C75">
        <v>10610</v>
      </c>
      <c r="D75">
        <v>10725</v>
      </c>
      <c r="E75">
        <v>10725</v>
      </c>
      <c r="F75">
        <v>59000000</v>
      </c>
      <c r="G75" s="1">
        <v>632775000000</v>
      </c>
      <c r="H75">
        <v>0</v>
      </c>
    </row>
    <row r="76" spans="1:8" x14ac:dyDescent="0.3">
      <c r="A76">
        <v>20190313</v>
      </c>
      <c r="B76">
        <v>310970</v>
      </c>
      <c r="C76">
        <v>10725</v>
      </c>
      <c r="D76">
        <v>10630</v>
      </c>
      <c r="E76">
        <v>10630</v>
      </c>
      <c r="F76">
        <v>59000000</v>
      </c>
      <c r="G76" s="1">
        <v>627170000000</v>
      </c>
      <c r="H76">
        <v>0</v>
      </c>
    </row>
    <row r="77" spans="1:8" x14ac:dyDescent="0.3">
      <c r="A77">
        <v>20190314</v>
      </c>
      <c r="B77">
        <v>310970</v>
      </c>
      <c r="C77">
        <v>10630</v>
      </c>
      <c r="D77">
        <v>10620</v>
      </c>
      <c r="E77">
        <v>10620</v>
      </c>
      <c r="F77">
        <v>59000000</v>
      </c>
      <c r="G77" s="1">
        <v>626580000000</v>
      </c>
      <c r="H77">
        <v>0</v>
      </c>
    </row>
    <row r="78" spans="1:8" x14ac:dyDescent="0.3">
      <c r="A78">
        <v>20190315</v>
      </c>
      <c r="B78">
        <v>310970</v>
      </c>
      <c r="C78">
        <v>10620</v>
      </c>
      <c r="D78">
        <v>10775</v>
      </c>
      <c r="E78">
        <v>10775</v>
      </c>
      <c r="F78">
        <v>59000000</v>
      </c>
      <c r="G78" s="1">
        <v>635725000000</v>
      </c>
      <c r="H78">
        <v>0</v>
      </c>
    </row>
    <row r="79" spans="1:8" x14ac:dyDescent="0.3">
      <c r="A79">
        <v>20190318</v>
      </c>
      <c r="B79">
        <v>310970</v>
      </c>
      <c r="C79">
        <v>10775</v>
      </c>
      <c r="D79">
        <v>10755</v>
      </c>
      <c r="E79">
        <v>10755</v>
      </c>
      <c r="F79">
        <v>59000000</v>
      </c>
      <c r="G79" s="1">
        <v>634545000000</v>
      </c>
      <c r="H79">
        <v>0</v>
      </c>
    </row>
    <row r="80" spans="1:8" x14ac:dyDescent="0.3">
      <c r="A80">
        <v>20190319</v>
      </c>
      <c r="B80">
        <v>310970</v>
      </c>
      <c r="C80">
        <v>10755</v>
      </c>
      <c r="D80">
        <v>10775</v>
      </c>
      <c r="E80">
        <v>10775</v>
      </c>
      <c r="F80">
        <v>59000000</v>
      </c>
      <c r="G80" s="1">
        <v>635725000000</v>
      </c>
      <c r="H80">
        <v>0</v>
      </c>
    </row>
    <row r="81" spans="1:8" x14ac:dyDescent="0.3">
      <c r="A81">
        <v>20190320</v>
      </c>
      <c r="B81">
        <v>310970</v>
      </c>
      <c r="C81">
        <v>10775</v>
      </c>
      <c r="D81">
        <v>10790</v>
      </c>
      <c r="E81">
        <v>10790</v>
      </c>
      <c r="F81">
        <v>77600000</v>
      </c>
      <c r="G81" s="1">
        <v>837304000000</v>
      </c>
      <c r="H81">
        <v>0</v>
      </c>
    </row>
    <row r="82" spans="1:8" x14ac:dyDescent="0.3">
      <c r="A82">
        <v>20190321</v>
      </c>
      <c r="B82">
        <v>310970</v>
      </c>
      <c r="C82">
        <v>10790</v>
      </c>
      <c r="D82">
        <v>10900</v>
      </c>
      <c r="E82">
        <v>10900</v>
      </c>
      <c r="F82">
        <v>77600000</v>
      </c>
      <c r="G82" s="1">
        <v>845840000000</v>
      </c>
      <c r="H82">
        <v>0</v>
      </c>
    </row>
    <row r="83" spans="1:8" x14ac:dyDescent="0.3">
      <c r="A83">
        <v>20190322</v>
      </c>
      <c r="B83">
        <v>310970</v>
      </c>
      <c r="C83">
        <v>10900</v>
      </c>
      <c r="D83">
        <v>10925</v>
      </c>
      <c r="E83">
        <v>10925</v>
      </c>
      <c r="F83">
        <v>77600000</v>
      </c>
      <c r="G83" s="1">
        <v>845840000000</v>
      </c>
      <c r="H83">
        <v>0</v>
      </c>
    </row>
    <row r="84" spans="1:8" x14ac:dyDescent="0.3">
      <c r="A84">
        <v>20190325</v>
      </c>
      <c r="B84">
        <v>310970</v>
      </c>
      <c r="C84">
        <v>10925</v>
      </c>
      <c r="D84">
        <v>10720</v>
      </c>
      <c r="E84">
        <v>10720</v>
      </c>
      <c r="F84">
        <v>77600000</v>
      </c>
      <c r="G84" s="1">
        <v>831872000000</v>
      </c>
      <c r="H84">
        <v>0</v>
      </c>
    </row>
    <row r="85" spans="1:8" x14ac:dyDescent="0.3">
      <c r="A85">
        <v>20190326</v>
      </c>
      <c r="B85">
        <v>310970</v>
      </c>
      <c r="C85">
        <v>10720</v>
      </c>
      <c r="D85">
        <v>10740</v>
      </c>
      <c r="E85">
        <v>10740</v>
      </c>
      <c r="F85">
        <v>77600000</v>
      </c>
      <c r="G85" s="1">
        <v>833424000000</v>
      </c>
      <c r="H85">
        <v>0</v>
      </c>
    </row>
    <row r="86" spans="1:8" x14ac:dyDescent="0.3">
      <c r="A86">
        <v>20190327</v>
      </c>
      <c r="B86">
        <v>310970</v>
      </c>
      <c r="C86">
        <v>10740</v>
      </c>
      <c r="D86">
        <v>10670</v>
      </c>
      <c r="E86">
        <v>10670</v>
      </c>
      <c r="F86">
        <v>77600000</v>
      </c>
      <c r="G86" s="1">
        <v>827992000000</v>
      </c>
      <c r="H86">
        <v>0</v>
      </c>
    </row>
    <row r="87" spans="1:8" x14ac:dyDescent="0.3">
      <c r="A87">
        <v>20190328</v>
      </c>
      <c r="B87">
        <v>310970</v>
      </c>
      <c r="C87">
        <v>10670</v>
      </c>
      <c r="D87">
        <v>10630</v>
      </c>
      <c r="E87">
        <v>10630</v>
      </c>
      <c r="F87">
        <v>67900000</v>
      </c>
      <c r="G87" s="1">
        <v>721777000000</v>
      </c>
      <c r="H87">
        <v>0</v>
      </c>
    </row>
    <row r="88" spans="1:8" x14ac:dyDescent="0.3">
      <c r="A88">
        <v>20190329</v>
      </c>
      <c r="B88">
        <v>310970</v>
      </c>
      <c r="C88">
        <v>10630</v>
      </c>
      <c r="D88">
        <v>10715</v>
      </c>
      <c r="E88">
        <v>10715</v>
      </c>
      <c r="F88">
        <v>67900000</v>
      </c>
      <c r="G88" s="1">
        <v>727548500000</v>
      </c>
      <c r="H88">
        <v>0</v>
      </c>
    </row>
    <row r="89" spans="1:8" x14ac:dyDescent="0.3">
      <c r="A89">
        <v>20190401</v>
      </c>
      <c r="B89">
        <v>310970</v>
      </c>
      <c r="C89">
        <v>10715</v>
      </c>
      <c r="D89">
        <v>10850</v>
      </c>
      <c r="E89">
        <v>10850</v>
      </c>
      <c r="F89">
        <v>67900000</v>
      </c>
      <c r="G89" s="1">
        <v>736715000000</v>
      </c>
      <c r="H89">
        <v>0</v>
      </c>
    </row>
    <row r="90" spans="1:8" x14ac:dyDescent="0.3">
      <c r="A90">
        <v>20190402</v>
      </c>
      <c r="B90">
        <v>310970</v>
      </c>
      <c r="C90">
        <v>10850</v>
      </c>
      <c r="D90">
        <v>10915</v>
      </c>
      <c r="E90">
        <v>10915</v>
      </c>
      <c r="F90">
        <v>67900000</v>
      </c>
      <c r="G90" s="1">
        <v>741128500000</v>
      </c>
      <c r="H90">
        <v>0</v>
      </c>
    </row>
    <row r="91" spans="1:8" x14ac:dyDescent="0.3">
      <c r="A91">
        <v>20190403</v>
      </c>
      <c r="B91">
        <v>310970</v>
      </c>
      <c r="C91">
        <v>10915</v>
      </c>
      <c r="D91">
        <v>11080</v>
      </c>
      <c r="E91">
        <v>11080</v>
      </c>
      <c r="F91">
        <v>67900000</v>
      </c>
      <c r="G91" s="1">
        <v>752332000000</v>
      </c>
      <c r="H91">
        <v>0</v>
      </c>
    </row>
    <row r="92" spans="1:8" x14ac:dyDescent="0.3">
      <c r="A92">
        <v>20190404</v>
      </c>
      <c r="B92">
        <v>310970</v>
      </c>
      <c r="C92">
        <v>11080</v>
      </c>
      <c r="D92">
        <v>11120</v>
      </c>
      <c r="E92">
        <v>11120</v>
      </c>
      <c r="F92">
        <v>67900000</v>
      </c>
      <c r="G92" s="1">
        <v>755048000000</v>
      </c>
      <c r="H92">
        <v>0</v>
      </c>
    </row>
    <row r="93" spans="1:8" x14ac:dyDescent="0.3">
      <c r="A93">
        <v>20190405</v>
      </c>
      <c r="B93">
        <v>310970</v>
      </c>
      <c r="C93">
        <v>11120</v>
      </c>
      <c r="D93">
        <v>11120</v>
      </c>
      <c r="E93">
        <v>11120</v>
      </c>
      <c r="F93">
        <v>67900000</v>
      </c>
      <c r="G93" s="1">
        <v>755048000000</v>
      </c>
      <c r="H93">
        <v>0</v>
      </c>
    </row>
    <row r="94" spans="1:8" x14ac:dyDescent="0.3">
      <c r="A94">
        <v>20190408</v>
      </c>
      <c r="B94">
        <v>310970</v>
      </c>
      <c r="C94">
        <v>11120</v>
      </c>
      <c r="D94">
        <v>11105</v>
      </c>
      <c r="E94">
        <v>11105</v>
      </c>
      <c r="F94">
        <v>67900000</v>
      </c>
      <c r="G94" s="1">
        <v>754029500000</v>
      </c>
      <c r="H94">
        <v>0</v>
      </c>
    </row>
    <row r="95" spans="1:8" x14ac:dyDescent="0.3">
      <c r="A95">
        <v>20190409</v>
      </c>
      <c r="B95">
        <v>310970</v>
      </c>
      <c r="C95">
        <v>11105</v>
      </c>
      <c r="D95">
        <v>11175</v>
      </c>
      <c r="E95">
        <v>11175</v>
      </c>
      <c r="F95">
        <v>67900000</v>
      </c>
      <c r="G95" s="1">
        <v>758782500000</v>
      </c>
      <c r="H95">
        <v>0</v>
      </c>
    </row>
    <row r="96" spans="1:8" x14ac:dyDescent="0.3">
      <c r="A96">
        <v>20190410</v>
      </c>
      <c r="B96">
        <v>310970</v>
      </c>
      <c r="C96">
        <v>11175</v>
      </c>
      <c r="D96">
        <v>11090</v>
      </c>
      <c r="E96">
        <v>11090</v>
      </c>
      <c r="F96">
        <v>67900000</v>
      </c>
      <c r="G96" s="1">
        <v>753011000000</v>
      </c>
      <c r="H96">
        <v>0</v>
      </c>
    </row>
    <row r="97" spans="1:8" x14ac:dyDescent="0.3">
      <c r="A97">
        <v>20190411</v>
      </c>
      <c r="B97">
        <v>310970</v>
      </c>
      <c r="C97">
        <v>11090</v>
      </c>
      <c r="D97">
        <v>11140</v>
      </c>
      <c r="E97">
        <v>11140</v>
      </c>
      <c r="F97">
        <v>67900000</v>
      </c>
      <c r="G97" s="1">
        <v>756406000000</v>
      </c>
      <c r="H97">
        <v>0</v>
      </c>
    </row>
    <row r="98" spans="1:8" x14ac:dyDescent="0.3">
      <c r="A98">
        <v>20190412</v>
      </c>
      <c r="B98">
        <v>310970</v>
      </c>
      <c r="C98">
        <v>11140</v>
      </c>
      <c r="D98">
        <v>11150</v>
      </c>
      <c r="E98">
        <v>11150</v>
      </c>
      <c r="F98">
        <v>67900000</v>
      </c>
      <c r="G98" s="1">
        <v>757085000000</v>
      </c>
      <c r="H98">
        <v>0</v>
      </c>
    </row>
    <row r="99" spans="1:8" x14ac:dyDescent="0.3">
      <c r="A99">
        <v>20190415</v>
      </c>
      <c r="B99">
        <v>310970</v>
      </c>
      <c r="C99">
        <v>11150</v>
      </c>
      <c r="D99">
        <v>11190</v>
      </c>
      <c r="E99">
        <v>11190</v>
      </c>
      <c r="F99">
        <v>67900000</v>
      </c>
      <c r="G99" s="1">
        <v>759801000000</v>
      </c>
      <c r="H99">
        <v>0</v>
      </c>
    </row>
    <row r="100" spans="1:8" x14ac:dyDescent="0.3">
      <c r="A100">
        <v>20190416</v>
      </c>
      <c r="B100">
        <v>310970</v>
      </c>
      <c r="C100">
        <v>11190</v>
      </c>
      <c r="D100">
        <v>11260</v>
      </c>
      <c r="E100">
        <v>11260</v>
      </c>
      <c r="F100">
        <v>67900000</v>
      </c>
      <c r="G100" s="1">
        <v>764554000000</v>
      </c>
      <c r="H100">
        <v>0</v>
      </c>
    </row>
    <row r="101" spans="1:8" x14ac:dyDescent="0.3">
      <c r="A101">
        <v>20190417</v>
      </c>
      <c r="B101">
        <v>310970</v>
      </c>
      <c r="C101">
        <v>11260</v>
      </c>
      <c r="D101">
        <v>11260</v>
      </c>
      <c r="E101">
        <v>11260</v>
      </c>
      <c r="F101">
        <v>67900000</v>
      </c>
      <c r="G101" s="1">
        <v>764554000000</v>
      </c>
      <c r="H101">
        <v>0</v>
      </c>
    </row>
    <row r="102" spans="1:8" x14ac:dyDescent="0.3">
      <c r="A102">
        <v>20190418</v>
      </c>
      <c r="B102">
        <v>310970</v>
      </c>
      <c r="C102">
        <v>11260</v>
      </c>
      <c r="D102">
        <v>11085</v>
      </c>
      <c r="E102">
        <v>11085</v>
      </c>
      <c r="F102">
        <v>67900000</v>
      </c>
      <c r="G102" s="1">
        <v>752671500000</v>
      </c>
      <c r="H102">
        <v>0</v>
      </c>
    </row>
    <row r="103" spans="1:8" x14ac:dyDescent="0.3">
      <c r="A103">
        <v>20190419</v>
      </c>
      <c r="B103">
        <v>310970</v>
      </c>
      <c r="C103">
        <v>11085</v>
      </c>
      <c r="D103">
        <v>11085</v>
      </c>
      <c r="E103">
        <v>11085</v>
      </c>
      <c r="F103">
        <v>67900000</v>
      </c>
      <c r="G103" s="1">
        <v>752671500000</v>
      </c>
      <c r="H103">
        <v>0</v>
      </c>
    </row>
    <row r="104" spans="1:8" x14ac:dyDescent="0.3">
      <c r="A104">
        <v>20190422</v>
      </c>
      <c r="B104">
        <v>310970</v>
      </c>
      <c r="C104">
        <v>11085</v>
      </c>
      <c r="D104">
        <v>11085</v>
      </c>
      <c r="E104">
        <v>11085</v>
      </c>
      <c r="F104">
        <v>67900000</v>
      </c>
      <c r="G104" s="1">
        <v>752671500000</v>
      </c>
      <c r="H104">
        <v>0</v>
      </c>
    </row>
    <row r="105" spans="1:8" x14ac:dyDescent="0.3">
      <c r="A105">
        <v>20190423</v>
      </c>
      <c r="B105">
        <v>310970</v>
      </c>
      <c r="C105">
        <v>11085</v>
      </c>
      <c r="D105">
        <v>11085</v>
      </c>
      <c r="E105">
        <v>11085</v>
      </c>
      <c r="F105">
        <v>67900000</v>
      </c>
      <c r="G105" s="1">
        <v>752671500000</v>
      </c>
      <c r="H105">
        <v>0</v>
      </c>
    </row>
    <row r="106" spans="1:8" x14ac:dyDescent="0.3">
      <c r="A106">
        <v>20190424</v>
      </c>
      <c r="B106">
        <v>310970</v>
      </c>
      <c r="C106">
        <v>11085</v>
      </c>
      <c r="D106">
        <v>10965</v>
      </c>
      <c r="E106">
        <v>10965</v>
      </c>
      <c r="F106">
        <v>67900000</v>
      </c>
      <c r="G106" s="1">
        <v>744523500000</v>
      </c>
      <c r="H106">
        <v>0</v>
      </c>
    </row>
    <row r="107" spans="1:8" x14ac:dyDescent="0.3">
      <c r="A107">
        <v>20190425</v>
      </c>
      <c r="B107">
        <v>310970</v>
      </c>
      <c r="C107">
        <v>10965</v>
      </c>
      <c r="D107">
        <v>10965</v>
      </c>
      <c r="E107">
        <v>10965</v>
      </c>
      <c r="F107">
        <v>67900000</v>
      </c>
      <c r="G107" s="1">
        <v>744523500000</v>
      </c>
      <c r="H107">
        <v>0</v>
      </c>
    </row>
    <row r="108" spans="1:8" x14ac:dyDescent="0.3">
      <c r="A108">
        <v>20190426</v>
      </c>
      <c r="B108">
        <v>310970</v>
      </c>
      <c r="C108">
        <v>10965</v>
      </c>
      <c r="D108">
        <v>10910</v>
      </c>
      <c r="E108">
        <v>10910</v>
      </c>
      <c r="F108">
        <v>67900000</v>
      </c>
      <c r="G108" s="1">
        <v>740789000000</v>
      </c>
      <c r="H108">
        <v>0</v>
      </c>
    </row>
    <row r="109" spans="1:8" x14ac:dyDescent="0.3">
      <c r="A109">
        <v>20190429</v>
      </c>
      <c r="B109">
        <v>310970</v>
      </c>
      <c r="C109">
        <v>10910</v>
      </c>
      <c r="D109">
        <v>11075</v>
      </c>
      <c r="E109">
        <v>11075</v>
      </c>
      <c r="F109">
        <v>67900000</v>
      </c>
      <c r="G109" s="1">
        <v>751992500000</v>
      </c>
      <c r="H109">
        <v>0</v>
      </c>
    </row>
    <row r="110" spans="1:8" x14ac:dyDescent="0.3">
      <c r="A110">
        <v>20190430</v>
      </c>
      <c r="B110">
        <v>310970</v>
      </c>
      <c r="C110">
        <v>11075</v>
      </c>
      <c r="D110">
        <v>11070</v>
      </c>
      <c r="E110">
        <v>11070</v>
      </c>
      <c r="F110">
        <v>67900000</v>
      </c>
      <c r="G110" s="1">
        <v>751992500000</v>
      </c>
      <c r="H110">
        <v>0</v>
      </c>
    </row>
    <row r="111" spans="1:8" x14ac:dyDescent="0.3">
      <c r="A111">
        <v>20190502</v>
      </c>
      <c r="B111">
        <v>310970</v>
      </c>
      <c r="C111">
        <v>11070</v>
      </c>
      <c r="D111">
        <v>11055</v>
      </c>
      <c r="E111">
        <v>11055</v>
      </c>
      <c r="F111">
        <v>67900000</v>
      </c>
      <c r="G111" s="1">
        <v>750634500000</v>
      </c>
      <c r="H111">
        <v>0</v>
      </c>
    </row>
    <row r="112" spans="1:8" x14ac:dyDescent="0.3">
      <c r="A112">
        <v>20190503</v>
      </c>
      <c r="B112">
        <v>310970</v>
      </c>
      <c r="C112">
        <v>11055</v>
      </c>
      <c r="D112">
        <v>11065</v>
      </c>
      <c r="E112">
        <v>11065</v>
      </c>
      <c r="F112">
        <v>67900000</v>
      </c>
      <c r="G112" s="1">
        <v>751313500000</v>
      </c>
      <c r="H112">
        <v>0</v>
      </c>
    </row>
    <row r="113" spans="1:8" x14ac:dyDescent="0.3">
      <c r="A113">
        <v>20190507</v>
      </c>
      <c r="B113">
        <v>310970</v>
      </c>
      <c r="C113">
        <v>11065</v>
      </c>
      <c r="D113">
        <v>10885</v>
      </c>
      <c r="E113">
        <v>10885</v>
      </c>
      <c r="F113">
        <v>67900000</v>
      </c>
      <c r="G113" s="1">
        <v>739091500000</v>
      </c>
      <c r="H113">
        <v>0</v>
      </c>
    </row>
    <row r="114" spans="1:8" x14ac:dyDescent="0.3">
      <c r="A114">
        <v>20190508</v>
      </c>
      <c r="B114">
        <v>310970</v>
      </c>
      <c r="C114">
        <v>10885</v>
      </c>
      <c r="D114">
        <v>10855</v>
      </c>
      <c r="E114">
        <v>10855</v>
      </c>
      <c r="F114">
        <v>67900000</v>
      </c>
      <c r="G114" s="1">
        <v>737054500000</v>
      </c>
      <c r="H114">
        <v>0</v>
      </c>
    </row>
    <row r="115" spans="1:8" x14ac:dyDescent="0.3">
      <c r="A115">
        <v>20190509</v>
      </c>
      <c r="B115">
        <v>310970</v>
      </c>
      <c r="C115">
        <v>10855</v>
      </c>
      <c r="D115">
        <v>10490</v>
      </c>
      <c r="E115">
        <v>10490</v>
      </c>
      <c r="F115">
        <v>67900000</v>
      </c>
      <c r="G115" s="1">
        <v>712271000000</v>
      </c>
      <c r="H115">
        <v>0</v>
      </c>
    </row>
    <row r="116" spans="1:8" x14ac:dyDescent="0.3">
      <c r="A116">
        <v>20190510</v>
      </c>
      <c r="B116">
        <v>310970</v>
      </c>
      <c r="C116">
        <v>10490</v>
      </c>
      <c r="D116">
        <v>10530</v>
      </c>
      <c r="E116">
        <v>10530</v>
      </c>
      <c r="F116">
        <v>67900000</v>
      </c>
      <c r="G116" s="1">
        <v>714987000000</v>
      </c>
      <c r="H116">
        <v>0</v>
      </c>
    </row>
    <row r="117" spans="1:8" x14ac:dyDescent="0.3">
      <c r="A117">
        <v>20190513</v>
      </c>
      <c r="B117">
        <v>310970</v>
      </c>
      <c r="C117">
        <v>10530</v>
      </c>
      <c r="D117">
        <v>10425</v>
      </c>
      <c r="E117">
        <v>10425</v>
      </c>
      <c r="F117">
        <v>67900000</v>
      </c>
      <c r="G117" s="1">
        <v>707857500000</v>
      </c>
      <c r="H117">
        <v>0</v>
      </c>
    </row>
    <row r="118" spans="1:8" x14ac:dyDescent="0.3">
      <c r="A118">
        <v>20190514</v>
      </c>
      <c r="B118">
        <v>310970</v>
      </c>
      <c r="C118">
        <v>10425</v>
      </c>
      <c r="D118">
        <v>10415</v>
      </c>
      <c r="E118">
        <v>10415</v>
      </c>
      <c r="F118">
        <v>67900000</v>
      </c>
      <c r="G118" s="1">
        <v>707178500000</v>
      </c>
      <c r="H118">
        <v>0</v>
      </c>
    </row>
    <row r="119" spans="1:8" x14ac:dyDescent="0.3">
      <c r="A119">
        <v>20190515</v>
      </c>
      <c r="B119">
        <v>310970</v>
      </c>
      <c r="C119">
        <v>10415</v>
      </c>
      <c r="D119">
        <v>10440</v>
      </c>
      <c r="E119">
        <v>10440</v>
      </c>
      <c r="F119">
        <v>67900000</v>
      </c>
      <c r="G119" s="1">
        <v>708876000000</v>
      </c>
      <c r="H119">
        <v>0</v>
      </c>
    </row>
    <row r="120" spans="1:8" x14ac:dyDescent="0.3">
      <c r="A120">
        <v>20190516</v>
      </c>
      <c r="B120">
        <v>310970</v>
      </c>
      <c r="C120">
        <v>10440</v>
      </c>
      <c r="D120">
        <v>10280</v>
      </c>
      <c r="E120">
        <v>10280</v>
      </c>
      <c r="F120">
        <v>67900000</v>
      </c>
      <c r="G120" s="1">
        <v>698012000000</v>
      </c>
      <c r="H120">
        <v>0</v>
      </c>
    </row>
    <row r="121" spans="1:8" x14ac:dyDescent="0.3">
      <c r="A121">
        <v>20190517</v>
      </c>
      <c r="B121">
        <v>310970</v>
      </c>
      <c r="C121">
        <v>10280</v>
      </c>
      <c r="D121">
        <v>10225</v>
      </c>
      <c r="E121">
        <v>10225</v>
      </c>
      <c r="F121">
        <v>67900000</v>
      </c>
      <c r="G121" s="1">
        <v>694277500000</v>
      </c>
      <c r="H121">
        <v>0</v>
      </c>
    </row>
    <row r="122" spans="1:8" x14ac:dyDescent="0.3">
      <c r="A122">
        <v>20190520</v>
      </c>
      <c r="B122">
        <v>310970</v>
      </c>
      <c r="C122">
        <v>10225</v>
      </c>
      <c r="D122">
        <v>10315</v>
      </c>
      <c r="E122">
        <v>10315</v>
      </c>
      <c r="F122">
        <v>67900000</v>
      </c>
      <c r="G122" s="1">
        <v>700388500000</v>
      </c>
      <c r="H122">
        <v>0</v>
      </c>
    </row>
    <row r="123" spans="1:8" x14ac:dyDescent="0.3">
      <c r="A123">
        <v>20190521</v>
      </c>
      <c r="B123">
        <v>310970</v>
      </c>
      <c r="C123">
        <v>10315</v>
      </c>
      <c r="D123">
        <v>10370</v>
      </c>
      <c r="E123">
        <v>10370</v>
      </c>
      <c r="F123">
        <v>67900000</v>
      </c>
      <c r="G123" s="1">
        <v>704123000000</v>
      </c>
      <c r="H123">
        <v>0</v>
      </c>
    </row>
    <row r="124" spans="1:8" x14ac:dyDescent="0.3">
      <c r="A124">
        <v>20190522</v>
      </c>
      <c r="B124">
        <v>310970</v>
      </c>
      <c r="C124">
        <v>10370</v>
      </c>
      <c r="D124">
        <v>10315</v>
      </c>
      <c r="E124">
        <v>10315</v>
      </c>
      <c r="F124">
        <v>67900000</v>
      </c>
      <c r="G124" s="1">
        <v>704123000000</v>
      </c>
      <c r="H124">
        <v>0</v>
      </c>
    </row>
    <row r="125" spans="1:8" x14ac:dyDescent="0.3">
      <c r="A125">
        <v>20190523</v>
      </c>
      <c r="B125">
        <v>310970</v>
      </c>
      <c r="C125">
        <v>10315</v>
      </c>
      <c r="D125">
        <v>10315</v>
      </c>
      <c r="E125">
        <v>10315</v>
      </c>
      <c r="F125">
        <v>67900000</v>
      </c>
      <c r="G125" s="1">
        <v>700388500000</v>
      </c>
      <c r="H125">
        <v>0</v>
      </c>
    </row>
    <row r="126" spans="1:8" x14ac:dyDescent="0.3">
      <c r="A126">
        <v>20190524</v>
      </c>
      <c r="B126">
        <v>310970</v>
      </c>
      <c r="C126">
        <v>10315</v>
      </c>
      <c r="D126">
        <v>10260</v>
      </c>
      <c r="E126">
        <v>10260</v>
      </c>
      <c r="F126">
        <v>67900000</v>
      </c>
      <c r="G126" s="1">
        <v>696654000000</v>
      </c>
      <c r="H126">
        <v>0</v>
      </c>
    </row>
    <row r="127" spans="1:8" x14ac:dyDescent="0.3">
      <c r="A127">
        <v>20190527</v>
      </c>
      <c r="B127">
        <v>310970</v>
      </c>
      <c r="C127">
        <v>10260</v>
      </c>
      <c r="D127">
        <v>10220</v>
      </c>
      <c r="E127">
        <v>10220</v>
      </c>
      <c r="F127">
        <v>67900000</v>
      </c>
      <c r="G127" s="1">
        <v>693938000000</v>
      </c>
      <c r="H127">
        <v>0</v>
      </c>
    </row>
    <row r="128" spans="1:8" x14ac:dyDescent="0.3">
      <c r="A128">
        <v>20190528</v>
      </c>
      <c r="B128">
        <v>310970</v>
      </c>
      <c r="C128">
        <v>10220</v>
      </c>
      <c r="D128">
        <v>10260</v>
      </c>
      <c r="E128">
        <v>10260</v>
      </c>
      <c r="F128">
        <v>67900000</v>
      </c>
      <c r="G128" s="1">
        <v>696654000000</v>
      </c>
      <c r="H128">
        <v>0</v>
      </c>
    </row>
    <row r="129" spans="1:8" x14ac:dyDescent="0.3">
      <c r="A129">
        <v>20190529</v>
      </c>
      <c r="B129">
        <v>310970</v>
      </c>
      <c r="C129">
        <v>10260</v>
      </c>
      <c r="D129">
        <v>10075</v>
      </c>
      <c r="E129">
        <v>10075</v>
      </c>
      <c r="F129">
        <v>67900000</v>
      </c>
      <c r="G129" s="1">
        <v>684092500000</v>
      </c>
      <c r="H129">
        <v>0</v>
      </c>
    </row>
    <row r="130" spans="1:8" x14ac:dyDescent="0.3">
      <c r="A130">
        <v>20190530</v>
      </c>
      <c r="B130">
        <v>310970</v>
      </c>
      <c r="C130">
        <v>10075</v>
      </c>
      <c r="D130">
        <v>10185</v>
      </c>
      <c r="E130">
        <v>10185</v>
      </c>
      <c r="F130">
        <v>47400000</v>
      </c>
      <c r="G130" s="1">
        <v>477555000000</v>
      </c>
      <c r="H130">
        <v>0</v>
      </c>
    </row>
    <row r="131" spans="1:8" x14ac:dyDescent="0.3">
      <c r="A131">
        <v>20190531</v>
      </c>
      <c r="B131">
        <v>310970</v>
      </c>
      <c r="C131">
        <v>10185</v>
      </c>
      <c r="D131">
        <v>10245</v>
      </c>
      <c r="E131">
        <v>10245</v>
      </c>
      <c r="F131">
        <v>47400000</v>
      </c>
      <c r="G131" s="1">
        <v>485613000000</v>
      </c>
      <c r="H131">
        <v>0</v>
      </c>
    </row>
    <row r="132" spans="1:8" x14ac:dyDescent="0.3">
      <c r="A132">
        <v>20190603</v>
      </c>
      <c r="B132">
        <v>310970</v>
      </c>
      <c r="C132">
        <v>10245</v>
      </c>
      <c r="D132">
        <v>10410</v>
      </c>
      <c r="E132">
        <v>10410</v>
      </c>
      <c r="F132">
        <v>47400000</v>
      </c>
      <c r="G132" s="1">
        <v>493434000000</v>
      </c>
      <c r="H132">
        <v>0</v>
      </c>
    </row>
    <row r="133" spans="1:8" x14ac:dyDescent="0.3">
      <c r="A133">
        <v>20190604</v>
      </c>
      <c r="B133">
        <v>310970</v>
      </c>
      <c r="C133">
        <v>10410</v>
      </c>
      <c r="D133">
        <v>10380</v>
      </c>
      <c r="E133">
        <v>10380</v>
      </c>
      <c r="F133">
        <v>47400000</v>
      </c>
      <c r="G133" s="1">
        <v>493434000000</v>
      </c>
      <c r="H133">
        <v>0</v>
      </c>
    </row>
    <row r="134" spans="1:8" x14ac:dyDescent="0.3">
      <c r="A134">
        <v>20190605</v>
      </c>
      <c r="B134">
        <v>310970</v>
      </c>
      <c r="C134">
        <v>10380</v>
      </c>
      <c r="D134">
        <v>10380</v>
      </c>
      <c r="E134">
        <v>10380</v>
      </c>
      <c r="F134">
        <v>47400000</v>
      </c>
      <c r="G134" s="1">
        <v>492012000000</v>
      </c>
      <c r="H134">
        <v>0</v>
      </c>
    </row>
    <row r="135" spans="1:8" x14ac:dyDescent="0.3">
      <c r="A135">
        <v>20190607</v>
      </c>
      <c r="B135">
        <v>310970</v>
      </c>
      <c r="C135">
        <v>10380</v>
      </c>
      <c r="D135">
        <v>10405</v>
      </c>
      <c r="E135">
        <v>10405</v>
      </c>
      <c r="F135">
        <v>62900000</v>
      </c>
      <c r="G135" s="1">
        <v>654474500000</v>
      </c>
      <c r="H135">
        <v>0</v>
      </c>
    </row>
    <row r="136" spans="1:8" x14ac:dyDescent="0.3">
      <c r="A136">
        <v>20190610</v>
      </c>
      <c r="B136">
        <v>310970</v>
      </c>
      <c r="C136">
        <v>10405</v>
      </c>
      <c r="D136">
        <v>10525</v>
      </c>
      <c r="E136">
        <v>10525</v>
      </c>
      <c r="F136">
        <v>62900000</v>
      </c>
      <c r="G136" s="1">
        <v>662022500000</v>
      </c>
      <c r="H136">
        <v>0</v>
      </c>
    </row>
    <row r="137" spans="1:8" x14ac:dyDescent="0.3">
      <c r="A137">
        <v>20190611</v>
      </c>
      <c r="B137">
        <v>310970</v>
      </c>
      <c r="C137">
        <v>10525</v>
      </c>
      <c r="D137">
        <v>10570</v>
      </c>
      <c r="E137">
        <v>10570</v>
      </c>
      <c r="F137">
        <v>67900000</v>
      </c>
      <c r="G137" s="1">
        <v>714647500000</v>
      </c>
      <c r="H137">
        <v>0</v>
      </c>
    </row>
    <row r="138" spans="1:8" x14ac:dyDescent="0.3">
      <c r="A138">
        <v>20190612</v>
      </c>
      <c r="B138">
        <v>310970</v>
      </c>
      <c r="C138">
        <v>10570</v>
      </c>
      <c r="D138">
        <v>10530</v>
      </c>
      <c r="E138">
        <v>10530</v>
      </c>
      <c r="F138">
        <v>67900000</v>
      </c>
      <c r="G138" s="1">
        <v>714987000000</v>
      </c>
      <c r="H138">
        <v>0</v>
      </c>
    </row>
    <row r="139" spans="1:8" x14ac:dyDescent="0.3">
      <c r="A139">
        <v>20190613</v>
      </c>
      <c r="B139">
        <v>310970</v>
      </c>
      <c r="C139">
        <v>10530</v>
      </c>
      <c r="D139">
        <v>10495</v>
      </c>
      <c r="E139">
        <v>10495</v>
      </c>
      <c r="F139">
        <v>67900000</v>
      </c>
      <c r="G139" s="1">
        <v>714987000000</v>
      </c>
      <c r="H139">
        <v>0</v>
      </c>
    </row>
    <row r="140" spans="1:8" x14ac:dyDescent="0.3">
      <c r="A140">
        <v>20190614</v>
      </c>
      <c r="B140">
        <v>310970</v>
      </c>
      <c r="C140">
        <v>10495</v>
      </c>
      <c r="D140">
        <v>10435</v>
      </c>
      <c r="E140">
        <v>10435</v>
      </c>
      <c r="F140">
        <v>67900000</v>
      </c>
      <c r="G140" s="1">
        <v>708536500000</v>
      </c>
      <c r="H140">
        <v>0</v>
      </c>
    </row>
    <row r="141" spans="1:8" x14ac:dyDescent="0.3">
      <c r="A141">
        <v>20190617</v>
      </c>
      <c r="B141">
        <v>310970</v>
      </c>
      <c r="C141">
        <v>10435</v>
      </c>
      <c r="D141">
        <v>10415</v>
      </c>
      <c r="E141">
        <v>10415</v>
      </c>
      <c r="F141">
        <v>67900000</v>
      </c>
      <c r="G141" s="1">
        <v>707178500000</v>
      </c>
      <c r="H141">
        <v>0</v>
      </c>
    </row>
    <row r="142" spans="1:8" x14ac:dyDescent="0.3">
      <c r="A142">
        <v>20190618</v>
      </c>
      <c r="B142">
        <v>310970</v>
      </c>
      <c r="C142">
        <v>10415</v>
      </c>
      <c r="D142">
        <v>10455</v>
      </c>
      <c r="E142">
        <v>10455</v>
      </c>
      <c r="F142">
        <v>67900000</v>
      </c>
      <c r="G142" s="1">
        <v>709894500000</v>
      </c>
      <c r="H142">
        <v>0</v>
      </c>
    </row>
    <row r="143" spans="1:8" x14ac:dyDescent="0.3">
      <c r="A143">
        <v>20190619</v>
      </c>
      <c r="B143">
        <v>310970</v>
      </c>
      <c r="C143">
        <v>10455</v>
      </c>
      <c r="D143">
        <v>10620</v>
      </c>
      <c r="E143">
        <v>10620</v>
      </c>
      <c r="F143">
        <v>67900000</v>
      </c>
      <c r="G143" s="1">
        <v>721098000000</v>
      </c>
      <c r="H143">
        <v>0</v>
      </c>
    </row>
    <row r="144" spans="1:8" x14ac:dyDescent="0.3">
      <c r="A144">
        <v>20190620</v>
      </c>
      <c r="B144">
        <v>310970</v>
      </c>
      <c r="C144">
        <v>10620</v>
      </c>
      <c r="D144">
        <v>10640</v>
      </c>
      <c r="E144">
        <v>10640</v>
      </c>
      <c r="F144">
        <v>67900000</v>
      </c>
      <c r="G144" s="1">
        <v>722456000000</v>
      </c>
      <c r="H144">
        <v>0</v>
      </c>
    </row>
    <row r="145" spans="1:8" x14ac:dyDescent="0.3">
      <c r="A145">
        <v>20190621</v>
      </c>
      <c r="B145">
        <v>310970</v>
      </c>
      <c r="C145">
        <v>10640</v>
      </c>
      <c r="D145">
        <v>10650</v>
      </c>
      <c r="E145">
        <v>10650</v>
      </c>
      <c r="F145">
        <v>67900000</v>
      </c>
      <c r="G145" s="1">
        <v>722456000000</v>
      </c>
      <c r="H145">
        <v>0</v>
      </c>
    </row>
    <row r="146" spans="1:8" x14ac:dyDescent="0.3">
      <c r="A146">
        <v>20190624</v>
      </c>
      <c r="B146">
        <v>310970</v>
      </c>
      <c r="C146">
        <v>10650</v>
      </c>
      <c r="D146">
        <v>10650</v>
      </c>
      <c r="E146">
        <v>10650</v>
      </c>
      <c r="F146">
        <v>67900000</v>
      </c>
      <c r="G146" s="1">
        <v>723135000000</v>
      </c>
      <c r="H146">
        <v>0</v>
      </c>
    </row>
    <row r="147" spans="1:8" x14ac:dyDescent="0.3">
      <c r="A147">
        <v>20190625</v>
      </c>
      <c r="B147">
        <v>310970</v>
      </c>
      <c r="C147">
        <v>10650</v>
      </c>
      <c r="D147">
        <v>10650</v>
      </c>
      <c r="E147">
        <v>10650</v>
      </c>
      <c r="F147">
        <v>67900000</v>
      </c>
      <c r="G147" s="1">
        <v>723135000000</v>
      </c>
      <c r="H147">
        <v>0</v>
      </c>
    </row>
    <row r="148" spans="1:8" x14ac:dyDescent="0.3">
      <c r="A148">
        <v>20190626</v>
      </c>
      <c r="B148">
        <v>310970</v>
      </c>
      <c r="C148">
        <v>10650</v>
      </c>
      <c r="D148">
        <v>10655</v>
      </c>
      <c r="E148">
        <v>10655</v>
      </c>
      <c r="F148">
        <v>67900000</v>
      </c>
      <c r="G148" s="1">
        <v>723474500000</v>
      </c>
      <c r="H148">
        <v>0</v>
      </c>
    </row>
    <row r="149" spans="1:8" x14ac:dyDescent="0.3">
      <c r="A149">
        <v>20190627</v>
      </c>
      <c r="B149">
        <v>310970</v>
      </c>
      <c r="C149">
        <v>10655</v>
      </c>
      <c r="D149">
        <v>10775</v>
      </c>
      <c r="E149">
        <v>10775</v>
      </c>
      <c r="F149">
        <v>67900000</v>
      </c>
      <c r="G149" s="1">
        <v>723474500000</v>
      </c>
      <c r="H149">
        <v>0</v>
      </c>
    </row>
    <row r="150" spans="1:8" x14ac:dyDescent="0.3">
      <c r="A150">
        <v>20190628</v>
      </c>
      <c r="B150">
        <v>310970</v>
      </c>
      <c r="C150">
        <v>10775</v>
      </c>
      <c r="D150">
        <v>10805</v>
      </c>
      <c r="E150">
        <v>10805</v>
      </c>
      <c r="F150">
        <v>67900000</v>
      </c>
      <c r="G150" s="1">
        <v>733659500000</v>
      </c>
      <c r="H150">
        <v>0</v>
      </c>
    </row>
    <row r="151" spans="1:8" x14ac:dyDescent="0.3">
      <c r="A151">
        <v>20190701</v>
      </c>
      <c r="B151">
        <v>310970</v>
      </c>
      <c r="C151">
        <v>10805</v>
      </c>
      <c r="D151">
        <v>10805</v>
      </c>
      <c r="E151">
        <v>10805</v>
      </c>
      <c r="F151">
        <v>67900000</v>
      </c>
      <c r="G151" s="1">
        <v>733659500000</v>
      </c>
      <c r="H151">
        <v>0</v>
      </c>
    </row>
    <row r="152" spans="1:8" x14ac:dyDescent="0.3">
      <c r="A152">
        <v>20190702</v>
      </c>
      <c r="B152">
        <v>310970</v>
      </c>
      <c r="C152">
        <v>10805</v>
      </c>
      <c r="D152">
        <v>10740</v>
      </c>
      <c r="E152">
        <v>10740</v>
      </c>
      <c r="F152">
        <v>67900000</v>
      </c>
      <c r="G152" s="1">
        <v>733659500000</v>
      </c>
      <c r="H152">
        <v>0</v>
      </c>
    </row>
    <row r="153" spans="1:8" x14ac:dyDescent="0.3">
      <c r="A153">
        <v>20190703</v>
      </c>
      <c r="B153">
        <v>310970</v>
      </c>
      <c r="C153">
        <v>10740</v>
      </c>
      <c r="D153">
        <v>10625</v>
      </c>
      <c r="E153">
        <v>10625</v>
      </c>
      <c r="F153">
        <v>67900000</v>
      </c>
      <c r="G153" s="1">
        <v>721437500000</v>
      </c>
      <c r="H153">
        <v>0</v>
      </c>
    </row>
    <row r="154" spans="1:8" x14ac:dyDescent="0.3">
      <c r="A154">
        <v>20190704</v>
      </c>
      <c r="B154">
        <v>310970</v>
      </c>
      <c r="C154">
        <v>10625</v>
      </c>
      <c r="D154">
        <v>10625</v>
      </c>
      <c r="E154">
        <v>10625</v>
      </c>
      <c r="F154">
        <v>67900000</v>
      </c>
      <c r="G154" s="1">
        <v>721437500000</v>
      </c>
      <c r="H154">
        <v>0</v>
      </c>
    </row>
    <row r="155" spans="1:8" x14ac:dyDescent="0.3">
      <c r="A155">
        <v>20190705</v>
      </c>
      <c r="B155">
        <v>310970</v>
      </c>
      <c r="C155">
        <v>10625</v>
      </c>
      <c r="D155">
        <v>10615</v>
      </c>
      <c r="E155">
        <v>10615</v>
      </c>
      <c r="F155">
        <v>67900000</v>
      </c>
      <c r="G155" s="1">
        <v>720758500000</v>
      </c>
      <c r="H155">
        <v>0</v>
      </c>
    </row>
    <row r="156" spans="1:8" x14ac:dyDescent="0.3">
      <c r="A156">
        <v>20190708</v>
      </c>
      <c r="B156">
        <v>310970</v>
      </c>
      <c r="C156">
        <v>10615</v>
      </c>
      <c r="D156">
        <v>10445</v>
      </c>
      <c r="E156">
        <v>10445</v>
      </c>
      <c r="F156">
        <v>67900000</v>
      </c>
      <c r="G156" s="1">
        <v>720758500000</v>
      </c>
      <c r="H156">
        <v>0</v>
      </c>
    </row>
    <row r="157" spans="1:8" x14ac:dyDescent="0.3">
      <c r="A157">
        <v>20190709</v>
      </c>
      <c r="B157">
        <v>310970</v>
      </c>
      <c r="C157">
        <v>10445</v>
      </c>
      <c r="D157">
        <v>10420</v>
      </c>
      <c r="E157">
        <v>10420</v>
      </c>
      <c r="F157">
        <v>67900000</v>
      </c>
      <c r="G157" s="1">
        <v>709215500000</v>
      </c>
      <c r="H157">
        <v>0</v>
      </c>
    </row>
    <row r="158" spans="1:8" x14ac:dyDescent="0.3">
      <c r="A158">
        <v>20190710</v>
      </c>
      <c r="B158">
        <v>310970</v>
      </c>
      <c r="C158">
        <v>10420</v>
      </c>
      <c r="D158">
        <v>10460</v>
      </c>
      <c r="E158">
        <v>10460</v>
      </c>
      <c r="F158">
        <v>67900000</v>
      </c>
      <c r="G158" s="1">
        <v>707518000000</v>
      </c>
      <c r="H158">
        <v>0</v>
      </c>
    </row>
    <row r="159" spans="1:8" x14ac:dyDescent="0.3">
      <c r="A159">
        <v>20190711</v>
      </c>
      <c r="B159">
        <v>310970</v>
      </c>
      <c r="C159">
        <v>10460</v>
      </c>
      <c r="D159">
        <v>10565</v>
      </c>
      <c r="E159">
        <v>10565</v>
      </c>
      <c r="F159">
        <v>67900000</v>
      </c>
      <c r="G159" s="1">
        <v>710234000000</v>
      </c>
      <c r="H159">
        <v>0</v>
      </c>
    </row>
    <row r="160" spans="1:8" x14ac:dyDescent="0.3">
      <c r="A160">
        <v>20190712</v>
      </c>
      <c r="B160">
        <v>310970</v>
      </c>
      <c r="C160">
        <v>10565</v>
      </c>
      <c r="D160">
        <v>10580</v>
      </c>
      <c r="E160">
        <v>10580</v>
      </c>
      <c r="F160">
        <v>67900000</v>
      </c>
      <c r="G160" s="1">
        <v>718382000000</v>
      </c>
      <c r="H160">
        <v>0</v>
      </c>
    </row>
    <row r="161" spans="1:8" x14ac:dyDescent="0.3">
      <c r="A161">
        <v>20190715</v>
      </c>
      <c r="B161">
        <v>310970</v>
      </c>
      <c r="C161">
        <v>10580</v>
      </c>
      <c r="D161">
        <v>10590</v>
      </c>
      <c r="E161">
        <v>10590</v>
      </c>
      <c r="F161">
        <v>67900000</v>
      </c>
      <c r="G161" s="1">
        <v>718382000000</v>
      </c>
      <c r="H161">
        <v>0</v>
      </c>
    </row>
    <row r="162" spans="1:8" x14ac:dyDescent="0.3">
      <c r="A162">
        <v>20190716</v>
      </c>
      <c r="B162">
        <v>310970</v>
      </c>
      <c r="C162">
        <v>10590</v>
      </c>
      <c r="D162">
        <v>10635</v>
      </c>
      <c r="E162">
        <v>10635</v>
      </c>
      <c r="F162">
        <v>67900000</v>
      </c>
      <c r="G162" s="1">
        <v>719061000000</v>
      </c>
      <c r="H162">
        <v>0</v>
      </c>
    </row>
    <row r="163" spans="1:8" x14ac:dyDescent="0.3">
      <c r="A163">
        <v>20190717</v>
      </c>
      <c r="B163">
        <v>310970</v>
      </c>
      <c r="C163">
        <v>10635</v>
      </c>
      <c r="D163">
        <v>10575</v>
      </c>
      <c r="E163">
        <v>10575</v>
      </c>
      <c r="F163">
        <v>67900000</v>
      </c>
      <c r="G163" s="1">
        <v>722116500000</v>
      </c>
      <c r="H16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8"/>
  <sheetViews>
    <sheetView topLeftCell="A169" workbookViewId="0">
      <selection activeCell="E2" sqref="E2:E178"/>
    </sheetView>
  </sheetViews>
  <sheetFormatPr defaultRowHeight="16.5" x14ac:dyDescent="0.3"/>
  <cols>
    <col min="1" max="1" width="9.5" bestFit="1" customWidth="1"/>
    <col min="2" max="2" width="9" bestFit="1" customWidth="1"/>
    <col min="3" max="3" width="7.125" style="8" bestFit="1" customWidth="1"/>
    <col min="4" max="4" width="6.5" style="8" bestFit="1" customWidth="1"/>
    <col min="5" max="5" width="9" bestFit="1" customWidth="1"/>
    <col min="6" max="6" width="11" style="8" bestFit="1" customWidth="1"/>
    <col min="7" max="8" width="14.625" bestFit="1" customWidth="1"/>
  </cols>
  <sheetData>
    <row r="1" spans="1:8" x14ac:dyDescent="0.3">
      <c r="A1" s="3" t="s">
        <v>99</v>
      </c>
      <c r="B1" s="3" t="s">
        <v>100</v>
      </c>
      <c r="C1" s="40" t="s">
        <v>101</v>
      </c>
      <c r="D1" s="40" t="s">
        <v>102</v>
      </c>
      <c r="E1" s="3" t="s">
        <v>103</v>
      </c>
      <c r="F1" s="40" t="s">
        <v>104</v>
      </c>
      <c r="G1" s="4" t="s">
        <v>105</v>
      </c>
      <c r="H1" s="3" t="s">
        <v>8</v>
      </c>
    </row>
    <row r="2" spans="1:8" x14ac:dyDescent="0.3">
      <c r="A2">
        <v>20181101</v>
      </c>
      <c r="B2">
        <v>290650</v>
      </c>
      <c r="C2" s="8">
        <v>29800</v>
      </c>
      <c r="D2" s="8">
        <v>26950</v>
      </c>
      <c r="E2">
        <v>26950</v>
      </c>
      <c r="F2" s="8">
        <v>7234332</v>
      </c>
      <c r="G2" s="1">
        <v>194965247400</v>
      </c>
      <c r="H2" s="1">
        <v>0</v>
      </c>
    </row>
    <row r="3" spans="1:8" x14ac:dyDescent="0.3">
      <c r="A3">
        <v>20181102</v>
      </c>
      <c r="B3">
        <v>290650</v>
      </c>
      <c r="C3" s="8">
        <v>26950</v>
      </c>
      <c r="D3" s="8">
        <v>27400</v>
      </c>
      <c r="E3">
        <v>27400</v>
      </c>
      <c r="F3" s="8">
        <v>7234332</v>
      </c>
      <c r="G3" s="1">
        <v>198220696800</v>
      </c>
      <c r="H3" s="1">
        <v>130825656600</v>
      </c>
    </row>
    <row r="4" spans="1:8" x14ac:dyDescent="0.3">
      <c r="A4">
        <v>20181105</v>
      </c>
      <c r="B4">
        <v>290650</v>
      </c>
      <c r="C4" s="8">
        <v>27400</v>
      </c>
      <c r="D4" s="8">
        <v>26300</v>
      </c>
      <c r="E4">
        <v>26300</v>
      </c>
      <c r="F4" s="8">
        <v>7234332</v>
      </c>
      <c r="G4" s="1">
        <v>190262931600</v>
      </c>
      <c r="H4" s="1">
        <v>125573531700</v>
      </c>
    </row>
    <row r="5" spans="1:8" x14ac:dyDescent="0.3">
      <c r="A5">
        <v>20181106</v>
      </c>
      <c r="B5">
        <v>290650</v>
      </c>
      <c r="C5" s="8">
        <v>26300</v>
      </c>
      <c r="D5" s="8">
        <v>26350</v>
      </c>
      <c r="E5">
        <v>26350</v>
      </c>
      <c r="F5" s="8">
        <v>7234332</v>
      </c>
      <c r="G5" s="1">
        <v>190624648200</v>
      </c>
      <c r="H5" s="1">
        <v>125812264650</v>
      </c>
    </row>
    <row r="6" spans="1:8" x14ac:dyDescent="0.3">
      <c r="A6">
        <v>20181107</v>
      </c>
      <c r="B6">
        <v>290650</v>
      </c>
      <c r="C6" s="8">
        <v>26350</v>
      </c>
      <c r="D6" s="8">
        <v>25150</v>
      </c>
      <c r="E6">
        <v>25150</v>
      </c>
      <c r="F6" s="8">
        <v>7234332</v>
      </c>
      <c r="G6" s="1">
        <v>181943449800</v>
      </c>
      <c r="H6" s="1">
        <v>120082673850</v>
      </c>
    </row>
    <row r="7" spans="1:8" x14ac:dyDescent="0.3">
      <c r="A7">
        <v>20181108</v>
      </c>
      <c r="B7">
        <v>290650</v>
      </c>
      <c r="C7" s="8">
        <v>25150</v>
      </c>
      <c r="D7" s="8">
        <v>24250</v>
      </c>
      <c r="E7">
        <v>24250</v>
      </c>
      <c r="F7" s="8">
        <v>7234332</v>
      </c>
      <c r="G7" s="1">
        <v>175432551000</v>
      </c>
      <c r="H7" s="1">
        <v>115785480750</v>
      </c>
    </row>
    <row r="8" spans="1:8" x14ac:dyDescent="0.3">
      <c r="A8">
        <v>20181109</v>
      </c>
      <c r="B8">
        <v>290650</v>
      </c>
      <c r="C8" s="8">
        <v>24250</v>
      </c>
      <c r="D8" s="8">
        <v>23350</v>
      </c>
      <c r="E8">
        <v>23350</v>
      </c>
      <c r="F8" s="8">
        <v>7234332</v>
      </c>
      <c r="G8" s="1">
        <v>168921652200</v>
      </c>
      <c r="H8" s="1">
        <v>111488287650</v>
      </c>
    </row>
    <row r="9" spans="1:8" x14ac:dyDescent="0.3">
      <c r="A9">
        <v>20181112</v>
      </c>
      <c r="B9">
        <v>290650</v>
      </c>
      <c r="C9" s="8">
        <v>23350</v>
      </c>
      <c r="D9" s="8">
        <v>22200</v>
      </c>
      <c r="E9">
        <v>22200</v>
      </c>
      <c r="F9" s="8">
        <v>7234332</v>
      </c>
      <c r="G9" s="1">
        <v>160602170400</v>
      </c>
      <c r="H9" s="1">
        <v>105997429800</v>
      </c>
    </row>
    <row r="10" spans="1:8" x14ac:dyDescent="0.3">
      <c r="A10">
        <v>20181113</v>
      </c>
      <c r="B10">
        <v>290650</v>
      </c>
      <c r="C10" s="8">
        <v>22200</v>
      </c>
      <c r="D10" s="8">
        <v>22250</v>
      </c>
      <c r="E10">
        <v>22250</v>
      </c>
      <c r="F10" s="8">
        <v>7234332</v>
      </c>
      <c r="G10" s="1">
        <v>160963887000</v>
      </c>
      <c r="H10" s="1">
        <v>106236162750</v>
      </c>
    </row>
    <row r="11" spans="1:8" x14ac:dyDescent="0.3">
      <c r="A11">
        <v>20181114</v>
      </c>
      <c r="B11">
        <v>290650</v>
      </c>
      <c r="C11" s="8">
        <v>22250</v>
      </c>
      <c r="D11" s="8">
        <v>20500</v>
      </c>
      <c r="E11">
        <v>20500</v>
      </c>
      <c r="F11" s="8">
        <v>7234332</v>
      </c>
      <c r="G11" s="1">
        <v>148303806000</v>
      </c>
      <c r="H11" s="1">
        <v>97880509500</v>
      </c>
    </row>
    <row r="12" spans="1:8" x14ac:dyDescent="0.3">
      <c r="A12">
        <v>20181115</v>
      </c>
      <c r="B12">
        <v>290650</v>
      </c>
      <c r="C12" s="8">
        <v>20500</v>
      </c>
      <c r="D12" s="8">
        <v>20200</v>
      </c>
      <c r="E12">
        <v>20200</v>
      </c>
      <c r="F12" s="8">
        <v>7234332</v>
      </c>
      <c r="G12" s="1">
        <v>146133506400</v>
      </c>
      <c r="H12" s="1">
        <v>96448111800</v>
      </c>
    </row>
    <row r="13" spans="1:8" x14ac:dyDescent="0.3">
      <c r="A13">
        <v>20181116</v>
      </c>
      <c r="B13">
        <v>290650</v>
      </c>
      <c r="C13" s="8">
        <v>20200</v>
      </c>
      <c r="D13" s="8">
        <v>21050</v>
      </c>
      <c r="E13">
        <v>21050</v>
      </c>
      <c r="F13" s="8">
        <v>7234332</v>
      </c>
      <c r="G13" s="1">
        <v>152282688600</v>
      </c>
      <c r="H13" s="1">
        <v>100506571950</v>
      </c>
    </row>
    <row r="14" spans="1:8" x14ac:dyDescent="0.3">
      <c r="A14">
        <v>20181119</v>
      </c>
      <c r="B14">
        <v>290650</v>
      </c>
      <c r="C14" s="8">
        <v>21050</v>
      </c>
      <c r="D14" s="8">
        <v>20850</v>
      </c>
      <c r="E14">
        <v>20850</v>
      </c>
      <c r="F14" s="8">
        <v>7234332</v>
      </c>
      <c r="G14" s="1">
        <v>150835822200</v>
      </c>
      <c r="H14" s="1">
        <v>99551640150</v>
      </c>
    </row>
    <row r="15" spans="1:8" x14ac:dyDescent="0.3">
      <c r="A15">
        <v>20181120</v>
      </c>
      <c r="B15">
        <v>290650</v>
      </c>
      <c r="C15" s="8">
        <v>20850</v>
      </c>
      <c r="D15" s="8">
        <v>19700</v>
      </c>
      <c r="E15">
        <v>19700</v>
      </c>
      <c r="F15" s="8">
        <v>7234332</v>
      </c>
      <c r="G15" s="1">
        <v>142516340400</v>
      </c>
      <c r="H15" s="1">
        <v>94060782300</v>
      </c>
    </row>
    <row r="16" spans="1:8" x14ac:dyDescent="0.3">
      <c r="A16">
        <v>20181121</v>
      </c>
      <c r="B16">
        <v>290650</v>
      </c>
      <c r="C16" s="8">
        <v>19700</v>
      </c>
      <c r="D16" s="8">
        <v>19050</v>
      </c>
      <c r="E16">
        <v>19050</v>
      </c>
      <c r="F16" s="8">
        <v>7234332</v>
      </c>
      <c r="G16" s="1">
        <v>137814024600</v>
      </c>
      <c r="H16" s="1">
        <v>90957253950</v>
      </c>
    </row>
    <row r="17" spans="1:8" x14ac:dyDescent="0.3">
      <c r="A17">
        <v>20181122</v>
      </c>
      <c r="B17">
        <v>290650</v>
      </c>
      <c r="C17" s="8">
        <v>19050</v>
      </c>
      <c r="D17" s="8">
        <v>18350</v>
      </c>
      <c r="E17">
        <v>18350</v>
      </c>
      <c r="F17" s="8">
        <v>7234332</v>
      </c>
      <c r="G17" s="1">
        <v>132749992200</v>
      </c>
      <c r="H17" s="1">
        <v>87614992650</v>
      </c>
    </row>
    <row r="18" spans="1:8" x14ac:dyDescent="0.3">
      <c r="A18">
        <v>20181123</v>
      </c>
      <c r="B18">
        <v>290650</v>
      </c>
      <c r="C18" s="8">
        <v>18350</v>
      </c>
      <c r="D18" s="8">
        <v>17200</v>
      </c>
      <c r="E18">
        <v>17200</v>
      </c>
      <c r="F18" s="8">
        <v>7234332</v>
      </c>
      <c r="G18" s="1">
        <v>124430510400</v>
      </c>
      <c r="H18" s="1">
        <v>82124134800</v>
      </c>
    </row>
    <row r="19" spans="1:8" x14ac:dyDescent="0.3">
      <c r="A19">
        <v>20181126</v>
      </c>
      <c r="B19">
        <v>290650</v>
      </c>
      <c r="C19" s="8">
        <v>17200</v>
      </c>
      <c r="D19" s="8">
        <v>17400</v>
      </c>
      <c r="E19">
        <v>17400</v>
      </c>
      <c r="F19" s="8">
        <v>7234332</v>
      </c>
      <c r="G19" s="1">
        <v>125877376800</v>
      </c>
      <c r="H19" s="1">
        <v>83079066600</v>
      </c>
    </row>
    <row r="20" spans="1:8" x14ac:dyDescent="0.3">
      <c r="A20">
        <v>20181127</v>
      </c>
      <c r="B20">
        <v>290650</v>
      </c>
      <c r="C20" s="8">
        <v>17400</v>
      </c>
      <c r="D20" s="8">
        <v>18150</v>
      </c>
      <c r="E20">
        <v>18150</v>
      </c>
      <c r="F20" s="8">
        <v>7234332</v>
      </c>
      <c r="G20" s="1">
        <v>131303125800</v>
      </c>
      <c r="H20" s="1">
        <v>86660060850</v>
      </c>
    </row>
    <row r="21" spans="1:8" x14ac:dyDescent="0.3">
      <c r="A21">
        <v>20181128</v>
      </c>
      <c r="B21">
        <v>290650</v>
      </c>
      <c r="C21" s="8">
        <v>18150</v>
      </c>
      <c r="D21" s="8">
        <v>18500</v>
      </c>
      <c r="E21">
        <v>18500</v>
      </c>
      <c r="F21" s="8">
        <v>7234332</v>
      </c>
      <c r="G21" s="1">
        <v>133835142000</v>
      </c>
      <c r="H21" s="1">
        <v>88331191500</v>
      </c>
    </row>
    <row r="22" spans="1:8" x14ac:dyDescent="0.3">
      <c r="A22">
        <v>20181129</v>
      </c>
      <c r="B22">
        <v>290650</v>
      </c>
      <c r="C22" s="8">
        <v>18500</v>
      </c>
      <c r="D22" s="8">
        <v>17950</v>
      </c>
      <c r="E22">
        <v>17950</v>
      </c>
      <c r="F22" s="8">
        <v>7234332</v>
      </c>
      <c r="G22" s="1">
        <v>129856259400</v>
      </c>
      <c r="H22" s="1">
        <v>85705129050</v>
      </c>
    </row>
    <row r="23" spans="1:8" x14ac:dyDescent="0.3">
      <c r="A23">
        <v>20181130</v>
      </c>
      <c r="B23">
        <v>290650</v>
      </c>
      <c r="C23" s="8">
        <v>17950</v>
      </c>
      <c r="D23" s="8">
        <v>18850</v>
      </c>
      <c r="E23">
        <v>18850</v>
      </c>
      <c r="F23" s="8">
        <v>7234332</v>
      </c>
      <c r="G23" s="1">
        <v>136367158200</v>
      </c>
      <c r="H23" s="1">
        <v>90002322150</v>
      </c>
    </row>
    <row r="24" spans="1:8" x14ac:dyDescent="0.3">
      <c r="A24">
        <v>20181203</v>
      </c>
      <c r="B24">
        <v>290650</v>
      </c>
      <c r="C24" s="8">
        <v>18850</v>
      </c>
      <c r="D24" s="8">
        <v>19150</v>
      </c>
      <c r="E24">
        <v>19150</v>
      </c>
      <c r="F24" s="8">
        <v>7234332</v>
      </c>
      <c r="G24" s="1">
        <v>138537457800</v>
      </c>
      <c r="H24" s="1">
        <v>91434719850</v>
      </c>
    </row>
    <row r="25" spans="1:8" x14ac:dyDescent="0.3">
      <c r="A25">
        <v>20181204</v>
      </c>
      <c r="B25">
        <v>290650</v>
      </c>
      <c r="C25" s="8">
        <v>19150</v>
      </c>
      <c r="D25" s="8">
        <v>19400</v>
      </c>
      <c r="E25">
        <v>19400</v>
      </c>
      <c r="F25" s="8">
        <v>7234332</v>
      </c>
      <c r="G25" s="1">
        <v>140346040800</v>
      </c>
      <c r="H25" s="1">
        <v>92628384600</v>
      </c>
    </row>
    <row r="26" spans="1:8" x14ac:dyDescent="0.3">
      <c r="A26">
        <v>20181205</v>
      </c>
      <c r="B26">
        <v>290650</v>
      </c>
      <c r="C26" s="8">
        <v>19400</v>
      </c>
      <c r="D26" s="8">
        <v>18900</v>
      </c>
      <c r="E26">
        <v>18900</v>
      </c>
      <c r="F26" s="8">
        <v>7234332</v>
      </c>
      <c r="G26" s="1">
        <v>136728874800</v>
      </c>
      <c r="H26" s="1">
        <v>90241055100</v>
      </c>
    </row>
    <row r="27" spans="1:8" x14ac:dyDescent="0.3">
      <c r="A27">
        <v>20181206</v>
      </c>
      <c r="B27">
        <v>290650</v>
      </c>
      <c r="C27" s="8">
        <v>18900</v>
      </c>
      <c r="D27" s="8">
        <v>18200</v>
      </c>
      <c r="E27">
        <v>18200</v>
      </c>
      <c r="F27" s="8">
        <v>7234332</v>
      </c>
      <c r="G27" s="1">
        <v>131664842400</v>
      </c>
      <c r="H27" s="1">
        <v>86898793800</v>
      </c>
    </row>
    <row r="28" spans="1:8" x14ac:dyDescent="0.3">
      <c r="A28">
        <v>20181207</v>
      </c>
      <c r="B28">
        <v>290650</v>
      </c>
      <c r="C28" s="8">
        <v>18200</v>
      </c>
      <c r="D28" s="8">
        <v>18050</v>
      </c>
      <c r="E28">
        <v>18050</v>
      </c>
      <c r="F28" s="8">
        <v>7234332</v>
      </c>
      <c r="G28" s="1">
        <v>130579692600</v>
      </c>
      <c r="H28" s="1">
        <v>86182594950</v>
      </c>
    </row>
    <row r="29" spans="1:8" x14ac:dyDescent="0.3">
      <c r="A29">
        <v>20181210</v>
      </c>
      <c r="B29">
        <v>290650</v>
      </c>
      <c r="C29" s="8">
        <v>18050</v>
      </c>
      <c r="D29" s="8">
        <v>17500</v>
      </c>
      <c r="E29">
        <v>17500</v>
      </c>
      <c r="F29" s="8">
        <v>7234332</v>
      </c>
      <c r="G29" s="1">
        <v>126600810000</v>
      </c>
      <c r="H29" s="1">
        <v>83556532500</v>
      </c>
    </row>
    <row r="30" spans="1:8" x14ac:dyDescent="0.3">
      <c r="A30">
        <v>20181211</v>
      </c>
      <c r="B30">
        <v>290650</v>
      </c>
      <c r="C30" s="8">
        <v>17500</v>
      </c>
      <c r="D30" s="8">
        <v>17450</v>
      </c>
      <c r="E30">
        <v>17450</v>
      </c>
      <c r="F30" s="8">
        <v>7234332</v>
      </c>
      <c r="G30" s="1">
        <v>126239093400</v>
      </c>
      <c r="H30" s="1">
        <v>83317799550</v>
      </c>
    </row>
    <row r="31" spans="1:8" x14ac:dyDescent="0.3">
      <c r="A31">
        <v>20181212</v>
      </c>
      <c r="B31">
        <v>290650</v>
      </c>
      <c r="C31" s="8">
        <v>17450</v>
      </c>
      <c r="D31" s="8">
        <v>18900</v>
      </c>
      <c r="E31">
        <v>18900</v>
      </c>
      <c r="F31" s="8">
        <v>7234332</v>
      </c>
      <c r="G31" s="1">
        <v>136728874800</v>
      </c>
      <c r="H31" s="1">
        <v>90241055100</v>
      </c>
    </row>
    <row r="32" spans="1:8" x14ac:dyDescent="0.3">
      <c r="A32">
        <v>20181213</v>
      </c>
      <c r="B32">
        <v>290650</v>
      </c>
      <c r="C32" s="8">
        <v>18900</v>
      </c>
      <c r="D32" s="8">
        <v>20050</v>
      </c>
      <c r="E32">
        <v>20050</v>
      </c>
      <c r="F32" s="8">
        <v>7234332</v>
      </c>
      <c r="G32" s="1">
        <v>145048356600</v>
      </c>
      <c r="H32" s="1">
        <v>95731912950</v>
      </c>
    </row>
    <row r="33" spans="1:8" x14ac:dyDescent="0.3">
      <c r="A33">
        <v>20181214</v>
      </c>
      <c r="B33">
        <v>290650</v>
      </c>
      <c r="C33" s="8">
        <v>20050</v>
      </c>
      <c r="D33" s="8">
        <v>20200</v>
      </c>
      <c r="E33">
        <v>20200</v>
      </c>
      <c r="F33" s="8">
        <v>7234332</v>
      </c>
      <c r="G33" s="1">
        <v>146133506400</v>
      </c>
      <c r="H33" s="1">
        <v>96448111800</v>
      </c>
    </row>
    <row r="34" spans="1:8" x14ac:dyDescent="0.3">
      <c r="A34">
        <v>20181217</v>
      </c>
      <c r="B34">
        <v>290650</v>
      </c>
      <c r="C34" s="8">
        <v>20200</v>
      </c>
      <c r="D34" s="8">
        <v>20050</v>
      </c>
      <c r="E34">
        <v>20050</v>
      </c>
      <c r="F34" s="8">
        <v>7234332</v>
      </c>
      <c r="G34" s="1">
        <v>145048356600</v>
      </c>
      <c r="H34" s="1">
        <v>95731912950</v>
      </c>
    </row>
    <row r="35" spans="1:8" x14ac:dyDescent="0.3">
      <c r="A35">
        <v>20181218</v>
      </c>
      <c r="B35">
        <v>290650</v>
      </c>
      <c r="C35" s="8">
        <v>20050</v>
      </c>
      <c r="D35" s="8">
        <v>19550</v>
      </c>
      <c r="E35">
        <v>19550</v>
      </c>
      <c r="F35" s="8">
        <v>7234332</v>
      </c>
      <c r="G35" s="1">
        <v>141431190600</v>
      </c>
      <c r="H35" s="1">
        <v>93344583450</v>
      </c>
    </row>
    <row r="36" spans="1:8" x14ac:dyDescent="0.3">
      <c r="A36">
        <v>20181219</v>
      </c>
      <c r="B36">
        <v>290650</v>
      </c>
      <c r="C36" s="8">
        <v>19550</v>
      </c>
      <c r="D36" s="8">
        <v>20450</v>
      </c>
      <c r="E36">
        <v>20450</v>
      </c>
      <c r="F36" s="8">
        <v>7234332</v>
      </c>
      <c r="G36" s="1">
        <v>147942089400</v>
      </c>
      <c r="H36" s="1">
        <v>97641776550</v>
      </c>
    </row>
    <row r="37" spans="1:8" x14ac:dyDescent="0.3">
      <c r="A37">
        <v>20181220</v>
      </c>
      <c r="B37">
        <v>290650</v>
      </c>
      <c r="C37" s="8">
        <v>20450</v>
      </c>
      <c r="D37" s="8">
        <v>20350</v>
      </c>
      <c r="E37">
        <v>20350</v>
      </c>
      <c r="F37" s="8">
        <v>7234332</v>
      </c>
      <c r="G37" s="1">
        <v>147218656200</v>
      </c>
      <c r="H37" s="1">
        <v>97164310650</v>
      </c>
    </row>
    <row r="38" spans="1:8" x14ac:dyDescent="0.3">
      <c r="A38">
        <v>20181221</v>
      </c>
      <c r="B38">
        <v>290650</v>
      </c>
      <c r="C38" s="8">
        <v>20350</v>
      </c>
      <c r="D38" s="8">
        <v>20800</v>
      </c>
      <c r="E38">
        <v>20800</v>
      </c>
      <c r="F38" s="8">
        <v>7234332</v>
      </c>
      <c r="G38" s="1">
        <v>150474105600</v>
      </c>
      <c r="H38" s="1">
        <v>99312907200</v>
      </c>
    </row>
    <row r="39" spans="1:8" x14ac:dyDescent="0.3">
      <c r="A39">
        <v>20181224</v>
      </c>
      <c r="B39">
        <v>290650</v>
      </c>
      <c r="C39" s="8">
        <v>20800</v>
      </c>
      <c r="D39" s="8">
        <v>20600</v>
      </c>
      <c r="E39">
        <v>20600</v>
      </c>
      <c r="F39" s="8">
        <v>7234332</v>
      </c>
      <c r="G39" s="1">
        <v>149027239200</v>
      </c>
      <c r="H39" s="1">
        <v>98357975400</v>
      </c>
    </row>
    <row r="40" spans="1:8" x14ac:dyDescent="0.3">
      <c r="A40">
        <v>20181226</v>
      </c>
      <c r="B40">
        <v>290650</v>
      </c>
      <c r="C40" s="8">
        <v>20600</v>
      </c>
      <c r="D40" s="8">
        <v>20300</v>
      </c>
      <c r="E40">
        <v>20300</v>
      </c>
      <c r="F40" s="8">
        <v>7234332</v>
      </c>
      <c r="G40" s="1">
        <v>146856939600</v>
      </c>
      <c r="H40" s="1">
        <v>96925577700</v>
      </c>
    </row>
    <row r="41" spans="1:8" x14ac:dyDescent="0.3">
      <c r="A41">
        <v>20181227</v>
      </c>
      <c r="B41">
        <v>290650</v>
      </c>
      <c r="C41" s="8">
        <v>20300</v>
      </c>
      <c r="D41" s="8">
        <v>19750</v>
      </c>
      <c r="E41">
        <v>19750</v>
      </c>
      <c r="F41" s="8">
        <v>7234332</v>
      </c>
      <c r="G41" s="1">
        <v>142878057000</v>
      </c>
      <c r="H41" s="1">
        <v>94299515250</v>
      </c>
    </row>
    <row r="42" spans="1:8" x14ac:dyDescent="0.3">
      <c r="A42">
        <v>20181228</v>
      </c>
      <c r="B42">
        <v>290650</v>
      </c>
      <c r="C42" s="8">
        <v>19750</v>
      </c>
      <c r="D42" s="8">
        <v>19650</v>
      </c>
      <c r="E42">
        <v>19650</v>
      </c>
      <c r="F42" s="8">
        <v>7234332</v>
      </c>
      <c r="G42" s="1">
        <v>142154623800</v>
      </c>
      <c r="H42" s="1">
        <v>93822049350</v>
      </c>
    </row>
    <row r="43" spans="1:8" x14ac:dyDescent="0.3">
      <c r="A43">
        <v>20190102</v>
      </c>
      <c r="B43">
        <v>290650</v>
      </c>
      <c r="C43" s="8">
        <v>19650</v>
      </c>
      <c r="D43" s="8">
        <v>19900</v>
      </c>
      <c r="E43">
        <v>19900</v>
      </c>
      <c r="F43" s="8">
        <v>7234332</v>
      </c>
      <c r="G43" s="1">
        <v>143963206800</v>
      </c>
      <c r="H43" s="1">
        <v>95015714100</v>
      </c>
    </row>
    <row r="44" spans="1:8" x14ac:dyDescent="0.3">
      <c r="A44">
        <v>20190103</v>
      </c>
      <c r="B44">
        <v>290650</v>
      </c>
      <c r="C44" s="8">
        <v>19900</v>
      </c>
      <c r="D44" s="8">
        <v>18850</v>
      </c>
      <c r="E44">
        <v>18850</v>
      </c>
      <c r="F44" s="8">
        <v>7234332</v>
      </c>
      <c r="G44" s="1">
        <v>136367158200</v>
      </c>
      <c r="H44" s="1">
        <v>90002322150</v>
      </c>
    </row>
    <row r="45" spans="1:8" x14ac:dyDescent="0.3">
      <c r="A45">
        <v>20190104</v>
      </c>
      <c r="B45">
        <v>290650</v>
      </c>
      <c r="C45" s="8">
        <v>18850</v>
      </c>
      <c r="D45" s="8">
        <v>18550</v>
      </c>
      <c r="E45">
        <v>18550</v>
      </c>
      <c r="F45" s="8">
        <v>7234332</v>
      </c>
      <c r="G45" s="1">
        <v>134196858600</v>
      </c>
      <c r="H45" s="1">
        <v>88569924450</v>
      </c>
    </row>
    <row r="46" spans="1:8" x14ac:dyDescent="0.3">
      <c r="A46">
        <v>20190107</v>
      </c>
      <c r="B46">
        <v>290650</v>
      </c>
      <c r="C46" s="8">
        <v>18550</v>
      </c>
      <c r="D46" s="8">
        <v>19450</v>
      </c>
      <c r="E46">
        <v>19450</v>
      </c>
      <c r="F46" s="8">
        <v>7234332</v>
      </c>
      <c r="G46" s="1">
        <v>140707757400</v>
      </c>
      <c r="H46" s="1">
        <v>92867117550</v>
      </c>
    </row>
    <row r="47" spans="1:8" x14ac:dyDescent="0.3">
      <c r="A47">
        <v>20190108</v>
      </c>
      <c r="B47">
        <v>290650</v>
      </c>
      <c r="C47" s="8">
        <v>19450</v>
      </c>
      <c r="D47" s="8">
        <v>20100</v>
      </c>
      <c r="E47">
        <v>20100</v>
      </c>
      <c r="F47" s="8">
        <v>7234332</v>
      </c>
      <c r="G47" s="1">
        <v>145410073200</v>
      </c>
      <c r="H47" s="1">
        <v>95970645900</v>
      </c>
    </row>
    <row r="48" spans="1:8" x14ac:dyDescent="0.3">
      <c r="A48">
        <v>20190109</v>
      </c>
      <c r="B48">
        <v>290650</v>
      </c>
      <c r="C48" s="8">
        <v>20100</v>
      </c>
      <c r="D48" s="8">
        <v>21800</v>
      </c>
      <c r="E48">
        <v>21800</v>
      </c>
      <c r="F48" s="8">
        <v>7234332</v>
      </c>
      <c r="G48" s="1">
        <v>157708437600</v>
      </c>
      <c r="H48" s="1">
        <v>104087566200</v>
      </c>
    </row>
    <row r="49" spans="1:8" x14ac:dyDescent="0.3">
      <c r="A49">
        <v>20190110</v>
      </c>
      <c r="B49">
        <v>290650</v>
      </c>
      <c r="C49" s="8">
        <v>21800</v>
      </c>
      <c r="D49" s="8">
        <v>22600</v>
      </c>
      <c r="E49">
        <v>22600</v>
      </c>
      <c r="F49" s="8">
        <v>7234332</v>
      </c>
      <c r="G49" s="1">
        <v>163495903200</v>
      </c>
      <c r="H49" s="1">
        <v>107907293400</v>
      </c>
    </row>
    <row r="50" spans="1:8" x14ac:dyDescent="0.3">
      <c r="A50">
        <v>20190111</v>
      </c>
      <c r="B50">
        <v>290650</v>
      </c>
      <c r="C50" s="8">
        <v>22600</v>
      </c>
      <c r="D50" s="8">
        <v>22350</v>
      </c>
      <c r="E50">
        <v>22350</v>
      </c>
      <c r="F50" s="8">
        <v>7234332</v>
      </c>
      <c r="G50" s="1">
        <v>161687320200</v>
      </c>
      <c r="H50" s="1">
        <v>106713628650</v>
      </c>
    </row>
    <row r="51" spans="1:8" x14ac:dyDescent="0.3">
      <c r="A51">
        <v>20190114</v>
      </c>
      <c r="B51">
        <v>290650</v>
      </c>
      <c r="C51" s="8">
        <v>22350</v>
      </c>
      <c r="D51" s="8">
        <v>22300</v>
      </c>
      <c r="E51">
        <v>22300</v>
      </c>
      <c r="F51" s="8">
        <v>7234332</v>
      </c>
      <c r="G51" s="1">
        <v>161325603600</v>
      </c>
      <c r="H51" s="1">
        <v>106474895700</v>
      </c>
    </row>
    <row r="52" spans="1:8" x14ac:dyDescent="0.3">
      <c r="A52">
        <v>20190115</v>
      </c>
      <c r="B52">
        <v>290650</v>
      </c>
      <c r="C52" s="8">
        <v>22300</v>
      </c>
      <c r="D52" s="8">
        <v>21750</v>
      </c>
      <c r="E52">
        <v>21750</v>
      </c>
      <c r="F52" s="8">
        <v>7234332</v>
      </c>
      <c r="G52" s="1">
        <v>157346721000</v>
      </c>
      <c r="H52" s="1">
        <v>103848833250</v>
      </c>
    </row>
    <row r="53" spans="1:8" x14ac:dyDescent="0.3">
      <c r="A53">
        <v>20190116</v>
      </c>
      <c r="B53">
        <v>290650</v>
      </c>
      <c r="C53" s="8">
        <v>21750</v>
      </c>
      <c r="D53" s="8">
        <v>21350</v>
      </c>
      <c r="E53">
        <v>21350</v>
      </c>
      <c r="F53" s="8">
        <v>7234332</v>
      </c>
      <c r="G53" s="1">
        <v>154452988200</v>
      </c>
      <c r="H53" s="1">
        <v>101938969650</v>
      </c>
    </row>
    <row r="54" spans="1:8" x14ac:dyDescent="0.3">
      <c r="A54">
        <v>20190117</v>
      </c>
      <c r="B54">
        <v>290650</v>
      </c>
      <c r="C54" s="8">
        <v>21350</v>
      </c>
      <c r="D54" s="8">
        <v>20650</v>
      </c>
      <c r="E54">
        <v>20650</v>
      </c>
      <c r="F54" s="8">
        <v>7234332</v>
      </c>
      <c r="G54" s="1">
        <v>149388955800</v>
      </c>
      <c r="H54" s="1">
        <v>98596708350</v>
      </c>
    </row>
    <row r="55" spans="1:8" x14ac:dyDescent="0.3">
      <c r="A55">
        <v>20190118</v>
      </c>
      <c r="B55">
        <v>290650</v>
      </c>
      <c r="C55" s="8">
        <v>20650</v>
      </c>
      <c r="D55" s="8">
        <v>22250</v>
      </c>
      <c r="E55">
        <v>22250</v>
      </c>
      <c r="F55" s="8">
        <v>7234332</v>
      </c>
      <c r="G55" s="1">
        <v>160963887000</v>
      </c>
      <c r="H55" s="1">
        <v>106236162750</v>
      </c>
    </row>
    <row r="56" spans="1:8" x14ac:dyDescent="0.3">
      <c r="A56">
        <v>20190121</v>
      </c>
      <c r="B56">
        <v>290650</v>
      </c>
      <c r="C56" s="8">
        <v>22250</v>
      </c>
      <c r="D56" s="8">
        <v>22250</v>
      </c>
      <c r="E56">
        <v>22250</v>
      </c>
      <c r="F56" s="8">
        <v>7234332</v>
      </c>
      <c r="G56" s="1">
        <v>160963887000</v>
      </c>
      <c r="H56" s="1">
        <v>106236162750</v>
      </c>
    </row>
    <row r="57" spans="1:8" x14ac:dyDescent="0.3">
      <c r="A57">
        <v>20190122</v>
      </c>
      <c r="B57">
        <v>290650</v>
      </c>
      <c r="C57" s="8">
        <v>22250</v>
      </c>
      <c r="D57" s="8">
        <v>21800</v>
      </c>
      <c r="E57">
        <v>21800</v>
      </c>
      <c r="F57" s="8">
        <v>7234332</v>
      </c>
      <c r="G57" s="1">
        <v>157708437600</v>
      </c>
      <c r="H57" s="1">
        <v>104087566200</v>
      </c>
    </row>
    <row r="58" spans="1:8" x14ac:dyDescent="0.3">
      <c r="A58">
        <v>20190123</v>
      </c>
      <c r="B58">
        <v>290650</v>
      </c>
      <c r="C58" s="8">
        <v>21800</v>
      </c>
      <c r="D58" s="8">
        <v>21650</v>
      </c>
      <c r="E58">
        <v>21650</v>
      </c>
      <c r="F58" s="8">
        <v>7234332</v>
      </c>
      <c r="G58" s="1">
        <v>156623287800</v>
      </c>
      <c r="H58" s="1">
        <v>103371367350</v>
      </c>
    </row>
    <row r="59" spans="1:8" x14ac:dyDescent="0.3">
      <c r="A59">
        <v>20190124</v>
      </c>
      <c r="B59">
        <v>290650</v>
      </c>
      <c r="C59" s="8">
        <v>21650</v>
      </c>
      <c r="D59" s="8">
        <v>21500</v>
      </c>
      <c r="E59">
        <v>21500</v>
      </c>
      <c r="F59" s="8">
        <v>7234332</v>
      </c>
      <c r="G59" s="1">
        <v>155538138000</v>
      </c>
      <c r="H59" s="1">
        <v>102655168500</v>
      </c>
    </row>
    <row r="60" spans="1:8" x14ac:dyDescent="0.3">
      <c r="A60">
        <v>20190125</v>
      </c>
      <c r="B60">
        <v>290650</v>
      </c>
      <c r="C60" s="8">
        <v>21500</v>
      </c>
      <c r="D60" s="8">
        <v>22200</v>
      </c>
      <c r="E60">
        <v>22200</v>
      </c>
      <c r="F60" s="8">
        <v>7234332</v>
      </c>
      <c r="G60" s="1">
        <v>160602170400</v>
      </c>
      <c r="H60" s="1">
        <v>105997429800</v>
      </c>
    </row>
    <row r="61" spans="1:8" x14ac:dyDescent="0.3">
      <c r="A61">
        <v>20190128</v>
      </c>
      <c r="B61">
        <v>290650</v>
      </c>
      <c r="C61" s="8">
        <v>22200</v>
      </c>
      <c r="D61" s="8">
        <v>21700</v>
      </c>
      <c r="E61">
        <v>21700</v>
      </c>
      <c r="F61" s="8">
        <v>7234332</v>
      </c>
      <c r="G61" s="1">
        <v>156985004400</v>
      </c>
      <c r="H61" s="1">
        <v>103610100300</v>
      </c>
    </row>
    <row r="62" spans="1:8" x14ac:dyDescent="0.3">
      <c r="A62">
        <v>20190129</v>
      </c>
      <c r="B62">
        <v>290650</v>
      </c>
      <c r="C62" s="8">
        <v>21700</v>
      </c>
      <c r="D62" s="8">
        <v>20850</v>
      </c>
      <c r="E62">
        <v>20850</v>
      </c>
      <c r="F62" s="8">
        <v>7234332</v>
      </c>
      <c r="G62" s="1">
        <v>150835822200</v>
      </c>
      <c r="H62" s="1">
        <v>99551640150</v>
      </c>
    </row>
    <row r="63" spans="1:8" x14ac:dyDescent="0.3">
      <c r="A63">
        <v>20190130</v>
      </c>
      <c r="B63">
        <v>290650</v>
      </c>
      <c r="C63" s="8">
        <v>20850</v>
      </c>
      <c r="D63" s="8">
        <v>21050</v>
      </c>
      <c r="E63">
        <v>21050</v>
      </c>
      <c r="F63" s="8">
        <v>7234332</v>
      </c>
      <c r="G63" s="1">
        <v>152282688600</v>
      </c>
      <c r="H63" s="1">
        <v>100506571950</v>
      </c>
    </row>
    <row r="64" spans="1:8" x14ac:dyDescent="0.3">
      <c r="A64">
        <v>20190131</v>
      </c>
      <c r="B64">
        <v>290650</v>
      </c>
      <c r="C64" s="8">
        <v>21050</v>
      </c>
      <c r="D64" s="8">
        <v>20900</v>
      </c>
      <c r="E64">
        <v>20900</v>
      </c>
      <c r="F64" s="8">
        <v>7234332</v>
      </c>
      <c r="G64" s="1">
        <v>151197538800</v>
      </c>
      <c r="H64" s="1">
        <v>99790373100</v>
      </c>
    </row>
    <row r="65" spans="1:8" x14ac:dyDescent="0.3">
      <c r="A65">
        <v>20190201</v>
      </c>
      <c r="B65">
        <v>290650</v>
      </c>
      <c r="C65" s="8">
        <v>20900</v>
      </c>
      <c r="D65" s="8">
        <v>20750</v>
      </c>
      <c r="E65">
        <v>20750</v>
      </c>
      <c r="F65" s="8">
        <v>7234332</v>
      </c>
      <c r="G65" s="1">
        <v>150112389000</v>
      </c>
      <c r="H65" s="1">
        <v>99074174250</v>
      </c>
    </row>
    <row r="66" spans="1:8" x14ac:dyDescent="0.3">
      <c r="A66">
        <v>20190207</v>
      </c>
      <c r="B66">
        <v>290650</v>
      </c>
      <c r="C66" s="8">
        <v>20750</v>
      </c>
      <c r="D66" s="8">
        <v>21200</v>
      </c>
      <c r="E66">
        <v>21200</v>
      </c>
      <c r="F66" s="8">
        <v>7234332</v>
      </c>
      <c r="G66" s="1">
        <v>153367838400</v>
      </c>
      <c r="H66" s="1">
        <v>101222770800</v>
      </c>
    </row>
    <row r="67" spans="1:8" x14ac:dyDescent="0.3">
      <c r="A67">
        <v>20190208</v>
      </c>
      <c r="B67">
        <v>290650</v>
      </c>
      <c r="C67" s="8">
        <v>21200</v>
      </c>
      <c r="D67" s="8">
        <v>21300</v>
      </c>
      <c r="E67">
        <v>21300</v>
      </c>
      <c r="F67" s="8">
        <v>7234332</v>
      </c>
      <c r="G67" s="1">
        <v>154091271600</v>
      </c>
      <c r="H67" s="1">
        <v>101700236700</v>
      </c>
    </row>
    <row r="68" spans="1:8" x14ac:dyDescent="0.3">
      <c r="A68">
        <v>20190211</v>
      </c>
      <c r="B68">
        <v>290650</v>
      </c>
      <c r="C68" s="8">
        <v>21300</v>
      </c>
      <c r="D68" s="8">
        <v>21850</v>
      </c>
      <c r="E68">
        <v>21850</v>
      </c>
      <c r="F68" s="8">
        <v>7234332</v>
      </c>
      <c r="G68" s="1">
        <v>158070154200</v>
      </c>
      <c r="H68" s="1">
        <v>104326299150</v>
      </c>
    </row>
    <row r="69" spans="1:8" x14ac:dyDescent="0.3">
      <c r="A69">
        <v>20190212</v>
      </c>
      <c r="B69">
        <v>290650</v>
      </c>
      <c r="C69" s="8">
        <v>21850</v>
      </c>
      <c r="D69" s="8">
        <v>21950</v>
      </c>
      <c r="E69">
        <v>21950</v>
      </c>
      <c r="F69" s="8">
        <v>7234332</v>
      </c>
      <c r="G69" s="1">
        <v>158793587400</v>
      </c>
      <c r="H69" s="1">
        <v>104803765050</v>
      </c>
    </row>
    <row r="70" spans="1:8" x14ac:dyDescent="0.3">
      <c r="A70">
        <v>20190213</v>
      </c>
      <c r="B70">
        <v>290650</v>
      </c>
      <c r="C70" s="8">
        <v>21950</v>
      </c>
      <c r="D70" s="8">
        <v>21950</v>
      </c>
      <c r="E70">
        <v>21950</v>
      </c>
      <c r="F70" s="8">
        <v>7234332</v>
      </c>
      <c r="G70" s="1">
        <v>158793587400</v>
      </c>
      <c r="H70" s="1">
        <v>104803765050</v>
      </c>
    </row>
    <row r="71" spans="1:8" x14ac:dyDescent="0.3">
      <c r="A71">
        <v>20190214</v>
      </c>
      <c r="B71">
        <v>290650</v>
      </c>
      <c r="C71" s="8">
        <v>21950</v>
      </c>
      <c r="D71" s="8">
        <v>22200</v>
      </c>
      <c r="E71">
        <v>22200</v>
      </c>
      <c r="F71" s="8">
        <v>7239332</v>
      </c>
      <c r="G71" s="1">
        <v>160713170400</v>
      </c>
      <c r="H71" s="1">
        <v>106070689800</v>
      </c>
    </row>
    <row r="72" spans="1:8" x14ac:dyDescent="0.3">
      <c r="A72">
        <v>20190215</v>
      </c>
      <c r="B72">
        <v>290650</v>
      </c>
      <c r="C72" s="8">
        <v>22200</v>
      </c>
      <c r="D72" s="8">
        <v>22800</v>
      </c>
      <c r="E72">
        <v>22800</v>
      </c>
      <c r="F72" s="8">
        <v>7239332</v>
      </c>
      <c r="G72" s="1">
        <v>165056769600</v>
      </c>
      <c r="H72" s="1">
        <v>108937465200</v>
      </c>
    </row>
    <row r="73" spans="1:8" x14ac:dyDescent="0.3">
      <c r="A73">
        <v>20190218</v>
      </c>
      <c r="B73">
        <v>290650</v>
      </c>
      <c r="C73" s="8">
        <v>22800</v>
      </c>
      <c r="D73" s="8">
        <v>22900</v>
      </c>
      <c r="E73">
        <v>22900</v>
      </c>
      <c r="F73" s="8">
        <v>7239332</v>
      </c>
      <c r="G73" s="1">
        <v>165780702800</v>
      </c>
      <c r="H73" s="1">
        <v>109415261100</v>
      </c>
    </row>
    <row r="74" spans="1:8" x14ac:dyDescent="0.3">
      <c r="A74">
        <v>20190219</v>
      </c>
      <c r="B74">
        <v>290650</v>
      </c>
      <c r="C74" s="8">
        <v>22900</v>
      </c>
      <c r="D74" s="8">
        <v>21850</v>
      </c>
      <c r="E74">
        <v>21850</v>
      </c>
      <c r="F74" s="8">
        <v>7239332</v>
      </c>
      <c r="G74" s="1">
        <v>158179404200</v>
      </c>
      <c r="H74" s="1">
        <v>104398404150</v>
      </c>
    </row>
    <row r="75" spans="1:8" x14ac:dyDescent="0.3">
      <c r="A75">
        <v>20190220</v>
      </c>
      <c r="B75">
        <v>290650</v>
      </c>
      <c r="C75" s="8">
        <v>21850</v>
      </c>
      <c r="D75" s="8">
        <v>21500</v>
      </c>
      <c r="E75">
        <v>21500</v>
      </c>
      <c r="F75" s="8">
        <v>7239332</v>
      </c>
      <c r="G75" s="1">
        <v>155645638000</v>
      </c>
      <c r="H75" s="1">
        <v>102726118500</v>
      </c>
    </row>
    <row r="76" spans="1:8" x14ac:dyDescent="0.3">
      <c r="A76">
        <v>20190221</v>
      </c>
      <c r="B76">
        <v>290650</v>
      </c>
      <c r="C76" s="8">
        <v>21500</v>
      </c>
      <c r="D76" s="8">
        <v>22400</v>
      </c>
      <c r="E76">
        <v>22400</v>
      </c>
      <c r="F76" s="8">
        <v>7239332</v>
      </c>
      <c r="G76" s="1">
        <v>162161036800</v>
      </c>
      <c r="H76" s="1">
        <v>107026281600</v>
      </c>
    </row>
    <row r="77" spans="1:8" x14ac:dyDescent="0.3">
      <c r="A77">
        <v>20190222</v>
      </c>
      <c r="B77">
        <v>290650</v>
      </c>
      <c r="C77" s="8">
        <v>22400</v>
      </c>
      <c r="D77" s="8">
        <v>22250</v>
      </c>
      <c r="E77">
        <v>22250</v>
      </c>
      <c r="F77" s="8">
        <v>7239332</v>
      </c>
      <c r="G77" s="1">
        <v>161075137000</v>
      </c>
      <c r="H77" s="1">
        <v>106309587750</v>
      </c>
    </row>
    <row r="78" spans="1:8" x14ac:dyDescent="0.3">
      <c r="A78">
        <v>20190225</v>
      </c>
      <c r="B78">
        <v>290650</v>
      </c>
      <c r="C78" s="8">
        <v>22250</v>
      </c>
      <c r="D78" s="8">
        <v>22600</v>
      </c>
      <c r="E78">
        <v>22600</v>
      </c>
      <c r="F78" s="8">
        <v>7239332</v>
      </c>
      <c r="G78" s="1">
        <v>163608903200</v>
      </c>
      <c r="H78" s="1">
        <v>107981873400</v>
      </c>
    </row>
    <row r="79" spans="1:8" x14ac:dyDescent="0.3">
      <c r="A79">
        <v>20190226</v>
      </c>
      <c r="B79">
        <v>290650</v>
      </c>
      <c r="C79" s="8">
        <v>22600</v>
      </c>
      <c r="D79" s="8">
        <v>22700</v>
      </c>
      <c r="E79">
        <v>22700</v>
      </c>
      <c r="F79" s="8">
        <v>7239332</v>
      </c>
      <c r="G79" s="1">
        <v>164332836400</v>
      </c>
      <c r="H79" s="1">
        <v>108459669300</v>
      </c>
    </row>
    <row r="80" spans="1:8" x14ac:dyDescent="0.3">
      <c r="A80">
        <v>20190227</v>
      </c>
      <c r="B80">
        <v>290650</v>
      </c>
      <c r="C80" s="8">
        <v>22700</v>
      </c>
      <c r="D80" s="8">
        <v>23800</v>
      </c>
      <c r="E80">
        <v>23800</v>
      </c>
      <c r="F80" s="8">
        <v>7239332</v>
      </c>
      <c r="G80" s="1">
        <v>172296101600</v>
      </c>
      <c r="H80" s="1">
        <v>113715424200</v>
      </c>
    </row>
    <row r="81" spans="1:8" x14ac:dyDescent="0.3">
      <c r="A81">
        <v>20190228</v>
      </c>
      <c r="B81">
        <v>290650</v>
      </c>
      <c r="C81" s="8">
        <v>23800</v>
      </c>
      <c r="D81" s="8">
        <v>23200</v>
      </c>
      <c r="E81">
        <v>23200</v>
      </c>
      <c r="F81" s="8">
        <v>7239332</v>
      </c>
      <c r="G81" s="1">
        <v>167952502400</v>
      </c>
      <c r="H81" s="1">
        <v>110848648800</v>
      </c>
    </row>
    <row r="82" spans="1:8" x14ac:dyDescent="0.3">
      <c r="A82">
        <v>20190304</v>
      </c>
      <c r="B82">
        <v>290650</v>
      </c>
      <c r="C82" s="8">
        <v>23200</v>
      </c>
      <c r="D82" s="8">
        <v>23700</v>
      </c>
      <c r="E82">
        <v>23700</v>
      </c>
      <c r="F82" s="8">
        <v>7239332</v>
      </c>
      <c r="G82" s="1">
        <v>171572168400</v>
      </c>
      <c r="H82" s="1">
        <v>113237628300</v>
      </c>
    </row>
    <row r="83" spans="1:8" x14ac:dyDescent="0.3">
      <c r="A83">
        <v>20190305</v>
      </c>
      <c r="B83">
        <v>290650</v>
      </c>
      <c r="C83" s="8">
        <v>23700</v>
      </c>
      <c r="D83" s="8">
        <v>23400</v>
      </c>
      <c r="E83">
        <v>23400</v>
      </c>
      <c r="F83" s="8">
        <v>7239332</v>
      </c>
      <c r="G83" s="1">
        <v>169400368800</v>
      </c>
      <c r="H83" s="1">
        <v>111804240600</v>
      </c>
    </row>
    <row r="84" spans="1:8" x14ac:dyDescent="0.3">
      <c r="A84">
        <v>20190306</v>
      </c>
      <c r="B84">
        <v>290650</v>
      </c>
      <c r="C84" s="8">
        <v>23400</v>
      </c>
      <c r="D84" s="8">
        <v>23600</v>
      </c>
      <c r="E84">
        <v>23600</v>
      </c>
      <c r="F84" s="8">
        <v>7239332</v>
      </c>
      <c r="G84" s="1">
        <v>170848235200</v>
      </c>
      <c r="H84" s="1">
        <v>112759832400</v>
      </c>
    </row>
    <row r="85" spans="1:8" x14ac:dyDescent="0.3">
      <c r="A85">
        <v>20190307</v>
      </c>
      <c r="B85">
        <v>290650</v>
      </c>
      <c r="C85" s="8">
        <v>23600</v>
      </c>
      <c r="D85" s="8">
        <v>23100</v>
      </c>
      <c r="E85">
        <v>23100</v>
      </c>
      <c r="F85" s="8">
        <v>7239332</v>
      </c>
      <c r="G85" s="1">
        <v>167228569200</v>
      </c>
      <c r="H85" s="1">
        <v>110370852900</v>
      </c>
    </row>
    <row r="86" spans="1:8" x14ac:dyDescent="0.3">
      <c r="A86">
        <v>20190308</v>
      </c>
      <c r="B86">
        <v>290650</v>
      </c>
      <c r="C86" s="8">
        <v>23100</v>
      </c>
      <c r="D86" s="8">
        <v>22750</v>
      </c>
      <c r="E86">
        <v>22750</v>
      </c>
      <c r="F86" s="8">
        <v>7239332</v>
      </c>
      <c r="G86" s="1">
        <v>164694803000</v>
      </c>
      <c r="H86" s="1">
        <v>108698567250</v>
      </c>
    </row>
    <row r="87" spans="1:8" x14ac:dyDescent="0.3">
      <c r="A87">
        <v>20190311</v>
      </c>
      <c r="B87">
        <v>290650</v>
      </c>
      <c r="C87" s="8">
        <v>22750</v>
      </c>
      <c r="D87" s="8">
        <v>24800</v>
      </c>
      <c r="E87">
        <v>24800</v>
      </c>
      <c r="F87" s="8">
        <v>7239332</v>
      </c>
      <c r="G87" s="1">
        <v>179535433600</v>
      </c>
      <c r="H87" s="1">
        <v>118493383200</v>
      </c>
    </row>
    <row r="88" spans="1:8" x14ac:dyDescent="0.3">
      <c r="A88">
        <v>20190312</v>
      </c>
      <c r="B88">
        <v>290650</v>
      </c>
      <c r="C88" s="8">
        <v>24800</v>
      </c>
      <c r="D88" s="8">
        <v>24950</v>
      </c>
      <c r="E88">
        <v>24950</v>
      </c>
      <c r="F88" s="8">
        <v>7239332</v>
      </c>
      <c r="G88" s="1">
        <v>180621333400</v>
      </c>
      <c r="H88" s="1">
        <v>119210077050</v>
      </c>
    </row>
    <row r="89" spans="1:8" x14ac:dyDescent="0.3">
      <c r="A89">
        <v>20190313</v>
      </c>
      <c r="B89">
        <v>290650</v>
      </c>
      <c r="C89" s="8">
        <v>24950</v>
      </c>
      <c r="D89" s="8">
        <v>25400</v>
      </c>
      <c r="E89">
        <v>25400</v>
      </c>
      <c r="F89" s="8">
        <v>7239332</v>
      </c>
      <c r="G89" s="1">
        <v>183879032800</v>
      </c>
      <c r="H89" s="1">
        <v>121360158600</v>
      </c>
    </row>
    <row r="90" spans="1:8" x14ac:dyDescent="0.3">
      <c r="A90">
        <v>20190314</v>
      </c>
      <c r="B90">
        <v>290650</v>
      </c>
      <c r="C90" s="8">
        <v>25400</v>
      </c>
      <c r="D90" s="8">
        <v>25000</v>
      </c>
      <c r="E90">
        <v>25000</v>
      </c>
      <c r="F90" s="8">
        <v>7239332</v>
      </c>
      <c r="G90" s="1">
        <v>180983300000</v>
      </c>
      <c r="H90" s="1">
        <v>119448975000</v>
      </c>
    </row>
    <row r="91" spans="1:8" x14ac:dyDescent="0.3">
      <c r="A91">
        <v>20190315</v>
      </c>
      <c r="B91">
        <v>290650</v>
      </c>
      <c r="C91" s="8">
        <v>25000</v>
      </c>
      <c r="D91" s="8">
        <v>26900</v>
      </c>
      <c r="E91">
        <v>26900</v>
      </c>
      <c r="F91" s="8">
        <v>7239332</v>
      </c>
      <c r="G91" s="1">
        <v>194738030800</v>
      </c>
      <c r="H91" s="1">
        <v>128527097100</v>
      </c>
    </row>
    <row r="92" spans="1:8" x14ac:dyDescent="0.3">
      <c r="A92">
        <v>20190318</v>
      </c>
      <c r="B92">
        <v>290650</v>
      </c>
      <c r="C92" s="8">
        <v>26900</v>
      </c>
      <c r="D92" s="8">
        <v>27550</v>
      </c>
      <c r="E92">
        <v>27550</v>
      </c>
      <c r="F92" s="8">
        <v>7239332</v>
      </c>
      <c r="G92" s="1">
        <v>199443596600</v>
      </c>
      <c r="H92" s="1">
        <v>131632770450</v>
      </c>
    </row>
    <row r="93" spans="1:8" x14ac:dyDescent="0.3">
      <c r="A93">
        <v>20190319</v>
      </c>
      <c r="B93">
        <v>290650</v>
      </c>
      <c r="C93" s="8">
        <v>27550</v>
      </c>
      <c r="D93" s="8">
        <v>26500</v>
      </c>
      <c r="E93">
        <v>26500</v>
      </c>
      <c r="F93" s="8">
        <v>7239332</v>
      </c>
      <c r="G93" s="1">
        <v>191842298000</v>
      </c>
      <c r="H93" s="1">
        <v>126615913500</v>
      </c>
    </row>
    <row r="94" spans="1:8" x14ac:dyDescent="0.3">
      <c r="A94">
        <v>20190320</v>
      </c>
      <c r="B94">
        <v>290650</v>
      </c>
      <c r="C94" s="8">
        <v>26500</v>
      </c>
      <c r="D94" s="8">
        <v>27200</v>
      </c>
      <c r="E94">
        <v>27200</v>
      </c>
      <c r="F94" s="8">
        <v>7239332</v>
      </c>
      <c r="G94" s="1">
        <v>196909830400</v>
      </c>
      <c r="H94" s="1">
        <v>129960484800</v>
      </c>
    </row>
    <row r="95" spans="1:8" x14ac:dyDescent="0.3">
      <c r="A95">
        <v>20190321</v>
      </c>
      <c r="B95">
        <v>290650</v>
      </c>
      <c r="C95" s="8">
        <v>27200</v>
      </c>
      <c r="D95" s="8">
        <v>26350</v>
      </c>
      <c r="E95">
        <v>26350</v>
      </c>
      <c r="F95" s="8">
        <v>7239332</v>
      </c>
      <c r="G95" s="1">
        <v>190756398200</v>
      </c>
      <c r="H95" s="1">
        <v>125899219650</v>
      </c>
    </row>
    <row r="96" spans="1:8" x14ac:dyDescent="0.3">
      <c r="A96">
        <v>20190322</v>
      </c>
      <c r="B96">
        <v>290650</v>
      </c>
      <c r="C96" s="8">
        <v>26350</v>
      </c>
      <c r="D96" s="8">
        <v>26050</v>
      </c>
      <c r="E96">
        <v>26050</v>
      </c>
      <c r="F96" s="8">
        <v>7239332</v>
      </c>
      <c r="G96" s="1">
        <v>188584598600</v>
      </c>
      <c r="H96" s="1">
        <v>124465831950</v>
      </c>
    </row>
    <row r="97" spans="1:8" x14ac:dyDescent="0.3">
      <c r="A97">
        <v>20190325</v>
      </c>
      <c r="B97">
        <v>290650</v>
      </c>
      <c r="C97" s="8">
        <v>26050</v>
      </c>
      <c r="D97" s="8">
        <v>26600</v>
      </c>
      <c r="E97">
        <v>26600</v>
      </c>
      <c r="F97" s="8">
        <v>7239332</v>
      </c>
      <c r="G97" s="1">
        <v>192566231200</v>
      </c>
      <c r="H97" s="1">
        <v>127093709400</v>
      </c>
    </row>
    <row r="98" spans="1:8" x14ac:dyDescent="0.3">
      <c r="A98">
        <v>20190326</v>
      </c>
      <c r="B98">
        <v>290650</v>
      </c>
      <c r="C98" s="8">
        <v>26600</v>
      </c>
      <c r="D98" s="8">
        <v>29000</v>
      </c>
      <c r="E98">
        <v>29000</v>
      </c>
      <c r="F98" s="8">
        <v>7239332</v>
      </c>
      <c r="G98" s="1">
        <v>209940628000</v>
      </c>
      <c r="H98" s="1">
        <v>138560811000</v>
      </c>
    </row>
    <row r="99" spans="1:8" x14ac:dyDescent="0.3">
      <c r="A99">
        <v>20190327</v>
      </c>
      <c r="B99">
        <v>290650</v>
      </c>
      <c r="C99" s="8">
        <v>29000</v>
      </c>
      <c r="D99" s="8">
        <v>28450</v>
      </c>
      <c r="E99">
        <v>28450</v>
      </c>
      <c r="F99" s="8">
        <v>7239332</v>
      </c>
      <c r="G99" s="1">
        <v>205958995400</v>
      </c>
      <c r="H99" s="1">
        <v>135932933550</v>
      </c>
    </row>
    <row r="100" spans="1:8" x14ac:dyDescent="0.3">
      <c r="A100">
        <v>20190328</v>
      </c>
      <c r="B100">
        <v>290650</v>
      </c>
      <c r="C100" s="8">
        <v>28450</v>
      </c>
      <c r="D100" s="8">
        <v>29650</v>
      </c>
      <c r="E100">
        <v>29650</v>
      </c>
      <c r="F100" s="8">
        <v>7239332</v>
      </c>
      <c r="G100" s="1">
        <v>214646193800</v>
      </c>
      <c r="H100" s="1">
        <v>141666484350</v>
      </c>
    </row>
    <row r="101" spans="1:8" x14ac:dyDescent="0.3">
      <c r="A101">
        <v>20190329</v>
      </c>
      <c r="B101">
        <v>290650</v>
      </c>
      <c r="C101" s="8">
        <v>29650</v>
      </c>
      <c r="D101" s="8">
        <v>30000</v>
      </c>
      <c r="E101">
        <v>30000</v>
      </c>
      <c r="F101" s="8">
        <v>7239332</v>
      </c>
      <c r="G101" s="1">
        <v>217179960000</v>
      </c>
      <c r="H101" s="1">
        <v>143338770000</v>
      </c>
    </row>
    <row r="102" spans="1:8" x14ac:dyDescent="0.3">
      <c r="A102">
        <v>20190401</v>
      </c>
      <c r="B102">
        <v>290650</v>
      </c>
      <c r="C102" s="8">
        <v>30000</v>
      </c>
      <c r="D102" s="8">
        <v>29650</v>
      </c>
      <c r="E102">
        <v>29650</v>
      </c>
      <c r="F102" s="8">
        <v>7239332</v>
      </c>
      <c r="G102" s="1">
        <v>214646193800</v>
      </c>
      <c r="H102" s="1">
        <v>141666484350</v>
      </c>
    </row>
    <row r="103" spans="1:8" x14ac:dyDescent="0.3">
      <c r="A103">
        <v>20190402</v>
      </c>
      <c r="B103">
        <v>290650</v>
      </c>
      <c r="C103" s="8">
        <v>29650</v>
      </c>
      <c r="D103" s="8">
        <v>29450</v>
      </c>
      <c r="E103">
        <v>29450</v>
      </c>
      <c r="F103" s="8">
        <v>7239332</v>
      </c>
      <c r="G103" s="1">
        <v>213198327400</v>
      </c>
      <c r="H103" s="1">
        <v>140710892550</v>
      </c>
    </row>
    <row r="104" spans="1:8" x14ac:dyDescent="0.3">
      <c r="A104">
        <v>20190403</v>
      </c>
      <c r="B104">
        <v>290650</v>
      </c>
      <c r="C104" s="8">
        <v>29450</v>
      </c>
      <c r="D104" s="8">
        <v>31150</v>
      </c>
      <c r="E104">
        <v>31150</v>
      </c>
      <c r="F104" s="8">
        <v>7239332</v>
      </c>
      <c r="G104" s="1">
        <v>225505191800</v>
      </c>
      <c r="H104" s="1">
        <v>148833422850</v>
      </c>
    </row>
    <row r="105" spans="1:8" x14ac:dyDescent="0.3">
      <c r="A105">
        <v>20190404</v>
      </c>
      <c r="B105">
        <v>290650</v>
      </c>
      <c r="C105" s="8">
        <v>31150</v>
      </c>
      <c r="D105" s="8">
        <v>31150</v>
      </c>
      <c r="E105">
        <v>31150</v>
      </c>
      <c r="F105" s="8">
        <v>7239332</v>
      </c>
      <c r="G105" s="1">
        <v>225505191800</v>
      </c>
      <c r="H105" s="1">
        <v>148833422850</v>
      </c>
    </row>
    <row r="106" spans="1:8" x14ac:dyDescent="0.3">
      <c r="A106">
        <v>20190405</v>
      </c>
      <c r="B106">
        <v>290650</v>
      </c>
      <c r="C106" s="8">
        <v>31150</v>
      </c>
      <c r="D106" s="8">
        <v>30150</v>
      </c>
      <c r="E106">
        <v>30150</v>
      </c>
      <c r="F106" s="8">
        <v>7239332</v>
      </c>
      <c r="G106" s="1">
        <v>218265859800</v>
      </c>
      <c r="H106" s="1">
        <v>144055463850</v>
      </c>
    </row>
    <row r="107" spans="1:8" x14ac:dyDescent="0.3">
      <c r="A107">
        <v>20190408</v>
      </c>
      <c r="B107">
        <v>290650</v>
      </c>
      <c r="C107" s="8">
        <v>30150</v>
      </c>
      <c r="D107" s="8">
        <v>29500</v>
      </c>
      <c r="E107">
        <v>29500</v>
      </c>
      <c r="F107" s="8">
        <v>7239332</v>
      </c>
      <c r="G107" s="1">
        <v>213560294000</v>
      </c>
      <c r="H107" s="1">
        <v>140949790500</v>
      </c>
    </row>
    <row r="108" spans="1:8" x14ac:dyDescent="0.3">
      <c r="A108">
        <v>20190409</v>
      </c>
      <c r="B108">
        <v>290650</v>
      </c>
      <c r="C108" s="8">
        <v>29500</v>
      </c>
      <c r="D108" s="8">
        <v>29500</v>
      </c>
      <c r="E108">
        <v>29500</v>
      </c>
      <c r="F108" s="8">
        <v>7239332</v>
      </c>
      <c r="G108" s="1">
        <v>213560294000</v>
      </c>
      <c r="H108" s="1">
        <v>140949790500</v>
      </c>
    </row>
    <row r="109" spans="1:8" x14ac:dyDescent="0.3">
      <c r="A109">
        <v>20190410</v>
      </c>
      <c r="B109">
        <v>290650</v>
      </c>
      <c r="C109" s="8">
        <v>29500</v>
      </c>
      <c r="D109" s="8">
        <v>30050</v>
      </c>
      <c r="E109">
        <v>30050</v>
      </c>
      <c r="F109" s="8">
        <v>7239332</v>
      </c>
      <c r="G109" s="1">
        <v>217541926600</v>
      </c>
      <c r="H109" s="1">
        <v>143577667950</v>
      </c>
    </row>
    <row r="110" spans="1:8" x14ac:dyDescent="0.3">
      <c r="A110">
        <v>20190411</v>
      </c>
      <c r="B110">
        <v>290650</v>
      </c>
      <c r="C110" s="8">
        <v>30050</v>
      </c>
      <c r="D110" s="8">
        <v>29650</v>
      </c>
      <c r="E110">
        <v>29650</v>
      </c>
      <c r="F110" s="8">
        <v>7239332</v>
      </c>
      <c r="G110" s="1">
        <v>214646193800</v>
      </c>
      <c r="H110" s="1">
        <v>141666484350</v>
      </c>
    </row>
    <row r="111" spans="1:8" x14ac:dyDescent="0.3">
      <c r="A111">
        <v>20190412</v>
      </c>
      <c r="B111">
        <v>290650</v>
      </c>
      <c r="C111" s="8">
        <v>29650</v>
      </c>
      <c r="D111" s="8">
        <v>28900</v>
      </c>
      <c r="E111">
        <v>28900</v>
      </c>
      <c r="F111" s="8">
        <v>7239332</v>
      </c>
      <c r="G111" s="1">
        <v>209216694800</v>
      </c>
      <c r="H111" s="1">
        <v>138083015100</v>
      </c>
    </row>
    <row r="112" spans="1:8" x14ac:dyDescent="0.3">
      <c r="A112">
        <v>20190415</v>
      </c>
      <c r="B112">
        <v>290650</v>
      </c>
      <c r="C112" s="8">
        <v>28900</v>
      </c>
      <c r="D112" s="8">
        <v>27400</v>
      </c>
      <c r="E112">
        <v>27400</v>
      </c>
      <c r="F112" s="8">
        <v>7239332</v>
      </c>
      <c r="G112" s="1">
        <v>198357696800</v>
      </c>
      <c r="H112" s="1">
        <v>130916076600</v>
      </c>
    </row>
    <row r="113" spans="1:8" x14ac:dyDescent="0.3">
      <c r="A113">
        <v>20190416</v>
      </c>
      <c r="B113">
        <v>290650</v>
      </c>
      <c r="C113" s="8">
        <v>27400</v>
      </c>
      <c r="D113" s="8">
        <v>28250</v>
      </c>
      <c r="E113">
        <v>28250</v>
      </c>
      <c r="F113" s="8">
        <v>7239332</v>
      </c>
      <c r="G113" s="1">
        <v>204511129000</v>
      </c>
      <c r="H113" s="1">
        <v>134977341750</v>
      </c>
    </row>
    <row r="114" spans="1:8" x14ac:dyDescent="0.3">
      <c r="A114">
        <v>20190417</v>
      </c>
      <c r="B114">
        <v>290650</v>
      </c>
      <c r="C114" s="8">
        <v>28250</v>
      </c>
      <c r="D114" s="8">
        <v>28200</v>
      </c>
      <c r="E114">
        <v>28200</v>
      </c>
      <c r="F114" s="8">
        <v>7239332</v>
      </c>
      <c r="G114" s="1">
        <v>204149162400</v>
      </c>
      <c r="H114" s="1">
        <v>134738443800</v>
      </c>
    </row>
    <row r="115" spans="1:8" x14ac:dyDescent="0.3">
      <c r="A115">
        <v>20190418</v>
      </c>
      <c r="B115">
        <v>290650</v>
      </c>
      <c r="C115" s="8">
        <v>28200</v>
      </c>
      <c r="D115" s="8">
        <v>26700</v>
      </c>
      <c r="E115">
        <v>26700</v>
      </c>
      <c r="F115" s="8">
        <v>7239332</v>
      </c>
      <c r="G115" s="1">
        <v>193290164400</v>
      </c>
      <c r="H115" s="1">
        <v>127571505300</v>
      </c>
    </row>
    <row r="116" spans="1:8" x14ac:dyDescent="0.3">
      <c r="A116">
        <v>20190419</v>
      </c>
      <c r="B116">
        <v>290650</v>
      </c>
      <c r="C116" s="8">
        <v>26700</v>
      </c>
      <c r="D116" s="8">
        <v>27200</v>
      </c>
      <c r="E116">
        <v>27200</v>
      </c>
      <c r="F116" s="8">
        <v>7239332</v>
      </c>
      <c r="G116" s="1">
        <v>196909830400</v>
      </c>
      <c r="H116" s="1">
        <v>129960484800</v>
      </c>
    </row>
    <row r="117" spans="1:8" x14ac:dyDescent="0.3">
      <c r="A117">
        <v>20190422</v>
      </c>
      <c r="B117">
        <v>290650</v>
      </c>
      <c r="C117" s="8">
        <v>27200</v>
      </c>
      <c r="D117" s="8">
        <v>26500</v>
      </c>
      <c r="E117">
        <v>26500</v>
      </c>
      <c r="F117" s="8">
        <v>7239332</v>
      </c>
      <c r="G117" s="1">
        <v>191842298000</v>
      </c>
      <c r="H117" s="1">
        <v>126615913500</v>
      </c>
    </row>
    <row r="118" spans="1:8" x14ac:dyDescent="0.3">
      <c r="A118">
        <v>20190423</v>
      </c>
      <c r="B118">
        <v>290650</v>
      </c>
      <c r="C118" s="8">
        <v>26500</v>
      </c>
      <c r="D118" s="8">
        <v>27500</v>
      </c>
      <c r="E118">
        <v>27500</v>
      </c>
      <c r="F118" s="8">
        <v>7239332</v>
      </c>
      <c r="G118" s="1">
        <v>199081630000</v>
      </c>
      <c r="H118" s="1">
        <v>131393872500</v>
      </c>
    </row>
    <row r="119" spans="1:8" x14ac:dyDescent="0.3">
      <c r="A119">
        <v>20190424</v>
      </c>
      <c r="B119">
        <v>290650</v>
      </c>
      <c r="C119" s="8">
        <v>27500</v>
      </c>
      <c r="D119" s="8">
        <v>27100</v>
      </c>
      <c r="E119">
        <v>27100</v>
      </c>
      <c r="F119" s="8">
        <v>7239332</v>
      </c>
      <c r="G119" s="1">
        <v>196185897200</v>
      </c>
      <c r="H119" s="1">
        <v>129482688900</v>
      </c>
    </row>
    <row r="120" spans="1:8" x14ac:dyDescent="0.3">
      <c r="A120">
        <v>20190425</v>
      </c>
      <c r="B120">
        <v>290650</v>
      </c>
      <c r="C120" s="8">
        <v>27100</v>
      </c>
      <c r="D120" s="8">
        <v>25850</v>
      </c>
      <c r="E120">
        <v>25850</v>
      </c>
      <c r="F120" s="8">
        <v>7239332</v>
      </c>
      <c r="G120" s="1">
        <v>187136732200</v>
      </c>
      <c r="H120" s="1">
        <v>123510240150</v>
      </c>
    </row>
    <row r="121" spans="1:8" x14ac:dyDescent="0.3">
      <c r="A121">
        <v>20190426</v>
      </c>
      <c r="B121">
        <v>290650</v>
      </c>
      <c r="C121" s="8">
        <v>25850</v>
      </c>
      <c r="D121" s="8">
        <v>26300</v>
      </c>
      <c r="E121">
        <v>26300</v>
      </c>
      <c r="F121" s="8">
        <v>7239332</v>
      </c>
      <c r="G121" s="1">
        <v>190394431600</v>
      </c>
      <c r="H121" s="1">
        <v>125660321700</v>
      </c>
    </row>
    <row r="122" spans="1:8" x14ac:dyDescent="0.3">
      <c r="A122">
        <v>20190429</v>
      </c>
      <c r="B122">
        <v>290650</v>
      </c>
      <c r="C122" s="8">
        <v>26300</v>
      </c>
      <c r="D122" s="8">
        <v>27150</v>
      </c>
      <c r="E122">
        <v>27150</v>
      </c>
      <c r="F122" s="8">
        <v>7239332</v>
      </c>
      <c r="G122" s="1">
        <v>196547863800</v>
      </c>
      <c r="H122" s="1">
        <v>129721586850</v>
      </c>
    </row>
    <row r="123" spans="1:8" x14ac:dyDescent="0.3">
      <c r="A123">
        <v>20190430</v>
      </c>
      <c r="B123">
        <v>290650</v>
      </c>
      <c r="C123" s="8">
        <v>27150</v>
      </c>
      <c r="D123" s="8">
        <v>26900</v>
      </c>
      <c r="E123">
        <v>26900</v>
      </c>
      <c r="F123" s="8">
        <v>7239332</v>
      </c>
      <c r="G123" s="1">
        <v>194738030800</v>
      </c>
      <c r="H123" s="1">
        <v>128527097100</v>
      </c>
    </row>
    <row r="124" spans="1:8" x14ac:dyDescent="0.3">
      <c r="A124">
        <v>20190502</v>
      </c>
      <c r="B124">
        <v>290650</v>
      </c>
      <c r="C124" s="8">
        <v>26900</v>
      </c>
      <c r="D124" s="8">
        <v>26650</v>
      </c>
      <c r="E124">
        <v>26650</v>
      </c>
      <c r="F124" s="8">
        <v>7239332</v>
      </c>
      <c r="G124" s="1">
        <v>192928197800</v>
      </c>
      <c r="H124" s="1">
        <v>127332607350</v>
      </c>
    </row>
    <row r="125" spans="1:8" x14ac:dyDescent="0.3">
      <c r="A125">
        <v>20190503</v>
      </c>
      <c r="B125">
        <v>290650</v>
      </c>
      <c r="C125" s="8">
        <v>26650</v>
      </c>
      <c r="D125" s="8">
        <v>27450</v>
      </c>
      <c r="E125">
        <v>27450</v>
      </c>
      <c r="F125" s="8">
        <v>7239332</v>
      </c>
      <c r="G125" s="1">
        <v>198719663400</v>
      </c>
      <c r="H125" s="1">
        <v>131154974550</v>
      </c>
    </row>
    <row r="126" spans="1:8" x14ac:dyDescent="0.3">
      <c r="A126">
        <v>20190507</v>
      </c>
      <c r="B126">
        <v>290650</v>
      </c>
      <c r="C126" s="8">
        <v>27450</v>
      </c>
      <c r="D126" s="8">
        <v>27050</v>
      </c>
      <c r="E126">
        <v>27050</v>
      </c>
      <c r="F126" s="8">
        <v>7239332</v>
      </c>
      <c r="G126" s="1">
        <v>195823930600</v>
      </c>
      <c r="H126" s="1">
        <v>129243790950</v>
      </c>
    </row>
    <row r="127" spans="1:8" x14ac:dyDescent="0.3">
      <c r="A127">
        <v>20190508</v>
      </c>
      <c r="B127">
        <v>290650</v>
      </c>
      <c r="C127" s="8">
        <v>27050</v>
      </c>
      <c r="D127" s="8">
        <v>26800</v>
      </c>
      <c r="E127">
        <v>26800</v>
      </c>
      <c r="F127" s="8">
        <v>7239332</v>
      </c>
      <c r="G127" s="1">
        <v>194014097600</v>
      </c>
      <c r="H127" s="1">
        <v>128049301200</v>
      </c>
    </row>
    <row r="128" spans="1:8" x14ac:dyDescent="0.3">
      <c r="A128">
        <v>20190509</v>
      </c>
      <c r="B128">
        <v>290650</v>
      </c>
      <c r="C128" s="8">
        <v>26800</v>
      </c>
      <c r="D128" s="8">
        <v>25500</v>
      </c>
      <c r="E128">
        <v>25500</v>
      </c>
      <c r="F128" s="8">
        <v>7239332</v>
      </c>
      <c r="G128" s="1">
        <v>184602966000</v>
      </c>
      <c r="H128" s="1">
        <v>121837954500</v>
      </c>
    </row>
    <row r="129" spans="1:8" x14ac:dyDescent="0.3">
      <c r="A129">
        <v>20190510</v>
      </c>
      <c r="B129">
        <v>290650</v>
      </c>
      <c r="C129" s="8">
        <v>25500</v>
      </c>
      <c r="D129" s="8">
        <v>25250</v>
      </c>
      <c r="E129">
        <v>25250</v>
      </c>
      <c r="F129" s="8">
        <v>7239332</v>
      </c>
      <c r="G129" s="1">
        <v>182793133000</v>
      </c>
      <c r="H129" s="1">
        <v>120643464750</v>
      </c>
    </row>
    <row r="130" spans="1:8" x14ac:dyDescent="0.3">
      <c r="A130">
        <v>20190513</v>
      </c>
      <c r="B130">
        <v>290650</v>
      </c>
      <c r="C130" s="8">
        <v>25250</v>
      </c>
      <c r="D130" s="8">
        <v>25000</v>
      </c>
      <c r="E130">
        <v>25000</v>
      </c>
      <c r="F130" s="8">
        <v>7239332</v>
      </c>
      <c r="G130" s="1">
        <v>180983300000</v>
      </c>
      <c r="H130" s="1">
        <v>119448975000</v>
      </c>
    </row>
    <row r="131" spans="1:8" x14ac:dyDescent="0.3">
      <c r="A131">
        <v>20190514</v>
      </c>
      <c r="B131">
        <v>290650</v>
      </c>
      <c r="C131" s="8">
        <v>25000</v>
      </c>
      <c r="D131" s="8">
        <v>25200</v>
      </c>
      <c r="E131">
        <v>25200</v>
      </c>
      <c r="F131" s="8">
        <v>7239332</v>
      </c>
      <c r="G131" s="1">
        <v>182431166400</v>
      </c>
      <c r="H131" s="1">
        <v>120404566800</v>
      </c>
    </row>
    <row r="132" spans="1:8" x14ac:dyDescent="0.3">
      <c r="A132">
        <v>20190515</v>
      </c>
      <c r="B132">
        <v>290650</v>
      </c>
      <c r="C132" s="8">
        <v>25200</v>
      </c>
      <c r="D132" s="8">
        <v>26100</v>
      </c>
      <c r="E132">
        <v>26100</v>
      </c>
      <c r="F132" s="8">
        <v>7239332</v>
      </c>
      <c r="G132" s="1">
        <v>188946565200</v>
      </c>
      <c r="H132" s="1">
        <v>124704729900</v>
      </c>
    </row>
    <row r="133" spans="1:8" x14ac:dyDescent="0.3">
      <c r="A133">
        <v>20190516</v>
      </c>
      <c r="B133">
        <v>290650</v>
      </c>
      <c r="C133" s="8">
        <v>26100</v>
      </c>
      <c r="D133" s="8">
        <v>25650</v>
      </c>
      <c r="E133">
        <v>25650</v>
      </c>
      <c r="F133" s="8">
        <v>7239332</v>
      </c>
      <c r="G133" s="1">
        <v>185688865800</v>
      </c>
      <c r="H133" s="1">
        <v>122554648350</v>
      </c>
    </row>
    <row r="134" spans="1:8" x14ac:dyDescent="0.3">
      <c r="A134">
        <v>20190517</v>
      </c>
      <c r="B134">
        <v>290650</v>
      </c>
      <c r="C134" s="8">
        <v>25650</v>
      </c>
      <c r="D134" s="8">
        <v>25500</v>
      </c>
      <c r="E134">
        <v>25500</v>
      </c>
      <c r="F134" s="8">
        <v>7239332</v>
      </c>
      <c r="G134" s="1">
        <v>184602966000</v>
      </c>
      <c r="H134" s="1">
        <v>121837954500</v>
      </c>
    </row>
    <row r="135" spans="1:8" x14ac:dyDescent="0.3">
      <c r="A135">
        <v>20190520</v>
      </c>
      <c r="B135">
        <v>290650</v>
      </c>
      <c r="C135" s="8">
        <v>25500</v>
      </c>
      <c r="D135" s="8">
        <v>25550</v>
      </c>
      <c r="E135">
        <v>25550</v>
      </c>
      <c r="F135" s="8">
        <v>7239332</v>
      </c>
      <c r="G135" s="1">
        <v>184964932600</v>
      </c>
      <c r="H135" s="1">
        <v>122076852450</v>
      </c>
    </row>
    <row r="136" spans="1:8" x14ac:dyDescent="0.3">
      <c r="A136">
        <v>20190521</v>
      </c>
      <c r="B136">
        <v>290650</v>
      </c>
      <c r="C136" s="8">
        <v>25550</v>
      </c>
      <c r="D136" s="8">
        <v>24550</v>
      </c>
      <c r="E136">
        <v>24550</v>
      </c>
      <c r="F136" s="8">
        <v>7239332</v>
      </c>
      <c r="G136" s="1">
        <v>177725600600</v>
      </c>
      <c r="H136" s="1">
        <v>117298893450</v>
      </c>
    </row>
    <row r="137" spans="1:8" x14ac:dyDescent="0.3">
      <c r="A137">
        <v>20190522</v>
      </c>
      <c r="B137">
        <v>290650</v>
      </c>
      <c r="C137" s="8">
        <v>24550</v>
      </c>
      <c r="D137" s="8">
        <v>24900</v>
      </c>
      <c r="E137">
        <v>24900</v>
      </c>
      <c r="F137" s="8">
        <v>7239332</v>
      </c>
      <c r="G137" s="1">
        <v>180259366800</v>
      </c>
      <c r="H137" s="1">
        <v>118971179100</v>
      </c>
    </row>
    <row r="138" spans="1:8" x14ac:dyDescent="0.3">
      <c r="A138">
        <v>20190523</v>
      </c>
      <c r="B138">
        <v>290650</v>
      </c>
      <c r="C138" s="8">
        <v>24900</v>
      </c>
      <c r="D138" s="8">
        <v>24500</v>
      </c>
      <c r="E138">
        <v>24500</v>
      </c>
      <c r="F138" s="8">
        <v>7239332</v>
      </c>
      <c r="G138" s="1">
        <v>177363634000</v>
      </c>
      <c r="H138" s="1">
        <v>117059995500</v>
      </c>
    </row>
    <row r="139" spans="1:8" x14ac:dyDescent="0.3">
      <c r="A139">
        <v>20190524</v>
      </c>
      <c r="B139">
        <v>290650</v>
      </c>
      <c r="C139" s="8">
        <v>24500</v>
      </c>
      <c r="D139" s="8">
        <v>24000</v>
      </c>
      <c r="E139">
        <v>24000</v>
      </c>
      <c r="F139" s="8">
        <v>7239332</v>
      </c>
      <c r="G139" s="1">
        <v>173743968000</v>
      </c>
      <c r="H139" s="1">
        <v>114671016000</v>
      </c>
    </row>
    <row r="140" spans="1:8" x14ac:dyDescent="0.3">
      <c r="A140">
        <v>20190527</v>
      </c>
      <c r="B140">
        <v>290650</v>
      </c>
      <c r="C140" s="8">
        <v>24000</v>
      </c>
      <c r="D140" s="8">
        <v>23500</v>
      </c>
      <c r="E140">
        <v>23500</v>
      </c>
      <c r="F140" s="8">
        <v>7239332</v>
      </c>
      <c r="G140" s="1">
        <v>170124302000</v>
      </c>
      <c r="H140" s="1">
        <v>112282036500</v>
      </c>
    </row>
    <row r="141" spans="1:8" x14ac:dyDescent="0.3">
      <c r="A141">
        <v>20190528</v>
      </c>
      <c r="B141">
        <v>290650</v>
      </c>
      <c r="C141" s="8">
        <v>23500</v>
      </c>
      <c r="D141" s="8">
        <v>23100</v>
      </c>
      <c r="E141">
        <v>23100</v>
      </c>
      <c r="F141" s="8">
        <v>7239332</v>
      </c>
      <c r="G141" s="1">
        <v>167228569200</v>
      </c>
      <c r="H141" s="1">
        <v>110370852900</v>
      </c>
    </row>
    <row r="142" spans="1:8" x14ac:dyDescent="0.3">
      <c r="A142">
        <v>20190529</v>
      </c>
      <c r="B142">
        <v>290650</v>
      </c>
      <c r="C142" s="8">
        <v>23100</v>
      </c>
      <c r="D142" s="8">
        <v>22850</v>
      </c>
      <c r="E142">
        <v>22850</v>
      </c>
      <c r="F142" s="8">
        <v>7239332</v>
      </c>
      <c r="G142" s="1">
        <v>165418736200</v>
      </c>
      <c r="H142" s="1">
        <v>109176363150</v>
      </c>
    </row>
    <row r="143" spans="1:8" x14ac:dyDescent="0.3">
      <c r="A143">
        <v>20190530</v>
      </c>
      <c r="B143">
        <v>290650</v>
      </c>
      <c r="C143" s="8">
        <v>22850</v>
      </c>
      <c r="D143" s="8">
        <v>22500</v>
      </c>
      <c r="E143">
        <v>22500</v>
      </c>
      <c r="F143" s="8">
        <v>7239332</v>
      </c>
      <c r="G143" s="1">
        <v>162884970000</v>
      </c>
      <c r="H143" s="1">
        <v>107504077500</v>
      </c>
    </row>
    <row r="144" spans="1:8" x14ac:dyDescent="0.3">
      <c r="A144">
        <v>20190531</v>
      </c>
      <c r="B144">
        <v>290650</v>
      </c>
      <c r="C144" s="8">
        <v>22500</v>
      </c>
      <c r="D144" s="8">
        <v>23250</v>
      </c>
      <c r="E144">
        <v>23250</v>
      </c>
      <c r="F144" s="8">
        <v>7239332</v>
      </c>
      <c r="G144" s="1">
        <v>168314469000</v>
      </c>
      <c r="H144" s="1">
        <v>111087546750</v>
      </c>
    </row>
    <row r="145" spans="1:8" x14ac:dyDescent="0.3">
      <c r="A145">
        <v>20190603</v>
      </c>
      <c r="B145">
        <v>290650</v>
      </c>
      <c r="C145" s="8">
        <v>23250</v>
      </c>
      <c r="D145" s="8">
        <v>23150</v>
      </c>
      <c r="E145">
        <v>23150</v>
      </c>
      <c r="F145" s="8">
        <v>7239332</v>
      </c>
      <c r="G145" s="1">
        <v>167590535800</v>
      </c>
      <c r="H145" s="1">
        <v>110609750850</v>
      </c>
    </row>
    <row r="146" spans="1:8" x14ac:dyDescent="0.3">
      <c r="A146">
        <v>20190604</v>
      </c>
      <c r="B146">
        <v>290650</v>
      </c>
      <c r="C146" s="8">
        <v>23150</v>
      </c>
      <c r="D146" s="8">
        <v>23200</v>
      </c>
      <c r="E146">
        <v>23200</v>
      </c>
      <c r="F146" s="8">
        <v>7239332</v>
      </c>
      <c r="G146" s="1">
        <v>167952502400</v>
      </c>
      <c r="H146" s="1">
        <v>110848648800</v>
      </c>
    </row>
    <row r="147" spans="1:8" x14ac:dyDescent="0.3">
      <c r="A147">
        <v>20190605</v>
      </c>
      <c r="B147">
        <v>290650</v>
      </c>
      <c r="C147" s="8">
        <v>23200</v>
      </c>
      <c r="D147" s="8">
        <v>22800</v>
      </c>
      <c r="E147">
        <v>22800</v>
      </c>
      <c r="F147" s="8">
        <v>7239332</v>
      </c>
      <c r="G147" s="1">
        <v>165056769600</v>
      </c>
      <c r="H147" s="1">
        <v>108937465200</v>
      </c>
    </row>
    <row r="148" spans="1:8" x14ac:dyDescent="0.3">
      <c r="A148">
        <v>20190607</v>
      </c>
      <c r="B148">
        <v>290650</v>
      </c>
      <c r="C148" s="8">
        <v>22800</v>
      </c>
      <c r="D148" s="8">
        <v>22750</v>
      </c>
      <c r="E148">
        <v>22750</v>
      </c>
      <c r="F148" s="8">
        <v>7239332</v>
      </c>
      <c r="G148" s="1">
        <v>164694803000</v>
      </c>
      <c r="H148" s="1">
        <v>108698567250</v>
      </c>
    </row>
    <row r="149" spans="1:8" x14ac:dyDescent="0.3">
      <c r="A149">
        <v>20190610</v>
      </c>
      <c r="B149">
        <v>290650</v>
      </c>
      <c r="C149" s="8">
        <v>22750</v>
      </c>
      <c r="D149" s="8">
        <v>22400</v>
      </c>
      <c r="E149">
        <v>22400</v>
      </c>
      <c r="F149" s="8">
        <v>7339332</v>
      </c>
      <c r="G149" s="1">
        <v>164401036800</v>
      </c>
      <c r="H149" s="1">
        <v>108504681600</v>
      </c>
    </row>
    <row r="150" spans="1:8" x14ac:dyDescent="0.3">
      <c r="A150">
        <v>20190611</v>
      </c>
      <c r="B150">
        <v>290650</v>
      </c>
      <c r="C150" s="8">
        <v>22400</v>
      </c>
      <c r="D150" s="8">
        <v>23050</v>
      </c>
      <c r="E150">
        <v>23050</v>
      </c>
      <c r="F150" s="8">
        <v>7339332</v>
      </c>
      <c r="G150" s="1">
        <v>169171602600</v>
      </c>
      <c r="H150" s="1">
        <v>111653254950</v>
      </c>
    </row>
    <row r="151" spans="1:8" x14ac:dyDescent="0.3">
      <c r="A151">
        <v>20190612</v>
      </c>
      <c r="B151">
        <v>290650</v>
      </c>
      <c r="C151" s="8">
        <v>23050</v>
      </c>
      <c r="D151" s="8">
        <v>22850</v>
      </c>
      <c r="E151">
        <v>22850</v>
      </c>
      <c r="F151" s="8">
        <v>7339332</v>
      </c>
      <c r="G151" s="1">
        <v>167703736200</v>
      </c>
      <c r="H151" s="1">
        <v>110684463150</v>
      </c>
    </row>
    <row r="152" spans="1:8" x14ac:dyDescent="0.3">
      <c r="A152">
        <v>20190613</v>
      </c>
      <c r="B152">
        <v>290650</v>
      </c>
      <c r="C152" s="8">
        <v>22850</v>
      </c>
      <c r="D152" s="8">
        <v>24400</v>
      </c>
      <c r="E152">
        <v>24400</v>
      </c>
      <c r="F152" s="8">
        <v>7339332</v>
      </c>
      <c r="G152" s="1">
        <v>179079700800</v>
      </c>
      <c r="H152" s="1">
        <v>118192599600</v>
      </c>
    </row>
    <row r="153" spans="1:8" x14ac:dyDescent="0.3">
      <c r="A153">
        <v>20190614</v>
      </c>
      <c r="B153">
        <v>290650</v>
      </c>
      <c r="C153" s="8">
        <v>24400</v>
      </c>
      <c r="D153" s="8">
        <v>24600</v>
      </c>
      <c r="E153">
        <v>24600</v>
      </c>
      <c r="F153" s="8">
        <v>7339332</v>
      </c>
      <c r="G153" s="1">
        <v>180547567200</v>
      </c>
      <c r="H153" s="1">
        <v>119161391400</v>
      </c>
    </row>
    <row r="154" spans="1:8" x14ac:dyDescent="0.3">
      <c r="A154">
        <v>20190617</v>
      </c>
      <c r="B154">
        <v>290650</v>
      </c>
      <c r="C154" s="8">
        <v>24600</v>
      </c>
      <c r="D154" s="8">
        <v>23900</v>
      </c>
      <c r="E154">
        <v>23900</v>
      </c>
      <c r="F154" s="8">
        <v>7339332</v>
      </c>
      <c r="G154" s="1">
        <v>175410034800</v>
      </c>
      <c r="H154" s="1">
        <v>115770620100</v>
      </c>
    </row>
    <row r="155" spans="1:8" x14ac:dyDescent="0.3">
      <c r="A155">
        <v>20190618</v>
      </c>
      <c r="B155">
        <v>290650</v>
      </c>
      <c r="C155" s="8">
        <v>23900</v>
      </c>
      <c r="D155" s="8">
        <v>22750</v>
      </c>
      <c r="E155">
        <v>22750</v>
      </c>
      <c r="F155" s="8">
        <v>7339332</v>
      </c>
      <c r="G155" s="1">
        <v>166969803000</v>
      </c>
      <c r="H155" s="1">
        <v>110200067250</v>
      </c>
    </row>
    <row r="156" spans="1:8" x14ac:dyDescent="0.3">
      <c r="A156">
        <v>20190619</v>
      </c>
      <c r="B156">
        <v>290650</v>
      </c>
      <c r="C156" s="8">
        <v>22750</v>
      </c>
      <c r="D156" s="8">
        <v>23000</v>
      </c>
      <c r="E156">
        <v>23000</v>
      </c>
      <c r="F156" s="8">
        <v>7339332</v>
      </c>
      <c r="G156" s="1">
        <v>168804636000</v>
      </c>
      <c r="H156" s="1">
        <v>111411057000</v>
      </c>
    </row>
    <row r="157" spans="1:8" x14ac:dyDescent="0.3">
      <c r="A157">
        <v>20190620</v>
      </c>
      <c r="B157">
        <v>290650</v>
      </c>
      <c r="C157" s="8">
        <v>23000</v>
      </c>
      <c r="D157" s="8">
        <v>23850</v>
      </c>
      <c r="E157">
        <v>23850</v>
      </c>
      <c r="F157" s="8">
        <v>7339332</v>
      </c>
      <c r="G157" s="1">
        <v>175043068200</v>
      </c>
      <c r="H157" s="1">
        <v>115528422150</v>
      </c>
    </row>
    <row r="158" spans="1:8" x14ac:dyDescent="0.3">
      <c r="A158">
        <v>20190621</v>
      </c>
      <c r="B158">
        <v>290650</v>
      </c>
      <c r="C158" s="8">
        <v>23850</v>
      </c>
      <c r="D158" s="8">
        <v>23550</v>
      </c>
      <c r="E158">
        <v>23550</v>
      </c>
      <c r="F158" s="8">
        <v>7339332</v>
      </c>
      <c r="G158" s="1">
        <v>172841268600</v>
      </c>
      <c r="H158" s="1">
        <v>114075234450</v>
      </c>
    </row>
    <row r="159" spans="1:8" x14ac:dyDescent="0.3">
      <c r="A159">
        <v>20190624</v>
      </c>
      <c r="B159">
        <v>290650</v>
      </c>
      <c r="C159" s="8">
        <v>23550</v>
      </c>
      <c r="D159" s="8">
        <v>22900</v>
      </c>
      <c r="E159">
        <v>22900</v>
      </c>
      <c r="F159" s="8">
        <v>7339332</v>
      </c>
      <c r="G159" s="1">
        <v>168070702800</v>
      </c>
      <c r="H159" s="1">
        <v>110926661100</v>
      </c>
    </row>
    <row r="160" spans="1:8" x14ac:dyDescent="0.3">
      <c r="A160">
        <v>20190625</v>
      </c>
      <c r="B160">
        <v>290650</v>
      </c>
      <c r="C160" s="8">
        <v>22900</v>
      </c>
      <c r="D160" s="8">
        <v>23100</v>
      </c>
      <c r="E160">
        <v>23100</v>
      </c>
      <c r="F160" s="8">
        <v>7339332</v>
      </c>
      <c r="G160" s="1">
        <v>169538569200</v>
      </c>
      <c r="H160" s="1">
        <v>111895452900</v>
      </c>
    </row>
    <row r="161" spans="1:8" x14ac:dyDescent="0.3">
      <c r="A161">
        <v>20190626</v>
      </c>
      <c r="B161">
        <v>290650</v>
      </c>
      <c r="C161" s="8">
        <v>23100</v>
      </c>
      <c r="D161" s="8">
        <v>23300</v>
      </c>
      <c r="E161">
        <v>23300</v>
      </c>
      <c r="F161" s="8">
        <v>7339332</v>
      </c>
      <c r="G161" s="1">
        <v>171006435600</v>
      </c>
      <c r="H161" s="1">
        <v>112864244700</v>
      </c>
    </row>
    <row r="162" spans="1:8" x14ac:dyDescent="0.3">
      <c r="A162">
        <v>20190627</v>
      </c>
      <c r="B162">
        <v>290650</v>
      </c>
      <c r="C162" s="8">
        <v>23300</v>
      </c>
      <c r="D162" s="8">
        <v>22800</v>
      </c>
      <c r="E162">
        <v>22800</v>
      </c>
      <c r="F162" s="8">
        <v>7339332</v>
      </c>
      <c r="G162" s="1">
        <v>167336769600</v>
      </c>
      <c r="H162" s="1">
        <v>110442265200</v>
      </c>
    </row>
    <row r="163" spans="1:8" x14ac:dyDescent="0.3">
      <c r="A163">
        <v>20190628</v>
      </c>
      <c r="B163">
        <v>290650</v>
      </c>
      <c r="C163" s="8">
        <v>22800</v>
      </c>
      <c r="D163" s="8">
        <v>22750</v>
      </c>
      <c r="E163">
        <v>22750</v>
      </c>
      <c r="F163" s="8">
        <v>7339332</v>
      </c>
      <c r="G163" s="1">
        <v>166969803000</v>
      </c>
      <c r="H163" s="1">
        <v>110200067250</v>
      </c>
    </row>
    <row r="164" spans="1:8" x14ac:dyDescent="0.3">
      <c r="A164">
        <v>20190701</v>
      </c>
      <c r="B164">
        <v>290650</v>
      </c>
      <c r="C164" s="8">
        <v>22750</v>
      </c>
      <c r="D164" s="8">
        <v>22350</v>
      </c>
      <c r="E164">
        <v>22350</v>
      </c>
      <c r="F164" s="8">
        <v>7339332</v>
      </c>
      <c r="G164" s="1">
        <v>164034070200</v>
      </c>
      <c r="H164" s="1">
        <v>108262483650</v>
      </c>
    </row>
    <row r="165" spans="1:8" x14ac:dyDescent="0.3">
      <c r="A165">
        <v>20190702</v>
      </c>
      <c r="B165">
        <v>290650</v>
      </c>
      <c r="C165" s="8">
        <v>22350</v>
      </c>
      <c r="D165" s="8">
        <v>22200</v>
      </c>
      <c r="E165">
        <v>22200</v>
      </c>
      <c r="F165" s="8">
        <v>7339332</v>
      </c>
      <c r="G165" s="1">
        <v>162933170400</v>
      </c>
      <c r="H165" s="1">
        <v>107535889800</v>
      </c>
    </row>
    <row r="166" spans="1:8" x14ac:dyDescent="0.3">
      <c r="A166">
        <v>20190703</v>
      </c>
      <c r="B166">
        <v>290650</v>
      </c>
      <c r="C166" s="8">
        <v>22200</v>
      </c>
      <c r="D166" s="8">
        <v>21700</v>
      </c>
      <c r="E166">
        <v>21700</v>
      </c>
      <c r="F166" s="8">
        <v>7339332</v>
      </c>
      <c r="G166" s="1">
        <v>159263504400</v>
      </c>
      <c r="H166" s="1">
        <v>105113910300</v>
      </c>
    </row>
    <row r="167" spans="1:8" x14ac:dyDescent="0.3">
      <c r="A167">
        <v>20190704</v>
      </c>
      <c r="B167">
        <v>290650</v>
      </c>
      <c r="C167" s="8">
        <v>21700</v>
      </c>
      <c r="D167" s="8">
        <v>21250</v>
      </c>
      <c r="E167">
        <v>21250</v>
      </c>
      <c r="F167" s="8">
        <v>7339332</v>
      </c>
      <c r="G167" s="1">
        <v>155960805000</v>
      </c>
      <c r="H167" s="1">
        <v>102934128750</v>
      </c>
    </row>
    <row r="168" spans="1:8" x14ac:dyDescent="0.3">
      <c r="A168">
        <v>20190705</v>
      </c>
      <c r="B168">
        <v>290650</v>
      </c>
      <c r="C168" s="8">
        <v>21250</v>
      </c>
      <c r="D168" s="8">
        <v>21900</v>
      </c>
      <c r="E168">
        <v>21900</v>
      </c>
      <c r="F168" s="8">
        <v>7339332</v>
      </c>
      <c r="G168" s="1">
        <v>160731370800</v>
      </c>
      <c r="H168" s="1">
        <v>106082702100</v>
      </c>
    </row>
    <row r="169" spans="1:8" x14ac:dyDescent="0.3">
      <c r="A169">
        <v>20190708</v>
      </c>
      <c r="B169">
        <v>290650</v>
      </c>
      <c r="C169" s="8">
        <v>21900</v>
      </c>
      <c r="D169" s="8">
        <v>21150</v>
      </c>
      <c r="E169">
        <v>21150</v>
      </c>
      <c r="F169" s="8">
        <v>7339332</v>
      </c>
      <c r="G169" s="1">
        <v>155226871800</v>
      </c>
      <c r="H169" s="1">
        <v>102449732850</v>
      </c>
    </row>
    <row r="170" spans="1:8" x14ac:dyDescent="0.3">
      <c r="A170">
        <v>20190709</v>
      </c>
      <c r="B170">
        <v>290650</v>
      </c>
      <c r="C170" s="8">
        <v>21150</v>
      </c>
      <c r="D170" s="8">
        <v>21100</v>
      </c>
      <c r="E170">
        <v>21100</v>
      </c>
      <c r="F170" s="8">
        <v>7339332</v>
      </c>
      <c r="G170" s="1">
        <v>154859905200</v>
      </c>
      <c r="H170" s="1">
        <v>102207534900</v>
      </c>
    </row>
    <row r="171" spans="1:8" x14ac:dyDescent="0.3">
      <c r="A171">
        <v>20190710</v>
      </c>
      <c r="B171">
        <v>290650</v>
      </c>
      <c r="C171" s="8">
        <v>21100</v>
      </c>
      <c r="D171" s="8">
        <v>21500</v>
      </c>
      <c r="E171">
        <v>21500</v>
      </c>
      <c r="F171" s="8">
        <v>7339332</v>
      </c>
      <c r="G171" s="1">
        <v>157795638000</v>
      </c>
      <c r="H171" s="1">
        <v>104145118500</v>
      </c>
    </row>
    <row r="172" spans="1:8" x14ac:dyDescent="0.3">
      <c r="A172">
        <v>20190711</v>
      </c>
      <c r="B172">
        <v>290650</v>
      </c>
      <c r="C172" s="8">
        <v>21500</v>
      </c>
      <c r="D172" s="8">
        <v>21500</v>
      </c>
      <c r="E172">
        <v>21500</v>
      </c>
      <c r="F172" s="8">
        <v>7339332</v>
      </c>
      <c r="G172" s="1">
        <v>157795638000</v>
      </c>
      <c r="H172" s="1">
        <v>104145118500</v>
      </c>
    </row>
    <row r="173" spans="1:8" x14ac:dyDescent="0.3">
      <c r="A173">
        <v>20190712</v>
      </c>
      <c r="B173">
        <v>290650</v>
      </c>
      <c r="C173" s="8">
        <v>21500</v>
      </c>
      <c r="D173" s="8">
        <v>21550</v>
      </c>
      <c r="E173">
        <v>21550</v>
      </c>
      <c r="F173" s="8">
        <v>7339332</v>
      </c>
      <c r="G173" s="1">
        <v>158162604600</v>
      </c>
      <c r="H173" s="1">
        <v>104387316450</v>
      </c>
    </row>
    <row r="174" spans="1:8" x14ac:dyDescent="0.3">
      <c r="A174">
        <v>20190715</v>
      </c>
      <c r="B174">
        <v>290650</v>
      </c>
      <c r="C174" s="8">
        <v>21550</v>
      </c>
      <c r="D174" s="8">
        <v>21150</v>
      </c>
      <c r="E174">
        <v>21150</v>
      </c>
      <c r="F174" s="8">
        <v>7339332</v>
      </c>
      <c r="G174" s="1">
        <v>155226871800</v>
      </c>
      <c r="H174" s="1">
        <v>102449732850</v>
      </c>
    </row>
    <row r="175" spans="1:8" x14ac:dyDescent="0.3">
      <c r="A175">
        <v>20190716</v>
      </c>
      <c r="B175">
        <v>290650</v>
      </c>
      <c r="C175" s="8">
        <v>21150</v>
      </c>
      <c r="D175" s="8">
        <v>21000</v>
      </c>
      <c r="E175">
        <v>21000</v>
      </c>
      <c r="F175" s="8">
        <v>7339332</v>
      </c>
      <c r="G175" s="1">
        <v>154125972000</v>
      </c>
      <c r="H175" s="1">
        <v>101723139000</v>
      </c>
    </row>
    <row r="176" spans="1:8" x14ac:dyDescent="0.3">
      <c r="A176">
        <v>20190717</v>
      </c>
      <c r="B176">
        <v>290650</v>
      </c>
      <c r="C176" s="8">
        <v>21000</v>
      </c>
      <c r="D176" s="8">
        <v>20450</v>
      </c>
      <c r="E176">
        <v>20450</v>
      </c>
      <c r="F176" s="8">
        <v>7339332</v>
      </c>
      <c r="G176" s="1">
        <v>150089339400</v>
      </c>
      <c r="H176" s="1">
        <v>99058961550</v>
      </c>
    </row>
    <row r="177" spans="1:8" x14ac:dyDescent="0.3">
      <c r="A177">
        <v>20190718</v>
      </c>
      <c r="B177">
        <v>290650</v>
      </c>
      <c r="C177" s="8">
        <v>20450</v>
      </c>
      <c r="D177" s="8">
        <v>20000</v>
      </c>
      <c r="E177">
        <v>20000</v>
      </c>
      <c r="F177" s="8">
        <v>7339332</v>
      </c>
      <c r="G177" s="1">
        <v>146786640000</v>
      </c>
      <c r="H177" s="1">
        <v>96879180000</v>
      </c>
    </row>
    <row r="178" spans="1:8" x14ac:dyDescent="0.3">
      <c r="A178">
        <v>20190719</v>
      </c>
      <c r="B178">
        <v>290650</v>
      </c>
      <c r="C178" s="8">
        <v>20000</v>
      </c>
      <c r="D178" s="8">
        <v>20850</v>
      </c>
      <c r="E178">
        <v>20850</v>
      </c>
      <c r="F178" s="8">
        <v>7339332</v>
      </c>
      <c r="G178" s="1">
        <v>153025072200</v>
      </c>
      <c r="H178" s="1">
        <v>100996545150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지수산출플로우</vt:lpstr>
      <vt:lpstr>CASE2_1_조건설정</vt:lpstr>
      <vt:lpstr>CASE2_1_BACKTEST</vt:lpstr>
      <vt:lpstr>CASE2_2_조건설정</vt:lpstr>
      <vt:lpstr>CASE2_2_BACKTEST</vt:lpstr>
      <vt:lpstr>CASE2_3_조건설정</vt:lpstr>
      <vt:lpstr>CASE2_3_BACKTEST</vt:lpstr>
      <vt:lpstr>CASE2_3_검증</vt:lpstr>
      <vt:lpstr>삼성전자</vt:lpstr>
      <vt:lpstr>셀트리온</vt:lpstr>
      <vt:lpstr>헬릭스미스</vt:lpstr>
      <vt:lpstr>TIGER</vt:lpstr>
      <vt:lpstr>엘앤씨바이오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21227</dc:creator>
  <cp:lastModifiedBy>DB400</cp:lastModifiedBy>
  <dcterms:created xsi:type="dcterms:W3CDTF">2019-07-18T00:21:11Z</dcterms:created>
  <dcterms:modified xsi:type="dcterms:W3CDTF">2019-09-11T05:20:47Z</dcterms:modified>
</cp:coreProperties>
</file>